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Y57" i="15" s="1"/>
  <c r="W57" i="15"/>
  <c r="U57" i="15"/>
  <c r="X56" i="15"/>
  <c r="Y56" i="15" s="1"/>
  <c r="W56" i="15"/>
  <c r="U56" i="15"/>
  <c r="X55" i="15"/>
  <c r="Y55" i="15" s="1"/>
  <c r="W55" i="15"/>
  <c r="U55" i="15"/>
  <c r="X54" i="15"/>
  <c r="Y54" i="15" s="1"/>
  <c r="W54" i="15"/>
  <c r="U54" i="15"/>
  <c r="X53" i="15"/>
  <c r="Y53" i="15" s="1"/>
  <c r="W53" i="15"/>
  <c r="U53" i="15"/>
  <c r="X52" i="15"/>
  <c r="Y52" i="15" s="1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X46" i="15"/>
  <c r="W46" i="15"/>
  <c r="U46" i="15"/>
  <c r="X45" i="15"/>
  <c r="W45" i="15"/>
  <c r="U45" i="15"/>
  <c r="AE123" i="13"/>
  <c r="AE115" i="13"/>
  <c r="AE124" i="13"/>
  <c r="AE116" i="13"/>
  <c r="AE108" i="13"/>
  <c r="AE100" i="13"/>
  <c r="AE92" i="13"/>
  <c r="AE84" i="13"/>
  <c r="AE68" i="13"/>
  <c r="AE52" i="13"/>
  <c r="AE99" i="13"/>
  <c r="AE83" i="13"/>
  <c r="AE67" i="13"/>
  <c r="AE51" i="13"/>
  <c r="AE43" i="13"/>
  <c r="AE39" i="13"/>
  <c r="AE35" i="13"/>
  <c r="AE31" i="13"/>
  <c r="AE27" i="13"/>
  <c r="AE23" i="13"/>
  <c r="AE74" i="13"/>
  <c r="AE58" i="13"/>
  <c r="AE105" i="13"/>
  <c r="AE89" i="13"/>
  <c r="AE73" i="13"/>
  <c r="AE11" i="13"/>
  <c r="AE9" i="13"/>
  <c r="AE15" i="13"/>
  <c r="AE119" i="13"/>
  <c r="AE112" i="13"/>
  <c r="AE88" i="13"/>
  <c r="AE107" i="13"/>
  <c r="AE59" i="13"/>
  <c r="AE37" i="13"/>
  <c r="AE25" i="13"/>
  <c r="AE50" i="13"/>
  <c r="AE49" i="13"/>
  <c r="AE10" i="13"/>
  <c r="AE121" i="13"/>
  <c r="AE113" i="13"/>
  <c r="AE122" i="13"/>
  <c r="AE114" i="13"/>
  <c r="AE106" i="13"/>
  <c r="AE98" i="13"/>
  <c r="AE90" i="13"/>
  <c r="AE80" i="13"/>
  <c r="AE64" i="13"/>
  <c r="AE48" i="13"/>
  <c r="AE95" i="13"/>
  <c r="AE79" i="13"/>
  <c r="AE63" i="13"/>
  <c r="AE46" i="13"/>
  <c r="AE42" i="13"/>
  <c r="AE38" i="13"/>
  <c r="AE34" i="13"/>
  <c r="AE30" i="13"/>
  <c r="AE26" i="13"/>
  <c r="AE22" i="13"/>
  <c r="AE70" i="13"/>
  <c r="AE54" i="13"/>
  <c r="AE101" i="13"/>
  <c r="AE85" i="13"/>
  <c r="AE69" i="13"/>
  <c r="AE53" i="13"/>
  <c r="AE20" i="13"/>
  <c r="AE8" i="13"/>
  <c r="AE14" i="13"/>
  <c r="AE120" i="13"/>
  <c r="AE96" i="13"/>
  <c r="AE60" i="13"/>
  <c r="AE75" i="13"/>
  <c r="AE41" i="13"/>
  <c r="AE29" i="13"/>
  <c r="AE66" i="13"/>
  <c r="AE81" i="13"/>
  <c r="AE18" i="13"/>
  <c r="AE7" i="13"/>
  <c r="AE125" i="13"/>
  <c r="AE117" i="13"/>
  <c r="AE109" i="13"/>
  <c r="AE118" i="13"/>
  <c r="AE110" i="13"/>
  <c r="AE102" i="13"/>
  <c r="AE94" i="13"/>
  <c r="AE86" i="13"/>
  <c r="AE72" i="13"/>
  <c r="AE56" i="13"/>
  <c r="AE103" i="13"/>
  <c r="AE87" i="13"/>
  <c r="AE71" i="13"/>
  <c r="AE55" i="13"/>
  <c r="AE44" i="13"/>
  <c r="AE40" i="13"/>
  <c r="AE36" i="13"/>
  <c r="AE32" i="13"/>
  <c r="AE28" i="13"/>
  <c r="AE24" i="13"/>
  <c r="AE78" i="13"/>
  <c r="AE62" i="13"/>
  <c r="AE47" i="13"/>
  <c r="AE93" i="13"/>
  <c r="AE77" i="13"/>
  <c r="AE61" i="13"/>
  <c r="AE21" i="13"/>
  <c r="AE16" i="13"/>
  <c r="AE13" i="13"/>
  <c r="AE6" i="13"/>
  <c r="AE57" i="13"/>
  <c r="AE12" i="13"/>
  <c r="AE19" i="13"/>
  <c r="AE111" i="13"/>
  <c r="AE104" i="13"/>
  <c r="AE76" i="13"/>
  <c r="AE91" i="13"/>
  <c r="AE45" i="13"/>
  <c r="AE33" i="13"/>
  <c r="AE82" i="13"/>
  <c r="AE97" i="13"/>
  <c r="AE65" i="13"/>
  <c r="AE17" i="13"/>
  <c r="AA61" i="15"/>
  <c r="AA45" i="15"/>
  <c r="AA60" i="15"/>
  <c r="AA62" i="15"/>
  <c r="AA51" i="15"/>
  <c r="AA54" i="15"/>
  <c r="AA63" i="15"/>
  <c r="AA57" i="15"/>
  <c r="AA53" i="15"/>
  <c r="AA50" i="15"/>
  <c r="AA52" i="15"/>
  <c r="AA59" i="15"/>
  <c r="AA58" i="15"/>
  <c r="AA46" i="15"/>
  <c r="AA56" i="15"/>
  <c r="AA65" i="15"/>
  <c r="AA49" i="15"/>
  <c r="AA64" i="15"/>
  <c r="AA48" i="15"/>
  <c r="AA55" i="15"/>
  <c r="AA47" i="15"/>
  <c r="AF7" i="13" l="1"/>
  <c r="AG7" i="13"/>
  <c r="AC7" i="13"/>
  <c r="AF15" i="13"/>
  <c r="AC15" i="13"/>
  <c r="AG15" i="13"/>
  <c r="AF19" i="13"/>
  <c r="AG19" i="13"/>
  <c r="AC19" i="13"/>
  <c r="AF6" i="13"/>
  <c r="AC6" i="13"/>
  <c r="AG6" i="13"/>
  <c r="AF10" i="13"/>
  <c r="AC10" i="13"/>
  <c r="AG10" i="13"/>
  <c r="AF14" i="13"/>
  <c r="AC14" i="13"/>
  <c r="AG14" i="13"/>
  <c r="AF9" i="13"/>
  <c r="AG9" i="13"/>
  <c r="AC9" i="13"/>
  <c r="AF13" i="13"/>
  <c r="AC13" i="13"/>
  <c r="AG13" i="13"/>
  <c r="AF17" i="13"/>
  <c r="AG17" i="13"/>
  <c r="AC17" i="13"/>
  <c r="AF8" i="13"/>
  <c r="AG8" i="13"/>
  <c r="AC8" i="13"/>
  <c r="AF12" i="13"/>
  <c r="AG12" i="13"/>
  <c r="AC12" i="13"/>
  <c r="AF16" i="13"/>
  <c r="AG16" i="13"/>
  <c r="AC16" i="13"/>
  <c r="AF18" i="13"/>
  <c r="AG18" i="13"/>
  <c r="AC18" i="13"/>
  <c r="AF20" i="13"/>
  <c r="AG20" i="13"/>
  <c r="AC20" i="13"/>
  <c r="AF11" i="13"/>
  <c r="AG11" i="13"/>
  <c r="AC11" i="13"/>
  <c r="AF21" i="13"/>
  <c r="AG21" i="13"/>
  <c r="AC21" i="13"/>
  <c r="AF49" i="13"/>
  <c r="AG49" i="13"/>
  <c r="AC49" i="13"/>
  <c r="AF53" i="13"/>
  <c r="AG53" i="13"/>
  <c r="AC53" i="13"/>
  <c r="AF57" i="13"/>
  <c r="AG57" i="13"/>
  <c r="AC57" i="13"/>
  <c r="AF61" i="13"/>
  <c r="AG61" i="13"/>
  <c r="AC61" i="13"/>
  <c r="AF65" i="13"/>
  <c r="AG65" i="13"/>
  <c r="AC65" i="13"/>
  <c r="AF69" i="13"/>
  <c r="AG69" i="13"/>
  <c r="AC69" i="13"/>
  <c r="AF73" i="13"/>
  <c r="AG73" i="13"/>
  <c r="AC73" i="13"/>
  <c r="AF77" i="13"/>
  <c r="AG77" i="13"/>
  <c r="AC77" i="13"/>
  <c r="AF81" i="13"/>
  <c r="AG81" i="13"/>
  <c r="AC81" i="13"/>
  <c r="AG85" i="13"/>
  <c r="AC85" i="13"/>
  <c r="AF85" i="13"/>
  <c r="AG89" i="13"/>
  <c r="AC89" i="13"/>
  <c r="AF89" i="13"/>
  <c r="AG93" i="13"/>
  <c r="AC93" i="13"/>
  <c r="AF93" i="13"/>
  <c r="AG97" i="13"/>
  <c r="AC97" i="13"/>
  <c r="AF97" i="13"/>
  <c r="AG101" i="13"/>
  <c r="AC101" i="13"/>
  <c r="AF101" i="13"/>
  <c r="AG105" i="13"/>
  <c r="AC105" i="13"/>
  <c r="AF105" i="13"/>
  <c r="AF47" i="13"/>
  <c r="AC47" i="13"/>
  <c r="AG47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G70" i="13"/>
  <c r="AC70" i="13"/>
  <c r="AF74" i="13"/>
  <c r="AG74" i="13"/>
  <c r="AC74" i="13"/>
  <c r="AF78" i="13"/>
  <c r="AG78" i="13"/>
  <c r="AC78" i="13"/>
  <c r="AF82" i="13"/>
  <c r="AG82" i="13"/>
  <c r="AC82" i="13"/>
  <c r="AF22" i="13"/>
  <c r="AG22" i="13"/>
  <c r="AC22" i="13"/>
  <c r="AF23" i="13"/>
  <c r="AG23" i="13"/>
  <c r="AC23" i="13"/>
  <c r="AF24" i="13"/>
  <c r="AG24" i="13"/>
  <c r="AC24" i="13"/>
  <c r="AF25" i="13"/>
  <c r="AG25" i="13"/>
  <c r="AC25" i="13"/>
  <c r="AF26" i="13"/>
  <c r="AG26" i="13"/>
  <c r="AC26" i="13"/>
  <c r="AF27" i="13"/>
  <c r="AG27" i="13"/>
  <c r="AC27" i="13"/>
  <c r="AF28" i="13"/>
  <c r="AG28" i="13"/>
  <c r="AC28" i="13"/>
  <c r="AF29" i="13"/>
  <c r="AG29" i="13"/>
  <c r="AC29" i="13"/>
  <c r="AF30" i="13"/>
  <c r="AG30" i="13"/>
  <c r="AC30" i="13"/>
  <c r="AF31" i="13"/>
  <c r="AG31" i="13"/>
  <c r="AC31" i="13"/>
  <c r="AF32" i="13"/>
  <c r="AG32" i="13"/>
  <c r="AC32" i="13"/>
  <c r="AF33" i="13"/>
  <c r="AG33" i="13"/>
  <c r="AC33" i="13"/>
  <c r="AF34" i="13"/>
  <c r="AG34" i="13"/>
  <c r="AC34" i="13"/>
  <c r="AF35" i="13"/>
  <c r="AG35" i="13"/>
  <c r="AC35" i="13"/>
  <c r="AF36" i="13"/>
  <c r="AG36" i="13"/>
  <c r="AC36" i="13"/>
  <c r="AF37" i="13"/>
  <c r="AG37" i="13"/>
  <c r="AC37" i="13"/>
  <c r="AF38" i="13"/>
  <c r="AG38" i="13"/>
  <c r="AC38" i="13"/>
  <c r="AF39" i="13"/>
  <c r="AG39" i="13"/>
  <c r="AC39" i="13"/>
  <c r="AF40" i="13"/>
  <c r="AG40" i="13"/>
  <c r="AC40" i="13"/>
  <c r="AF41" i="13"/>
  <c r="AG41" i="13"/>
  <c r="AC41" i="13"/>
  <c r="AF42" i="13"/>
  <c r="AG42" i="13"/>
  <c r="AC42" i="13"/>
  <c r="AF43" i="13"/>
  <c r="AG43" i="13"/>
  <c r="AC43" i="13"/>
  <c r="AF44" i="13"/>
  <c r="AG44" i="13"/>
  <c r="AC44" i="13"/>
  <c r="AF45" i="13"/>
  <c r="AG45" i="13"/>
  <c r="AC45" i="13"/>
  <c r="AF46" i="13"/>
  <c r="AG46" i="13"/>
  <c r="AC46" i="13"/>
  <c r="AF51" i="13"/>
  <c r="AG51" i="13"/>
  <c r="AC51" i="13"/>
  <c r="AF55" i="13"/>
  <c r="AG55" i="13"/>
  <c r="AC55" i="13"/>
  <c r="AF59" i="13"/>
  <c r="AG59" i="13"/>
  <c r="AC59" i="13"/>
  <c r="AF63" i="13"/>
  <c r="AG63" i="13"/>
  <c r="AC63" i="13"/>
  <c r="AF67" i="13"/>
  <c r="AG67" i="13"/>
  <c r="AC67" i="13"/>
  <c r="AF71" i="13"/>
  <c r="AG71" i="13"/>
  <c r="AC71" i="13"/>
  <c r="AF75" i="13"/>
  <c r="AG75" i="13"/>
  <c r="AC75" i="13"/>
  <c r="AF79" i="13"/>
  <c r="AG79" i="13"/>
  <c r="AC79" i="13"/>
  <c r="AG83" i="13"/>
  <c r="AF83" i="13"/>
  <c r="AC83" i="13"/>
  <c r="AG87" i="13"/>
  <c r="AC87" i="13"/>
  <c r="AF87" i="13"/>
  <c r="AG91" i="13"/>
  <c r="AC91" i="13"/>
  <c r="AF91" i="13"/>
  <c r="AG95" i="13"/>
  <c r="AC95" i="13"/>
  <c r="AF95" i="13"/>
  <c r="AG99" i="13"/>
  <c r="AC99" i="13"/>
  <c r="AF99" i="13"/>
  <c r="AG103" i="13"/>
  <c r="AC103" i="13"/>
  <c r="AF103" i="13"/>
  <c r="AG107" i="13"/>
  <c r="AC107" i="13"/>
  <c r="AF107" i="13"/>
  <c r="AF48" i="13"/>
  <c r="AG48" i="13"/>
  <c r="AC48" i="13"/>
  <c r="AF52" i="13"/>
  <c r="AG52" i="13"/>
  <c r="AC52" i="13"/>
  <c r="AF56" i="13"/>
  <c r="AG56" i="13"/>
  <c r="AC56" i="13"/>
  <c r="AF60" i="13"/>
  <c r="AG60" i="13"/>
  <c r="AC60" i="13"/>
  <c r="AF64" i="13"/>
  <c r="AG64" i="13"/>
  <c r="AC64" i="13"/>
  <c r="AF68" i="13"/>
  <c r="AG68" i="13"/>
  <c r="AC68" i="13"/>
  <c r="AF72" i="13"/>
  <c r="AG72" i="13"/>
  <c r="AC72" i="13"/>
  <c r="AF76" i="13"/>
  <c r="AG76" i="13"/>
  <c r="AC76" i="13"/>
  <c r="AF80" i="13"/>
  <c r="AG80" i="13"/>
  <c r="AC80" i="13"/>
  <c r="AG84" i="13"/>
  <c r="AC84" i="13"/>
  <c r="AF84" i="13"/>
  <c r="AG86" i="13"/>
  <c r="AC86" i="13"/>
  <c r="AF86" i="13"/>
  <c r="AG88" i="13"/>
  <c r="AC88" i="13"/>
  <c r="AF88" i="13"/>
  <c r="AG90" i="13"/>
  <c r="AC90" i="13"/>
  <c r="AF90" i="13"/>
  <c r="AG92" i="13"/>
  <c r="AC92" i="13"/>
  <c r="AF92" i="13"/>
  <c r="AG94" i="13"/>
  <c r="AC94" i="13"/>
  <c r="AF94" i="13"/>
  <c r="AG96" i="13"/>
  <c r="AC96" i="13"/>
  <c r="AF96" i="13"/>
  <c r="AG98" i="13"/>
  <c r="AC98" i="13"/>
  <c r="AF98" i="13"/>
  <c r="AG100" i="13"/>
  <c r="AC100" i="13"/>
  <c r="AF100" i="13"/>
  <c r="AG102" i="13"/>
  <c r="AC102" i="13"/>
  <c r="AF102" i="13"/>
  <c r="AG104" i="13"/>
  <c r="AC104" i="13"/>
  <c r="AF104" i="13"/>
  <c r="AG106" i="13"/>
  <c r="AC106" i="13"/>
  <c r="AF106" i="13"/>
  <c r="AG108" i="13"/>
  <c r="AC108" i="13"/>
  <c r="AF108" i="13"/>
  <c r="AG110" i="13"/>
  <c r="AC110" i="13"/>
  <c r="AF110" i="13"/>
  <c r="AG112" i="13"/>
  <c r="AC112" i="13"/>
  <c r="AF112" i="13"/>
  <c r="AG114" i="13"/>
  <c r="AC114" i="13"/>
  <c r="AF114" i="13"/>
  <c r="AG116" i="13"/>
  <c r="AC116" i="13"/>
  <c r="AF116" i="13"/>
  <c r="AG118" i="13"/>
  <c r="AC118" i="13"/>
  <c r="AF118" i="13"/>
  <c r="AG120" i="13"/>
  <c r="AC120" i="13"/>
  <c r="AF120" i="13"/>
  <c r="AG122" i="13"/>
  <c r="AC122" i="13"/>
  <c r="AF122" i="13"/>
  <c r="AG124" i="13"/>
  <c r="AC124" i="13"/>
  <c r="AF124" i="13"/>
  <c r="AG109" i="13"/>
  <c r="AC109" i="13"/>
  <c r="AF109" i="13"/>
  <c r="AG111" i="13"/>
  <c r="AC111" i="13"/>
  <c r="AF111" i="13"/>
  <c r="AG113" i="13"/>
  <c r="AC113" i="13"/>
  <c r="AF113" i="13"/>
  <c r="AG115" i="13"/>
  <c r="AC115" i="13"/>
  <c r="AF115" i="13"/>
  <c r="AG117" i="13"/>
  <c r="AC117" i="13"/>
  <c r="AF117" i="13"/>
  <c r="AG119" i="13"/>
  <c r="AC119" i="13"/>
  <c r="AF119" i="13"/>
  <c r="AG121" i="13"/>
  <c r="AC121" i="13"/>
  <c r="AF121" i="13"/>
  <c r="AG123" i="13"/>
  <c r="AC123" i="13"/>
  <c r="AF123" i="13"/>
  <c r="AG125" i="13"/>
  <c r="AC125" i="13"/>
  <c r="AF125" i="13"/>
  <c r="Y51" i="15"/>
  <c r="Y50" i="15"/>
  <c r="Y47" i="15"/>
  <c r="Y48" i="15"/>
  <c r="Y46" i="15"/>
  <c r="Y45" i="15"/>
  <c r="Y49" i="15"/>
  <c r="Q36" i="15"/>
  <c r="S36" i="15"/>
  <c r="T36" i="15" s="1"/>
  <c r="R36" i="15"/>
  <c r="Z47" i="15"/>
  <c r="Z49" i="15"/>
  <c r="Z58" i="15"/>
  <c r="Z51" i="15"/>
  <c r="Z61" i="15"/>
  <c r="Z55" i="15"/>
  <c r="Z65" i="15"/>
  <c r="Z59" i="15"/>
  <c r="Z57" i="15"/>
  <c r="Z62" i="15"/>
  <c r="Z48" i="15"/>
  <c r="Z56" i="15"/>
  <c r="Z52" i="15"/>
  <c r="Z63" i="15"/>
  <c r="Z60" i="15"/>
  <c r="Z64" i="15"/>
  <c r="Z46" i="15"/>
  <c r="Z50" i="15"/>
  <c r="Z54" i="15"/>
  <c r="Z45" i="15"/>
  <c r="Z53" i="15"/>
  <c r="AB53" i="15" l="1"/>
  <c r="AC53" i="15" s="1"/>
  <c r="AD53" i="15" s="1"/>
  <c r="AB45" i="15"/>
  <c r="AC45" i="15" s="1"/>
  <c r="AD45" i="15" s="1"/>
  <c r="AB54" i="15"/>
  <c r="AC54" i="15" s="1"/>
  <c r="AD54" i="15" s="1"/>
  <c r="AB50" i="15"/>
  <c r="AC50" i="15" s="1"/>
  <c r="AD50" i="15" s="1"/>
  <c r="AB46" i="15"/>
  <c r="AC46" i="15" s="1"/>
  <c r="AD46" i="15" s="1"/>
  <c r="AB64" i="15"/>
  <c r="AC64" i="15" s="1"/>
  <c r="AD64" i="15" s="1"/>
  <c r="AB60" i="15"/>
  <c r="AC60" i="15" s="1"/>
  <c r="AD60" i="15" s="1"/>
  <c r="AB63" i="15"/>
  <c r="AC63" i="15" s="1"/>
  <c r="AD63" i="15" s="1"/>
  <c r="AB52" i="15"/>
  <c r="AC52" i="15" s="1"/>
  <c r="AD52" i="15" s="1"/>
  <c r="AB56" i="15"/>
  <c r="AC56" i="15" s="1"/>
  <c r="AD56" i="15" s="1"/>
  <c r="AB48" i="15"/>
  <c r="AC48" i="15" s="1"/>
  <c r="AD48" i="15" s="1"/>
  <c r="AB62" i="15"/>
  <c r="AC62" i="15" s="1"/>
  <c r="AD62" i="15" s="1"/>
  <c r="AB57" i="15"/>
  <c r="AC57" i="15" s="1"/>
  <c r="AD57" i="15" s="1"/>
  <c r="AB59" i="15"/>
  <c r="AC59" i="15" s="1"/>
  <c r="AD59" i="15" s="1"/>
  <c r="AB65" i="15"/>
  <c r="AC65" i="15" s="1"/>
  <c r="AD65" i="15" s="1"/>
  <c r="AB55" i="15"/>
  <c r="AC55" i="15" s="1"/>
  <c r="AD55" i="15" s="1"/>
  <c r="AB61" i="15"/>
  <c r="AC61" i="15" s="1"/>
  <c r="AD61" i="15" s="1"/>
  <c r="AB51" i="15"/>
  <c r="AC51" i="15" s="1"/>
  <c r="AD51" i="15" s="1"/>
  <c r="AB58" i="15"/>
  <c r="AC58" i="15" s="1"/>
  <c r="AD58" i="15" s="1"/>
  <c r="AB49" i="15"/>
  <c r="AC49" i="15" s="1"/>
  <c r="AD49" i="15" s="1"/>
  <c r="AB47" i="15"/>
  <c r="AC47" i="15" s="1"/>
  <c r="AD47" i="15" s="1"/>
  <c r="AF4" i="13"/>
  <c r="AG43" i="15" l="1"/>
  <c r="W36" i="15" s="1"/>
  <c r="V36" i="15" s="1"/>
  <c r="S37" i="15"/>
  <c r="R37" i="15"/>
  <c r="R40" i="15"/>
  <c r="R41" i="15"/>
  <c r="R38" i="15" l="1"/>
  <c r="S40" i="15" s="1"/>
  <c r="S38" i="15"/>
  <c r="S41" i="15" s="1"/>
</calcChain>
</file>

<file path=xl/sharedStrings.xml><?xml version="1.0" encoding="utf-8"?>
<sst xmlns="http://schemas.openxmlformats.org/spreadsheetml/2006/main" count="3225" uniqueCount="1451">
  <si>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</si>
  <si>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</si>
  <si>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</si>
  <si>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</si>
  <si>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</si>
  <si>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</si>
  <si>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</si>
  <si>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</si>
  <si>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</si>
  <si>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</si>
  <si>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</si>
  <si>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</si>
  <si>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</si>
  <si>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</si>
  <si>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</si>
  <si>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</si>
  <si>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</si>
  <si>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</si>
  <si>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</si>
  <si>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</si>
  <si>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</si>
  <si>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</si>
  <si>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</si>
  <si>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</si>
  <si>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</si>
  <si>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</si>
  <si>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</si>
  <si>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</si>
  <si>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</si>
  <si>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</si>
  <si>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</si>
  <si>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</si>
  <si>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</si>
  <si>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</si>
  <si>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</si>
  <si>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</si>
  <si>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</si>
  <si>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</si>
  <si>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</si>
  <si>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</si>
  <si>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</si>
  <si>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</si>
  <si>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</si>
  <si>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</si>
  <si>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</si>
  <si>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</si>
  <si>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</si>
  <si>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</si>
  <si>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</si>
  <si>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</si>
  <si>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</si>
  <si>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</si>
  <si>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</si>
  <si>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</si>
  <si>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</si>
  <si>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</si>
  <si>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</si>
  <si>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</si>
  <si>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</si>
  <si>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</si>
  <si>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</si>
  <si>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</si>
  <si>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</si>
  <si>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</si>
  <si>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</si>
  <si>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</si>
  <si>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</si>
  <si>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</si>
  <si>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</si>
  <si>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</si>
  <si>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</si>
  <si>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</si>
  <si>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</si>
  <si>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</si>
  <si>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</si>
  <si>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</si>
  <si>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</si>
  <si>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</si>
  <si>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</si>
  <si>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</si>
  <si>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</si>
  <si>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</si>
  <si>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</si>
  <si>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</si>
  <si>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</si>
  <si>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</si>
  <si>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</si>
  <si>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</si>
  <si>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</si>
  <si>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</si>
  <si>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</si>
  <si>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</si>
  <si>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</si>
  <si>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</si>
  <si>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</si>
  <si>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</si>
  <si>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</si>
  <si>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</si>
  <si>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</si>
  <si>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</si>
  <si>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</si>
  <si>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</si>
  <si>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</si>
  <si>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</si>
  <si>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</si>
  <si>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</si>
  <si>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</si>
  <si>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</si>
  <si>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</si>
  <si>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</si>
  <si>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</si>
  <si>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</si>
  <si>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</si>
  <si>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</si>
  <si>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</si>
  <si>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</si>
  <si>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</si>
  <si>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</si>
  <si>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</si>
  <si>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</si>
  <si>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</si>
  <si>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</si>
  <si>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</si>
  <si>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</si>
  <si>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</si>
  <si>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</si>
  <si>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</si>
  <si>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</si>
  <si>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</si>
  <si>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</si>
  <si>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</si>
  <si>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</si>
  <si>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</si>
  <si>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</si>
  <si>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</si>
  <si>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</si>
  <si>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</si>
  <si>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</si>
  <si>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</si>
  <si>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</si>
  <si>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</si>
  <si>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</si>
  <si>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</si>
  <si>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</si>
  <si>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</si>
  <si>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</si>
  <si>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</si>
  <si>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</si>
  <si>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</si>
  <si>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</si>
  <si>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</si>
  <si>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</si>
  <si>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</si>
  <si>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</si>
  <si>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</si>
  <si>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</si>
  <si>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</si>
  <si>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</si>
  <si>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</si>
  <si>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</si>
  <si>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</si>
  <si>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</si>
  <si>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</si>
  <si>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</si>
  <si>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</si>
  <si>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</si>
  <si>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</si>
  <si>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</si>
  <si>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</si>
  <si>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</si>
  <si>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</si>
  <si>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</si>
  <si>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</si>
  <si>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</si>
  <si>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</si>
  <si>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</si>
  <si>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</si>
  <si>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</si>
  <si>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</si>
  <si>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</si>
  <si>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</si>
  <si>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</si>
  <si>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</si>
  <si>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</si>
  <si>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</si>
  <si>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</si>
  <si>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</si>
  <si>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</si>
  <si>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</si>
  <si>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</si>
  <si>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</si>
  <si>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</si>
  <si>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</si>
  <si>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</si>
  <si>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TWS Connected OK</t>
  </si>
  <si>
    <t>Subscribed</t>
  </si>
  <si>
    <t>6B5F5 C1500</t>
  </si>
  <si>
    <t>6B5F5 C1505</t>
  </si>
  <si>
    <t>6B5F5 P1495</t>
  </si>
  <si>
    <t>6B5F5 P1500</t>
  </si>
  <si>
    <t>6B5F5 P1505</t>
  </si>
  <si>
    <t>6B5F5 C1510</t>
  </si>
  <si>
    <t>STP LMT</t>
  </si>
  <si>
    <t>In-Flight</t>
  </si>
  <si>
    <t>PreSubmitted</t>
  </si>
  <si>
    <t>SELL</t>
  </si>
  <si>
    <t>Cancelled</t>
  </si>
  <si>
    <t>Canceled</t>
  </si>
  <si>
    <t>6B5F5 C1515</t>
  </si>
  <si>
    <t>PendingCancel</t>
  </si>
  <si>
    <t>2015-1-26 15:25:42.188: OrderManager - UpdateOrderStatus - an Error occurred Invalid procedure call or argument</t>
  </si>
  <si>
    <t>2015-1-26 15:25:42.189: OrderManager - UpdateOrderStatus - an Error occurred Object variable or With block variable not set</t>
  </si>
  <si>
    <t>2015-1-26 15:25:42.190: OrderManager - UpdateOrderStatus - an Error occurred Object variable or With block variable not set</t>
  </si>
  <si>
    <t>2015-1-26 15:25:42.191: OrderManager - UpdateOrderStatus - an Error occurred Object variable or With block variable not set</t>
  </si>
  <si>
    <t>2015-1-26 15:25:42.192: OrderManager - UpdateOrderStatus - an Error occurred Object variable or With block variable not set</t>
  </si>
  <si>
    <t>2015-1-26 15:25:42.192: OrderManager - UpdateOrderStatus - id 1022 Setting status to PreSubmitted workingOrderCount is now 0 workingQty 0</t>
  </si>
  <si>
    <t>2015-1-26 15:25:42.192: OrderManagerView - updateMainSheetOrderHistory - An Error occurred Object variable or With block variable not set</t>
  </si>
  <si>
    <t>2015-1-26 15:25:42.193: OrderManagerView - updateMainSheetOrderHistory - An Error occurred Object variable or With block variable not set</t>
  </si>
  <si>
    <t>2015-1-26 15:25:42.194: OrderManagerView - updateMainSheetOrderHistory - An Error occurred Object variable or With block variable not set</t>
  </si>
  <si>
    <t>2015-1-26 15:25:42.194: OrderManagerView - updateOrderHistory - An Error occurred Object variable or With block variable not set</t>
  </si>
  <si>
    <t>2015-1-26 15:25:42.195: OrderManagerView - updateOrderHistory - An Error occurred Object variable or With block variable not set</t>
  </si>
  <si>
    <t>2015-1-26 15:25:42.196: OrderManagerView - updateOrderHistory - An Error occurred Object variable or With block variable not set</t>
  </si>
  <si>
    <t>2015-1-26 15:25:42.197: OrderManagerView - updateOrderHistory - An Error occurred Object variable or With block variable not set</t>
  </si>
  <si>
    <t>2015-1-26 15:25:42.198: OrderManagerView - updateOrderHistory - An Error occurred Object variable or With block variable not set</t>
  </si>
  <si>
    <t>2015-1-26 15:25:42.199: OrderManagerView - updateOrderHistory - An Error occurred Object variable or With block variable not set</t>
  </si>
  <si>
    <t>2015-1-26 15:25:42.200: OrderManagerView - updateOrderHistory - An Error occurred Object variable or With block variable not set</t>
  </si>
  <si>
    <t>2015-1-26 15:25:42.201: OrderManagerView - updateOrderHistory - An Error occurred Object variable or With block variable not set</t>
  </si>
  <si>
    <t>2015-1-26 15:25:42.201: RTWSControl - OrderStatus - Got OrderStatus Message id:1022 status: PreSubmitted filled: 0</t>
  </si>
  <si>
    <t>2015-1-26 15:25:42.201: RTWSControl - OrderStatus - exiting orderStatus</t>
  </si>
  <si>
    <t>2015-1-26 15:25:42.385: openOrderEx - I am here</t>
  </si>
  <si>
    <t>2015-1-26 15:25:42.386: RTWSControl - orderStatus -  entering orderStatus id is 1023 status is PreSubmitted</t>
  </si>
  <si>
    <t>2015-1-26 15:25:42.386: OrderManager - UpdateOrderStatus - an Error occurred Invalid procedure call or argument</t>
  </si>
  <si>
    <t>2015-1-26 15:25:42.387: OrderManager - UpdateOrderStatus - an Error occurred Object variable or With block variable not set</t>
  </si>
  <si>
    <t>2015-1-26 15:25:42.388: OrderManager - UpdateOrderStatus - an Error occurred Object variable or With block variable not set</t>
  </si>
  <si>
    <t>2015-1-26 15:25:42.389: OrderManager - UpdateOrderStatus - an Error occurred Object variable or With block variable not set</t>
  </si>
  <si>
    <t>2015-1-26 15:25:42.390: OrderManager - UpdateOrderStatus - an Error occurred Object variable or With block variable not set</t>
  </si>
  <si>
    <t>2015-1-26 15:25:42.390: OrderManager - UpdateOrderStatus - id 1023 Setting status to PreSubmitted workingOrderCount is now 0 workingQty 0</t>
  </si>
  <si>
    <t>2015-1-26 15:25:42.390: OrderManagerView - updateMainSheetOrderHistory - An Error occurred Object variable or With block variable not set</t>
  </si>
  <si>
    <t>2015-1-26 15:25:42.391: OrderManagerView - updateMainSheetOrderHistory - An Error occurred Object variable or With block variable not set</t>
  </si>
  <si>
    <t>2015-1-26 15:25:42.392: OrderManagerView - updateOrderHistory - An Error occurred Object variable or With block variable not set</t>
  </si>
  <si>
    <t>2015-1-26 15:25:42.393: OrderManagerView - updateOrderHistory - An Error occurred Object variable or With block variable not set</t>
  </si>
  <si>
    <t>2015-1-26 15:25:42.394: OrderManagerView - updateOrderHistory - An Error occurred Object variable or With block variable not set</t>
  </si>
  <si>
    <t>2015-1-26 15:25:42.395: OrderManagerView - updateOrderHistory - An Error occurred Object variable or With block variable not set</t>
  </si>
  <si>
    <t>2015-1-26 15:25:42.396: OrderManagerView - updateOrderHistory - An Error occurred Object variable or With block variable not set</t>
  </si>
  <si>
    <t>2015-1-26 15:25:42.397: OrderManagerView - updateOrderHistory - An Error occurred Object variable or With block variable not set</t>
  </si>
  <si>
    <t>2015-1-26 15:25:42.398: OrderManagerView - updateOrderHistory - An Error occurred Object variable or With block variable not set</t>
  </si>
  <si>
    <t>2015-1-26 15:25:42.398: RTWSControl - OrderStatus - Got OrderStatus Message id:1023 status: PreSubmitted filled: 0</t>
  </si>
  <si>
    <t>2015-1-26 15:25:42.398: RTWSControl - OrderStatus - exiting orderStatus</t>
  </si>
  <si>
    <t>2015-1-26 15:25:42.399: openOrderEnd - I am here</t>
  </si>
  <si>
    <t>2015-1-26 15:25:42.402: RTWSControl - nextValidId - entering nextValidId id is 1024</t>
  </si>
  <si>
    <t>2015-1-26 15:25:42.424: WatchlistView - initialize - an error occurredSelect method of Range class failed</t>
  </si>
  <si>
    <t>2015-1-26 15:25:42.438: RTWSControl - errMsg - got error message 2104:Market data farm connection is OK:usfuturewith id -1</t>
  </si>
  <si>
    <t>2015-1-26 15:25:42.444: RTWSControl - errMsg - got error message 2104:Market data farm connection is OK:usfuture.uswith id -1</t>
  </si>
  <si>
    <t>2015-1-26 15:25:42.483: RTWSControl - errMsg - got error message 2104:Market data farm connection is OK:cashfarmwith id -1</t>
  </si>
  <si>
    <t>2015-1-26 15:25:42.486: RTWSControl - errMsg - got error message 2104:Market data farm connection is OK:usfarmwith id -1</t>
  </si>
  <si>
    <t>2015-1-26 15:25:42.490: RTWSControl - errMsg - got error message 2106:HMDS data farm connection is OK:ilhmdswith id -1</t>
  </si>
  <si>
    <t>2015-1-26 15:25:42.569: RTWSControl - contractDetailsEx - got contractDetails id 0 British pound 6BH5</t>
  </si>
  <si>
    <t>2015-1-26 15:25:42.584: RTWSControl - contractDetailsEnd - Got contract details end event</t>
  </si>
  <si>
    <t>2015-1-26 15:25:42.763: RTWSControl - orderStatus -  entering orderStatus id is 1022 status is Cancelled</t>
  </si>
  <si>
    <t>2015-1-26 15:25:42.765: OrderManager - UpdateOrderStatus - an Error occurred Invalid procedure call or argument</t>
  </si>
  <si>
    <t>2015-1-26 15:25:42.767: OrderManager - UpdateOrderStatus - an Error occurred Object variable or With block variable not set</t>
  </si>
  <si>
    <t>2015-1-26 15:25:42.768: OrderManager - UpdateOrderStatus - an Error occurred Object variable or With block variable not set</t>
  </si>
  <si>
    <t>2015-1-26 15:25:42.769: OrderManager - UpdateOrderStatus - an Error occurred Object variable or With block variable not set</t>
  </si>
  <si>
    <t>2015-1-26 15:25:42.770: OrderManager - UpdateOrderStatus - an Error occurred Object variable or With block variable not set</t>
  </si>
  <si>
    <t>2015-1-26 15:25:42.771: OrderManager - UpdateOrderStatus - an Error occurred Object variable or With block variable not set</t>
  </si>
  <si>
    <t>2015-1-26 15:25:42.772: OrderManager - UpdateOrderStatus - an Error occurred Object variable or With block variable not set</t>
  </si>
  <si>
    <t>2015-1-26 15:25:42.772: OrderManager - UpdateOrderStatus - id 1022 Setting status to Cancelled workingOrderCount is now 0 workingQty 0</t>
  </si>
  <si>
    <t>2015-1-26 15:25:42.773: OrderManagerView - updateMainSheetOrderHistory - An Error occurred Object variable or With block variable not set</t>
  </si>
  <si>
    <t>2015-1-26 15:25:42.774: OrderManagerView - updateMainSheetOrderHistory - An Error occurred Object variable or With block variable not set</t>
  </si>
  <si>
    <t>2015-1-26 15:25:42.775: OrderManagerView - updateMainSheetOrderHistory - An Error occurred Object variable or With block variable not set</t>
  </si>
  <si>
    <t>2015-1-26 15:25:42.776: OrderManagerView - updateOrderHistory - An Error occurred Object variable or With block variable not set</t>
  </si>
  <si>
    <t>2015-1-26 15:25:42.777: OrderManagerView - updateOrderHistory - An Error occurred Object variable or With block variable not set</t>
  </si>
  <si>
    <t>2015-1-26 15:25:42.778: OrderManagerView - updateOrderHistory - An Error occurred Object variable or With block variable not set</t>
  </si>
  <si>
    <t>2015-1-26 15:25:42.779: OrderManagerView - updateOrderHistory - An Error occurred Object variable or With block variable not set</t>
  </si>
  <si>
    <t>2015-1-26 15:25:42.780: OrderManagerView - updateOrderHistory - An Error occurred Object variable or With block variable not set</t>
  </si>
  <si>
    <t>2015-1-26 15:25:42.781: OrderManagerView - updateOrderHistory - An Error occurred Object variable or With block variable not set</t>
  </si>
  <si>
    <t>2015-1-26 15:25:42.782: OrderManagerView - updateOrderHistory - An Error occurred Object variable or With block variable not set</t>
  </si>
  <si>
    <t>2015-1-26 15:25:42.783: OrderManagerView - updateOrderHistory - An Error occurred Object variable or With block variable not set</t>
  </si>
  <si>
    <t>2015-1-26 15:25:42.784: OrderManagerView - updateOrderHistory - An Error occurred Object variable or With block variable not set</t>
  </si>
  <si>
    <t>2015-1-26 15:25:42.785: OrderManagerView - updateOrderHistory - An Error occurred Object variable or With block variable not set</t>
  </si>
  <si>
    <t>2015-1-26 15:25:42.786: OrderManagerView - updateOrderHistory - An Error occurred Object variable or With block variable not set</t>
  </si>
  <si>
    <t>2015-1-26 15:25:42.787: OrderManagerView - updateOrderHistory - An Error occurred Object variable or With block variable not set</t>
  </si>
  <si>
    <t>2015-1-26 15:25:42.788: OrderManagerView - updateOrderHistory - An Error occurred Object variable or With block variable not set</t>
  </si>
  <si>
    <t>2015-1-26 15:25:42.789: RTWSControl - OrderStatus - Got OrderStatus Message id:1022 status: Cancelled filled: 0</t>
  </si>
  <si>
    <t>2015-1-26 15:25:42.789: RTWSControl - OrderStatus - exiting orderStatus</t>
  </si>
  <si>
    <t>2015-1-26 15:25:42.794: RTWSControl - errMsg - got error message 202:Order Canceled - reason:with id 1022</t>
  </si>
  <si>
    <t>2015-1-26 15:25:42.794: OrderManager - canceledOrder - cleaning up after canceled order 1022BEWARE UNACCOUNTED FOR EXECUTIONS!!!</t>
  </si>
  <si>
    <t>2015-1-26 15:25:42.795: Order Manager - terminateOrder - an error occurred Invalid procedure call or argument</t>
  </si>
  <si>
    <t>2015-1-26 15:25:42.795: Order Manager - terminateOrder - an error occurred Object variable or With block variable not set</t>
  </si>
  <si>
    <t>2015-1-26 15:25:42.796: Order Manager - terminateOrder - an error occurred Object variable or With block variable not set</t>
  </si>
  <si>
    <t>2015-1-26 15:25:42.797: Order Manager - terminateOrder - an error occurred Object variable or With block variable not set</t>
  </si>
  <si>
    <t>2015-1-26 15:25:42.797: OrderManagerView - updateMainSheetOrderHistory - An Error occurred Object variable or With block variable not set</t>
  </si>
  <si>
    <t>2015-1-26 15:25:42.798: OrderManagerView - updateMainSheetOrderHistory - An Error occurred Object variable or With block variable not set</t>
  </si>
  <si>
    <t>2015-1-26 15:25:42.799: OrderManagerView - updateMainSheetOrderHistory - An Error occurred Object variable or With block variable not set</t>
  </si>
  <si>
    <t>2015-1-26 15:25:42.799: OrderManagerView - updateOrderHistory - An Error occurred Object variable or With block variable not set</t>
  </si>
  <si>
    <t>2015-1-26 15:25:42.800: OrderManagerView - updateOrderHistory - An Error occurred Object variable or With block variable not set</t>
  </si>
  <si>
    <t>2015-1-26 15:25:42.801: OrderManagerView - updateOrderHistory - An Error occurred Object variable or With block variable not set</t>
  </si>
  <si>
    <t>2015-1-26 15:25:42.802: OrderManagerView - updateOrderHistory - An Error occurred Object variable or With block variable not set</t>
  </si>
  <si>
    <t>2015-1-26 15:25:42.803: OrderManagerView - updateOrderHistory - An Error occurred Object variable or With block variable not set</t>
  </si>
  <si>
    <t>2015-1-26 15:25:42.804: OrderManagerView - updateOrderHistory - An Error occurred Object variable or With block variable not set</t>
  </si>
  <si>
    <t>2015-1-26 15:25:42.805: OrderManagerView - updateOrderHistory - An Error occurred Object variable or With block variable not set</t>
  </si>
  <si>
    <t>2015-1-26 15:25:42.806: OrderManagerView - updateOrderHistory - An Error occurred Object variable or With block variable not set</t>
  </si>
  <si>
    <t>2015-1-26 15:25:42.809: RTWSControl - orderStatus -  entering orderStatus id is 1023 status is Cancelled</t>
  </si>
  <si>
    <t>2015-1-26 15:25:42.810: OrderManager - UpdateOrderStatus - an Error occurred Invalid procedure call or argument</t>
  </si>
  <si>
    <t>2015-1-26 15:25:42.810: OrderManager - UpdateOrderStatus - an Error occurred Object variable or With block variable not set</t>
  </si>
  <si>
    <t>2015-1-26 15:25:42.811: OrderManager - UpdateOrderStatus - an Error occurred Object variable or With block variable not set</t>
  </si>
  <si>
    <t>2015-1-26 15:25:42.812: OrderManager - UpdateOrderStatus - an Error occurred Object variable or With block variable not set</t>
  </si>
  <si>
    <t>2015-1-26 15:25:42.813: OrderManager - UpdateOrderStatus - an Error occurred Object variable or With block variable not set</t>
  </si>
  <si>
    <t>2015-1-26 15:25:42.813: OrderManager - UpdateOrderStatus - id 1023 Setting status to Cancelled workingOrderCount is now -1 workingQty 0</t>
  </si>
  <si>
    <t>2015-1-26 15:25:42.813: OrderManagerView - updateMainSheetOrderHistory - An Error occurred Object variable or With block variable not set</t>
  </si>
  <si>
    <t>2015-1-26 15:25:42.814: OrderManagerView - updateMainSheetOrderHistory - An Error occurred Object variable or With block variable not set</t>
  </si>
  <si>
    <t>2015-1-26 15:25:42.815: OrderManagerView - updateOrderHistory - An Error occurred Object variable or With block variable not set</t>
  </si>
  <si>
    <t>2015-1-26 15:25:42.816: OrderManagerView - updateOrderHistory - An Error occurred Object variable or With block variable not set</t>
  </si>
  <si>
    <t>2015-1-26 15:25:42.817: OrderManagerView - updateOrderHistory - An Error occurred Object variable or With block variable not set</t>
  </si>
  <si>
    <t>2015-1-26 15:25:42.818: OrderManagerView - updateOrderHistory - An Error occurred Object variable or With block variable not set</t>
  </si>
  <si>
    <t>2015-1-26 15:25:42.819: OrderManagerView - updateOrderHistory - An Error occurred Object variable or With block variable not set</t>
  </si>
  <si>
    <t>2015-1-26 15:25:42.820: OrderManagerView - updateOrderHistory - An Error occurred Object variable or With block variable not set</t>
  </si>
  <si>
    <t>2015-1-26 15:25:42.821: OrderManagerView - updateOrderHistory - An Error occurred Object variable or With block variable not set</t>
  </si>
  <si>
    <t>2015-1-26 15:25:42.821: RTWSControl - OrderStatus - Got OrderStatus Message id:1023 status: Cancelled filled: 0</t>
  </si>
  <si>
    <t>2015-1-26 15:25:42.821: RTWSControl - OrderStatus - exiting orderStatus</t>
  </si>
  <si>
    <t>2015-1-26 15:25:42.839: RTWSControl - errMsg - got error message 202:Order Canceled - reason:with id 1023</t>
  </si>
  <si>
    <t>2015-1-26 15:25:42.839: OrderManager - canceledOrder - cleaning up after canceled order 1023BEWARE UNACCOUNTED FOR EXECUTIONS!!!</t>
  </si>
  <si>
    <t>2015-1-26 15:25:42.840: Order Manager - terminateOrder - an error occurred Invalid procedure call or argument</t>
  </si>
  <si>
    <t>2015-1-26 15:25:42.840: Order Manager - terminateOrder - an error occurred Object variable or With block variable not set</t>
  </si>
  <si>
    <t>2015-1-26 15:25:42.841: Order Manager - terminateOrder - an error occurred Object variable or With block variable not set</t>
  </si>
  <si>
    <t>2015-1-26 15:25:42.841: OrderManagerView - updateMainSheetOrderHistory - An Error occurred Object variable or With block variable not set</t>
  </si>
  <si>
    <t>2015-1-26 15:25:42.842: OrderManagerView - updateMainSheetOrderHistory - An Error occurred Object variable or With block variable not set</t>
  </si>
  <si>
    <t>2015-1-26 15:25:42.843: OrderManagerView - updateMainSheetOrderHistory - An Error occurred Object variable or With block variable not set</t>
  </si>
  <si>
    <t>2015-1-26 15:25:42.843: OrderManagerView - updateOrderHistory - An Error occurred Object variable or With block variable not set</t>
  </si>
  <si>
    <t>2015-1-26 15:25:42.844: OrderManagerView - updateOrderHistory - An Error occurred Object variable or With block variable not set</t>
  </si>
  <si>
    <t>2015-1-26 15:25:42.845: OrderManagerView - updateOrderHistory - An Error occurred Object variable or With block variable not set</t>
  </si>
  <si>
    <t>2015-1-26 15:25:42.846: OrderManagerView - updateOrderHistory - An Error occurred Object variable or With block variable not set</t>
  </si>
  <si>
    <t>2015-1-26 15:25:42.847: OrderManagerView - updateOrderHistory - An Error occurred Object variable or With block variable not set</t>
  </si>
  <si>
    <t>2015-1-26 15:25:42.848: OrderManagerView - updateOrderHistory - An Error occurred Object variable or With block variable not set</t>
  </si>
  <si>
    <t>2015-1-26 15:25:42.849: OrderManagerView - updateOrderHistory - An Error occurred Object variable or With block variable not set</t>
  </si>
  <si>
    <t>2015-1-26 15:25:42.850: OrderManagerView - updateOrderHistory - An Error occurred Object variable or With block variable not set</t>
  </si>
  <si>
    <t>2015-1-26 15:25:47.736: Algorithm - updatePortfolio - haveAllDetails is False</t>
  </si>
  <si>
    <t>2015-1-26 15:25:47.737: RTWSControl - updatePortfolioEx - An Error Occured Object variable or With block variable not set</t>
  </si>
  <si>
    <t>2015-1-26 15:25:47.753: Algorithm - updatePortfolio - haveAllDetails is False</t>
  </si>
  <si>
    <t>2015-1-26 15:25:47.754: RTWSControl - updatePortfolioEx - An Error Occured Object variable or With block variable not set</t>
  </si>
  <si>
    <t>2015-1-26 15:25:47.783: Algorithm - updatePortfolio - haveAllDetails is False</t>
  </si>
  <si>
    <t>2015-1-26 15:25:47.784: RTWSControl - updatePortfolioEx - An Error Occured Object variable or With block variable not set</t>
  </si>
  <si>
    <t>2015-1-26 15:25:47.801: Algorithm - updatePortfolio - haveAllDetails is False</t>
  </si>
  <si>
    <t>2015-1-26 15:25:47.802: RTWSControl - updatePortfolioEx - An Error Occured Object variable or With block variable not set</t>
  </si>
  <si>
    <t>2015-1-26 15:25:47.834: Algorithm - updatePortfolio - haveAllDetails is False</t>
  </si>
  <si>
    <t>2015-1-26 15:25:47.835: RTWSControl - updatePortfolioEx - An Error Occured Object variable or With block variable not set</t>
  </si>
  <si>
    <t>2015-1-26 15:25:47.861: Algorithm - updatePortfolio - haveAllDetails is False</t>
  </si>
  <si>
    <t>2015-1-26 15:25:47.862: RTWSControl - updatePortfolioEx - An Error Occured Object variable or With block variable not set</t>
  </si>
  <si>
    <t>2015-1-26 15:25:47.878: Algorithm - updatePortfolio - haveAllDetails is False</t>
  </si>
  <si>
    <t>2015-1-26 15:25:47.879: RTWSControl - updatePortfolioEx - An Error Occured Object variable or With block variable not set</t>
  </si>
  <si>
    <t>2015-1-26 15:25:47.906: Algorithm - updatePortfolio - haveAllDetails is False</t>
  </si>
  <si>
    <t>2015-1-26 15:25:47.907: RTWSControl - updatePortfolioEx - An Error Occured Object variable or With block variable not set</t>
  </si>
  <si>
    <t>2015-1-26 15:25:47.920: Algorithm - updatePortfolio - haveAllDetails is False</t>
  </si>
  <si>
    <t>2015-1-26 15:25:47.921: RTWSControl - updatePortfolioEx - An Error Occured Object variable or With block variable not set</t>
  </si>
  <si>
    <t>2015-1-26 15:25:47.952: RTWSControl - contractDetailsEx - got contractDetails id 0 British pound 6B5F5 C1500</t>
  </si>
  <si>
    <t>2015-1-26 15:25:47.972: RTWSControl - contractDetailsEnd - Got contract details end event</t>
  </si>
  <si>
    <t>2015-1-26 15:25:47.976: RTWSControl - contractDetailsEx - got contractDetails id 0 British pound 6B5F5 C1505</t>
  </si>
  <si>
    <t>2015-1-26 15:25:47.979: RTWSControl - contractDetailsEnd - Got contract details end event</t>
  </si>
  <si>
    <t>2015-1-26 15:25:47.983: RTWSControl - contractDetailsEx - got contractDetails id 0 British pound 6B5F5 P1495</t>
  </si>
  <si>
    <t>2015-1-26 15:25:48.18: RTWSControl - contractDetailsEnd - Got contract details end event</t>
  </si>
  <si>
    <t>2015-1-26 15:25:48.22: RTWSControl - contractDetailsEx - got contractDetails id 0 British pound 6B5F5 P1500</t>
  </si>
  <si>
    <t>2015-1-26 15:25:48.26: RTWSControl - contractDetailsEnd - Got contract details end event</t>
  </si>
  <si>
    <t>2015-1-26 15:25:48.30: RTWSControl - contractDetailsEx - got contractDetails id 0 British pound 6B5F5 P1505</t>
  </si>
  <si>
    <t>2015-1-26 15:25:48.57: RTWSControl - contractDetailsEnd - Got contract details end event</t>
  </si>
  <si>
    <t>2015-1-26 15:25:48.61: RTWSControl - contractDetailsEx - got contractDetails id 0 British pound 6B5F5 C1510</t>
  </si>
  <si>
    <t>2015-1-26 15:25:48.64: RTWSControl - contractDetailsEnd - Got contract details end event</t>
  </si>
  <si>
    <t>2015-1-26 15:25:48.130: RTWSControl - contractDetailsEx - got contractDetails id 0 British pound 6B5F5 C1515</t>
  </si>
  <si>
    <t>2015-1-26 15:25:48.134: RTWSControl - contractDetailsEnd - Got contract details end event</t>
  </si>
  <si>
    <t>2015-1-26 15:25:52.968: Algorithm - FindNextStrikes - price is 1.50605 nextStrikeUp/Down 1.51/1.505</t>
  </si>
  <si>
    <t>2015-1-26 15:25:52.968: Algorithm - getPortfolioForwardDelta - required deltas is 80 currentHedgePosition is 80</t>
  </si>
  <si>
    <t>2015-1-26 15:25:52.968: Algorithm - getHedgeShortfall - required deltas is 80 price is 1.50605 currentHedgePositionDeltas is 80</t>
  </si>
  <si>
    <t>2015-1-26 15:25:52.968: Algorithm - processTransitionPoint - nextUpper/LowerStrikes are 1.51/1.505 requiredDeltas/currentPosition/currentHedgeShortfall/direction/transitionPrice are 80/80/0/0/1.50605</t>
  </si>
  <si>
    <t>2015-1-26 15:25:52.968: TransitionLogger - processTransitionpoint - checking transition - currentHedgeShortfall is 0</t>
  </si>
  <si>
    <t>2015-1-26 15:25:52.970: Algorithm - updatePortfolio - haveAllDetails is True</t>
  </si>
  <si>
    <t>2015-1-26 15:25:52.972: InstrumentManager - haveAllDetails - An error occurred Object variable or With block variable not set</t>
  </si>
  <si>
    <t>2015-1-26 15:25:52.983: Portfolio - updateCalculateOptionGammas - an error occurred Division by zero</t>
  </si>
  <si>
    <t>2015-1-26 15:25:52.984: Portfolio - updateCalculateOptionGammas - an error occurred Division by zero</t>
  </si>
  <si>
    <t>2015-1-26 15:25:52.985: Portfolio - updateCalculateOptionGammas - an error occurred Division by zero</t>
  </si>
  <si>
    <t>2015-1-26 15:25:52.986: Portfolio - updateCalculateOptionGammas - an error occurred Division by zero</t>
  </si>
  <si>
    <t>2015-1-26 15:25:52.987: Portfolio - updateCalculateOptionGammas - an error occurred Division by zero</t>
  </si>
  <si>
    <t>2015-1-26 15:25:52.988: Portfolio - updateCalculateOptionGammas - an error occurred Division by zero</t>
  </si>
  <si>
    <t>2015-1-26 15:25:53.20: Portfolio - updateCalculateOptionGammas - an error occurred Division by zero</t>
  </si>
  <si>
    <t>2015-1-26 15:25:53.21: Portfolio - updateCalculateOptionGammas - an error occurred Division by zero</t>
  </si>
  <si>
    <t>2015-1-26 15:25:53.22: Portfolio - updateCalculateOptionGammas - an error occurred Division by zero</t>
  </si>
  <si>
    <t>2015-1-26 15:25:53.23: Portfolio - updateCalculateOptionGammas - an error occurred Division by zero</t>
  </si>
  <si>
    <t>2015-1-26 15:27:18.578: Algorithm - FindNextStrikes - price is 1.50585 nextStrikeUp/Down 1.51/1.505</t>
  </si>
  <si>
    <t>2015-1-26 15:27:18.578: Algorithm - getPortfolioForwardDelta - required deltas is 80 currentHedgePosition is 80</t>
  </si>
  <si>
    <t>2015-1-26 15:27:18.578: Algorithm - getHedgeShortfall - required deltas is 80 price is 1.50575 currentHedgePositionDeltas is 80</t>
  </si>
  <si>
    <t>2015-1-26 15:27:18.578: Algorithm - processTransitionPoint - nextUpper/LowerStrikes are 1.51/1.505 requiredDeltas/currentPosition/currentHedgeShortfall/direction/transitionPrice are 80/80/0/-1/1.50575</t>
  </si>
  <si>
    <t>2015-1-26 15:27:18.578: TransitionLogger - processTransitionpoint - checking transition - currentHedgeShortfall is 0</t>
  </si>
  <si>
    <t>2015-1-26 15:27:18.580: Algorithm - updatePortfolio - haveAllDetails is True</t>
  </si>
  <si>
    <t>2015-1-26 15:27:18.581: RTWSControl - updatePortfolioEx - An Error Occured Object variable or With block variable not set</t>
  </si>
  <si>
    <t>2015-1-26 15:27:18.613: Algorithm - FindNextStrikes - price is 1.50585 nextStrikeUp/Down 1.51/1.505</t>
  </si>
  <si>
    <t>2015-1-26 15:27:18.614: Algorithm - getPortfolioForwardDelta - required deltas is 80 currentHedgePosition is 80</t>
  </si>
  <si>
    <t>2015-1-26 15:27:18.614: Algorithm - getHedgeShortfall - required deltas is 80 price is 1.50575 currentHedgePositionDeltas is 80</t>
  </si>
  <si>
    <t>2015-1-26 15:27:18.614: Algorithm - processTransitionPoint - nextUpper/LowerStrikes are 1.51/1.505 requiredDeltas/currentPosition/currentHedgeShortfall/direction/transitionPrice are 80/80/0/-1/1.50575</t>
  </si>
  <si>
    <t>2015-1-26 15:27:18.614: TransitionLogger - processTransitionpoint - checking transition - currentHedgeShortfall is 0</t>
  </si>
  <si>
    <t>2015-1-26 15:27:18.615: Algorithm - updatePortfolio - haveAllDetails is True</t>
  </si>
  <si>
    <t>2015-1-26 15:27:18.615: RTWSControl - updatePortfolioEx - An Error Occured Object variable or With block variable not set</t>
  </si>
  <si>
    <t>2015-1-26 15:27:18.652: Algorithm - FindNextStrikes - price is 1.50585 nextStrikeUp/Down 1.51/1.505</t>
  </si>
  <si>
    <t>2015-1-26 15:27:18.653: Algorithm - getPortfolioForwardDelta - required deltas is 80 currentHedgePosition is 80</t>
  </si>
  <si>
    <t>2015-1-26 15:27:18.653: Algorithm - getHedgeShortfall - required deltas is 80 price is 1.50575 currentHedgePositionDeltas is 80</t>
  </si>
  <si>
    <t>2015-1-26 15:27:18.653: Algorithm - processTransitionPoint - nextUpper/LowerStrikes are 1.51/1.505 requiredDeltas/currentPosition/currentHedgeShortfall/direction/transitionPrice are 80/80/0/-1/1.50575</t>
  </si>
  <si>
    <t>2015-1-26 15:27:18.653: TransitionLogger - processTransitionpoint - checking transition - currentHedgeShortfall is 0</t>
  </si>
  <si>
    <t>2015-1-26 15:27:18.654: Algorithm - updatePortfolio - haveAllDetails is True</t>
  </si>
  <si>
    <t>2015-1-26 15:27:18.654: RTWSControl - updatePortfolioEx - An Error Occured Object variable or With block variable not set</t>
  </si>
  <si>
    <t>2015-1-26 15:27:18.695: Algorithm - FindNextStrikes - price is 1.50585 nextStrikeUp/Down 1.51/1.505</t>
  </si>
  <si>
    <t>2015-1-26 15:27:18.695: Algorithm - getPortfolioForwardDelta - required deltas is 80 currentHedgePosition is 80</t>
  </si>
  <si>
    <t>2015-1-26 15:27:18.696: Algorithm - getHedgeShortfall - required deltas is 80 price is 1.50575 currentHedgePositionDeltas is 80</t>
  </si>
  <si>
    <t>2015-1-26 15:27:18.696: Algorithm - processTransitionPoint - nextUpper/LowerStrikes are 1.51/1.505 requiredDeltas/currentPosition/currentHedgeShortfall/direction/transitionPrice are 80/80/0/-1/1.50575</t>
  </si>
  <si>
    <t>2015-1-26 15:27:18.696: TransitionLogger - processTransitionpoint - checking transition - currentHedgeShortfall is 0</t>
  </si>
  <si>
    <t>2015-1-26 15:27:18.696: Algorithm - updatePortfolio - haveAllDetails is True</t>
  </si>
  <si>
    <t>2015-1-26 15:27:18.697: RTWSControl - updatePortfolioEx - An Error Occured Object variable or With block variable not set</t>
  </si>
  <si>
    <t>2015-1-26 15:27:18.715: Algorithm - FindNextStrikes - price is 1.50585 nextStrikeUp/Down 1.51/1.505</t>
  </si>
  <si>
    <t>2015-1-26 15:27:18.715: Algorithm - getPortfolioForwardDelta - required deltas is 80 currentHedgePosition is 80</t>
  </si>
  <si>
    <t>2015-1-26 15:27:18.716: Algorithm - getHedgeShortfall - required deltas is 80 price is 1.50575 currentHedgePositionDeltas is 80</t>
  </si>
  <si>
    <t>2015-1-26 15:27:18.716: Algorithm - processTransitionPoint - nextUpper/LowerStrikes are 1.51/1.505 requiredDeltas/currentPosition/currentHedgeShortfall/direction/transitionPrice are 80/80/0/-1/1.50575</t>
  </si>
  <si>
    <t>2015-1-26 15:27:18.716: TransitionLogger - processTransitionpoint - checking transition - currentHedgeShortfall is 0</t>
  </si>
  <si>
    <t>2015-1-26 15:27:18.716: Algorithm - updatePortfolio - haveAllDetails is True</t>
  </si>
  <si>
    <t>2015-1-26 15:27:18.717: RTWSControl - updatePortfolioEx - An Error Occured Object variable or With block variable not set</t>
  </si>
  <si>
    <t>2015-1-26 15:27:18.752: Algorithm - FindNextStrikes - price is 1.50585 nextStrikeUp/Down 1.51/1.505</t>
  </si>
  <si>
    <t>2015-1-26 15:27:18.752: Algorithm - getPortfolioForwardDelta - required deltas is 80 currentHedgePosition is 80</t>
  </si>
  <si>
    <t>2015-1-26 15:27:18.752: Algorithm - getHedgeShortfall - required deltas is 80 price is 1.50575 currentHedgePositionDeltas is 80</t>
  </si>
  <si>
    <t>2015-1-26 15:27:18.752: Algorithm - processTransitionPoint - nextUpper/LowerStrikes are 1.51/1.505 requiredDeltas/currentPosition/currentHedgeShortfall/direction/transitionPrice are 80/80/0/-1/1.50575</t>
  </si>
  <si>
    <t>2015-1-26 15:27:18.752: TransitionLogger - processTransitionpoint - checking transition - currentHedgeShortfall is 0</t>
  </si>
  <si>
    <t>2015-1-26 15:27:18.753: Algorithm - updatePortfolio - haveAllDetails is True</t>
  </si>
  <si>
    <t>2015-1-26 15:27:18.754: RTWSControl - updatePortfolioEx - An Error Occured Object variable or With block variable not set</t>
  </si>
  <si>
    <t>2015-1-26 15:27:18.779: Algorithm - FindNextStrikes - price is 1.50585 nextStrikeUp/Down 1.51/1.505</t>
  </si>
  <si>
    <t>2015-1-26 15:27:18.779: Algorithm - getPortfolioForwardDelta - required deltas is 80 currentHedgePosition is 80</t>
  </si>
  <si>
    <t>2015-1-26 15:27:18.779: Algorithm - getHedgeShortfall - required deltas is 80 price is 1.50575 currentHedgePositionDeltas is 80</t>
  </si>
  <si>
    <t>2015-1-26 15:27:18.779: Algorithm - processTransitionPoint - nextUpper/LowerStrikes are 1.51/1.505 requiredDeltas/currentPosition/currentHedgeShortfall/direction/transitionPrice are 80/80/0/-1/1.50575</t>
  </si>
  <si>
    <t>2015-1-26 15:27:18.779: TransitionLogger - processTransitionpoint - checking transition - currentHedgeShortfall is 0</t>
  </si>
  <si>
    <t>2015-1-26 15:27:18.780: Algorithm - updatePortfolio - haveAllDetails is True</t>
  </si>
  <si>
    <t>2015-1-26 15:27:18.781: RTWSControl - updatePortfolioEx - An Error Occured Object variable or With block variable not set</t>
  </si>
  <si>
    <t>2015-1-26 15:27:18.799: Algorithm - FindNextStrikes - price is 1.50585 nextStrikeUp/Down 1.51/1.505</t>
  </si>
  <si>
    <t>2015-1-26 15:27:18.799: Algorithm - getPortfolioForwardDelta - required deltas is 80 currentHedgePosition is 80</t>
  </si>
  <si>
    <t>2015-1-26 15:27:18.799: Algorithm - getHedgeShortfall - required deltas is 80 price is 1.50575 currentHedgePositionDeltas is 80</t>
  </si>
  <si>
    <t>2015-1-26 15:27:18.799: Algorithm - processTransitionPoint - nextUpper/LowerStrikes are 1.51/1.505 requiredDeltas/currentPosition/currentHedgeShortfall/direction/transitionPrice are 80/80/0/-1/1.50575</t>
  </si>
  <si>
    <t>2015-1-26 15:27:18.799: TransitionLogger - processTransitionpoint - checking transition - currentHedgeShortfall is 0</t>
  </si>
  <si>
    <t>2015-1-26 15:27:18.800: Algorithm - updatePortfolio - haveAllDetails is True</t>
  </si>
  <si>
    <t>2015-1-26 15:27:18.800: RTWSControl - updatePortfolioEx - An Error Occured Object variable or With block variable not set</t>
  </si>
  <si>
    <t>2015-1-26 15:27:18.832: Algorithm - FindNextStrikes - price is 1.50585 nextStrikeUp/Down 1.51/1.505</t>
  </si>
  <si>
    <t>2015-1-26 15:27:18.833: Algorithm - getPortfolioForwardDelta - required deltas is 80 currentHedgePosition is 80</t>
  </si>
  <si>
    <t>2015-1-26 15:27:18.833: Algorithm - getHedgeShortfall - required deltas is 80 price is 1.50575 currentHedgePositionDeltas is 80</t>
  </si>
  <si>
    <t>2015-1-26 15:27:18.833: Algorithm - processTransitionPoint - nextUpper/LowerStrikes are 1.51/1.505 requiredDeltas/currentPosition/currentHedgeShortfall/direction/transitionPrice are 80/80/0/-1/1.50575</t>
  </si>
  <si>
    <t>2015-1-26 15:27:18.833: TransitionLogger - processTransitionpoint - checking transition - currentHedgeShortfall is 0</t>
  </si>
  <si>
    <t>2015-1-26 15:27:18.833: Algorithm - updatePortfolio - haveAllDetails is True</t>
  </si>
  <si>
    <t>2015-1-26 15:27:18.834: RTWSControl - updatePortfolioEx - An Error Occured Object variable or With block variable not set</t>
  </si>
  <si>
    <t>2015-1-26 15:28:27.148: OrderManager - PlaceOrder - id 1024 workingQty 76</t>
  </si>
  <si>
    <t>2015-1-26 15:28:27.149: OrderManagerView - UpdateMainSheetOpenOrder - entering UpdateMainSheetOpenOrder order.status is In-Flight</t>
  </si>
  <si>
    <t>2015-1-26 15:28:27.161: OrderManager - sendOrder - exiting place order id 1024 BUY 76 1.5342  - workingQty 76 currentPosition is 80 workingOrderCount is -1</t>
  </si>
  <si>
    <t>2015-1-26 15:28:27.162: OrderManager - createOrder - exiting without creating order - did not have validID</t>
  </si>
  <si>
    <t>2015-1-26 15:28:27.528: OrderManager - createOrder - exiting without creating order - did not have validID</t>
  </si>
  <si>
    <t>2015-1-26 15:28:27.826: RTWSControl - nextValidId - entering nextValidId id is 1025</t>
  </si>
  <si>
    <t>2015-1-26 15:28:27.836: OrderManager - PlaceOrder - id 1025 workingQty 0</t>
  </si>
  <si>
    <t>2015-1-26 15:28:27.838: OrderManagerView - UpdateMainSheetOpenOrder - entering UpdateMainSheetOpenOrder order.status is In-Flight</t>
  </si>
  <si>
    <t>2015-1-26 15:28:27.841: OrderManager - sendOrder - exiting place order id 1025 SELL 76 1.5032  - workingQty 0 currentPosition is 80 workingOrderCount is 0</t>
  </si>
  <si>
    <t>2015-1-26 15:28:27.994: openOrderEx - I am here</t>
  </si>
  <si>
    <t>2015-1-26 15:28:28.1: RTWSControl - orderStatus -  entering orderStatus id is 1024 status is PreSubmitted</t>
  </si>
  <si>
    <t>2015-1-26 15:28:28.3: OrderManager - UpdateOrderStatus - id 1024 Setting status to PreSubmitted workingOrderCount is now 0 workingQty 0</t>
  </si>
  <si>
    <t>2015-1-26 15:28:28.5: OrderManagerView - UpdateMainSheetOpenOrder - entering UpdateMainSheetOpenOrder order.status is PreSubmitted</t>
  </si>
  <si>
    <t>2015-1-26 15:28:28.9: RTWSControl - OrderStatus - Got OrderStatus Message id:1024 status: PreSubmitted filled: 0</t>
  </si>
  <si>
    <t>2015-1-26 15:28:28.10: RTWSControl - OrderStatus - exiting orderStatus</t>
  </si>
  <si>
    <t>2015-1-26 15:28:28.115: RTWSControl - nextValidId - entering nextValidId id is 1026</t>
  </si>
  <si>
    <t>2015-1-26 15:28:28.126: openOrderEx - I am here</t>
  </si>
  <si>
    <t>2015-1-26 15:28:28.143: RTWSControl - orderStatus -  entering orderStatus id is 1025 status is PreSubmitted</t>
  </si>
  <si>
    <t>2015-1-26 15:28:28.145: OrderManager - UpdateOrderStatus - id 1025 Setting status to PreSubmitted workingOrderCount is now 0 workingQty 0</t>
  </si>
  <si>
    <t>2015-1-26 15:28:28.147: OrderManagerView - UpdateMainSheetOpenOrder - entering UpdateMainSheetOpenOrder order.status is PreSubmitted</t>
  </si>
  <si>
    <t>2015-1-26 15:28:28.150: RTWSControl - OrderStatus - Got OrderStatus Message id:1025 status: PreSubmitted filled: 0</t>
  </si>
  <si>
    <t>2015-1-26 15:28:28.152: RTWSControl - OrderStatus - exiting orderStatus</t>
  </si>
  <si>
    <t>2015-1-26 15:28:47.980: OrderManager - cancelOrder - cancelling order id 1024</t>
  </si>
  <si>
    <t>2015-1-26 15:28:47.981: OrderManager - PlaceOrder - id 1026 workingQty 76</t>
  </si>
  <si>
    <t>2015-1-26 15:28:47.982: OrderManagerView - UpdateMainSheetOpenOrder - entering UpdateMainSheetOpenOrder order.status is In-Flight</t>
  </si>
  <si>
    <t>2015-1-26 15:28:47.985: OrderManager - sendOrder - exiting place order id 1026 BUY 76 1.5336  - workingQty 76 currentPosition is 80 workingOrderCount is 1</t>
  </si>
  <si>
    <t>2015-1-26 15:28:48.908: RTWSControl - nextValidId - entering nextValidId id is 1027</t>
  </si>
  <si>
    <t>2015-1-26 15:28:48.915: RTWSControl - orderStatus -  entering orderStatus id is 1024 status is Cancelled</t>
  </si>
  <si>
    <t>2015-1-26 15:28:48.918: OrderManager - UpdateOrderStatus - id 1024 Setting status to Cancelled workingOrderCount is now 1 workingQty 76</t>
  </si>
  <si>
    <t>2015-1-26 15:28:48.920: OrderManagerView - UpdateMainSheetOpenOrder - entering UpdateMainSheetOpenOrder order.status is Cancelled</t>
  </si>
  <si>
    <t>2015-1-26 15:28:48.924: RTWSControl - OrderStatus - Got OrderStatus Message id:1024 status: Cancelled filled: 0</t>
  </si>
  <si>
    <t>2015-1-26 15:28:48.925: RTWSControl - OrderStatus - exiting orderStatus</t>
  </si>
  <si>
    <t>2015-1-26 15:28:48.937: RTWSControl - errMsg - got error message 202:Order Canceled - reason:with id 1024</t>
  </si>
  <si>
    <t>2015-1-26 15:28:48.939: OrderManager - canceledOrder - cleaning up after canceled order 1024BEWARE UNACCOUNTED FOR EXECUTIONS!!!</t>
  </si>
  <si>
    <t>2015-1-26 15:28:48.941: OrderManager - terminateOrder - cleaning up after Canceled 1024  order was supposed to BUY 76 1.5342 STP LMT workingQty/OrderCount now 0/0</t>
  </si>
  <si>
    <t>2015-1-26 15:28:48.942: OrderManagerView - UpdateMainSheetOpenOrder - entering UpdateMainSheetOpenOrder order.status is Canceled</t>
  </si>
  <si>
    <t>2015-1-26 15:28:49.128: openOrderEx - I am here</t>
  </si>
  <si>
    <t>2015-1-26 15:28:49.150: RTWSControl - orderStatus -  entering orderStatus id is 1026 status is PreSubmitted</t>
  </si>
  <si>
    <t>2015-1-26 15:28:49.152: OrderManager - UpdateOrderStatus - id 1026 Setting status to PreSubmitted workingOrderCount is now 0 workingQty 0</t>
  </si>
  <si>
    <t>2015-1-26 15:28:49.154: OrderManagerView - UpdateMainSheetOpenOrder - entering UpdateMainSheetOpenOrder order.status is PreSubmitted</t>
  </si>
  <si>
    <t>2015-1-26 15:28:49.157: RTWSControl - OrderStatus - Got OrderStatus Message id:1026 status: PreSubmitted filled: 0</t>
  </si>
  <si>
    <t>2015-1-26 15:28:49.159: RTWSControl - OrderStatus - exiting orderStatus</t>
  </si>
  <si>
    <t>2015-1-26 15:28:51.648: OrderManager - cancelOrder - cancelling order id 1026</t>
  </si>
  <si>
    <t>2015-1-26 15:28:51.649: OrderManager - PlaceOrder - id 1027 workingQty 77</t>
  </si>
  <si>
    <t>2015-1-26 15:28:51.650: OrderManagerView - UpdateMainSheetOpenOrder - entering UpdateMainSheetOpenOrder order.status is In-Flight</t>
  </si>
  <si>
    <t>2015-1-26 15:28:51.653: OrderManager - sendOrder - exiting place order id 1027 BUY 77 1.5343  - workingQty 77 currentPosition is 80 workingOrderCount is 1</t>
  </si>
  <si>
    <t>2015-1-26 15:28:52.312: RTWSControl - nextValidId - entering nextValidId id is 1028</t>
  </si>
  <si>
    <t>2015-1-26 15:28:52.318: RTWSControl - orderStatus -  entering orderStatus id is 1026 status is Cancelled</t>
  </si>
  <si>
    <t>2015-1-26 15:28:52.320: OrderManager - UpdateOrderStatus - id 1026 Setting status to Cancelled workingOrderCount is now 1 workingQty 77</t>
  </si>
  <si>
    <t>2015-1-26 15:28:52.322: OrderManagerView - UpdateMainSheetOpenOrder - entering UpdateMainSheetOpenOrder order.status is Cancelled</t>
  </si>
  <si>
    <t>2015-1-26 15:28:52.326: RTWSControl - OrderStatus - Got OrderStatus Message id:1026 status: Cancelled filled: 0</t>
  </si>
  <si>
    <t>2015-1-26 15:28:52.327: RTWSControl - OrderStatus - exiting orderStatus</t>
  </si>
  <si>
    <t>2015-1-26 15:28:52.335: RTWSControl - errMsg - got error message 202:Order Canceled - reason:with id 1026</t>
  </si>
  <si>
    <t>2015-1-26 15:28:52.338: OrderManager - canceledOrder - cleaning up after canceled order 1026BEWARE UNACCOUNTED FOR EXECUTIONS!!!</t>
  </si>
  <si>
    <t>2015-1-26 15:28:52.340: OrderManager - terminateOrder - cleaning up after Canceled 1026  order was supposed to BUY 76 1.5336 STP LMT workingQty/OrderCount now 1/0</t>
  </si>
  <si>
    <t>2015-1-26 15:28:52.341: OrderManagerView - UpdateMainSheetOpenOrder - entering UpdateMainSheetOpenOrder order.status is Canceled</t>
  </si>
  <si>
    <t>2015-1-26 15:28:52.360: openOrderEx - I am here</t>
  </si>
  <si>
    <t>2015-1-26 15:28:52.364: RTWSControl - orderStatus -  entering orderStatus id is 1027 status is PreSubmitted</t>
  </si>
  <si>
    <t>2015-1-26 15:28:52.366: OrderManager - UpdateOrderStatus - id 1027 Setting status to PreSubmitted workingOrderCount is now 0 workingQty 1</t>
  </si>
  <si>
    <t>2015-1-26 15:28:52.368: OrderManagerView - UpdateMainSheetOpenOrder - entering UpdateMainSheetOpenOrder order.status is PreSubmitted</t>
  </si>
  <si>
    <t>2015-1-26 15:28:52.372: RTWSControl - OrderStatus - Got OrderStatus Message id:1027 status: PreSubmitted filled: 0</t>
  </si>
  <si>
    <t>2015-1-26 15:28:52.373: RTWSControl - OrderStatus - exiting orderStatus</t>
  </si>
  <si>
    <t>2015-1-26 15:28:58.68: OrderManagerView - CleanOpenOrderView - an error occurred Object doesn't support this property or method</t>
  </si>
  <si>
    <t>2015-1-26 15:28:58.83: OrderManagerView - CleanOpenOrderView - an error occurred Object doesn't support this property or method</t>
  </si>
  <si>
    <t>2015-1-26 15:28:58.94: OrderManagerView - CleanOpenOrderView - an error occurred Object doesn't support this property or method</t>
  </si>
  <si>
    <t>2015-1-26 15:28:58.99: OrderManagerView - UpdateMainSheetOpenOrder - entering UpdateMainSheetOpenOrder order.status is PreSubmitted</t>
  </si>
  <si>
    <t>2015-1-26 15:28:58.103: OrderManagerView - CleanOpenOrderView - an error occurred Object doesn't support this property or method</t>
  </si>
  <si>
    <t>2015-1-26 15:28:58.107: OrderManagerView - UpdateMainSheetOpenOrder - entering UpdateMainSheetOpenOrder order.status is PreSubmitted</t>
  </si>
  <si>
    <t>2015-1-26 15:29:2.128: OrderManagerView - UpdateMainSheetOpenOrder - entering UpdateMainSheetOpenOrder order.status is PreSubmitted</t>
  </si>
  <si>
    <t>2015-1-26 15:29:2.137: OrderManagerView - UpdateMainSheetOpenOrder - entering UpdateMainSheetOpenOrder order.status is PreSubmitted</t>
  </si>
  <si>
    <t>2015-1-26 15:29:17.901: OrderManager - cancelOrder - cancelling order id 1025</t>
  </si>
  <si>
    <t>2015-1-26 15:29:17.903: OrderManager - PlaceOrder - id 1028 workingQty -77</t>
  </si>
  <si>
    <t>2015-1-26 15:29:17.904: OrderManagerView - UpdateMainSheetOpenOrder - entering UpdateMainSheetOpenOrder order.status is In-Flight</t>
  </si>
  <si>
    <t>2015-1-26 15:29:17.908: OrderManager - sendOrder - exiting place order id 1028 SELL 78 1.5028  - workingQty -77 currentPosition is 80 workingOrderCount is 1</t>
  </si>
  <si>
    <t>2015-1-26 15:29:18.66: RTWSControl - nextValidId - entering nextValidId id is 1029</t>
  </si>
  <si>
    <t>2015-1-26 15:29:18.162: RTWSControl - orderStatus -  entering orderStatus id is 1025 status is Cancelled</t>
  </si>
  <si>
    <t>2015-1-26 15:29:18.173: OrderManager - UpdateOrderStatus - id 1025 Setting status to Cancelled workingOrderCount is now 1 workingQty -77</t>
  </si>
  <si>
    <t>2015-1-26 15:29:18.181: OrderManagerView - UpdateMainSheetOpenOrder - entering UpdateMainSheetOpenOrder order.status is Cancelled</t>
  </si>
  <si>
    <t>2015-1-26 15:29:18.195: RTWSControl - OrderStatus - Got OrderStatus Message id:1025 status: Cancelled filled: 0</t>
  </si>
  <si>
    <t>2015-1-26 15:29:18.200: RTWSControl - OrderStatus - exiting orderStatus</t>
  </si>
  <si>
    <t>2015-1-26 15:29:18.211: RTWSControl - errMsg - got error message 202:Order Canceled - reason:with id 1025</t>
  </si>
  <si>
    <t>2015-1-26 15:29:18.215: OrderManager - canceledOrder - cleaning up after canceled order 1025BEWARE UNACCOUNTED FOR EXECUTIONS!!!</t>
  </si>
  <si>
    <t>2015-1-26 15:29:18.217: OrderManager - terminateOrder - cleaning up after Canceled 1025  order was supposed to SELL 76 1.5032 STP LMT workingQty/OrderCount now -153/0</t>
  </si>
  <si>
    <t>2015-1-26 15:29:18.220: OrderManagerView - UpdateMainSheetOpenOrder - entering UpdateMainSheetOpenOrder order.status is Canceled</t>
  </si>
  <si>
    <t>2015-1-26 15:29:18.374: openOrderEx - I am here</t>
  </si>
  <si>
    <t>2015-1-26 15:29:18.395: RTWSControl - orderStatus -  entering orderStatus id is 1028 status is PreSubmitted</t>
  </si>
  <si>
    <t>2015-1-26 15:29:18.398: OrderManager - UpdateOrderStatus - id 1028 Setting status to PreSubmitted workingOrderCount is now 0 workingQty -153</t>
  </si>
  <si>
    <t>2015-1-26 15:29:18.399: OrderManagerView - UpdateMainSheetOpenOrder - entering UpdateMainSheetOpenOrder order.status is PreSubmitted</t>
  </si>
  <si>
    <t>2015-1-26 15:29:18.402: RTWSControl - OrderStatus - Got OrderStatus Message id:1028 status: PreSubmitted filled: 0</t>
  </si>
  <si>
    <t>2015-1-26 15:29:18.404: RTWSControl - OrderStatus - exiting orderStatus</t>
  </si>
  <si>
    <t>2015-1-26 15:29:28.30: OrderManagerView - UpdateMainSheetOpenOrder - entering UpdateMainSheetOpenOrder order.status is PreSubmitted</t>
  </si>
  <si>
    <t>2015-1-26 15:29:28.44: OrderManagerView - CleanOpenOrderView - an error occurred Object doesn't support this property or method</t>
  </si>
  <si>
    <t>2015-1-26 15:29:28.55: OrderManagerView - UpdateMainSheetOpenOrder - entering UpdateMainSheetOpenOrder order.status is PreSubmitted</t>
  </si>
  <si>
    <t>2015-1-26 15:30:1.606: OrderManager - cancelOrder - cancelling order id 1027</t>
  </si>
  <si>
    <t>2015-1-26 15:30:1.608: OrderManager - PlaceOrder - id 1029 workingQty -80</t>
  </si>
  <si>
    <t>2015-1-26 15:30:1.609: OrderManagerView - UpdateMainSheetOpenOrder - entering UpdateMainSheetOpenOrder order.status is In-Flight</t>
  </si>
  <si>
    <t>2015-1-26 15:30:1.616: OrderManager - sendOrder - exiting place order id 1029 BUY 73 1.5337  - workingQty -80 currentPosition is 80 workingOrderCount is 1</t>
  </si>
  <si>
    <t>2015-1-26 15:30:1.620: OrderManager - cancelOrder - cancelling order id 1028</t>
  </si>
  <si>
    <t>2015-1-26 15:30:1.622: OrderManager - createOrder - exiting without creating order - did not have validID</t>
  </si>
  <si>
    <t>2015-1-26 15:30:1.864: RTWSControl - nextValidId - entering nextValidId id is 1030</t>
  </si>
  <si>
    <t>2015-1-26 15:30:1.932: RTWSControl - orderStatus -  entering orderStatus id is 1027 status is Cancelled</t>
  </si>
  <si>
    <t>2015-1-26 15:30:1.933: OrderManager - UpdateOrderStatus - id 1027 Setting status to Cancelled workingOrderCount is now 1 workingQty -80</t>
  </si>
  <si>
    <t>2015-1-26 15:30:1.934: OrderManagerView - UpdateMainSheetOpenOrder - entering UpdateMainSheetOpenOrder order.status is Cancelled</t>
  </si>
  <si>
    <t>2015-1-26 15:30:1.940: RTWSControl - OrderStatus - Got OrderStatus Message id:1027 status: Cancelled filled: 0</t>
  </si>
  <si>
    <t>2015-1-26 15:30:1.942: RTWSControl - OrderStatus - exiting orderStatus</t>
  </si>
  <si>
    <t>2015-1-26 15:30:1.969: RTWSControl - errMsg - got error message 202:Order Canceled - reason:with id 1027</t>
  </si>
  <si>
    <t>2015-1-26 15:30:1.971: OrderManager - canceledOrder - cleaning up after canceled order 1027BEWARE UNACCOUNTED FOR EXECUTIONS!!!</t>
  </si>
  <si>
    <t>2015-1-26 15:30:1.972: OrderManager - terminateOrder - cleaning up after Canceled 1027  order was supposed to BUY 77 1.5343 STP LMT workingQty/OrderCount now -157/0</t>
  </si>
  <si>
    <t>2015-1-26 15:30:1.974: OrderManagerView - UpdateMainSheetOpenOrder - entering UpdateMainSheetOpenOrder order.status is Canceled</t>
  </si>
  <si>
    <t>2015-1-26 15:30:2.189: RTWSControl - orderStatus -  entering orderStatus id is 1028 status is Cancelled</t>
  </si>
  <si>
    <t>2015-1-26 15:30:2.190: OrderManager - UpdateOrderStatus - id 1028 Setting status to Cancelled workingOrderCount is now 0 workingQty -157</t>
  </si>
  <si>
    <t>2015-1-26 15:30:2.191: OrderManagerView - UpdateMainSheetOpenOrder - entering UpdateMainSheetOpenOrder order.status is Cancelled</t>
  </si>
  <si>
    <t>2015-1-26 15:30:2.194: RTWSControl - OrderStatus - Got OrderStatus Message id:1028 status: Cancelled filled: 0</t>
  </si>
  <si>
    <t>2015-1-26 15:30:2.195: RTWSControl - OrderStatus - exiting orderStatus</t>
  </si>
  <si>
    <t>2015-1-26 15:30:2.228: RTWSControl - errMsg - got error message 202:Order Canceled - reason:with id 1028</t>
  </si>
  <si>
    <t>2015-1-26 15:30:2.229: OrderManager - canceledOrder - cleaning up after canceled order 1028BEWARE UNACCOUNTED FOR EXECUTIONS!!!</t>
  </si>
  <si>
    <t>2015-1-26 15:30:2.230: OrderManager - terminateOrder - cleaning up after Canceled 1028  order was supposed to SELL 78 1.5028 STP LMT workingQty/OrderCount now -235/-1</t>
  </si>
  <si>
    <t>2015-1-26 15:30:2.232: OrderManagerView - UpdateMainSheetOpenOrder - entering UpdateMainSheetOpenOrder order.status is Canceled</t>
  </si>
  <si>
    <t>2015-1-26 15:30:2.243: openOrderEx - I am here</t>
  </si>
  <si>
    <t>2015-1-26 15:30:2.267: RTWSControl - orderStatus -  entering orderStatus id is 1029 status is PreSubmitted</t>
  </si>
  <si>
    <t>2015-1-26 15:30:2.268: OrderManager - UpdateOrderStatus - id 1029 Setting status to PreSubmitted workingOrderCount is now -1 workingQty -235</t>
  </si>
  <si>
    <t>2015-1-26 15:30:2.270: OrderManagerView - UpdateMainSheetOpenOrder - entering UpdateMainSheetOpenOrder order.status is PreSubmitted</t>
  </si>
  <si>
    <t>2015-1-26 15:30:2.272: RTWSControl - OrderStatus - Got OrderStatus Message id:1029 status: PreSubmitted filled: 0</t>
  </si>
  <si>
    <t>2015-1-26 15:30:2.273: RTWSControl - OrderStatus - exiting orderStatus</t>
  </si>
  <si>
    <t>2015-1-26 15:30:5.242: OrderManager - cancelOrder - cancelling order id 1029</t>
  </si>
  <si>
    <t>2015-1-26 15:30:5.242: OrderManager - PlaceOrder - id 1030 workingQty -162</t>
  </si>
  <si>
    <t>2015-1-26 15:30:5.243: OrderManagerView - UpdateMainSheetOpenOrder - entering UpdateMainSheetOpenOrder order.status is In-Flight</t>
  </si>
  <si>
    <t>2015-1-26 15:30:5.246: OrderManager - sendOrder - exiting place order id 1030 BUY 73 1.533  - workingQty -162 currentPosition is 80 workingOrderCount is 0</t>
  </si>
  <si>
    <t>2015-1-26 15:30:5.247: OrderManager - createOrder - exiting without creating order - did not have validID</t>
  </si>
  <si>
    <t>2015-1-26 15:30:5.283: OrderManager - createOrder - exiting without creating order - did not have validID</t>
  </si>
  <si>
    <t>2015-1-26 15:30:5.621: RTWSControl - nextValidId - entering nextValidId id is 1031</t>
  </si>
  <si>
    <t>2015-1-26 15:30:5.647: RTWSControl - orderStatus -  entering orderStatus id is 1029 status is Cancelled</t>
  </si>
  <si>
    <t>2015-1-26 15:30:5.648: OrderManager - UpdateOrderStatus - id 1029 Setting status to Cancelled workingOrderCount is now 0 workingQty -162</t>
  </si>
  <si>
    <t>2015-1-26 15:30:5.649: OrderManagerView - UpdateMainSheetOpenOrder - entering UpdateMainSheetOpenOrder order.status is Cancelled</t>
  </si>
  <si>
    <t>2015-1-26 15:30:5.652: RTWSControl - OrderStatus - Got OrderStatus Message id:1029 status: Cancelled filled: 0</t>
  </si>
  <si>
    <t>2015-1-26 15:30:5.653: RTWSControl - OrderStatus - exiting orderStatus</t>
  </si>
  <si>
    <t>2015-1-26 15:30:5.661: RTWSControl - errMsg - got error message 202:Order Canceled - reason:with id 1029</t>
  </si>
  <si>
    <t>2015-1-26 15:30:5.662: OrderManager - canceledOrder - cleaning up after canceled order 1029BEWARE UNACCOUNTED FOR EXECUTIONS!!!</t>
  </si>
  <si>
    <t>2015-1-26 15:30:5.663: OrderManager - terminateOrder - cleaning up after Canceled 1029  order was supposed to BUY 73 1.5337 STP LMT workingQty/OrderCount now -235/-1</t>
  </si>
  <si>
    <t>2015-1-26 15:30:5.664: OrderManagerView - UpdateMainSheetOpenOrder - entering UpdateMainSheetOpenOrder order.status is Canceled</t>
  </si>
  <si>
    <t>2015-1-26 15:30:5.702: openOrderEx - I am here</t>
  </si>
  <si>
    <t>2015-1-26 15:30:5.707: RTWSControl - orderStatus -  entering orderStatus id is 1030 status is PreSubmitted</t>
  </si>
  <si>
    <t>2015-1-26 15:30:5.708: OrderManager - UpdateOrderStatus - id 1030 Setting status to PreSubmitted workingOrderCount is now -1 workingQty -235</t>
  </si>
  <si>
    <t>2015-1-26 15:30:5.709: OrderManagerView - UpdateMainSheetOpenOrder - entering UpdateMainSheetOpenOrder order.status is PreSubmitted</t>
  </si>
  <si>
    <t>2015-1-26 15:30:5.713: RTWSControl - OrderStatus - Got OrderStatus Message id:1030 status: PreSubmitted filled: 0</t>
  </si>
  <si>
    <t>2015-1-26 15:30:5.714: RTWSControl - OrderStatus - exiting orderStatus</t>
  </si>
  <si>
    <t>2015-1-26 15:30:7.653: OrderManager - PlaceOrder - id 1031 workingQty -308</t>
  </si>
  <si>
    <t>2015-1-26 15:30:7.653: OrderManagerView - UpdateMainSheetOpenOrder - entering UpdateMainSheetOpenOrder order.status is In-Flight</t>
  </si>
  <si>
    <t>2015-1-26 15:30:7.656: OrderManager - sendOrder - exiting place order id 1031 SELL 73 1.5037  - workingQty -308 currentPosition is 80 workingOrderCount is 0</t>
  </si>
  <si>
    <t>2015-1-26 15:30:7.745: RTWSControl - nextValidId - entering nextValidId id is 1032</t>
  </si>
  <si>
    <t>2015-1-26 15:30:7.977: openOrderEx - I am here</t>
  </si>
  <si>
    <t>2015-1-26 15:30:7.997: RTWSControl - orderStatus -  entering orderStatus id is 1031 status is PreSubmitted</t>
  </si>
  <si>
    <t>2015-1-26 15:30:7.999: OrderManager - UpdateOrderStatus - id 1031 Setting status to PreSubmitted workingOrderCount is now 0 workingQty -308</t>
  </si>
  <si>
    <t>2015-1-26 15:30:8.0: OrderManagerView - UpdateMainSheetOpenOrder - entering UpdateMainSheetOpenOrder order.status is PreSubmitted</t>
  </si>
  <si>
    <t>2015-1-26 15:30:8.4: RTWSControl - OrderStatus - Got OrderStatus Message id:1031 status: PreSubmitted filled: 0</t>
  </si>
  <si>
    <t>2015-1-26 15:30:8.6: RTWSControl - OrderStatus - exiting orderStatus</t>
  </si>
  <si>
    <t>2015-1-26 15:30:8.964: OrderManager - cancelOrder - cancelling order id 1030</t>
  </si>
  <si>
    <t>2015-1-26 15:30:8.968: OrderManager - PlaceOrder - id 1032 workingQty -235</t>
  </si>
  <si>
    <t>2015-1-26 15:30:8.971: OrderManagerView - UpdateMainSheetOpenOrder - entering UpdateMainSheetOpenOrder order.status is In-Flight</t>
  </si>
  <si>
    <t>2015-1-26 15:30:8.975: OrderManagerView - incrementNextOORow - there are no available OpenOrderView Rows!!!!!!</t>
  </si>
  <si>
    <t>2015-1-26 15:30:8.985: OrderManager - sendOrder - exiting place order id 1032 BUY 73 1.5337  - workingQty -235 currentPosition is 80 workingOrderCount is 1</t>
  </si>
  <si>
    <t>2015-1-26 15:30:9.68: RTWSControl - nextValidId - entering nextValidId id is 1033</t>
  </si>
  <si>
    <t>2015-1-26 15:30:9.277: RTWSControl - orderStatus -  entering orderStatus id is 1030 status is Cancelled</t>
  </si>
  <si>
    <t>2015-1-26 15:30:9.282: OrderManager - UpdateOrderStatus - id 1030 Setting status to Cancelled workingOrderCount is now 1 workingQty -235</t>
  </si>
  <si>
    <t>2015-1-26 15:30:9.285: OrderManagerView - UpdateMainSheetOpenOrder - entering UpdateMainSheetOpenOrder order.status is Cancelled</t>
  </si>
  <si>
    <t>2015-1-26 15:30:9.296: RTWSControl - OrderStatus - Got OrderStatus Message id:1030 status: Cancelled filled: 0</t>
  </si>
  <si>
    <t>2015-1-26 15:30:9.299: RTWSControl - OrderStatus - exiting orderStatus</t>
  </si>
  <si>
    <t>2015-1-26 15:30:9.321: RTWSControl - errMsg - got error message 202:Order Canceled - reason:with id 1030</t>
  </si>
  <si>
    <t>2015-1-26 15:30:9.322: OrderManager - canceledOrder - cleaning up after canceled order 1030BEWARE UNACCOUNTED FOR EXECUTIONS!!!</t>
  </si>
  <si>
    <t>2015-1-26 15:30:9.324: OrderManager - terminateOrder - cleaning up after Canceled 1030  order was supposed to BUY 73 1.533 STP LMT workingQty/OrderCount now -308/0</t>
  </si>
  <si>
    <t>2015-1-26 15:30:9.325: OrderManagerView - UpdateMainSheetOpenOrder - entering UpdateMainSheetOpenOrder order.status is Canceled</t>
  </si>
  <si>
    <t>2015-1-26 15:30:9.415: openOrderEx - I am here</t>
  </si>
  <si>
    <t>2015-1-26 15:30:9.439: RTWSControl - orderStatus -  entering orderStatus id is 1032 status is PreSubmitted</t>
  </si>
  <si>
    <t>2015-1-26 15:30:9.441: OrderManager - UpdateOrderStatus - id 1032 Setting status to PreSubmitted workingOrderCount is now 0 workingQty -308</t>
  </si>
  <si>
    <t>2015-1-26 15:30:9.442: OrderManagerView - UpdateMainSheetOpenOrder - entering UpdateMainSheetOpenOrder order.status is PreSubmitted</t>
  </si>
  <si>
    <t>2015-1-26 15:30:9.444: RTWSControl - OrderStatus - Got OrderStatus Message id:1032 status: PreSubmitted filled: 0</t>
  </si>
  <si>
    <t>2015-1-26 15:30:9.445: RTWSControl - OrderStatus - exiting orderStatus</t>
  </si>
  <si>
    <t>2015-1-26 15:30:11.170: OrderManagerView - UpdateMainSheetOpenOrder - entering UpdateMainSheetOpenOrder order.status is PreSubmitted</t>
  </si>
  <si>
    <t>2015-1-26 15:30:11.180: OrderManagerView - CleanOpenOrderView - an error occurred Object doesn't support this property or method</t>
  </si>
  <si>
    <t>2015-1-26 15:30:11.189: OrderManagerView - CleanOpenOrderView - an error occurred Object doesn't support this property or method</t>
  </si>
  <si>
    <t>2015-1-26 15:30:11.197: OrderManagerView - CleanOpenOrderView - an error occurred Object doesn't support this property or method</t>
  </si>
  <si>
    <t>2015-1-26 15:30:11.204: OrderManagerView - CleanOpenOrderView - an error occurred Object doesn't support this property or method</t>
  </si>
  <si>
    <t>2015-1-26 15:30:11.211: OrderManagerView - CleanOpenOrderView - an error occurred Object doesn't support this property or method</t>
  </si>
  <si>
    <t>2015-1-26 15:30:11.215: OrderManagerView - CleanOpenOrderView - an error occurred Object doesn't support this property or method</t>
  </si>
  <si>
    <t>2015-1-26 15:30:11.218: OrderManagerView - UpdateMainSheetOpenOrder - entering UpdateMainSheetOpenOrder order.status is PreSubmitted</t>
  </si>
  <si>
    <t>2015-1-26 15:30:11.813: OrderManager - cancelOrder - cancelling order id 1032</t>
  </si>
  <si>
    <t>2015-1-26 15:30:11.814: OrderManager - PlaceOrder - id 1033 workingQty -235</t>
  </si>
  <si>
    <t>2015-1-26 15:30:11.814: OrderManagerView - UpdateMainSheetOpenOrder - entering UpdateMainSheetOpenOrder order.status is In-Flight</t>
  </si>
  <si>
    <t>2015-1-26 15:30:11.817: OrderManager - sendOrder - exiting place order id 1033 BUY 73 1.5332  - workingQty -235 currentPosition is 80 workingOrderCount is 1</t>
  </si>
  <si>
    <t>2015-1-26 15:30:12.66: OrderManagerView - UpdateMainSheetOpenOrder - entering UpdateMainSheetOpenOrder order.status is PreSubmitted</t>
  </si>
  <si>
    <t>2015-1-26 15:30:12.69: OrderManagerView - UpdateMainSheetOpenOrder - entering UpdateMainSheetOpenOrder order.status is In-Flight</t>
  </si>
  <si>
    <t>2015-1-26 15:30:12.72: OrderManagerView - UpdateMainSheetOpenOrder - entering UpdateMainSheetOpenOrder order.status is PreSubmitted</t>
  </si>
  <si>
    <t>2015-1-26 15:30:12.119: RTWSControl - nextValidId - entering nextValidId id is 1034</t>
  </si>
  <si>
    <t>2015-1-26 15:30:12.126: RTWSControl - orderStatus -  entering orderStatus id is 1032 status is Cancelled</t>
  </si>
  <si>
    <t>2015-1-26 15:30:12.127: OrderManager - UpdateOrderStatus - id 1032 Setting status to Cancelled workingOrderCount is now 1 workingQty -235</t>
  </si>
  <si>
    <t>2015-1-26 15:30:12.128: OrderManagerView - UpdateMainSheetOpenOrder - entering UpdateMainSheetOpenOrder order.status is Cancelled</t>
  </si>
  <si>
    <t>2015-1-26 15:30:12.131: RTWSControl - OrderStatus - Got OrderStatus Message id:1032 status: Cancelled filled: 0</t>
  </si>
  <si>
    <t>2015-1-26 15:30:12.132: RTWSControl - OrderStatus - exiting orderStatus</t>
  </si>
  <si>
    <t>2015-1-26 15:30:12.147: RTWSControl - errMsg - got error message 202:Order Canceled - reason:with id 1032</t>
  </si>
  <si>
    <t>2015-1-26 15:30:12.148: OrderManager - canceledOrder - cleaning up after canceled order 1032BEWARE UNACCOUNTED FOR EXECUTIONS!!!</t>
  </si>
  <si>
    <t>2015-1-26 15:30:12.149: OrderManager - terminateOrder - cleaning up after Canceled 1032  order was supposed to BUY 73 1.5337 STP LMT workingQty/OrderCount now -308/0</t>
  </si>
  <si>
    <t>2015-1-26 15:30:12.150: OrderManagerView - UpdateMainSheetOpenOrder - entering UpdateMainSheetOpenOrder order.status is Canceled</t>
  </si>
  <si>
    <t>2015-1-26 15:30:12.326: openOrderEx - I am here</t>
  </si>
  <si>
    <t>2015-1-26 15:30:12.331: RTWSControl - orderStatus -  entering orderStatus id is 1033 status is PreSubmitted</t>
  </si>
  <si>
    <t>2015-1-26 15:30:12.333: OrderManager - UpdateOrderStatus - id 1033 Setting status to PreSubmitted workingOrderCount is now 0 workingQty -308</t>
  </si>
  <si>
    <t>2015-1-26 15:30:12.334: OrderManagerView - UpdateMainSheetOpenOrder - entering UpdateMainSheetOpenOrder order.status is PreSubmitted</t>
  </si>
  <si>
    <t>2015-1-26 15:30:12.336: RTWSControl - OrderStatus - Got OrderStatus Message id:1033 status: PreSubmitted filled: 0</t>
  </si>
  <si>
    <t>2015-1-26 15:30:12.337: RTWSControl - OrderStatus - exiting orderStatus</t>
  </si>
  <si>
    <t>2015-1-26 15:30:15.21: OrderManagerView - CleanOpenOrderView - an error occurred Object doesn't support this property or method</t>
  </si>
  <si>
    <t>2015-1-26 15:30:15.33: OrderManagerView - CleanOpenOrderView - an error occurred Object doesn't support this property or method</t>
  </si>
  <si>
    <t>2015-1-26 15:30:15.41: OrderManagerView - UpdateMainSheetOpenOrder - entering UpdateMainSheetOpenOrder order.status is PreSubmitted</t>
  </si>
  <si>
    <t>2015-1-26 15:30:15.55: OrderManagerView - UpdateMainSheetOpenOrder - entering UpdateMainSheetOpenOrder order.status is PreSubmitted</t>
  </si>
  <si>
    <t>2015-1-26 15:30:17.814: OrderManager - cancelOrder - cancelling order id 1033</t>
  </si>
  <si>
    <t>2015-1-26 15:30:17.817: OrderManager - PlaceOrder - id 1034 workingQty -234</t>
  </si>
  <si>
    <t>2015-1-26 15:30:17.819: OrderManagerView - UpdateMainSheetOpenOrder - entering UpdateMainSheetOpenOrder order.status is In-Flight</t>
  </si>
  <si>
    <t>2015-1-26 15:30:17.829: OrderManager - sendOrder - exiting place order id 1034 BUY 74 1.5338  - workingQty -234 currentPosition is 80 workingOrderCount is 1</t>
  </si>
  <si>
    <t>2015-1-26 15:30:19.26: OrderManagerView - UpdateMainSheetOpenOrder - entering UpdateMainSheetOpenOrder order.status is In-Flight</t>
  </si>
  <si>
    <t>2015-1-26 15:30:19.28: OrderManagerView - UpdateMainSheetOpenOrder - entering UpdateMainSheetOpenOrder order.status is PreSubmitted</t>
  </si>
  <si>
    <t>2015-1-26 15:30:19.31: OrderManagerView - UpdateMainSheetOpenOrder - entering UpdateMainSheetOpenOrder order.status is PreSubmitted</t>
  </si>
  <si>
    <t>2015-1-26 15:30:19.982: Algorithm - FindNextStrikes - price is 1.50535 nextStrikeUp/Down 1.51/1.505</t>
  </si>
  <si>
    <t>2015-1-26 15:30:19.984: Algorithm - getPortfolioForwardDelta - required deltas is 80 currentHedgePosition is 80</t>
  </si>
  <si>
    <t>2015-1-26 15:30:19.985: Algorithm - getHedgeShortfall - required deltas is 80 price is 1.50525 currentHedgePositionDeltas is 80</t>
  </si>
  <si>
    <t>2015-1-26 15:30:19.986: Algorithm - processTransitionPoint - nextUpper/LowerStrikes are 1.51/1.505 requiredDeltas/currentPosition/currentHedgeShortfall/direction/transitionPrice are 80/80/0/-1/1.50525</t>
  </si>
  <si>
    <t>2015-1-26 15:30:19.987: TransitionLogger - processTransitionpoint - checking transition - currentHedgeShortfall is 0</t>
  </si>
  <si>
    <t>2015-1-26 15:30:19.989: Algorithm - updatePortfolio - haveAllDetails is True</t>
  </si>
  <si>
    <t>2015-1-26 15:30:19.990: RTWSControl - updatePortfolioEx - An Error Occured Object variable or With block variable not set</t>
  </si>
  <si>
    <t>2015-1-26 15:30:20.26: Algorithm - FindNextStrikes - price is 1.50535 nextStrikeUp/Down 1.51/1.505</t>
  </si>
  <si>
    <t>2015-1-26 15:30:20.28: Algorithm - getPortfolioForwardDelta - required deltas is 80 currentHedgePosition is 80</t>
  </si>
  <si>
    <t>2015-1-26 15:30:20.29: Algorithm - getHedgeShortfall - required deltas is 80 price is 1.50525 currentHedgePositionDeltas is 80</t>
  </si>
  <si>
    <t>2015-1-26 15:30:20.30: Algorithm - processTransitionPoint - nextUpper/LowerStrikes are 1.51/1.505 requiredDeltas/currentPosition/currentHedgeShortfall/direction/transitionPrice are 80/80/0/-1/1.50525</t>
  </si>
  <si>
    <t>2015-1-26 15:30:20.31: TransitionLogger - processTransitionpoint - checking transition - currentHedgeShortfall is 0</t>
  </si>
  <si>
    <t>2015-1-26 15:30:20.32: Algorithm - updatePortfolio - haveAllDetails is True</t>
  </si>
  <si>
    <t>2015-1-26 15:30:20.34: RTWSControl - updatePortfolioEx - An Error Occured Object variable or With block variable not set</t>
  </si>
  <si>
    <t>2015-1-26 15:30:20.77: Algorithm - FindNextStrikes - price is 1.50535 nextStrikeUp/Down 1.51/1.505</t>
  </si>
  <si>
    <t>2015-1-26 15:30:20.78: Algorithm - getPortfolioForwardDelta - required deltas is 80 currentHedgePosition is 80</t>
  </si>
  <si>
    <t>2015-1-26 15:30:20.79: Algorithm - getHedgeShortfall - required deltas is 80 price is 1.50525 currentHedgePositionDeltas is 80</t>
  </si>
  <si>
    <t>2015-1-26 15:30:20.80: Algorithm - processTransitionPoint - nextUpper/LowerStrikes are 1.51/1.505 requiredDeltas/currentPosition/currentHedgeShortfall/direction/transitionPrice are 80/80/0/-1/1.50525</t>
  </si>
  <si>
    <t>2015-1-26 15:30:20.81: TransitionLogger - processTransitionpoint - checking transition - currentHedgeShortfall is 0</t>
  </si>
  <si>
    <t>2015-1-26 15:30:20.82: Algorithm - updatePortfolio - haveAllDetails is True</t>
  </si>
  <si>
    <t>2015-1-26 15:30:20.83: RTWSControl - updatePortfolioEx - An Error Occured Object variable or With block variable not set</t>
  </si>
  <si>
    <t>2015-1-26 15:30:20.120: Algorithm - FindNextStrikes - price is 1.50535 nextStrikeUp/Down 1.51/1.505</t>
  </si>
  <si>
    <t>2015-1-26 15:30:20.122: Algorithm - getPortfolioForwardDelta - required deltas is 80 currentHedgePosition is 80</t>
  </si>
  <si>
    <t>2015-1-26 15:30:20.122: Algorithm - getHedgeShortfall - required deltas is 80 price is 1.50525 currentHedgePositionDeltas is 80</t>
  </si>
  <si>
    <t>2015-1-26 15:30:20.123: Algorithm - processTransitionPoint - nextUpper/LowerStrikes are 1.51/1.505 requiredDeltas/currentPosition/currentHedgeShortfall/direction/transitionPrice are 80/80/0/-1/1.50525</t>
  </si>
  <si>
    <t>2015-1-26 15:30:20.124: TransitionLogger - processTransitionpoint - checking transition - currentHedgeShortfall is 0</t>
  </si>
  <si>
    <t>2015-1-26 15:30:20.125: Algorithm - updatePortfolio - haveAllDetails is True</t>
  </si>
  <si>
    <t>2015-1-26 15:30:20.127: RTWSControl - updatePortfolioEx - An Error Occured Object variable or With block variable not set</t>
  </si>
  <si>
    <t>2015-1-26 15:30:20.161: Algorithm - FindNextStrikes - price is 1.50535 nextStrikeUp/Down 1.51/1.505</t>
  </si>
  <si>
    <t>2015-1-26 15:30:20.162: Algorithm - getPortfolioForwardDelta - required deltas is 80 currentHedgePosition is 80</t>
  </si>
  <si>
    <t>2015-1-26 15:30:20.163: Algorithm - getHedgeShortfall - required deltas is 80 price is 1.50525 currentHedgePositionDeltas is 80</t>
  </si>
  <si>
    <t>2015-1-26 15:30:20.164: Algorithm - processTransitionPoint - nextUpper/LowerStrikes are 1.51/1.505 requiredDeltas/currentPosition/currentHedgeShortfall/direction/transitionPrice are 80/80/0/-1/1.50525</t>
  </si>
  <si>
    <t>2015-1-26 15:30:20.165: TransitionLogger - processTransitionpoint - checking transition - currentHedgeShortfall is 0</t>
  </si>
  <si>
    <t>2015-1-26 15:30:20.166: Algorithm - updatePortfolio - haveAllDetails is True</t>
  </si>
  <si>
    <t>2015-1-26 15:30:20.168: RTWSControl - updatePortfolioEx - An Error Occured Object variable or With block variable not set</t>
  </si>
  <si>
    <t>2015-1-26 15:30:20.203: Algorithm - FindNextStrikes - price is 1.50535 nextStrikeUp/Down 1.51/1.505</t>
  </si>
  <si>
    <t>2015-1-26 15:30:20.204: Algorithm - getPortfolioForwardDelta - required deltas is 80 currentHedgePosition is 80</t>
  </si>
  <si>
    <t>2015-1-26 15:30:20.205: Algorithm - getHedgeShortfall - required deltas is 80 price is 1.50525 currentHedgePositionDeltas is 80</t>
  </si>
  <si>
    <t>2015-1-26 15:30:20.205: Algorithm - processTransitionPoint - nextUpper/LowerStrikes are 1.51/1.505 requiredDeltas/currentPosition/currentHedgeShortfall/direction/transitionPrice are 80/80/0/-1/1.50525</t>
  </si>
  <si>
    <t>2015-1-26 15:30:20.206: TransitionLogger - processTransitionpoint - checking transition - currentHedgeShortfall is 0</t>
  </si>
  <si>
    <t>2015-1-26 15:30:20.208: Algorithm - updatePortfolio - haveAllDetails is True</t>
  </si>
  <si>
    <t>2015-1-26 15:30:20.209: RTWSControl - updatePortfolioEx - An Error Occured Object variable or With block variable not set</t>
  </si>
  <si>
    <t>2015-1-26 15:30:20.245: Algorithm - FindNextStrikes - price is 1.50535 nextStrikeUp/Down 1.51/1.505</t>
  </si>
  <si>
    <t>2015-1-26 15:30:20.246: Algorithm - getPortfolioForwardDelta - required deltas is 80 currentHedgePosition is 80</t>
  </si>
  <si>
    <t>2015-1-26 15:30:20.246: Algorithm - getHedgeShortfall - required deltas is 80 price is 1.50525 currentHedgePositionDeltas is 80</t>
  </si>
  <si>
    <t>2015-1-26 15:30:20.247: Algorithm - processTransitionPoint - nextUpper/LowerStrikes are 1.51/1.505 requiredDeltas/currentPosition/currentHedgeShortfall/direction/transitionPrice are 80/80/0/-1/1.50525</t>
  </si>
  <si>
    <t>2015-1-26 15:30:20.248: TransitionLogger - processTransitionpoint - checking transition - currentHedgeShortfall is 0</t>
  </si>
  <si>
    <t>2015-1-26 15:30:20.249: Algorithm - updatePortfolio - haveAllDetails is True</t>
  </si>
  <si>
    <t>2015-1-26 15:30:20.251: RTWSControl - updatePortfolioEx - An Error Occured Object variable or With block variable not set</t>
  </si>
  <si>
    <t>2015-1-26 15:30:20.287: Algorithm - FindNextStrikes - price is 1.50535 nextStrikeUp/Down 1.51/1.505</t>
  </si>
  <si>
    <t>2015-1-26 15:30:20.288: Algorithm - getPortfolioForwardDelta - required deltas is 80 currentHedgePosition is 80</t>
  </si>
  <si>
    <t>2015-1-26 15:30:20.289: Algorithm - getHedgeShortfall - required deltas is 80 price is 1.50525 currentHedgePositionDeltas is 80</t>
  </si>
  <si>
    <t>2015-1-26 15:30:20.290: Algorithm - processTransitionPoint - nextUpper/LowerStrikes are 1.51/1.505 requiredDeltas/currentPosition/currentHedgeShortfall/direction/transitionPrice are 80/80/0/-1/1.50525</t>
  </si>
  <si>
    <t>2015-1-26 15:30:20.290: TransitionLogger - processTransitionpoint - checking transition - currentHedgeShortfall is 0</t>
  </si>
  <si>
    <t>2015-1-26 15:30:20.292: Algorithm - updatePortfolio - haveAllDetails is True</t>
  </si>
  <si>
    <t>2015-1-26 15:30:20.293: RTWSControl - updatePortfolioEx - An Error Occured Object variable or With block variable not set</t>
  </si>
  <si>
    <t>2015-1-26 15:30:20.330: Algorithm - FindNextStrikes - price is 1.50535 nextStrikeUp/Down 1.51/1.505</t>
  </si>
  <si>
    <t>2015-1-26 15:30:20.331: Algorithm - getPortfolioForwardDelta - required deltas is 80 currentHedgePosition is 80</t>
  </si>
  <si>
    <t>2015-1-26 15:30:20.332: Algorithm - getHedgeShortfall - required deltas is 80 price is 1.50525 currentHedgePositionDeltas is 80</t>
  </si>
  <si>
    <t>2015-1-26 15:30:20.333: Algorithm - processTransitionPoint - nextUpper/LowerStrikes are 1.51/1.505 requiredDeltas/currentPosition/currentHedgeShortfall/direction/transitionPrice are 80/80/0/-1/1.50525</t>
  </si>
  <si>
    <t>2015-1-26 15:30:20.334: TransitionLogger - processTransitionpoint - checking transition - currentHedgeShortfall is 0</t>
  </si>
  <si>
    <t>2015-1-26 15:30:20.336: Algorithm - updatePortfolio - haveAllDetails is True</t>
  </si>
  <si>
    <t>2015-1-26 15:30:20.337: RTWSControl - updatePortfolioEx - An Error Occured Object variable or With block variable not set</t>
  </si>
  <si>
    <t>2015-1-26 15:30:20.364: RTWSControl - nextValidId - entering nextValidId id is 1035</t>
  </si>
  <si>
    <t>2015-1-26 15:30:20.369: RTWSControl - orderStatus -  entering orderStatus id is 1033 status is Cancelled</t>
  </si>
  <si>
    <t>2015-1-26 15:30:20.371: OrderManager - UpdateOrderStatus - id 1033 Setting status to Cancelled workingOrderCount is now 1 workingQty -234</t>
  </si>
  <si>
    <t>2015-1-26 15:30:20.372: OrderManagerView - UpdateMainSheetOpenOrder - entering UpdateMainSheetOpenOrder order.status is Cancelled</t>
  </si>
  <si>
    <t>2015-1-26 15:30:20.374: RTWSControl - OrderStatus - Got OrderStatus Message id:1033 status: Cancelled filled: 0</t>
  </si>
  <si>
    <t>2015-1-26 15:30:20.375: RTWSControl - OrderStatus - exiting orderStatus</t>
  </si>
  <si>
    <t>2015-1-26 15:30:20.396: RTWSControl - errMsg - got error message 202:Order Canceled - reason:with id 1033</t>
  </si>
  <si>
    <t>2015-1-26 15:30:20.397: OrderManager - canceledOrder - cleaning up after canceled order 1033BEWARE UNACCOUNTED FOR EXECUTIONS!!!</t>
  </si>
  <si>
    <t>2015-1-26 15:30:20.398: OrderManager - terminateOrder - cleaning up after Canceled 1033  order was supposed to BUY 73 1.5332 STP LMT workingQty/OrderCount now -307/0</t>
  </si>
  <si>
    <t>2015-1-26 15:30:20.399: OrderManagerView - UpdateMainSheetOpenOrder - entering UpdateMainSheetOpenOrder order.status is Canceled</t>
  </si>
  <si>
    <t>2015-1-26 15:30:20.914: openOrderEx - I am here</t>
  </si>
  <si>
    <t>2015-1-26 15:30:20.935: RTWSControl - orderStatus -  entering orderStatus id is 1034 status is PreSubmitted</t>
  </si>
  <si>
    <t>2015-1-26 15:30:20.936: OrderManager - UpdateOrderStatus - id 1034 Setting status to PreSubmitted workingOrderCount is now 0 workingQty -307</t>
  </si>
  <si>
    <t>2015-1-26 15:30:20.937: OrderManagerView - UpdateMainSheetOpenOrder - entering UpdateMainSheetOpenOrder order.status is PreSubmitted</t>
  </si>
  <si>
    <t>2015-1-26 15:30:20.940: RTWSControl - OrderStatus - Got OrderStatus Message id:1034 status: PreSubmitted filled: 0</t>
  </si>
  <si>
    <t>2015-1-26 15:30:20.941: RTWSControl - OrderStatus - exiting orderStatus</t>
  </si>
  <si>
    <t>2015-1-26 15:30:22.24: OrderManagerView - UpdateMainSheetOpenOrder - entering UpdateMainSheetOpenOrder order.status is PreSubmitted</t>
  </si>
  <si>
    <t>2015-1-26 15:30:22.26: OrderManagerView - CleanOpenOrderView - an error occurred Object doesn't support this property or method</t>
  </si>
  <si>
    <t>2015-1-26 15:30:22.30: OrderManagerView - UpdateMainSheetOpenOrder - entering UpdateMainSheetOpenOrder order.status is PreSubmitted</t>
  </si>
  <si>
    <t>2015-1-26 15:30:25.316: OrderManager - cancelOrder - cancelling order id 1034</t>
  </si>
  <si>
    <t>2015-1-26 15:30:25.317: OrderManager - PlaceOrder - id 1035 workingQty -234</t>
  </si>
  <si>
    <t>2015-1-26 15:30:25.318: OrderManagerView - UpdateMainSheetOpenOrder - entering UpdateMainSheetOpenOrder order.status is In-Flight</t>
  </si>
  <si>
    <t>2015-1-26 15:30:25.320: OrderManager - sendOrder - exiting place order id 1035 BUY 73 1.5331  - workingQty -234 currentPosition is 80 workingOrderCount is 1</t>
  </si>
  <si>
    <t>2015-1-26 15:30:26.484: RTWSControl - nextValidId - entering nextValidId id is 1036</t>
  </si>
  <si>
    <t>2015-1-26 15:30:26.491: RTWSControl - orderStatus -  entering orderStatus id is 1034 status is Cancelled</t>
  </si>
  <si>
    <t>2015-1-26 15:30:26.492: OrderManager - UpdateOrderStatus - id 1034 Setting status to Cancelled workingOrderCount is now 1 workingQty -234</t>
  </si>
  <si>
    <t>2015-1-26 15:30:26.493: OrderManagerView - UpdateMainSheetOpenOrder - entering UpdateMainSheetOpenOrder order.status is Cancelled</t>
  </si>
  <si>
    <t>2015-1-26 15:30:26.496: RTWSControl - OrderStatus - Got OrderStatus Message id:1034 status: Cancelled filled: 0</t>
  </si>
  <si>
    <t>2015-1-26 15:30:26.497: RTWSControl - OrderStatus - exiting orderStatus</t>
  </si>
  <si>
    <t>2015-1-26 15:30:26.521: RTWSControl - errMsg - got error message 202:Order Canceled - reason:with id 1034</t>
  </si>
  <si>
    <t>2015-1-26 15:30:26.522: OrderManager - canceledOrder - cleaning up after canceled order 1034BEWARE UNACCOUNTED FOR EXECUTIONS!!!</t>
  </si>
  <si>
    <t>2015-1-26 15:30:26.523: OrderManager - terminateOrder - cleaning up after Canceled 1034  order was supposed to BUY 74 1.5338 STP LMT workingQty/OrderCount now -308/0</t>
  </si>
  <si>
    <t>2015-1-26 15:30:26.524: OrderManagerView - UpdateMainSheetOpenOrder - entering UpdateMainSheetOpenOrder order.status is Canceled</t>
  </si>
  <si>
    <t>2015-1-26 15:30:26.562: openOrderEx - I am here</t>
  </si>
  <si>
    <t>2015-1-26 15:30:26.567: RTWSControl - orderStatus -  entering orderStatus id is 1035 status is PreSubmitted</t>
  </si>
  <si>
    <t>2015-1-26 15:30:26.568: OrderManager - UpdateOrderStatus - id 1035 Setting status to PreSubmitted workingOrderCount is now 0 workingQty -308</t>
  </si>
  <si>
    <t>2015-1-26 15:30:26.569: OrderManagerView - UpdateMainSheetOpenOrder - entering UpdateMainSheetOpenOrder order.status is PreSubmitted</t>
  </si>
  <si>
    <t>2015-1-26 15:30:26.572: RTWSControl - OrderStatus - Got OrderStatus Message id:1035 status: PreSubmitted filled: 0</t>
  </si>
  <si>
    <t>2015-1-26 15:30:26.573: RTWSControl - OrderStatus - exiting orderStatus</t>
  </si>
  <si>
    <t>2015-1-26 15:30:30.28: OrderManagerView - CleanOpenOrderView - an error occurred Object doesn't support this property or method</t>
  </si>
  <si>
    <t>2015-1-26 15:30:30.31: OrderManagerView - CleanOpenOrderView - an error occurred Object doesn't support this property or method</t>
  </si>
  <si>
    <t>2015-1-26 15:30:30.33: OrderManagerView - UpdateMainSheetOpenOrder - entering UpdateMainSheetOpenOrder order.status is PreSubmitted</t>
  </si>
  <si>
    <t>2015-1-26 15:30:30.36: OrderManagerView - UpdateMainSheetOpenOrder - entering UpdateMainSheetOpenOrder order.status is PreSubmitted</t>
  </si>
  <si>
    <t>2015-1-26 15:30:30.399: OrderManager - cancelOrder - cancelling order id 1035</t>
  </si>
  <si>
    <t>2015-1-26 15:30:30.399: OrderManager - PlaceOrder - id 1036 workingQty -234</t>
  </si>
  <si>
    <t>2015-1-26 15:30:30.400: OrderManagerView - UpdateMainSheetOpenOrder - entering UpdateMainSheetOpenOrder order.status is In-Flight</t>
  </si>
  <si>
    <t>2015-1-26 15:30:30.402: OrderManager - sendOrder - exiting place order id 1036 BUY 74 1.5338  - workingQty -234 currentPosition is 80 workingOrderCount is 1</t>
  </si>
  <si>
    <t>2015-1-26 15:30:31.528: RTWSControl - nextValidId - entering nextValidId id is 1037</t>
  </si>
  <si>
    <t>2015-1-26 15:30:31.534: RTWSControl - orderStatus -  entering orderStatus id is 1035 status is Cancelled</t>
  </si>
  <si>
    <t>2015-1-26 15:30:31.535: OrderManager - UpdateOrderStatus - id 1035 Setting status to Cancelled workingOrderCount is now 1 workingQty -234</t>
  </si>
  <si>
    <t>2015-1-26 15:30:31.537: OrderManagerView - UpdateMainSheetOpenOrder - entering UpdateMainSheetOpenOrder order.status is Cancelled</t>
  </si>
  <si>
    <t>2015-1-26 15:30:31.539: RTWSControl - OrderStatus - Got OrderStatus Message id:1035 status: Cancelled filled: 0</t>
  </si>
  <si>
    <t>2015-1-26 15:30:31.540: RTWSControl - OrderStatus - exiting orderStatus</t>
  </si>
  <si>
    <t>2015-1-26 15:30:31.563: RTWSControl - errMsg - got error message 202:Order Canceled - reason:with id 1035</t>
  </si>
  <si>
    <t>2015-1-26 15:30:31.564: OrderManager - canceledOrder - cleaning up after canceled order 1035BEWARE UNACCOUNTED FOR EXECUTIONS!!!</t>
  </si>
  <si>
    <t>2015-1-26 15:30:31.565: OrderManager - terminateOrder - cleaning up after Canceled 1035  order was supposed to BUY 73 1.5331 STP LMT workingQty/OrderCount now -307/0</t>
  </si>
  <si>
    <t>2015-1-26 15:30:31.566: OrderManagerView - UpdateMainSheetOpenOrder - entering UpdateMainSheetOpenOrder order.status is Canceled</t>
  </si>
  <si>
    <t>2015-1-26 15:30:31.650: openOrderEx - I am here</t>
  </si>
  <si>
    <t>2015-1-26 15:30:31.655: RTWSControl - orderStatus -  entering orderStatus id is 1036 status is PreSubmitted</t>
  </si>
  <si>
    <t>2015-1-26 15:30:31.656: OrderManager - UpdateOrderStatus - id 1036 Setting status to PreSubmitted workingOrderCount is now 0 workingQty -307</t>
  </si>
  <si>
    <t>2015-1-26 15:30:31.657: OrderManagerView - UpdateMainSheetOpenOrder - entering UpdateMainSheetOpenOrder order.status is PreSubmitted</t>
  </si>
  <si>
    <t>2015-1-26 15:30:31.660: RTWSControl - OrderStatus - Got OrderStatus Message id:1036 status: PreSubmitted filled: 0</t>
  </si>
  <si>
    <t>2015-1-26 15:30:31.661: RTWSControl - OrderStatus - exiting orderStatus</t>
  </si>
  <si>
    <t>2015-1-26 15:30:32.820: OrderManager - cancelOrder - cancelling order id 1036</t>
  </si>
  <si>
    <t>2015-1-26 15:30:32.821: OrderManager - PlaceOrder - id 1037 workingQty -233</t>
  </si>
  <si>
    <t>2015-1-26 15:30:32.821: OrderManagerView - UpdateMainSheetOpenOrder - entering UpdateMainSheetOpenOrder order.status is In-Flight</t>
  </si>
  <si>
    <t>2015-1-26 15:30:32.824: OrderManager - sendOrder - exiting place order id 1037 BUY 74 1.5342  - workingQty -233 currentPosition is 80 workingOrderCount is 1</t>
  </si>
  <si>
    <t>2015-1-26 15:30:33.193: RTWSControl - nextValidId - entering nextValidId id is 1038</t>
  </si>
  <si>
    <t>2015-1-26 15:30:33.358: RTWSControl - orderStatus -  entering orderStatus id is 1036 status is Cancelled</t>
  </si>
  <si>
    <t>2015-1-26 15:30:33.359: OrderManager - UpdateOrderStatus - id 1036 Setting status to Cancelled workingOrderCount is now 1 workingQty -233</t>
  </si>
  <si>
    <t>2015-1-26 15:30:33.360: OrderManagerView - UpdateMainSheetOpenOrder - entering UpdateMainSheetOpenOrder order.status is Cancelled</t>
  </si>
  <si>
    <t>2015-1-26 15:30:33.363: RTWSControl - OrderStatus - Got OrderStatus Message id:1036 status: Cancelled filled: 0</t>
  </si>
  <si>
    <t>2015-1-26 15:30:33.364: RTWSControl - OrderStatus - exiting orderStatus</t>
  </si>
  <si>
    <t>2015-1-26 15:30:33.373: RTWSControl - errMsg - got error message 202:Order Canceled - reason:with id 1036</t>
  </si>
  <si>
    <t>2015-1-26 15:30:33.374: OrderManager - canceledOrder - cleaning up after canceled order 1036BEWARE UNACCOUNTED FOR EXECUTIONS!!!</t>
  </si>
  <si>
    <t>2015-1-26 15:30:33.375: OrderManager - terminateOrder - cleaning up after Canceled 1036  order was supposed to BUY 74 1.5338 STP LMT workingQty/OrderCount now -307/0</t>
  </si>
  <si>
    <t>2015-1-26 15:30:33.376: OrderManagerView - UpdateMainSheetOpenOrder - entering UpdateMainSheetOpenOrder order.status is Canceled</t>
  </si>
  <si>
    <t>2015-1-26 15:30:33.400: openOrderEx - I am here</t>
  </si>
  <si>
    <t>2015-1-26 15:30:33.405: RTWSControl - orderStatus -  entering orderStatus id is 1037 status is PreSubmitted</t>
  </si>
  <si>
    <t>2015-1-26 15:30:33.406: OrderManager - UpdateOrderStatus - id 1037 Setting status to PreSubmitted workingOrderCount is now 0 workingQty -307</t>
  </si>
  <si>
    <t>2015-1-26 15:30:33.408: OrderManagerView - UpdateMainSheetOpenOrder - entering UpdateMainSheetOpenOrder order.status is PreSubmitted</t>
  </si>
  <si>
    <t>2015-1-26 15:30:33.410: RTWSControl - OrderStatus - Got OrderStatus Message id:1037 status: PreSubmitted filled: 0</t>
  </si>
  <si>
    <t>2015-1-26 15:30:33.411: RTWSControl - OrderStatus - exiting orderStatus</t>
  </si>
  <si>
    <t>2015-1-26 15:30:34.487: OrderManager - cancelOrder - cancelling order id 1037</t>
  </si>
  <si>
    <t>2015-1-26 15:30:34.488: OrderManager - PlaceOrder - id 1038 workingQty -233</t>
  </si>
  <si>
    <t>2015-1-26 15:30:34.489: OrderManagerView - UpdateMainSheetOpenOrder - entering UpdateMainSheetOpenOrder order.status is In-Flight</t>
  </si>
  <si>
    <t>2015-1-26 15:30:34.491: OrderManager - sendOrder - exiting place order id 1038 BUY 74 1.5334  - workingQty -233 currentPosition is 80 workingOrderCount is 1</t>
  </si>
  <si>
    <t>2015-1-26 15:30:35.114: RTWSControl - nextValidId - entering nextValidId id is 1039</t>
  </si>
  <si>
    <t>2015-1-26 15:30:35.120: RTWSControl - orderStatus -  entering orderStatus id is 1037 status is Cancelled</t>
  </si>
  <si>
    <t>2015-1-26 15:30:35.121: OrderManager - UpdateOrderStatus - id 1037 Setting status to Cancelled workingOrderCount is now 1 workingQty -233</t>
  </si>
  <si>
    <t>2015-1-26 15:30:35.122: OrderManagerView - UpdateMainSheetOpenOrder - entering UpdateMainSheetOpenOrder order.status is Cancelled</t>
  </si>
  <si>
    <t>2015-1-26 15:30:35.125: RTWSControl - OrderStatus - Got OrderStatus Message id:1037 status: Cancelled filled: 0</t>
  </si>
  <si>
    <t>2015-1-26 15:30:35.126: RTWSControl - OrderStatus - exiting orderStatus</t>
  </si>
  <si>
    <t>2015-1-26 15:30:35.147: RTWSControl - errMsg - got error message 202:Order Canceled - reason:with id 1037</t>
  </si>
  <si>
    <t>2015-1-26 15:30:35.148: OrderManager - canceledOrder - cleaning up after canceled order 1037BEWARE UNACCOUNTED FOR EXECUTIONS!!!</t>
  </si>
  <si>
    <t>2015-1-26 15:30:35.149: OrderManager - terminateOrder - cleaning up after Canceled 1037  order was supposed to BUY 74 1.5342 STP LMT workingQty/OrderCount now -307/0</t>
  </si>
  <si>
    <t>2015-1-26 15:30:35.150: OrderManagerView - UpdateMainSheetOpenOrder - entering UpdateMainSheetOpenOrder order.status is Canceled</t>
  </si>
  <si>
    <t>2015-1-26 15:30:35.202: openOrderEx - I am here</t>
  </si>
  <si>
    <t>2015-1-26 15:30:35.232: RTWSControl - orderStatus -  entering orderStatus id is 1038 status is PreSubmitted</t>
  </si>
  <si>
    <t>2015-1-26 15:30:35.233: OrderManager - UpdateOrderStatus - id 1038 Setting status to PreSubmitted workingOrderCount is now 0 workingQty -307</t>
  </si>
  <si>
    <t>2015-1-26 15:30:35.234: OrderManagerView - UpdateMainSheetOpenOrder - entering UpdateMainSheetOpenOrder order.status is PreSubmitted</t>
  </si>
  <si>
    <t>2015-1-26 15:30:35.237: RTWSControl - OrderStatus - Got OrderStatus Message id:1038 status: PreSubmitted filled: 0</t>
  </si>
  <si>
    <t>2015-1-26 15:30:35.238: RTWSControl - OrderStatus - exiting orderStatus</t>
  </si>
  <si>
    <t>2015-1-26 15:30:35.248: OrderManager - cancelOrder - cancelling order id 1038</t>
  </si>
  <si>
    <t>2015-1-26 15:30:35.249: OrderManager - PlaceOrder - id 1039 workingQty -233</t>
  </si>
  <si>
    <t>2015-1-26 15:30:35.250: OrderManagerView - UpdateMainSheetOpenOrder - entering UpdateMainSheetOpenOrder order.status is In-Flight</t>
  </si>
  <si>
    <t>2015-1-26 15:30:35.251: OrderManagerView - incrementNextOORow - there are no available OpenOrderView Rows!!!!!!</t>
  </si>
  <si>
    <t>2015-1-26 15:30:35.253: OrderManager - sendOrder - exiting place order id 1039 BUY 74 1.5339  - workingQty -233 currentPosition is 80 workingOrderCount is 1</t>
  </si>
  <si>
    <t>2015-1-26 15:30:35.483: RTWSControl - nextValidId - entering nextValidId id is 1040</t>
  </si>
  <si>
    <t>2015-1-26 15:30:35.561: RTWSControl - orderStatus -  entering orderStatus id is 1038 status is Cancelled</t>
  </si>
  <si>
    <t>2015-1-26 15:30:35.562: OrderManager - UpdateOrderStatus - id 1038 Setting status to Cancelled workingOrderCount is now 1 workingQty -233</t>
  </si>
  <si>
    <t>2015-1-26 15:30:35.562: OrderManagerView - UpdateMainSheetOpenOrder - entering UpdateMainSheetOpenOrder order.status is Cancelled</t>
  </si>
  <si>
    <t>2015-1-26 15:30:35.565: RTWSControl - OrderStatus - Got OrderStatus Message id:1038 status: Cancelled filled: 0</t>
  </si>
  <si>
    <t>2015-1-26 15:30:35.566: RTWSControl - OrderStatus - exiting orderStatus</t>
  </si>
  <si>
    <t>2015-1-26 15:30:35.593: RTWSControl - errMsg - got error message 202:Order Canceled - reason:with id 1038</t>
  </si>
  <si>
    <t>2015-1-26 15:30:35.594: OrderManager - canceledOrder - cleaning up after canceled order 1038BEWARE UNACCOUNTED FOR EXECUTIONS!!!</t>
  </si>
  <si>
    <t>2015-1-26 15:30:35.595: OrderManager - terminateOrder - cleaning up after Canceled 1038  order was supposed to BUY 74 1.5334 STP LMT workingQty/OrderCount now -307/0</t>
  </si>
  <si>
    <t>2015-1-26 15:30:35.596: OrderManagerView - UpdateMainSheetOpenOrder - entering UpdateMainSheetOpenOrder order.status is Canceled</t>
  </si>
  <si>
    <t>2015-1-26 15:30:35.656: openOrderEx - I am here</t>
  </si>
  <si>
    <t>2015-1-26 15:30:35.661: RTWSControl - orderStatus -  entering orderStatus id is 1039 status is PreSubmitted</t>
  </si>
  <si>
    <t>2015-1-26 15:30:35.662: OrderManager - UpdateOrderStatus - id 1039 Setting status to PreSubmitted workingOrderCount is now 0 workingQty -307</t>
  </si>
  <si>
    <t>2015-1-26 15:30:35.663: OrderManagerView - UpdateMainSheetOpenOrder - entering UpdateMainSheetOpenOrder order.status is PreSubmitted</t>
  </si>
  <si>
    <t>2015-1-26 15:30:35.666: RTWSControl - OrderStatus - Got OrderStatus Message id:1039 status: PreSubmitted filled: 0</t>
  </si>
  <si>
    <t>2015-1-26 15:30:35.667: RTWSControl - OrderStatus - exiting orderStatus</t>
  </si>
  <si>
    <t>2015-1-26 15:30:36.57: OrderManagerView - UpdateMainSheetOpenOrder - entering UpdateMainSheetOpenOrder order.status is PreSubmitted</t>
  </si>
  <si>
    <t>2015-1-26 15:30:36.69: OrderManagerView - CleanOpenOrderView - an error occurred Object doesn't support this property or method</t>
  </si>
  <si>
    <t>2015-1-26 15:30:36.78: OrderManagerView - CleanOpenOrderView - an error occurred Object doesn't support this property or method</t>
  </si>
  <si>
    <t>2015-1-26 15:30:36.82: OrderManagerView - CleanOpenOrderView - an error occurred Object doesn't support this property or method</t>
  </si>
  <si>
    <t>2015-1-26 15:30:36.87: OrderManagerView - CleanOpenOrderView - an error occurred Object doesn't support this property or method</t>
  </si>
  <si>
    <t>2015-1-26 15:30:36.92: OrderManagerView - CleanOpenOrderView - an error occurred Object doesn't support this property or method</t>
  </si>
  <si>
    <t>2015-1-26 15:30:36.96: OrderManagerView - CleanOpenOrderView - an error occurred Object doesn't support this property or method</t>
  </si>
  <si>
    <t>2015-1-26 15:30:36.99: OrderManagerView - UpdateMainSheetOpenOrder - entering UpdateMainSheetOpenOrder order.status is PreSubmitted</t>
  </si>
  <si>
    <t>2015-1-26 15:30:38.862: OrderManager - cancelOrder - cancelling order id 1039</t>
  </si>
  <si>
    <t>2015-1-26 15:30:38.863: OrderManager - PlaceOrder - id 1040 workingQty -234</t>
  </si>
  <si>
    <t>2015-1-26 15:30:38.864: OrderManagerView - UpdateMainSheetOpenOrder - entering UpdateMainSheetOpenOrder order.status is In-Flight</t>
  </si>
  <si>
    <t>2015-1-26 15:30:38.866: OrderManager - sendOrder - exiting place order id 1040 BUY 73 1.5333  - workingQty -234 currentPosition is 80 workingOrderCount is 1</t>
  </si>
  <si>
    <t>2015-1-26 15:30:39.357: RTWSControl - nextValidId - entering nextValidId id is 1041</t>
  </si>
  <si>
    <t>2015-1-26 15:30:39.363: RTWSControl - orderStatus -  entering orderStatus id is 1039 status is Cancelled</t>
  </si>
  <si>
    <t>2015-1-26 15:30:39.365: OrderManager - UpdateOrderStatus - id 1039 Setting status to Cancelled workingOrderCount is now 1 workingQty -234</t>
  </si>
  <si>
    <t>2015-1-26 15:30:39.366: OrderManagerView - UpdateMainSheetOpenOrder - entering UpdateMainSheetOpenOrder order.status is Cancelled</t>
  </si>
  <si>
    <t>2015-1-26 15:30:39.368: RTWSControl - OrderStatus - Got OrderStatus Message id:1039 status: Cancelled filled: 0</t>
  </si>
  <si>
    <t>2015-1-26 15:30:39.369: RTWSControl - OrderStatus - exiting orderStatus</t>
  </si>
  <si>
    <t>2015-1-26 15:30:39.394: RTWSControl - errMsg - got error message 202:Order Canceled - reason:with id 1039</t>
  </si>
  <si>
    <t>2015-1-26 15:30:39.395: OrderManager - canceledOrder - cleaning up after canceled order 1039BEWARE UNACCOUNTED FOR EXECUTIONS!!!</t>
  </si>
  <si>
    <t>2015-1-26 15:30:39.396: OrderManager - terminateOrder - cleaning up after Canceled 1039  order was supposed to BUY 74 1.5339 STP LMT workingQty/OrderCount now -308/0</t>
  </si>
  <si>
    <t>2015-1-26 15:30:39.397: OrderManagerView - UpdateMainSheetOpenOrder - entering UpdateMainSheetOpenOrder order.status is Canceled</t>
  </si>
  <si>
    <t>2015-1-26 15:30:39.409: openOrderEx - I am here</t>
  </si>
  <si>
    <t>2015-1-26 15:30:39.434: RTWSControl - orderStatus -  entering orderStatus id is 1040 status is PreSubmitted</t>
  </si>
  <si>
    <t>2015-1-26 15:30:39.435: OrderManager - UpdateOrderStatus - id 1040 Setting status to PreSubmitted workingOrderCount is now 0 workingQty -308</t>
  </si>
  <si>
    <t>2015-1-26 15:30:39.436: OrderManagerView - UpdateMainSheetOpenOrder - entering UpdateMainSheetOpenOrder order.status is PreSubmitted</t>
  </si>
  <si>
    <t>2015-1-26 15:30:39.439: RTWSControl - OrderStatus - Got OrderStatus Message id:1040 status: PreSubmitted filled: 0</t>
  </si>
  <si>
    <t>2015-1-26 15:30:39.440: RTWSControl - OrderStatus - exiting orderStatus</t>
  </si>
  <si>
    <t>2015-1-26 15:30:41.9: OrderManagerView - CleanOpenOrderView - an error occurred Object doesn't support this property or method</t>
  </si>
  <si>
    <t>2015-1-26 15:30:41.21: OrderManagerView - CleanOpenOrderView - an error occurred Object doesn't support this property or method</t>
  </si>
  <si>
    <t>2015-1-26 15:30:41.28: OrderManagerView - UpdateMainSheetOpenOrder - entering UpdateMainSheetOpenOrder order.status is PreSubmitted</t>
  </si>
  <si>
    <t>2015-1-26 15:30:41.43: OrderManagerView - UpdateMainSheetOpenOrder - entering UpdateMainSheetOpenOrder order.status is PreSubmitted</t>
  </si>
  <si>
    <t>2015-1-26 15:30:41.682: OrderManager - cancelOrder - cancelling order id 1040</t>
  </si>
  <si>
    <t>2015-1-26 15:30:41.685: OrderManager - PlaceOrder - id 1041 workingQty -234</t>
  </si>
  <si>
    <t>2015-1-26 15:30:41.687: OrderManagerView - UpdateMainSheetOpenOrder - entering UpdateMainSheetOpenOrder order.status is In-Flight</t>
  </si>
  <si>
    <t>2015-1-26 15:30:41.694: OrderManager - sendOrder - exiting place order id 1041 BUY 74 1.5339  - workingQty -234 currentPosition is 80 workingOrderCount is 1</t>
  </si>
  <si>
    <t>2015-1-26 15:30:41.981: RTWSControl - nextValidId - entering nextValidId id is 1042</t>
  </si>
  <si>
    <t>2015-1-26 15:30:41.986: RTWSControl - orderStatus -  entering orderStatus id is 1040 status is Cancelled</t>
  </si>
  <si>
    <t>2015-1-26 15:30:41.988: OrderManager - UpdateOrderStatus - id 1040 Setting status to Cancelled workingOrderCount is now 1 workingQty -234</t>
  </si>
  <si>
    <t>2015-1-26 15:30:41.989: OrderManagerView - UpdateMainSheetOpenOrder - entering UpdateMainSheetOpenOrder order.status is Cancelled</t>
  </si>
  <si>
    <t>2015-1-26 15:30:41.991: RTWSControl - OrderStatus - Got OrderStatus Message id:1040 status: Cancelled filled: 0</t>
  </si>
  <si>
    <t>2015-1-26 15:30:41.992: RTWSControl - OrderStatus - exiting orderStatus</t>
  </si>
  <si>
    <t>2015-1-26 15:30:42.19: RTWSControl - errMsg - got error message 202:Order Canceled - reason:with id 1040</t>
  </si>
  <si>
    <t>2015-1-26 15:30:42.20: OrderManager - canceledOrder - cleaning up after canceled order 1040BEWARE UNACCOUNTED FOR EXECUTIONS!!!</t>
  </si>
  <si>
    <t>2015-1-26 15:30:42.21: OrderManager - terminateOrder - cleaning up after Canceled 1040  order was supposed to BUY 73 1.5333 STP LMT workingQty/OrderCount now -307/0</t>
  </si>
  <si>
    <t>2015-1-26 15:30:42.22: OrderManagerView - UpdateMainSheetOpenOrder - entering UpdateMainSheetOpenOrder order.status is Canceled</t>
  </si>
  <si>
    <t>2015-1-26 15:30:42.35: openOrderEx - I am here</t>
  </si>
  <si>
    <t>2015-1-26 15:30:42.60: RTWSControl - orderStatus -  entering orderStatus id is 1041 status is PreSubmitted</t>
  </si>
  <si>
    <t>2015-1-26 15:30:42.61: OrderManager - UpdateOrderStatus - id 1041 Setting status to PreSubmitted workingOrderCount is now 0 workingQty -307</t>
  </si>
  <si>
    <t>2015-1-26 15:30:42.61: OrderManagerView - UpdateMainSheetOpenOrder - entering UpdateMainSheetOpenOrder order.status is PreSubmitted</t>
  </si>
  <si>
    <t>2015-1-26 15:30:42.64: RTWSControl - OrderStatus - Got OrderStatus Message id:1041 status: PreSubmitted filled: 0</t>
  </si>
  <si>
    <t>2015-1-26 15:30:42.65: RTWSControl - OrderStatus - exiting orderStatus</t>
  </si>
  <si>
    <t>2015-1-26 15:30:43.19: OrderManagerView - UpdateMainSheetOpenOrder - entering UpdateMainSheetOpenOrder order.status is PreSubmitted</t>
  </si>
  <si>
    <t>2015-1-26 15:30:43.22: OrderManagerView - CleanOpenOrderView - an error occurred Object doesn't support this property or method</t>
  </si>
  <si>
    <t>2015-1-26 15:30:43.25: OrderManagerView - UpdateMainSheetOpenOrder - entering UpdateMainSheetOpenOrder order.status is PreSubmitted</t>
  </si>
  <si>
    <t>2015-1-26 15:30:45.113: OrderManagerView - UpdateMainSheetOpenOrder - entering UpdateMainSheetOpenOrder order.status is PreSubmitted</t>
  </si>
  <si>
    <t>2015-1-26 15:30:45.133: OrderManagerView - UpdateMainSheetOpenOrder - entering UpdateMainSheetOpenOrder order.status is PreSubmitted</t>
  </si>
  <si>
    <t>2015-1-26 15:30:45.144: OrderManagerView - UpdateMainSheetOpenOrder - entering UpdateMainSheetOpenOrder order.status is PreSubmitted</t>
  </si>
  <si>
    <t>2015-1-26 15:30:45.152: OrderManagerView - UpdateMainSheetOpenOrder - entering UpdateMainSheetOpenOrder order.status is PreSubmitted</t>
  </si>
  <si>
    <t>2015-1-26 15:30:49.1: OrderManagerView - UpdateMainSheetOpenOrder - entering UpdateMainSheetOpenOrder order.status is PreSubmitted</t>
  </si>
  <si>
    <t>2015-1-26 15:30:49.9: OrderManagerView - UpdateMainSheetOpenOrder - entering UpdateMainSheetOpenOrder order.status is PreSubmitted</t>
  </si>
  <si>
    <t>2015-1-26 15:30:52.6: OrderManagerView - UpdateMainSheetOpenOrder - entering UpdateMainSheetOpenOrder order.status is PreSubmitted</t>
  </si>
  <si>
    <t>2015-1-26 15:30:52.25: OrderManagerView - UpdateMainSheetOpenOrder - entering UpdateMainSheetOpenOrder order.status is PreSubmitted</t>
  </si>
  <si>
    <t>2015-1-26 15:31:3.243: AutostopView - getOffTicks - an error occurred Type mismatch</t>
  </si>
  <si>
    <t>2015-1-26 15:31:3.244: AutostopView - getBuyPrice - an error occurred Type mismatch</t>
  </si>
  <si>
    <t>2015-1-26 15:31:3.246: AutostopView - getBuyQty - an error occurred Type mismatch</t>
  </si>
  <si>
    <t>2015-1-26 15:31:3.246: OrderManager - cancelOrder - cancelling order id 1041</t>
  </si>
  <si>
    <t>2015-1-26 15:31:3.247: OrderManager - PlaceOrder - id 1042 workingQty -307</t>
  </si>
  <si>
    <t>2015-1-26 15:31:3.248: OrderManagerView - UpdateMainSheetOpenOrder - entering UpdateMainSheetOpenOrder order.status is In-Flight</t>
  </si>
  <si>
    <t>2015-1-26 15:31:3.250: OrderManager - sendOrder - exiting place order id 1042 BUY 0 0.001  - workingQty -307 currentPosition is 80 workingOrderCount is 1</t>
  </si>
  <si>
    <t>2015-1-26 15:31:3.254: OrderManager - cancelOrder - cancelling order id 1031</t>
  </si>
  <si>
    <t>2015-1-26 15:31:3.255: OrderManager - createOrder - exiting without creating order - did not have validID</t>
  </si>
  <si>
    <t>2015-1-26 15:31:3.256: AutostopperView - updateView - an error occurred Application-defined or object-defined error</t>
  </si>
  <si>
    <t>2015-1-26 15:31:3.257: AutostopperView - updateView - an error occurred Application-defined or object-defined error</t>
  </si>
  <si>
    <t>2015-1-26 15:31:3.696: RTWSControl - errMsg - got error message 321:Error validating request:-'qd' : cause - The size value cannot be zero:with id 1042</t>
  </si>
  <si>
    <t>2015-1-26 15:31:3.697: RTWSControl - errMsg - Got Error_x000D_id: 1042_x000D_errorCode: 321_x000D_errorMsg: Error validating request:-'qd' : cause - The size value cannot be zero:</t>
  </si>
  <si>
    <t>2015-1-26 15:31:3.731: RTWSControl - nextValidId - entering nextValidId id is 1042</t>
  </si>
  <si>
    <t>2015-1-26 15:31:3.739: RTWSControl - orderStatus -  entering orderStatus id is 1041 status is Cancelled</t>
  </si>
  <si>
    <t>2015-1-26 15:31:3.741: OrderManager - UpdateOrderStatus - id 1041 Setting status to Cancelled workingOrderCount is now 1 workingQty -307</t>
  </si>
  <si>
    <t>2015-1-26 15:31:3.742: OrderManagerView - UpdateMainSheetOpenOrder - entering UpdateMainSheetOpenOrder order.status is Cancelled</t>
  </si>
  <si>
    <t>2015-1-26 15:31:3.744: RTWSControl - OrderStatus - Got OrderStatus Message id:1041 status: Cancelled filled: 0</t>
  </si>
  <si>
    <t>2015-1-26 15:31:3.745: RTWSControl - OrderStatus - exiting orderStatus</t>
  </si>
  <si>
    <t>2015-1-26 15:31:3.774: RTWSControl - errMsg - got error message 202:Order Canceled - reason:with id 1041</t>
  </si>
  <si>
    <t>2015-1-26 15:31:3.775: OrderManager - canceledOrder - cleaning up after canceled order 1041BEWARE UNACCOUNTED FOR EXECUTIONS!!!</t>
  </si>
  <si>
    <t>2015-1-26 15:31:3.776: OrderManager - terminateOrder - cleaning up after Canceled 1041  order was supposed to BUY 74 1.5339 STP LMT workingQty/OrderCount now -381/0</t>
  </si>
  <si>
    <t>2015-1-26 15:31:3.777: OrderManagerView - UpdateMainSheetOpenOrder - entering UpdateMainSheetOpenOrder order.status is Canceled</t>
  </si>
  <si>
    <t>2015-1-26 15:31:4.29: RTWSControl - orderStatus -  entering orderStatus id is 1031 status is Cancelled</t>
  </si>
  <si>
    <t>2015-1-26 15:31:4.31: OrderManager - UpdateOrderStatus - id 1031 Setting status to Cancelled workingOrderCount is now 0 workingQty -381</t>
  </si>
  <si>
    <t>2015-1-26 15:31:4.31: OrderManagerView - UpdateMainSheetOpenOrder - entering UpdateMainSheetOpenOrder order.status is Cancelled</t>
  </si>
  <si>
    <t>2015-1-26 15:31:4.34: RTWSControl - OrderStatus - Got OrderStatus Message id:1031 status: Cancelled filled: 0</t>
  </si>
  <si>
    <t>2015-1-26 15:31:4.35: RTWSControl - OrderStatus - exiting orderStatus</t>
  </si>
  <si>
    <t>2015-1-26 15:31:4.66: RTWSControl - errMsg - got error message 202:Order Canceled - reason:with id 1031</t>
  </si>
  <si>
    <t>2015-1-26 15:31:4.67: OrderManager - canceledOrder - cleaning up after canceled order 1031BEWARE UNACCOUNTED FOR EXECUTIONS!!!</t>
  </si>
  <si>
    <t>2015-1-26 15:31:4.68: OrderManager - terminateOrder - cleaning up after Canceled 1031  order was supposed to SELL 73 1.5037 STP LMT workingQty/OrderCount now -454/-1</t>
  </si>
  <si>
    <t>2015-1-26 15:31:4.68: OrderManagerView - UpdateMainSheetOpenOrder - entering UpdateMainSheetOpenOrder order.status is Canceled</t>
  </si>
  <si>
    <t>2015-1-26 15:31:4.404: AutostopView - getOffTicks - an error occurred Type mismatch</t>
  </si>
  <si>
    <t>2015-1-26 15:31:4.405: AutostopView - getBuyPrice - an error occurred Type mismatch</t>
  </si>
  <si>
    <t>2015-1-26 15:31:4.406: AutostopView - getBuyQty - an error occurred Type mismatch</t>
  </si>
  <si>
    <t>2015-1-26 15:31:4.407: OrderManager - PlaceOrder - id 1042 workingQty -454</t>
  </si>
  <si>
    <t>2015-1-26 15:31:4.408: OrderManager - PlaceOrder - An Error Occurred This key is already associated with an element of this collection</t>
  </si>
  <si>
    <t>2015-1-26 15:31:4.409: OrderManagerView - UpdateMainSheetOpenOrder - entering UpdateMainSheetOpenOrder order.status is In-Flight</t>
  </si>
  <si>
    <t>2015-1-26 15:31:4.411: OrderManager - sendOrder - exiting place order id 1042 SELL 0 -0.0011  - workingQty -454 currentPosition is 80 workingOrderCount is 0</t>
  </si>
  <si>
    <t>2015-1-26 15:31:4.412: AutostopperView - updateView - an error occurred Application-defined or object-defined error</t>
  </si>
  <si>
    <t>2015-1-26 15:31:4.413: AutostopperView - updateView - an error occurred Application-defined or object-defined error</t>
  </si>
  <si>
    <t>2015-1-26 15:31:4.414: AutostopperView - updateView - an error occurred Application-defined or object-defined error</t>
  </si>
  <si>
    <t>2015-1-26 15:31:4.415: AutostopperView - updateView - an error occurred Application-defined or object-defined error</t>
  </si>
  <si>
    <t>2015-1-26 15:31:4.659: RTWSControl - errMsg - got error message 321:Error validating request:-'qd' : cause - The size value cannot be zero:with id 1042</t>
  </si>
  <si>
    <t>2015-1-26 15:31:4.661: RTWSControl - errMsg - Got Error_x000D_id: 1042_x000D_errorCode: 321_x000D_errorMsg: Error validating request:-'qd' : cause - The size value cannot be zero:</t>
  </si>
  <si>
    <t>2015-1-26 15:31:4.666: RTWSControl - nextValidId - entering nextValidId id is 1042</t>
  </si>
  <si>
    <t>2015-1-26 15:31:7.69: AutostopView - getOffTicks - an error occurred Type mismatch</t>
  </si>
  <si>
    <t>2015-1-26 15:31:7.70: AutostopView - getBuyPrice - an error occurred Type mismatch</t>
  </si>
  <si>
    <t>2015-1-26 15:31:7.71: AutostopView - getBuyQty - an error occurred Type mismatch</t>
  </si>
  <si>
    <t>2015-1-26 15:31:7.154: AutostopView - getOffTicks - an error occurred Type mismatch</t>
  </si>
  <si>
    <t>2015-1-26 15:31:7.156: AutostopView - getBuyPrice - an error occurred Type mismatch</t>
  </si>
  <si>
    <t>2015-1-26 15:31:7.157: AutostopView - getBuyQty - an error occurred Type mismatch</t>
  </si>
  <si>
    <t>2015-1-26 15:31:8.161: AutostopView - getOffTicks - an error occurred Type mismatch</t>
  </si>
  <si>
    <t>2015-1-26 15:31:8.163: AutostopView - getBuyPrice - an error occurred Type mismatch</t>
  </si>
  <si>
    <t>2015-1-26 15:31:8.164: AutostopView - getBuyQty - an error occurred Type mismatch</t>
  </si>
  <si>
    <t>2015-1-26 15:31:8.989: AutostopView - getOffTicks - an error occurred Type mismatch</t>
  </si>
  <si>
    <t>2015-1-26 15:31:8.991: AutostopView - getBuyPrice - an error occurred Type mismatch</t>
  </si>
  <si>
    <t>2015-1-26 15:31:8.992: AutostopView - getBuyQty - an error occurred Type mismatch</t>
  </si>
  <si>
    <t>2015-1-26 15:31:9.377: AutostopView - getOffTicks - an error occurred Type mismatch</t>
  </si>
  <si>
    <t>2015-1-26 15:31:9.380: AutostopView - getBuyPrice - an error occurred Type mismatch</t>
  </si>
  <si>
    <t>2015-1-26 15:31:9.382: AutostopView - getBuyQty - an error occurred Type mismatch</t>
  </si>
  <si>
    <t>2015-1-26 15:31:9.447: AutostopView - getOffTicks - an error occurred Type mismatch</t>
  </si>
  <si>
    <t>2015-1-26 15:31:9.448: AutostopView - getBuyPrice - an error occurred Type mismatch</t>
  </si>
  <si>
    <t>2015-1-26 15:31:9.450: AutostopView - getBuyQty - an error occurred Type mismatch</t>
  </si>
  <si>
    <t>2015-1-26 15:31:10.306: Algorithm - FindNextStrikes - price is 1.505 nextStrikeUp/Down 1.51/1.5</t>
  </si>
  <si>
    <t>2015-1-26 15:31:10.307: Algorithm - getPortfolioForwardDelta - required deltas is -20 currentHedgePosition is 80</t>
  </si>
  <si>
    <t>2015-1-26 15:31:10.308: Algorithm - getHedgeShortfall - required deltas is -20 price is 1.5049 currentHedgePositionDeltas is 80</t>
  </si>
  <si>
    <t>2015-1-26 15:31:10.309: Algorithm - processTransitionPoint - nextUpper/LowerStrikes are 1.51/1.5 requiredDeltas/currentPosition/currentHedgeShortfall/direction/transitionPrice are -20/80/-100/-1/1.5049</t>
  </si>
  <si>
    <t>2015-1-26 15:31:10.309: TransitionLogger - processTransitionpoint - checking transition - currentHedgeShortfall is -100</t>
  </si>
  <si>
    <t>2015-1-26 15:31:10.312: AutostopView - getOffTicks - an error occurred Type mismatch</t>
  </si>
  <si>
    <t>2015-1-26 15:31:10.314: AutostopView - getBuyPrice - an error occurred Type mismatch</t>
  </si>
  <si>
    <t>2015-1-26 15:31:10.315: AutostopView - getBuyQty - an error occurred Type mismatch</t>
  </si>
  <si>
    <t>2015-1-26 15:31:10.333: AutostopView - getOffTicks - an error occurred Type mismatch</t>
  </si>
  <si>
    <t>2015-1-26 15:31:10.338: AutostopView - getBuyPrice - an error occurred Type mismatch</t>
  </si>
  <si>
    <t>2015-1-26 15:31:10.339: AutostopView - getBuyQty - an error occurred Type mismatch</t>
  </si>
  <si>
    <t>2015-1-26 15:31:11.459: AutostopView - getOffTicks - an error occurred Type mismatch</t>
  </si>
  <si>
    <t>2015-1-26 15:31:11.465: AutostopView - getBuyPrice - an error occurred Type mismatch</t>
  </si>
  <si>
    <t>2015-1-26 15:31:11.467: AutostopView - getBuyQty - an error occurred Type mismatch</t>
  </si>
  <si>
    <t>2015-1-26 15:31:11.659: AutostopView - getOffTicks - an error occurred Type mismatch</t>
  </si>
  <si>
    <t>2015-1-26 15:31:11.660: AutostopView - getBuyPrice - an error occurred Type mismatch</t>
  </si>
  <si>
    <t>2015-1-26 15:31:11.662: AutostopView - getBuyQty - an error occurred Type mismatch</t>
  </si>
  <si>
    <t>2015-1-26 15:31:11.705: AutostopView - getOffTicks - an error occurred Type mismatch</t>
  </si>
  <si>
    <t>2015-1-26 15:31:11.706: AutostopView - getBuyPrice - an error occurred Type mismatch</t>
  </si>
  <si>
    <t>2015-1-26 15:31:11.708: AutostopView - getBuyQty - an error occurred Type mismatch</t>
  </si>
  <si>
    <t>2015-1-26 15:31:11.737: AutostopView - getOffTicks - an error occurred Type mismatch</t>
  </si>
  <si>
    <t>2015-1-26 15:31:11.739: AutostopView - getBuyPrice - an error occurred Type mismatch</t>
  </si>
  <si>
    <t>2015-1-26 15:31:11.740: AutostopView - getBuyQty - an error occurred Type mismatch</t>
  </si>
  <si>
    <t>2015-1-26 15:31:11.762: AutostopView - getOffTicks - an error occurred Type mismatch</t>
  </si>
  <si>
    <t>2015-1-26 15:31:11.764: AutostopView - getBuyPrice - an error occurred Type mismatch</t>
  </si>
  <si>
    <t>2015-1-26 15:31:11.765: AutostopView - getBuyQty - an error occurred Type mismatch</t>
  </si>
  <si>
    <t>2015-1-26 15:31:11.807: AutostopView - getOffTicks - an error occurred Type mismatch</t>
  </si>
  <si>
    <t>2015-1-26 15:31:11.808: AutostopView - getBuyPrice - an error occurred Type mismatch</t>
  </si>
  <si>
    <t>2015-1-26 15:31:11.810: AutostopView - getBuyQty - an error occurred Type mismatch</t>
  </si>
  <si>
    <t>2015-1-26 15:31:12.97: AutostopView - getOffTicks - an error occurred Type mismatch</t>
  </si>
  <si>
    <t>2015-1-26 15:31:12.99: AutostopView - getBuyPrice - an error occurred Type mismatch</t>
  </si>
  <si>
    <t>2015-1-26 15:31:12.100: AutostopView - getBuyQty - an error occurred Type mismatch</t>
  </si>
  <si>
    <t>2015-1-26 15:31:12.151: AutostopView - getOffTicks - an error occurred Type mismatch</t>
  </si>
  <si>
    <t>2015-1-26 15:31:12.152: AutostopView - getBuyPrice - an error occurred Type mismatch</t>
  </si>
  <si>
    <t>2015-1-26 15:31:12.154: AutostopView - getBuyQty - an error occurred Type mismatch</t>
  </si>
  <si>
    <t>2015-1-26 15:31:14.209: AutostopView - getOffTicks - an error occurred Type mismatch</t>
  </si>
  <si>
    <t>2015-1-26 15:31:14.217: AutostopView - getBuyPrice - an error occurred Type mismatch</t>
  </si>
  <si>
    <t>2015-1-26 15:31:14.220: AutostopView - getBuyQty - an error occurred Type mismatch</t>
  </si>
  <si>
    <t>2015-1-26 15:31:15.405: OrderManagerView - CleanOpenOrderView - an error occurred Object doesn't support this property or method</t>
  </si>
  <si>
    <t>2015-1-26 15:31:15.407: OrderManagerView - CleanOpenOrderView - an error occurred Application-defined or object-defined error</t>
  </si>
  <si>
    <t>2015-1-26 15:31:15.408: OrderManagerView - CleanOpenOrderView - an error occurred Object doesn't support this property or method</t>
  </si>
  <si>
    <t>2015-1-26 15:31:15.409: OrderManagerView - CleanOpenOrderView - an error occurred Application-defined or object-defined error</t>
  </si>
  <si>
    <t>2015-1-26 15:31:15.411: OrderManagerView - CleanOpenOrderView - an error occurred Object doesn't support this property or method</t>
  </si>
  <si>
    <t>2015-1-26 15:31:15.412: OrderManagerView - CleanOpenOrderView - an error occurred Application-defined or object-defined error</t>
  </si>
  <si>
    <t>2015-1-26 15:31:15.413: OrderManagerView - UpdateMainSheetOpenOrder - entering UpdateMainSheetOpenOrder order.status is In-Flight</t>
  </si>
  <si>
    <t>2015-1-26 15:31:15.415: OrderManagerView - UpdateMainSheetOpenOrder - entering UpdateMainSheetOpenOrder order.status is In-Flight</t>
  </si>
  <si>
    <t>2015-1-26 15:31:15.417: OrderManagerView - CleanOpenOrderView - an error occurred Application-defined or object-defined error</t>
  </si>
  <si>
    <t>2015-1-26 15:31:15.420: OrderManagerView - CleanOpenOrderView - an error occurred Application-defined or object-defined error</t>
  </si>
  <si>
    <t>2015-1-26 15:31:15.427: OrderManagerView - UpdateMainSheetOpenOrder - entering UpdateMainSheetOpenOrder order.status is In-Flight</t>
  </si>
  <si>
    <t>2015-1-26 15:31:15.433: OrderManagerView - UpdateMainSheetOpenOrder - entering UpdateMainSheetOpenOrder order.status is In-Flight</t>
  </si>
  <si>
    <t>2015-1-26 15:31:15.436: OrderManagerView - CleanOpenOrderView - an error occurred Application-defined or object-defined error</t>
  </si>
  <si>
    <t>2015-1-26 15:31:15.437: OrderManagerView - CleanOpenOrderView - an error occurred Application-defined or object-defined error</t>
  </si>
  <si>
    <t>2015-1-26 15:31:16.671: AutostopView - getOffTicks - an error occurred Type mismatch</t>
  </si>
  <si>
    <t>2015-1-26 15:31:16.674: AutostopView - getBuyPrice - an error occurred Type mismatch</t>
  </si>
  <si>
    <t>2015-1-26 15:31:16.677: AutostopView - getBuyQty - an error occurred Type mismatch</t>
  </si>
  <si>
    <t>2015-1-26 15:31:17.822: AutostopView - getOffTicks - an error occurred Type mismatch</t>
  </si>
  <si>
    <t>2015-1-26 15:31:17.823: AutostopView - getBuyPrice - an error occurred Type mismatch</t>
  </si>
  <si>
    <t>2015-1-26 15:31:17.825: AutostopView - getBuyQty - an error occurred Type mismatch</t>
  </si>
  <si>
    <t>2015-1-26 15:31:18.530: AutostopView - getOffTicks - an error occurred Type mismatch</t>
  </si>
  <si>
    <t>2015-1-26 15:31:18.532: AutostopView - getBuyPrice - an error occurred Type mismatch</t>
  </si>
  <si>
    <t>2015-1-26 15:31:18.533: AutostopView - getBuyQty - an error occurred Type mismatch</t>
  </si>
  <si>
    <t>2015-1-26 15:31:20.604: OrderManager - cancelOrder - cancelling order id 1042</t>
  </si>
  <si>
    <t>2015-1-26 15:31:20.605: OrderManager - PlaceOrder - id 1042 workingQty -377</t>
  </si>
  <si>
    <t>2015-1-26 15:31:20.606: OrderManager - PlaceOrder - An Error Occurred This key is already associated with an element of this collection</t>
  </si>
  <si>
    <t>2015-1-26 15:31:20.607: OrderManagerView - UpdateMainSheetOpenOrder - entering UpdateMainSheetOpenOrder order.status is In-Flight</t>
  </si>
  <si>
    <t>2015-1-26 15:31:20.610: OrderManager - sendOrder - exiting place order id 1042 BUY 77 1.5344  - workingQty -377 currentPosition is 80 workingOrderCount is 1</t>
  </si>
  <si>
    <t>2015-1-26 15:31:20.611: OrderManager - cancelOrder - cancelling order id 1042</t>
  </si>
  <si>
    <t>2015-1-26 15:31:20.612: OrderManager - createOrder - exiting without creating order - did not have validID</t>
  </si>
  <si>
    <t>2015-1-26 15:31:20.747: RTWSControl - errMsg - got error message 135:Can't find order with id =1042with id 1042</t>
  </si>
  <si>
    <t>2015-1-26 15:31:20.748: OrderManager - lostOrder - This is a BAD thing!!!!!1042</t>
  </si>
  <si>
    <t>2015-1-26 15:31:20.749: OrderManager - terminateOrder - cleaning up after Lost 1042  order was supposed to BUY 0 0.001 STP LMT workingQty/OrderCount now -377/0</t>
  </si>
  <si>
    <t>2015-1-26 15:31:20.750: OrderManagerView - UpdateMainSheetOpenOrder - entering UpdateMainSheetOpenOrder order.status is Lost</t>
  </si>
  <si>
    <t>Lost</t>
  </si>
  <si>
    <t>2015-1-26 15:31:20.775: RTWSControl - nextValidId - entering nextValidId id is 1043</t>
  </si>
  <si>
    <t>2015-1-26 15:31:20.855: openOrderEx - I am here</t>
  </si>
  <si>
    <t>2015-1-26 15:31:20.861: RTWSControl - orderStatus -  entering orderStatus id is 1042 status is PendingCancel</t>
  </si>
  <si>
    <t>2015-1-26 15:31:20.862: OrderManager - UpdateOrderStatus - id 1042 Setting status to PendingCancel workingOrderCount is now 0 workingQty -377</t>
  </si>
  <si>
    <t>2015-1-26 15:31:20.863: OrderManagerView - UpdateMainSheetOpenOrder - entering UpdateMainSheetOpenOrder order.status is PendingCancel</t>
  </si>
  <si>
    <t>2015-1-26 15:31:20.865: RTWSControl - OrderStatus - Got OrderStatus Message id:1042 status: PendingCancel filled: 0</t>
  </si>
  <si>
    <t>2015-1-26 15:31:20.866: RTWSControl - OrderStatus - exiting orderStatus</t>
  </si>
  <si>
    <t>2015-1-26 15:31:21.76: OrderManager - PlaceOrder - id 1043 workingQty -454</t>
  </si>
  <si>
    <t>2015-1-26 15:31:21.76: OrderManagerView - UpdateMainSheetOpenOrder - entering UpdateMainSheetOpenOrder order.status is In-Flight</t>
  </si>
  <si>
    <t>2015-1-26 15:31:21.81: OrderManager - sendOrder - exiting place order id 1043 SELL 77 1.5032  - workingQty -454 currentPosition is 80 workingOrderCount is 1</t>
  </si>
  <si>
    <t>2015-1-26 15:31:21.276: RTWSControl - orderStatus -  entering orderStatus id is 1042 status is Cancelled</t>
  </si>
  <si>
    <t>2015-1-26 15:31:21.277: OrderManager - UpdateOrderStatus - id 1042 Setting status to Cancelled workingOrderCount is now 1 workingQty -454</t>
  </si>
  <si>
    <t>2015-1-26 15:31:21.278: OrderManagerView - UpdateMainSheetOpenOrder - entering UpdateMainSheetOpenOrder order.status is Cancelled</t>
  </si>
  <si>
    <t>2015-1-26 15:31:21.280: RTWSControl - OrderStatus - Got OrderStatus Message id:1042 status: Cancelled filled: 0</t>
  </si>
  <si>
    <t>2015-1-26 15:31:21.281: RTWSControl - OrderStatus - exiting orderStatus</t>
  </si>
  <si>
    <t>2015-1-26 15:31:21.289: RTWSControl - errMsg - got error message 202:Order Canceled - reason:with id 1042</t>
  </si>
  <si>
    <t>2015-1-26 15:31:21.291: OrderManager - canceledOrder - cleaning up after canceled order 1042BEWARE UNACCOUNTED FOR EXECUTIONS!!!</t>
  </si>
  <si>
    <t>2015-1-26 15:31:21.292: OrderManager - terminateOrder - cleaning up after Canceled 1042  order was supposed to BUY 0 0.001 STP LMT workingQty/OrderCount now -531/0</t>
  </si>
  <si>
    <t>2015-1-26 15:31:21.293: OrderManagerView - UpdateMainSheetOpenOrder - entering UpdateMainSheetOpenOrder order.status is Canceled</t>
  </si>
  <si>
    <t>2015-1-26 15:31:21.524: RTWSControl - nextValidId - entering nextValidId id is 1044</t>
  </si>
  <si>
    <t>2015-1-26 15:31:21.534: openOrderEx - I am here</t>
  </si>
  <si>
    <t>2015-1-26 15:31:21.539: RTWSControl - orderStatus -  entering orderStatus id is 1043 status is PreSubmitted</t>
  </si>
  <si>
    <t>2015-1-26 15:31:21.540: OrderManager - UpdateOrderStatus - id 1043 Setting status to PreSubmitted workingOrderCount is now 0 workingQty -531</t>
  </si>
  <si>
    <t>2015-1-26 15:31:21.541: OrderManagerView - UpdateMainSheetOpenOrder - entering UpdateMainSheetOpenOrder order.status is PreSubmitted</t>
  </si>
  <si>
    <t>2015-1-26 15:31:21.544: RTWSControl - OrderStatus - Got OrderStatus Message id:1043 status: PreSubmitted filled: 0</t>
  </si>
  <si>
    <t>2015-1-26 15:31:21.545: RTWSControl - OrderStatus - exiting orderStatus</t>
  </si>
  <si>
    <t>2015-1-26 15:31:21.646: OrderManager - cancelOrder - cancelling order id 1042</t>
  </si>
  <si>
    <t>2015-1-26 15:31:21.647: OrderManager - PlaceOrder - id 1044 workingQty -454</t>
  </si>
  <si>
    <t>2015-1-26 15:31:21.647: OrderManagerView - UpdateMainSheetOpenOrder - entering UpdateMainSheetOpenOrder order.status is In-Flight</t>
  </si>
  <si>
    <t>2015-1-26 15:31:21.650: OrderManager - sendOrder - exiting place order id 1044 BUY 77 1.5337  - workingQty -454 currentPosition is 80 workingOrderCount is 1</t>
  </si>
  <si>
    <t>2015-1-26 15:31:22.42: RTWSControl - errMsg - got error message 161:Cancel attempted when order is not in a cancellable state.  Order permId =1437994584with id 1042</t>
  </si>
  <si>
    <t>2015-1-26 15:31:22.67: RTWSControl - nextValidId - entering nextValidId id is 1045</t>
  </si>
  <si>
    <t>2015-1-26 15:31:22.76: openOrderEx - I am here</t>
  </si>
  <si>
    <t>2015-1-26 15:31:22.81: RTWSControl - orderStatus -  entering orderStatus id is 1044 status is PreSubmitted</t>
  </si>
  <si>
    <t>2015-1-26 15:31:22.83: OrderManager - UpdateOrderStatus - id 1044 Setting status to PreSubmitted workingOrderCount is now 1 workingQty -454</t>
  </si>
  <si>
    <t>2015-1-26 15:31:22.83: OrderManagerView - UpdateMainSheetOpenOrder - entering UpdateMainSheetOpenOrder order.status is PreSubmitted</t>
  </si>
  <si>
    <t>2015-1-26 15:31:22.86: RTWSControl - OrderStatus - Got OrderStatus Message id:1044 status: PreSubmitted filled: 0</t>
  </si>
  <si>
    <t>2015-1-26 15:31:22.87: RTWSControl - OrderStatus - exiting orderStatus</t>
  </si>
  <si>
    <t>2015-1-26 15:31:29.235: AutostopView - getOffTicks - an error occurred Type mismatch</t>
  </si>
  <si>
    <t>2015-1-26 15:31:29.236: AutostopView - getBuyPrice - an error occurred Type mismatch</t>
  </si>
  <si>
    <t>2015-1-26 15:31:29.238: AutostopView - getBuyQty - an error occurred Type mismatch</t>
  </si>
  <si>
    <t>2015-1-26 15:31:29.239: OrderManager - cancelOrder - cancelling order id 1044</t>
  </si>
  <si>
    <t>2015-1-26 15:31:29.240: OrderManager - PlaceOrder - id 1045 workingQty -454</t>
  </si>
  <si>
    <t>2015-1-26 15:31:29.240: OrderManagerView - UpdateMainSheetOpenOrder - entering UpdateMainSheetOpenOrder order.status is In-Flight</t>
  </si>
  <si>
    <t>2015-1-26 15:31:29.241: OrderManagerView - incrementNextOORow - there are no available OpenOrderView Rows!!!!!!</t>
  </si>
  <si>
    <t>2015-1-26 15:31:29.244: OrderManager - sendOrder - exiting place order id 1045 BUY 0 0.001  - workingQty -454 currentPosition is 80 workingOrderCount is 2</t>
  </si>
  <si>
    <t>2015-1-26 15:31:29.245: OrderManager - cancelOrder - cancelling order id 1043</t>
  </si>
  <si>
    <t>2015-1-26 15:31:29.245: OrderManager - createOrder - exiting without creating order - did not have validID</t>
  </si>
  <si>
    <t>2015-1-26 15:31:29.247: AutostopperView - updateView - an error occurred Application-defined or object-defined error</t>
  </si>
  <si>
    <t>2015-1-26 15:31:29.248: AutostopperView - updateView - an error occurred Application-defined or object-defined error</t>
  </si>
  <si>
    <t>2015-1-26 15:31:29.698: RTWSControl - errMsg - got error message 321:Error validating request:-'qd' : cause - The size value cannot be zero:with id 1045</t>
  </si>
  <si>
    <t>2015-1-26 15:31:29.699: RTWSControl - errMsg - Got Error_x000D_id: 1045_x000D_errorCode: 321_x000D_errorMsg: Error validating request:-'qd' : cause - The size value cannot be zero:</t>
  </si>
  <si>
    <t>2015-1-26 15:31:29.729: RTWSControl - nextValidId - entering nextValidId id is 1045</t>
  </si>
  <si>
    <t>2015-1-26 15:31:29.735: RTWSControl - orderStatus -  entering orderStatus id is 1044 status is Cancelled</t>
  </si>
  <si>
    <t>2015-1-26 15:31:29.736: OrderManager - UpdateOrderStatus - id 1044 Setting status to Cancelled workingOrderCount is now 2 workingQty -454</t>
  </si>
  <si>
    <t>2015-1-26 15:31:29.737: OrderManagerView - UpdateMainSheetOpenOrder - entering UpdateMainSheetOpenOrder order.status is Cancelled</t>
  </si>
  <si>
    <t>2015-1-26 15:31:29.740: RTWSControl - OrderStatus - Got OrderStatus Message id:1044 status: Cancelled filled: 0</t>
  </si>
  <si>
    <t>2015-1-26 15:31:29.741: RTWSControl - OrderStatus - exiting orderStatus</t>
  </si>
  <si>
    <t>2015-1-26 15:31:29.773: RTWSControl - errMsg - got error message 202:Order Canceled - reason:with id 1044</t>
  </si>
  <si>
    <t>2015-1-26 15:31:29.774: OrderManager - canceledOrder - cleaning up after canceled order 1044BEWARE UNACCOUNTED FOR EXECUTIONS!!!</t>
  </si>
  <si>
    <t>2015-1-26 15:31:29.775: OrderManager - terminateOrder - cleaning up after Canceled 1044  order was supposed to BUY 77 1.5337 STP LMT workingQty/OrderCount now -531/1</t>
  </si>
  <si>
    <t>2015-1-26 15:31:29.776: OrderManagerView - UpdateMainSheetOpenOrder - entering UpdateMainSheetOpenOrder order.status is Canceled</t>
  </si>
  <si>
    <t>2015-1-26 15:31:29.900: AutostopView - getOffTicks - an error occurred Type mismatch</t>
  </si>
  <si>
    <t>2015-1-26 15:31:29.901: AutostopView - getBuyPrice - an error occurred Type mismatch</t>
  </si>
  <si>
    <t>2015-1-26 15:31:29.903: AutostopView - getBuyQty - an error occurred Type mismatch</t>
  </si>
  <si>
    <t>2015-1-26 15:31:29.904: OrderManager - PlaceOrder - id 1045 workingQty -531</t>
  </si>
  <si>
    <t>2015-1-26 15:31:29.904: OrderManager - PlaceOrder - An Error Occurred This key is already associated with an element of this collection</t>
  </si>
  <si>
    <t>2015-1-26 15:31:29.905: OrderManagerView - UpdateMainSheetOpenOrder - entering UpdateMainSheetOpenOrder order.status is In-Flight</t>
  </si>
  <si>
    <t>2015-1-26 15:31:29.906: OrderManagerView - incrementNextOORow - there are no available OpenOrderView Rows!!!!!!</t>
  </si>
  <si>
    <t>2015-1-26 15:31:29.909: OrderManager - sendOrder - exiting place order id 1045 SELL 0 -0.0011  - workingQty -531 currentPosition is 80 workingOrderCount is 2</t>
  </si>
  <si>
    <t>2015-1-26 15:31:29.910: AutostopperView - updateView - an error occurred Application-defined or object-defined error</t>
  </si>
  <si>
    <t>2015-1-26 15:31:29.911: AutostopperView - updateView - an error occurred Application-defined or object-defined error</t>
  </si>
  <si>
    <t>2015-1-26 15:31:29.912: AutostopperView - updateView - an error occurred Application-defined or object-defined error</t>
  </si>
  <si>
    <t>2015-1-26 15:31:29.913: AutostopperView - updateView - an error occurred Application-defined or object-defined error</t>
  </si>
  <si>
    <t>2015-1-26 15:31:30.230: RTWSControl - orderStatus -  entering orderStatus id is 1043 status is Cancelled</t>
  </si>
  <si>
    <t>2015-1-26 15:31:30.232: OrderManager - UpdateOrderStatus - id 1043 Setting status to Cancelled workingOrderCount is now 2 workingQty -531</t>
  </si>
  <si>
    <t>2015-1-26 15:31:30.233: OrderManagerView - UpdateMainSheetOpenOrder - entering UpdateMainSheetOpenOrder order.status is Cancelled</t>
  </si>
  <si>
    <t>2015-1-26 15:31:30.235: RTWSControl - OrderStatus - Got OrderStatus Message id:1043 status: Cancelled filled: 0</t>
  </si>
  <si>
    <t>2015-1-26 15:31:30.236: RTWSControl - OrderStatus - exiting orderStatus</t>
  </si>
  <si>
    <t>2015-1-26 15:31:30.245: RTWSControl - errMsg - got error message 202:Order Canceled - reason:with id 1043</t>
  </si>
  <si>
    <t>2015-1-26 15:31:30.246: OrderManager - canceledOrder - cleaning up after canceled order 1043BEWARE UNACCOUNTED FOR EXECUTIONS!!!</t>
  </si>
  <si>
    <t>2015-1-26 15:31:30.247: OrderManager - terminateOrder - cleaning up after Canceled 1043  order was supposed to SELL 77 1.5032 STP LMT workingQty/OrderCount now -608/1</t>
  </si>
  <si>
    <t>2015-1-26 15:31:30.248: OrderManagerView - UpdateMainSheetOpenOrder - entering UpdateMainSheetOpenOrder order.status is Canceled</t>
  </si>
  <si>
    <t>2015-1-26 15:31:30.364: RTWSControl - errMsg - got error message 321:Error validating request:-'qd' : cause - The size value cannot be zero:with id 1045</t>
  </si>
  <si>
    <t>2015-1-26 15:31:30.365: RTWSControl - errMsg - Got Error_x000D_id: 1045_x000D_errorCode: 321_x000D_errorMsg: Error validating request:-'qd' : cause - The size value cannot be zero:</t>
  </si>
  <si>
    <t>2015-1-26 15:31:30.370: RTWSControl - nextValidId - entering nextValidId id is 1045</t>
  </si>
  <si>
    <t>2015-1-26 15:31:30.655: OrderManagerView - UpdateMainSheetOpenOrder - entering UpdateMainSheetOpenOrder order.status is In-Flight</t>
  </si>
  <si>
    <t>2015-1-26 15:31:30.657: OrderManagerView - CleanOpenOrderView - an error occurred Object doesn't support this property or method</t>
  </si>
  <si>
    <t>2015-1-26 15:31:30.659: OrderManagerView - CleanOpenOrderView - an error occurred Application-defined or object-defined error</t>
  </si>
  <si>
    <t>2015-1-26 15:31:30.660: OrderManagerView - CleanOpenOrderView - an error occurred Object doesn't support this property or method</t>
  </si>
  <si>
    <t>2015-1-26 15:31:30.661: OrderManagerView - CleanOpenOrderView - an error occurred Application-defined or object-defined error</t>
  </si>
  <si>
    <t>2015-1-26 15:31:30.663: OrderManagerView - CleanOpenOrderView - an error occurred Object doesn't support this property or method</t>
  </si>
  <si>
    <t>2015-1-26 15:31:30.664: OrderManagerView - CleanOpenOrderView - an error occurred Application-defined or object-defined error</t>
  </si>
  <si>
    <t>2015-1-26 15:31:30.665: OrderManagerView - UpdateMainSheetOpenOrder - entering UpdateMainSheetOpenOrder order.status is In-Flight</t>
  </si>
  <si>
    <t>2015-1-26 15:31:30.666: OrderManagerView - CleanOpenOrderView - an error occurred Object doesn't support this property or method</t>
  </si>
  <si>
    <t>2015-1-26 15:31:30.668: OrderManagerView - CleanOpenOrderView - an error occurred Application-defined or object-defined error</t>
  </si>
  <si>
    <t>2015-1-26 15:31:30.671: OrderManagerView - UpdateMainSheetOpenOrder - entering UpdateMainSheetOpenOrder order.status is In-Flight</t>
  </si>
  <si>
    <t>2015-1-26 15:31:30.673: OrderManagerView - CleanOpenOrderView - an error occurred Application-defined or object-defined error</t>
  </si>
  <si>
    <t>2015-1-26 15:31:30.674: OrderManagerView - UpdateMainSheetOpenOrder - entering UpdateMainSheetOpenOrder order.status is In-Flight</t>
  </si>
  <si>
    <t>2015-1-26 15:31:30.677: OrderManagerView - CleanOpenOrderView - an error occurred Application-defined or object-defined error</t>
  </si>
  <si>
    <t>2015-1-26 15:31:30.678: OrderManagerView - CleanOpenOrderView - an error occurred Application-defined or object-defined error</t>
  </si>
  <si>
    <t>2015-1-26 15:31:31.94: OrderManagerView - UpdateMainSheetOpenOrder - entering UpdateMainSheetOpenOrder order.status is In-Flight</t>
  </si>
  <si>
    <t>2015-1-26 15:31:31.97: OrderManagerView - UpdateMainSheetOpenOrder - entering UpdateMainSheetOpenOrder order.status is In-Flight</t>
  </si>
  <si>
    <t>2015-1-26 15:31:31.103: OrderManagerView - UpdateMainSheetOpenOrder - entering UpdateMainSheetOpenOrder order.status is In-Flight</t>
  </si>
  <si>
    <t>2015-1-26 15:31:31.106: OrderManagerView - UpdateMainSheetOpenOrder - entering UpdateMainSheetOpenOrder order.status is In-Flight</t>
  </si>
  <si>
    <t>2015-1-26 15:31:32.532: OrderManager - cancelOrder - cancelling order id 1045</t>
  </si>
  <si>
    <t>2015-1-26 15:31:32.533: OrderManager - PlaceOrder - id 1045 workingQty -531</t>
  </si>
  <si>
    <t>2015-1-26 15:31:32.533: OrderManager - PlaceOrder - An Error Occurred This key is already associated with an element of this collection</t>
  </si>
  <si>
    <t>2015-1-26 15:31:32.534: OrderManagerView - UpdateMainSheetOpenOrder - entering UpdateMainSheetOpenOrder order.status is In-Flight</t>
  </si>
  <si>
    <t>2015-1-26 15:31:32.537: OrderManager - sendOrder - exiting place order id 1045 BUY 77 1.5339  - workingQty -531 currentPosition is 80 workingOrderCount is 2</t>
  </si>
  <si>
    <t>2015-1-26 15:31:32.538: OrderManager - cancelOrder - cancelling order id 1045</t>
  </si>
  <si>
    <t>2015-1-26 15:31:32.538: OrderManager - createOrder - exiting without creating order - did not have validID</t>
  </si>
  <si>
    <t>2015-1-26 15:31:32.656: RTWSControl - errMsg - got error message 135:Can't find order with id =1045with id 1045</t>
  </si>
  <si>
    <t>2015-1-26 15:31:32.657: OrderManager - lostOrder - This is a BAD thing!!!!!1045</t>
  </si>
  <si>
    <t>2015-1-26 15:31:32.657: OrderManager - terminateOrder - cleaning up after Lost 1045  order was supposed to BUY 0 0.001 STP LMT workingQty/OrderCount now -531/1</t>
  </si>
  <si>
    <t>2015-1-26 15:31:32.658: OrderManagerView - UpdateMainSheetOpenOrder - entering UpdateMainSheetOpenOrder order.status is Lost</t>
  </si>
  <si>
    <t>2015-1-26 15:31:32.687: RTWSControl - nextValidId - entering nextValidId id is 1046</t>
  </si>
  <si>
    <t>2015-1-26 15:31:32.783: openOrderEx - I am here</t>
  </si>
  <si>
    <t>2015-1-26 15:31:32.788: RTWSControl - orderStatus -  entering orderStatus id is 1045 status is PendingCancel</t>
  </si>
  <si>
    <t>2015-1-26 15:31:32.790: OrderManager - UpdateOrderStatus - id 1045 Setting status to PendingCancel workingOrderCount is now 1 workingQty -531</t>
  </si>
  <si>
    <t>2015-1-26 15:31:32.791: OrderManagerView - UpdateMainSheetOpenOrder - entering UpdateMainSheetOpenOrder order.status is PendingCancel</t>
  </si>
  <si>
    <t>2015-1-26 15:31:32.793: RTWSControl - OrderStatus - Got OrderStatus Message id:1045 status: PendingCancel filled: 0</t>
  </si>
  <si>
    <t>2015-1-26 15:31:32.794: RTWSControl - OrderStatus - exiting orderStatus</t>
  </si>
  <si>
    <t>2015-1-26 15:31:32.840: RTWSControl - orderStatus -  entering orderStatus id is 1045 status is Cancelled</t>
  </si>
  <si>
    <t>2015-1-26 15:31:32.843: OrderManager - UpdateOrderStatus - id 1045 Setting status to Cancelled workingOrderCount is now 1 workingQty -531</t>
  </si>
  <si>
    <t>2015-1-26 15:31:32.845: OrderManagerView - UpdateMainSheetOpenOrder - entering UpdateMainSheetOpenOrder order.status is Cancelled</t>
  </si>
  <si>
    <t>2015-1-26 15:31:32.849: RTWSControl - OrderStatus - Got OrderStatus Message id:1045 status: Cancelled filled: 0</t>
  </si>
  <si>
    <t>2015-1-26 15:31:32.852: RTWSControl - OrderStatus - exiting orderStatus</t>
  </si>
  <si>
    <t>2015-1-26 15:31:32.892: RTWSControl - errMsg - got error message 202:Order Canceled - reason:with id 1045</t>
  </si>
  <si>
    <t>2015-1-26 15:31:32.894: OrderManager - canceledOrder - cleaning up after canceled order 1045BEWARE UNACCOUNTED FOR EXECUTIONS!!!</t>
  </si>
  <si>
    <t>2015-1-26 15:31:32.897: OrderManager - terminateOrder - cleaning up after Canceled 1045  order was supposed to BUY 0 0.001 STP LMT workingQty/OrderCount now -608/0</t>
  </si>
  <si>
    <t>2015-1-26 15:31:32.899: OrderManagerView - UpdateMainSheetOpenOrder - entering UpdateMainSheetOpenOrder order.status is Canceled</t>
  </si>
  <si>
    <t>2015-1-26 15:31:38.802: OrderManager - PlaceOrder - id 1046 workingQty -686</t>
  </si>
  <si>
    <t>2015-1-26 15:31:38.803: OrderManagerView - UpdateMainSheetOpenOrder - entering UpdateMainSheetOpenOrder order.status is In-Flight</t>
  </si>
  <si>
    <t>2015-1-26 15:31:38.807: OrderManager - sendOrder - exiting place order id 1046 SELL 78 1.5031  - workingQty -686 currentPosition is 80 workingOrderCount is 1</t>
  </si>
  <si>
    <t>2015-1-26 15:31:40.742: OrderManagerView - UpdateMainSheetOpenOrder - entering UpdateMainSheetOpenOrder order.status is In-Flight</t>
  </si>
  <si>
    <t>2015-1-26 15:31:40.744: OrderManagerView - UpdateMainSheetOpenOrder - entering UpdateMainSheetOpenOrder order.status is In-Flight</t>
  </si>
  <si>
    <t>2015-1-26 15:31:40.746: OrderManagerView - UpdateMainSheetOpenOrder - entering UpdateMainSheetOpenOrder order.status is In-Flight</t>
  </si>
  <si>
    <t>2015-1-26 15:31:40.748: OrderManagerView - UpdateMainSheetOpenOrder - entering UpdateMainSheetOpenOrder order.status is In-Flight</t>
  </si>
  <si>
    <t>2015-1-26 15:31:40.754: OrderManagerView - UpdateMainSheetOpenOrder - entering UpdateMainSheetOpenOrder order.status is In-Flight</t>
  </si>
  <si>
    <t>2015-1-26 15:31:40.756: OrderManagerView - UpdateMainSheetOpenOrder - entering UpdateMainSheetOpenOrder order.status is In-Flight</t>
  </si>
  <si>
    <t>2015-1-26 15:31:40.758: OrderManagerView - UpdateMainSheetOpenOrder - entering UpdateMainSheetOpenOrder order.status is In-Flight</t>
  </si>
  <si>
    <t>2015-1-26 15:31:40.760: OrderManagerView - UpdateMainSheetOpenOrder - entering UpdateMainSheetOpenOrder order.status is In-Flight</t>
  </si>
  <si>
    <t>2015-1-26 15:31:44.377: OrderManagerView - UpdateMainSheetOpenOrder - entering UpdateMainSheetOpenOrder order.status is In-Flight</t>
  </si>
  <si>
    <t>2015-1-26 15:31:44.380: OrderManagerView - UpdateMainSheetOpenOrder - entering UpdateMainSheetOpenOrder order.status is In-Flight</t>
  </si>
  <si>
    <t>2015-1-26 15:31:44.382: OrderManagerView - UpdateMainSheetOpenOrder - entering UpdateMainSheetOpenOrder order.status is In-Flight</t>
  </si>
  <si>
    <t>2015-1-26 15:31:44.383: OrderManagerView - UpdateMainSheetOpenOrder - entering UpdateMainSheetOpenOrder order.status is In-Flight</t>
  </si>
  <si>
    <t>2015-1-26 15:31:44.389: OrderManagerView - UpdateMainSheetOpenOrder - entering UpdateMainSheetOpenOrder order.status is In-Flight</t>
  </si>
  <si>
    <t>2015-1-26 15:31:44.391: OrderManagerView - UpdateMainSheetOpenOrder - entering UpdateMainSheetOpenOrder order.status is In-Flight</t>
  </si>
  <si>
    <t>2015-1-26 15:31:44.393: OrderManagerView - UpdateMainSheetOpenOrder - entering UpdateMainSheetOpenOrder order.status is In-Flight</t>
  </si>
  <si>
    <t>2015-1-26 15:31:44.394: OrderManagerView - UpdateMainSheetOpenOrder - entering UpdateMainSheetOpenOrder order.status is In-Flight</t>
  </si>
  <si>
    <t>2015-1-26 15:31:44.400: OrderManagerView - UpdateMainSheetOpenOrder - entering UpdateMainSheetOpenOrder order.status is In-Flight</t>
  </si>
  <si>
    <t>2015-1-26 15:31:44.403: OrderManagerView - UpdateMainSheetOpenOrder - entering UpdateMainSheetOpenOrder order.status is In-Flight</t>
  </si>
  <si>
    <t>2015-1-26 15:31:44.405: OrderManagerView - UpdateMainSheetOpenOrder - entering UpdateMainSheetOpenOrder order.status is In-Flight</t>
  </si>
  <si>
    <t>2015-1-26 15:31:44.406: OrderManagerView - UpdateMainSheetOpenOrder - entering UpdateMainSheetOpenOrder order.status is In-Flight</t>
  </si>
  <si>
    <t>2015-1-26 15:31:44.422: OrderManagerView - UpdateMainSheetOpenOrder - entering UpdateMainSheetOpenOrder order.status is In-Flight</t>
  </si>
  <si>
    <t>2015-1-26 15:31:44.424: OrderManagerView - UpdateMainSheetOpenOrder - entering UpdateMainSheetOpenOrder order.status is In-Flight</t>
  </si>
  <si>
    <t>2015-1-26 15:31:44.426: OrderManagerView - UpdateMainSheetOpenOrder - entering UpdateMainSheetOpenOrder order.status is In-Flight</t>
  </si>
  <si>
    <t>2015-1-26 15:31:44.427: OrderManagerView - UpdateMainSheetOpenOrder - entering UpdateMainSheetOpenOrder order.status is In-Flight</t>
  </si>
  <si>
    <t>Qty</t>
  </si>
  <si>
    <t>2015-1-26 15:31:47.621: OrderManager - cancelOrder - cancelling order id 1045</t>
  </si>
  <si>
    <t>2015-1-26 15:31:47.622: OrderManager - createOrder - exiting without creating order - did not have validID</t>
  </si>
  <si>
    <t>2015-1-26 15:31:47.662: OrderManager - createOrder - exiting without creating order - did not have validID</t>
  </si>
  <si>
    <t>2015-1-26 15:31:47.836: OrderManager - createOrder - exiting without creating order - did not have validID</t>
  </si>
  <si>
    <t>2015-1-26 15:31:47.948: OrderManager - createOrder - exiting without creating order - did not have validID</t>
  </si>
  <si>
    <t>2015-1-26 15:31:48.26: RTWSControl - errMsg - got error message 135:Can't find order with id =1045with id 1045</t>
  </si>
  <si>
    <t>2015-1-26 15:31:48.28: OrderManager - lostOrder - This is a BAD thing!!!!!1045</t>
  </si>
  <si>
    <t>2015-1-26 15:31:48.28: OrderManager - terminateOrder - cleaning up after Lost 1045  order was supposed to BUY 0 0.001 STP LMT workingQty/OrderCount now -763/0</t>
  </si>
  <si>
    <t>2015-1-26 15:31:48.29: OrderManagerView - UpdateMainSheetOpenOrder - entering UpdateMainSheetOpenOrder order.status is Lost</t>
  </si>
  <si>
    <t>2015-1-26 15:31:48.65: OrderManager - createOrder - exiting without creating order - did not have validID</t>
  </si>
  <si>
    <t>2015-1-26 15:31:54.945: OrderManager - createOrder - exiting without creating order - did not have validID</t>
  </si>
  <si>
    <t>2015-1-26 15:31:59.514: OrderManagerView - UpdateMainSheetOpenOrder - entering UpdateMainSheetOpenOrder order.status is In-Flight</t>
  </si>
  <si>
    <t>2015-1-26 15:31:59.516: OrderManagerView - UpdateMainSheetOpenOrder - entering UpdateMainSheetOpenOrder order.status is In-Flight</t>
  </si>
  <si>
    <t>2015-1-26 15:31:59.518: OrderManagerView - UpdateMainSheetOpenOrder - entering UpdateMainSheetOpenOrder order.status is In-Flight</t>
  </si>
  <si>
    <t>2015-1-26 15:31:59.520: OrderManagerView - UpdateMainSheetOpenOrder - entering UpdateMainSheetOpenOrder order.status is In-Flight</t>
  </si>
  <si>
    <t>2015-1-26 15:32:0.625: OrderManager - createOrder - exiting without creating order - did not have validID</t>
  </si>
  <si>
    <t>Contract</t>
  </si>
  <si>
    <t>2015-1-26 15:33:3.111: OrderManager - createOrder - exiting without creating order - did not have validID</t>
  </si>
  <si>
    <t>2015-1-26 15:33:3.161: OrderManager - createOrder - exiting without creating order - did not have validID</t>
  </si>
  <si>
    <t>2015-1-26 15:33:5.784: OrderManager - createOrder - exiting without creating order - did not have validID</t>
  </si>
  <si>
    <t>2015-1-26 15:33:6.246: OrderManager - createOrder - exiting without creating order - did not have validID</t>
  </si>
  <si>
    <t>2015-1-26 15:33:25.528: OrderManager - createOrder - exiting without creating order - did not have validID</t>
  </si>
  <si>
    <t>2015-1-26 15:33:25.529: OrderManager - cancelOrder - cancelling order id 1046</t>
  </si>
  <si>
    <t>2015-1-26 15:33:25.530: OrderManager - createOrder - exiting without creating order - did not have validID</t>
  </si>
  <si>
    <t>2015-1-26 15:33:25.580: OrderManager - createOrder - exiting without creating order - did not have validID</t>
  </si>
  <si>
    <t>2015-1-26 15:33:25.581: OrderManager - createOrder - exiting without creating order - did not have validID</t>
  </si>
  <si>
    <t>2015-1-26 15:33:26.148: RTWSControl - orderStatus -  entering orderStatus id is 1046 status is Cancelled</t>
  </si>
  <si>
    <t>2015-1-26 15:33:26.150: OrderManager - UpdateOrderStatus - id 1046 Setting status to Cancelled workingOrderCount is now 0 workingQty -763</t>
  </si>
  <si>
    <t>2015-1-26 15:33:26.150: OrderManagerView - UpdateMainSheetOpenOrder - entering UpdateMainSheetOpenOrder order.status is Cancelled</t>
  </si>
  <si>
    <t>2015-1-26 15:33:26.153: RTWSControl - OrderStatus - Got OrderStatus Message id:1046 status: Cancelled filled: 0</t>
  </si>
  <si>
    <t>2015-1-26 15:33:26.154: RTWSControl - OrderStatus - exiting orderStatus</t>
  </si>
  <si>
    <t>2015-1-26 15:33:26.163: RTWSControl - errMsg - got error message 202:Order Canceled - reason:with id 1046</t>
  </si>
  <si>
    <t>2015-1-26 15:33:26.165: OrderManager - canceledOrder - cleaning up after canceled order 1046BEWARE UNACCOUNTED FOR EXECUTIONS!!!</t>
  </si>
  <si>
    <t>2015-1-26 15:33:26.166: OrderManager - terminateOrder - cleaning up after Canceled 1046  order was supposed to SELL 78 1.5031 STP LMT workingQty/OrderCount now -841/-1</t>
  </si>
  <si>
    <t>2015-1-26 15:33:26.167: OrderManagerView - UpdateMainSheetOpenOrder - entering UpdateMainSheetOpenOrder order.status is Canceled</t>
  </si>
  <si>
    <t>2015-1-26 15:33:31.699: OrderManager - createOrder - exiting without creating order - did not have validID</t>
  </si>
  <si>
    <t>2015-1-26 15:33:31.700: OrderManager - createOrder - exiting without creating order - did not have validID</t>
  </si>
  <si>
    <t>2015-1-26 15:33:32.697: OrderManager - createOrder - exiting without creating order - did not have validID</t>
  </si>
  <si>
    <t>2015-1-26 15:33:32.698: OrderManager - createOrder - exiting without creating order - did not have validID</t>
  </si>
  <si>
    <t>2015-1-26 15:33:33.108: OrderManager - createOrder - exiting without creating order - did not have validID</t>
  </si>
  <si>
    <t>2015-1-26 15:33:33.110: OrderManager - createOrder - exiting without creating order - did not have validID</t>
  </si>
  <si>
    <t>2015-1-26 15:33:33.331: OrderManager - createOrder - exiting without creating order - did not have validID</t>
  </si>
  <si>
    <t>2015-1-26 15:33:33.332: OrderManager - createOrder - exiting without creating order - did not have validID</t>
  </si>
  <si>
    <t>2015-1-26 15:33:36.44: OrderManagerView - UpdateMainSheetOpenOrder - entering UpdateMainSheetOpenOrder order.status is In-Flight</t>
  </si>
  <si>
    <t>2015-1-26 15:33:36.54: OrderManagerView - UpdateMainSheetOpenOrder - entering UpdateMainSheetOpenOrder order.status is In-Flight</t>
  </si>
  <si>
    <t>2015-1-26 15:33:36.61: OrderManagerView - UpdateMainSheetOpenOrder - entering UpdateMainSheetOpenOrder order.status is In-Flight</t>
  </si>
  <si>
    <t>2015-1-26 15:33:41.576: OrderManager - createOrder - exiting without creating order - did not have validID</t>
  </si>
  <si>
    <t>2015-1-26 15:33:41.577: OrderManager - createOrder - exiting without creating order - did not have validID</t>
  </si>
  <si>
    <t>2015-1-26 15:33:41.650: OrderManager - createOrder - exiting without creating order - did not have validID</t>
  </si>
  <si>
    <t>2015-1-26 15:33:41.651: OrderManager - createOrder - exiting without creating order - did not have validID</t>
  </si>
  <si>
    <t>2015-1-26 15:33:42.452: OrderManager - createOrder - exiting without creating order - did not have validID</t>
  </si>
  <si>
    <t>2015-1-26 15:33:42.456: OrderManager - createOrder - exiting without creating order - did not have validID</t>
  </si>
  <si>
    <t>2015-1-26 15:33:42.628: OrderManager - createOrder - exiting without creating order - did not have validID</t>
  </si>
  <si>
    <t>2015-1-26 15:33:42.629: OrderManager - createOrder - exiting without creating order - did not have validID</t>
  </si>
  <si>
    <t>2015-1-26 15:33:45.205: OrderManager - createOrder - exiting without creating order - did not have validID</t>
  </si>
  <si>
    <t>2015-1-26 15:33:45.207: OrderManager - createOrder - exiting without creating order - did not have validID</t>
  </si>
  <si>
    <t>2015-1-26 15:33:45.490: OrderManager - createOrder - exiting without creating order - did not have validID</t>
  </si>
  <si>
    <t>2015-1-26 15:33:45.491: OrderManager - createOrder - exiting without creating order - did not have validID</t>
  </si>
  <si>
    <t>2015-1-26 15:33:50.360: OrderManager - createOrder - exiting without creating order - did not have validID</t>
  </si>
  <si>
    <t>2015-1-26 15:33:50.361: OrderManager - createOrder - exiting without creating order - did not have validID</t>
  </si>
  <si>
    <t>2015-1-26 15:33:51.666: OrderManager - createOrder - exiting without creating order - did not have validID</t>
  </si>
  <si>
    <t>2015-1-26 15:33:51.671: OrderManager - createOrder - exiting without creating order - did not have validID</t>
  </si>
  <si>
    <t>2015-1-26 15:33:55.697: OrderManager - createOrder - exiting without creating order - did not have validID</t>
  </si>
  <si>
    <t>2015-1-26 15:33:55.699: OrderManager - createOrder - exiting without creating order - did not have validID</t>
  </si>
  <si>
    <t>2015-1-26 15:33:56.997: OrderManager - createOrder - exiting without creating order - did not have validID</t>
  </si>
  <si>
    <t>2015-1-26 15:33:56.998: OrderManager - createOrder - exiting without creating order - did not have validID</t>
  </si>
  <si>
    <t>2015-1-26 15:33:57.401: OrderManager - createOrder - exiting without creating order - did not have validID</t>
  </si>
  <si>
    <t>2015-1-26 15:33:57.402: OrderManager - createOrder - exiting without creating order - did not have validID</t>
  </si>
  <si>
    <t>2015-1-26 15:33:57.451: OrderManager - createOrder - exiting without creating order - did not have validID</t>
  </si>
  <si>
    <t>2015-1-26 15:33:57.452: OrderManager - createOrder - exiting without creating order - did not have validID</t>
  </si>
  <si>
    <t>2015-1-26 15:33:58.156: OrderManager - createOrder - exiting without creating order - did not have validID</t>
  </si>
  <si>
    <t>2015-1-26 15:33:58.157: OrderManager - createOrder - exiting without creating order - did not have validID</t>
  </si>
  <si>
    <t>2015-1-26 15:33:58.209: OrderManager - createOrder - exiting without creating order - did not have validID</t>
  </si>
  <si>
    <t>2015-1-26 15:33:58.210: OrderManager - createOrder - exiting without creating order - did not have validID</t>
  </si>
  <si>
    <t>2015-1-26 15:33:58.630: OrderManager - createOrder - exiting without creating order - did not have validID</t>
  </si>
  <si>
    <t>2015-1-26 15:33:58.632: OrderManager - createOrder - exiting without creating order - did not have validID</t>
  </si>
  <si>
    <t>2015-1-26 15:33:59.281: OrderManager - createOrder - exiting without creating order - did not have validID</t>
  </si>
  <si>
    <t>2015-1-26 15:34:0.655: OrderManager - createOrder - exiting without creating order - did not have validID</t>
  </si>
  <si>
    <t>2015-1-26 15:34:0.656: OrderManager - createOrder - exiting without creating order - did not have validID</t>
  </si>
  <si>
    <t>2015-1-26 15:34:1.990: OrderManager - createOrder - exiting without creating order - did not have validID</t>
  </si>
  <si>
    <t>2015-1-26 15:34:1.991: OrderManager - createOrder - exiting without creating order - did not have validID</t>
  </si>
  <si>
    <t>2015-1-26 15:34:2.231: OrderManager - createOrder - exiting without creating order - did not have validID</t>
  </si>
  <si>
    <t>2015-1-26 15:34:2.232: OrderManager - createOrder - exiting without creating order - did not have validID</t>
  </si>
  <si>
    <t>2015-1-26 15:34:2.246: OrderManager - createOrder - exiting without creating order - did not have validID</t>
  </si>
  <si>
    <t>2015-1-26 15:34:2.247: OrderManager - createOrder - exiting without creating order - did not have validID</t>
  </si>
  <si>
    <t>2015-1-26 15:34:3.224: OrderManager - createOrder - exiting without creating order - did not have validID</t>
  </si>
  <si>
    <t>2015-1-26 15:34:3.225: OrderManager - createOrder - exiting without creating order - did not have validID</t>
  </si>
  <si>
    <t>2015-1-26 15:34:3.543: OrderManager - createOrder - exiting without creating order - did not have validID</t>
  </si>
  <si>
    <t>2015-1-26 15:34:3.544: OrderManager - createOrder - exiting without creating order - did not have validID</t>
  </si>
  <si>
    <t>2015-1-26 15:34:3.755: OrderManager - createOrder - exiting without creating order - did not have validID</t>
  </si>
  <si>
    <t>2015-1-26 15:34:3.756: OrderManager - createOrder - exiting without creating order - did not have validID</t>
  </si>
  <si>
    <t>2015-1-26 15:34:3.825: OrderManager - createOrder - exiting without creating order - did not have validID</t>
  </si>
  <si>
    <t>2015-1-26 15:34:3.826: OrderManager - createOrder - exiting without creating order - did not have validID</t>
  </si>
  <si>
    <t>2015-1-26 15:34:7.186: OrderManager - createOrder - exiting without creating order - did not have validID</t>
  </si>
  <si>
    <t>2015-1-26 15:34:7.188: OrderManager - createOrder - exiting without creating order - did not have validID</t>
  </si>
  <si>
    <t>2015-1-26 15:34:7.495: OrderManager - createOrder - exiting without creating order - did not have validID</t>
  </si>
  <si>
    <t>2015-1-26 15:34:7.496: OrderManager - createOrder - exiting without creating order - did not have validID</t>
  </si>
  <si>
    <t>2015-1-26 15:34:7.769: OrderManager - createOrder - exiting without creating order - did not have validID</t>
  </si>
  <si>
    <t>2015-1-26 15:34:7.771: OrderManager - createOrder - exiting without creating order - did not have validID</t>
  </si>
  <si>
    <t>2015-1-26 15:34:7.827: OrderManager - createOrder - exiting without creating order - did not have validID</t>
  </si>
  <si>
    <t>2015-1-26 15:34:7.828: OrderManager - createOrder - exiting without creating order - did not have validID</t>
  </si>
  <si>
    <t>2015-1-26 15:34:7.983: OrderManager - createOrder - exiting without creating order - did not have validID</t>
  </si>
  <si>
    <t>2015-1-26 15:34:7.984: OrderManager - createOrder - exiting without creating order - did not have validID</t>
  </si>
  <si>
    <t>2015-1-26 15:34:8.221: OrderManager - createOrder - exiting without creating order - did not have validID</t>
  </si>
  <si>
    <t>2015-1-26 15:34:8.223: OrderManager - createOrder - exiting without creating order - did not have validID</t>
  </si>
  <si>
    <t>2015-1-26 15:34:19.523: OrderManager - createOrder - exiting without creating order - did not have validID</t>
  </si>
  <si>
    <t>2015-1-26 15:34:19.524: OrderManager - createOrder - exiting without creating order - did not have validID</t>
  </si>
  <si>
    <t>2015-1-26 15:34:19.576: OrderManager - createOrder - exiting without creating order - did not have validID</t>
  </si>
  <si>
    <t>2015-1-26 15:34:19.577: OrderManager - createOrder - exiting without creating order - did not have validID</t>
  </si>
  <si>
    <t>2015-1-26 15:34:19.874: OrderManager - createOrder - exiting without creating order - did not have validID</t>
  </si>
  <si>
    <t>2015-1-26 15:34:19.875: OrderManager - createOrder - exiting without creating order - did not have validID</t>
  </si>
  <si>
    <t>2015-1-26 15:34:20.456: OrderManager - createOrder - exiting without creating order - did not have validID</t>
  </si>
  <si>
    <t>2015-1-26 15:34:20.457: OrderManager - createOrder - exiting without creating order - did not have validID</t>
  </si>
  <si>
    <t>2015-1-26 15:34:20.697: OrderManager - createOrder - exiting without creating order - did not have validID</t>
  </si>
  <si>
    <t>2015-1-26 15:34:20.698: OrderManager - createOrder - exiting without creating order - did not have validID</t>
  </si>
  <si>
    <t>2015-1-26 15:34:27.420: OrderManager - createOrder - exiting without creating order - did not have validID</t>
  </si>
  <si>
    <t>2015-1-26 15:34:27.421: OrderManager - createOrder - exiting without creating order - did not have validID</t>
  </si>
  <si>
    <t>2015-1-26 15:34:30.818: OrderManager - createOrder - exiting without creating order - did not have validID</t>
  </si>
  <si>
    <t>2015-1-26 15:34:30.819: OrderManager - createOrder - exiting without creating order - did not have validID</t>
  </si>
  <si>
    <t>2015-1-26 15:34:30.847: OrderManager - createOrder - exiting without creating order - did not have validID</t>
  </si>
  <si>
    <t>2015-1-26 15:34:30.848: OrderManager - createOrder - exiting without creating order - did not have validID</t>
  </si>
  <si>
    <t>2015-1-26 15:34:47.678: OrderManager - createOrder - exiting without creating order - did not have validID</t>
  </si>
  <si>
    <t>2015-1-26 15:34:47.679: OrderManager - createOrder - exiting without creating order - did not have validID</t>
  </si>
  <si>
    <t>2015-1-26 15:34:49.471: OrderManager - createOrder - exiting without creating order - did not have validID</t>
  </si>
  <si>
    <t>2015-1-26 15:34:49.472: OrderManager - createOrder - exiting without creating order - did not have validID</t>
  </si>
  <si>
    <t>2015-1-26 15:35:0.412: OrderManager - createOrder - exiting without creating order - did not have validID</t>
  </si>
  <si>
    <t>2015-1-26 15:35:0.413: OrderManager - createOrder - exiting without creating order - did not have validID</t>
  </si>
  <si>
    <t>2015-1-26 15:35:0.544: OrderManager - createOrder - exiting without creating order - did not have validID</t>
  </si>
  <si>
    <t>2015-1-26 15:35:0.545: OrderManager - createOrder - exiting without creating order - did not have validID</t>
  </si>
  <si>
    <t>2015-1-26 15:35:3.202: OrderManager - createOrder - exiting without creating order - did not have validID</t>
  </si>
  <si>
    <t>2015-1-26 15:35:3.204: OrderManager - createOrder - exiting without creating order - did not have validID</t>
  </si>
  <si>
    <t>2015-1-26 15:35:3.364: OrderManager - createOrder - exiting without creating order - did not have validID</t>
  </si>
  <si>
    <t>2015-1-26 15:35:3.365: OrderManager - createOrder - exiting without creating order - did not have validID</t>
  </si>
  <si>
    <t>2015-1-26 15:35:13.306: OrderManager - createOrder - exiting without creating order - did not have validID</t>
  </si>
  <si>
    <t>2015-1-26 15:35:13.307: OrderManager - createOrder - exiting without creating order - did not have validID</t>
  </si>
  <si>
    <t>2015-1-26 15:35:13.330: OrderManager - createOrder - exiting without creating order - did not have validID</t>
  </si>
  <si>
    <t>2015-1-26 15:35:13.331: OrderManager - createOrder - exiting without creating order - did not have validID</t>
  </si>
  <si>
    <t>2015-1-26 15:35:14.901: OrderManager - createOrder - exiting without creating order - did not have validID</t>
  </si>
  <si>
    <t>2015-1-26 15:35:14.902: OrderManager - createOrder - exiting without creating order - did not have validID</t>
  </si>
  <si>
    <t>2015-1-26 15:35:15.165: OrderManager - createOrder - exiting without creating order - did not have validID</t>
  </si>
  <si>
    <t>2015-1-26 15:35:15.166: OrderManager - createOrder - exiting without creating order - did not have validID</t>
  </si>
  <si>
    <t>2015-1-26 15:35:16.210: OrderManager - createOrder - exiting without creating order - did not have validID</t>
  </si>
  <si>
    <t>2015-1-26 15:35:16.212: OrderManager - createOrder - exiting without creating order - did not have validID</t>
  </si>
  <si>
    <t>2015-1-26 15:35:16.752: OrderManager - createOrder - exiting without creating order - did not have validID</t>
  </si>
  <si>
    <t>2015-1-26 15:35:16.755: OrderManager - createOrder - exiting without creating order - did not have validID</t>
  </si>
  <si>
    <t>2015-1-26 15:35:17.361: OrderManager - createOrder - exiting without creating order - did not have validID</t>
  </si>
  <si>
    <t>2015-1-26 15:35:17.362: OrderManager - createOrder - exiting without creating order - did not have validID</t>
  </si>
  <si>
    <t>2015-1-26 15:35:18.560: OrderManager - createOrder - exiting without creating order - did not have validID</t>
  </si>
  <si>
    <t>2015-1-26 15:35:18.562: OrderManager - createOrder - exiting without creating order - did not have validID</t>
  </si>
  <si>
    <t>2015-1-26 15:35:20.386: OrderManager - createOrder - exiting without creating order - did not have validID</t>
  </si>
  <si>
    <t>2015-1-26 15:35:20.387: OrderManager - createOrder - exiting without creating order - did not have validID</t>
  </si>
  <si>
    <t>2015-1-26 15:35:20.573: OrderManager - createOrder - exiting without creating order - did not have validID</t>
  </si>
  <si>
    <t>2015-1-26 15:35:24.780: OrderManager - createOrder - exiting without creating order - did not have validID</t>
  </si>
  <si>
    <t>2015-1-26 15:35:24.781: OrderManager - createOrder - exiting without creating order - did not have validID</t>
  </si>
  <si>
    <t>2015-1-26 15:35:24.824: OrderManager - createOrder - exiting without creating order - did not have validID</t>
  </si>
  <si>
    <t>2015-1-26 15:35:24.825: OrderManager - createOrder - exiting without creating order - did not have validID</t>
  </si>
  <si>
    <t>2015-1-26 15:35:25.135: OrderManager - createOrder - exiting without creating order - did not have validID</t>
  </si>
  <si>
    <t>2015-1-26 15:35:25.136: OrderManager - createOrder - exiting without creating order - did not have validID</t>
  </si>
  <si>
    <t>2015-1-26 15:35:26.983: OrderManager - createOrder - exiting without creating order - did not have validID</t>
  </si>
  <si>
    <t>2015-1-26 15:35:26.984: OrderManager - createOrder - exiting without creating order - did not have validID</t>
  </si>
  <si>
    <t>2015-1-26 15:35:28.132: OrderManager - createOrder - exiting without creating order - did not have validID</t>
  </si>
  <si>
    <t>2015-1-26 15:35:28.133: OrderManager - createOrder - exiting without creating order - did not have validID</t>
  </si>
  <si>
    <t>2015-1-26 15:35:28.375: OrderManager - createOrder - exiting without creating order - did not have validID</t>
  </si>
  <si>
    <t>2015-1-26 15:35:29.127: OrderManager - createOrder - exiting without creating order - did not have validID</t>
  </si>
  <si>
    <t>2015-1-26 15:35:29.128: OrderManager - createOrder - exiting without creating order - did not have validID</t>
  </si>
  <si>
    <t>2015-1-26 15:35:33.987: OrderManager - createOrder - exiting without creating order - did not have validID</t>
  </si>
  <si>
    <t>2015-1-26 15:35:33.988: OrderManager - createOrder - exiting without creating order - did not have validID</t>
  </si>
  <si>
    <t>2015-1-26 15:35:35.862: OrderManager - createOrder - exiting without creating order - did not have validID</t>
  </si>
  <si>
    <t>2015-1-26 15:35:35.865: OrderManager - createOrder - exiting without creating order - did not have validID</t>
  </si>
  <si>
    <t>2015-1-26 15:35:37.766: OrderManager - createOrder - exiting without creating order - did not have validID</t>
  </si>
  <si>
    <t>2015-1-26 15:35:37.768: OrderManager - createOrder - exiting without creating order - did not have validID</t>
  </si>
  <si>
    <t>2015-1-26 15:35:38.918: OrderManager - createOrder - exiting without creating order - did not have validID</t>
  </si>
  <si>
    <t>2015-1-26 15:35:38.919: OrderManager - createOrder - exiting without creating order - did not have validID</t>
  </si>
  <si>
    <t>2015-1-26 15:35:39.769: OrderManager - createOrder - exiting without creating order - did not have validID</t>
  </si>
  <si>
    <t>2015-1-26 15:35:39.770: OrderManager - createOrder - exiting without creating order - did not have validID</t>
  </si>
  <si>
    <t>2015-1-26 15:35:40.507: OrderManager - createOrder - exiting without creating order - did not have validID</t>
  </si>
  <si>
    <t>2015-1-26 15:35:40.508: OrderManager - createOrder - exiting without creating order - did not have validID</t>
  </si>
  <si>
    <t>2015-1-26 15:35:41.273: OrderManager - createOrder - exiting without creating order - did not have validID</t>
  </si>
  <si>
    <t>2015-1-26 15:35:41.275: OrderManager - createOrder - exiting without creating order - did not have validID</t>
  </si>
  <si>
    <t>2015-1-26 15:35:41.545: OrderManager - createOrder - exiting without creating order - did not have validID</t>
  </si>
  <si>
    <t>2015-1-26 15:35:41.546: OrderManager - createOrder - exiting without creating order - did not have validID</t>
  </si>
  <si>
    <t>2015-1-26 15:35:42.872: OrderManager - createOrder - exiting without creating order - did not have validID</t>
  </si>
  <si>
    <t>2015-1-26 15:35:42.874: OrderManager - createOrder - exiting without creating order - did not have validID</t>
  </si>
  <si>
    <t>2015-1-26 15:35:44.114: OrderManager - createOrder - exiting without creating order - did not have validID</t>
  </si>
  <si>
    <t>2015-1-26 15:35:44.115: OrderManager - createOrder - exiting without creating order - did not have validID</t>
  </si>
  <si>
    <t>2015-1-26 15:35:44.153: OrderManager - createOrder - exiting without creating order - did not have validID</t>
  </si>
  <si>
    <t>2015-1-26 15:35:44.154: OrderManager - createOrder - exiting without creating order - did not have validID</t>
  </si>
  <si>
    <t>2015-1-26 15:35:49.530: OrderManager - createOrder - exiting without creating order - did not have validID</t>
  </si>
  <si>
    <t>2015-1-26 15:35:49.531: OrderManager - createOrder - exiting without creating order - did not have validID</t>
  </si>
  <si>
    <t>2015-1-26 15:35:52.474: OrderManager - createOrder - exiting without creating order - did not have validID</t>
  </si>
  <si>
    <t>2015-1-26 15:35:52.475: OrderManager - createOrder - exiting without creating order - did not have validID</t>
  </si>
  <si>
    <t>2015-1-26 15:35:52.633: OrderManager - createOrder - exiting without creating order - did not have validID</t>
  </si>
  <si>
    <t>2015-1-26 15:35:52.634: OrderManager - createOrder - exiting without creating order - did not have validID</t>
  </si>
  <si>
    <t>2015-1-26 15:35:52.692: OrderManager - createOrder - exiting without creating order - did not have validID</t>
  </si>
  <si>
    <t>2015-1-26 15:35:52.693: OrderManager - createOrder - exiting without creating order - did not have validID</t>
  </si>
  <si>
    <t>2015-1-26 15:35:54.126: OrderManager - createOrder - exiting without creating order - did not have validID</t>
  </si>
  <si>
    <t>2015-1-26 15:35:54.127: OrderManager - createOrder - exiting without creating order - did not have validID</t>
  </si>
  <si>
    <t>2015-1-26 15:35:54.191: OrderManager - createOrder - exiting without creating order - did not have validID</t>
  </si>
  <si>
    <t>2015-1-26 15:35:54.192: OrderManager - createOrder - exiting without creating order - did not have validID</t>
  </si>
  <si>
    <t>2015-1-26 15:35:55.963: OrderManager - createOrder - exiting without creating order - did not have validID</t>
  </si>
  <si>
    <t>2015-1-26 15:35:55.964: OrderManager - createOrder - exiting without creating order - did not have validID</t>
  </si>
  <si>
    <t>2015-1-26 15:35:56.9: OrderManager - createOrder - exiting without creating order - did not have validID</t>
  </si>
  <si>
    <t>2015-1-26 15:35:56.10: OrderManager - createOrder - exiting without creating order - did not have validID</t>
  </si>
  <si>
    <t>2015-1-26 15:36:1.4: OrderManager - createOrder - exiting without creating order - did not have validID</t>
  </si>
  <si>
    <t>2015-1-26 15:36:1.6: OrderManager - createOrder - exiting without creating order - did not have validID</t>
  </si>
  <si>
    <t>2015-1-26 15:36:1.42: OrderManager - createOrder - exiting without creating order - did not have validID</t>
  </si>
  <si>
    <t>2015-1-26 15:36:1.43: OrderManager - createOrder - exiting without creating order - did not have validID</t>
  </si>
  <si>
    <t>2015-1-26 15:36:1.915: OrderManager - createOrder - exiting without creating order - did not have validID</t>
  </si>
  <si>
    <t>2015-1-26 15:36:1.916: OrderManager - createOrder - exiting without creating order - did not have validID</t>
  </si>
  <si>
    <t>2015-1-26 15:36:2.15: OrderManager - createOrder - exiting without creating order - did not have validID</t>
  </si>
  <si>
    <t>2015-1-26 15:36:2.16: OrderManager - createOrder - exiting without creating order - did not have validID</t>
  </si>
  <si>
    <t>2015-1-26 15:36:2.245: OrderManager - createOrder - exiting without creating order - did not have validID</t>
  </si>
  <si>
    <t>2015-1-26 15:36:2.246: OrderManager - createOrder - exiting without creating order - did not have validID</t>
  </si>
  <si>
    <t>2015-1-26 15:36:2.281: OrderManager - createOrder - exiting without creating order - did not have validID</t>
  </si>
  <si>
    <t>2015-1-26 15:36:2.283: OrderManager - createOrder - exiting without creating order - did not have validID</t>
  </si>
  <si>
    <t>2015-1-26 15:36:2.447: OrderManager - createOrder - exiting without creating order - did not have validID</t>
  </si>
  <si>
    <t>2015-1-26 15:36:2.448: OrderManager - createOrder - exiting without creating order - did not have validID</t>
  </si>
  <si>
    <t>2015-1-26 15:36:2.506: OrderManager - createOrder - exiting without creating order - did not have validID</t>
  </si>
  <si>
    <t>2015-1-26 15:36:2.507: OrderManager - createOrder - exiting without creating order - did not have validID</t>
  </si>
  <si>
    <t>2015-1-26 15:36:2.853: OrderManager - createOrder - exiting without creating order - did not have validID</t>
  </si>
  <si>
    <t>2015-1-26 15:36:2.854: OrderManager - createOrder - exiting without creating order - did not have validID</t>
  </si>
  <si>
    <t>2015-1-26 15:36:2.926: OrderManager - createOrder - exiting without creating order - did not have validID</t>
  </si>
  <si>
    <t>2015-1-26 15:36:5.50: OrderManager - createOrder - exiting without creating order - did not have validID</t>
  </si>
  <si>
    <t>2015-1-26 15:36:5.51: OrderManager - createOrder - exiting without creating order - did not have validID</t>
  </si>
  <si>
    <t>2015-1-26 15:36:5.747: OrderManager - createOrder - exiting without creating order - did not have validID</t>
  </si>
  <si>
    <t>2015-1-26 15:36:5.748: OrderManager - createOrder - exiting without creating order - did not have validID</t>
  </si>
  <si>
    <t>2015-1-26 15:36:6.181: OrderManager - createOrder - exiting without creating order - did not have validID</t>
  </si>
  <si>
    <t>2015-1-26 15:36:6.182: OrderManager - createOrder - exiting without creating order - did not have validID</t>
  </si>
  <si>
    <t>2015-1-26 15:36:6.233: OrderManager - createOrder - exiting without creating order - did not have validID</t>
  </si>
  <si>
    <t>2015-1-26 15:36:6.234: OrderManager - createOrder - exiting without creating order - did not have validID</t>
  </si>
  <si>
    <t>2015-1-26 15:36:6.654: OrderManager - createOrder - exiting without creating order - did not have validID</t>
  </si>
  <si>
    <t>2015-1-26 15:36:6.655: OrderManager - createOrder - exiting without creating order - did not have validID</t>
  </si>
  <si>
    <t>2015-1-26 15:36:9.843: OrderManager - createOrder - exiting without creating order - did not have validID</t>
  </si>
  <si>
    <t>2015-1-26 15:36:9.845: OrderManager - createOrder - exiting without creating order - did not have validID</t>
  </si>
  <si>
    <t>2015-1-26 15:38:17.75: Util - logStaleData - Data is stale!</t>
  </si>
  <si>
    <t>2015-1-26 15:40:41.85: Util - logStaleData - Data is stale!</t>
  </si>
  <si>
    <t>2015-1-26 15:41:10.11: Util - logStaleData - Data is stale!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</si>
</sst>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19" fillId="0" borderId="0" xfId="0" applyFont="1"/>
    <xf numFmtId="0" fontId="20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topLeftCell="A16" zoomScale="65" zoomScaleNormal="65" workbookViewId="0">
      <selection activeCell="E39" sqref="E39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140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185</v>
      </c>
      <c r="C1">
        <v>3</v>
      </c>
      <c r="D1" t="s">
        <v>186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89" t="s">
        <v>124</v>
      </c>
      <c r="B6" s="89"/>
      <c r="C6" s="89"/>
      <c r="D6" s="89"/>
      <c r="E6" s="89" t="s">
        <v>125</v>
      </c>
      <c r="F6" s="89"/>
      <c r="G6" s="89" t="s">
        <v>126</v>
      </c>
      <c r="H6" s="89"/>
      <c r="I6" s="89" t="s">
        <v>127</v>
      </c>
      <c r="J6" s="89"/>
      <c r="K6" s="89" t="s">
        <v>128</v>
      </c>
      <c r="L6" s="89"/>
      <c r="M6" s="89" t="s">
        <v>129</v>
      </c>
      <c r="N6" s="89"/>
      <c r="O6" s="89"/>
      <c r="P6" s="89"/>
      <c r="Q6" s="89"/>
      <c r="R6" s="89"/>
      <c r="S6" s="89"/>
      <c r="T6" s="89"/>
      <c r="U6" s="61"/>
      <c r="V6" s="61"/>
      <c r="W6" s="61"/>
      <c r="AF6" s="36"/>
    </row>
    <row r="7" spans="1:32" x14ac:dyDescent="0.25">
      <c r="A7" s="102" t="s">
        <v>130</v>
      </c>
      <c r="B7" s="102"/>
      <c r="C7" s="102">
        <v>7497</v>
      </c>
      <c r="D7" s="102"/>
      <c r="E7" s="102">
        <v>7</v>
      </c>
      <c r="F7" s="102"/>
      <c r="G7" s="102">
        <v>5</v>
      </c>
      <c r="H7" s="102"/>
      <c r="I7" s="103">
        <v>0.96388888888888891</v>
      </c>
      <c r="J7" s="104"/>
      <c r="K7" s="100" t="s">
        <v>194</v>
      </c>
      <c r="L7" s="101"/>
      <c r="M7" s="98"/>
      <c r="N7" s="99"/>
      <c r="O7" s="98"/>
      <c r="P7" s="99"/>
      <c r="Q7" s="98"/>
      <c r="R7" s="99"/>
      <c r="S7" s="98"/>
      <c r="T7" s="99"/>
      <c r="U7" s="62"/>
      <c r="V7" s="63"/>
      <c r="W7" s="63"/>
      <c r="AF7" s="36"/>
    </row>
    <row r="11" spans="1:32" ht="23.25" x14ac:dyDescent="0.35">
      <c r="A11" s="17" t="s">
        <v>134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97" t="s">
        <v>136</v>
      </c>
      <c r="B12" s="97"/>
      <c r="C12" s="97" t="s">
        <v>137</v>
      </c>
      <c r="D12" s="97"/>
      <c r="E12" s="65" t="s">
        <v>138</v>
      </c>
      <c r="F12" s="65"/>
      <c r="G12" s="97" t="s">
        <v>139</v>
      </c>
      <c r="H12" s="97"/>
      <c r="I12" s="97" t="s">
        <v>140</v>
      </c>
      <c r="J12" s="97"/>
      <c r="K12" s="89" t="s">
        <v>141</v>
      </c>
      <c r="L12" s="89"/>
      <c r="M12" s="89" t="s">
        <v>142</v>
      </c>
      <c r="N12" s="89"/>
      <c r="O12" s="61" t="s">
        <v>143</v>
      </c>
      <c r="P12" s="61"/>
      <c r="Q12" s="61" t="s">
        <v>144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943804.57</v>
      </c>
      <c r="B13" s="3"/>
      <c r="C13" s="5">
        <v>654732.77</v>
      </c>
      <c r="D13" s="3"/>
      <c r="E13" s="5">
        <v>534722.91</v>
      </c>
      <c r="F13" s="5"/>
      <c r="G13" s="5">
        <v>289071.8</v>
      </c>
      <c r="H13" s="5"/>
      <c r="I13" s="5">
        <v>-7498</v>
      </c>
      <c r="J13" s="5"/>
      <c r="K13" s="6">
        <v>0</v>
      </c>
      <c r="L13" s="4"/>
      <c r="M13" s="62" t="s">
        <v>195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0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Y19" s="39"/>
      <c r="Z19" s="39"/>
      <c r="AA19" s="39"/>
      <c r="AB19" s="39"/>
    </row>
    <row r="20" spans="1:37" s="11" customFormat="1" ht="46.5" x14ac:dyDescent="0.35">
      <c r="A20" s="10" t="s">
        <v>146</v>
      </c>
      <c r="B20" s="10" t="s">
        <v>147</v>
      </c>
      <c r="C20" s="10"/>
      <c r="D20" s="10"/>
      <c r="E20" s="10" t="s">
        <v>148</v>
      </c>
      <c r="F20" s="10"/>
      <c r="G20" s="10" t="s">
        <v>149</v>
      </c>
      <c r="H20" s="10" t="s">
        <v>150</v>
      </c>
      <c r="I20" s="10" t="s">
        <v>151</v>
      </c>
      <c r="J20" s="10"/>
      <c r="K20" s="10" t="s">
        <v>152</v>
      </c>
      <c r="L20" s="10"/>
      <c r="M20" s="10" t="s">
        <v>153</v>
      </c>
      <c r="N20" s="10" t="s">
        <v>154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2">
        <v>5</v>
      </c>
      <c r="F21" s="92"/>
      <c r="G21" s="81">
        <v>5</v>
      </c>
      <c r="H21" s="81">
        <v>10</v>
      </c>
      <c r="I21" s="81">
        <v>0.2</v>
      </c>
      <c r="J21" s="81"/>
      <c r="K21" s="93">
        <v>8</v>
      </c>
      <c r="L21" s="94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155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156</v>
      </c>
      <c r="Q26" s="10"/>
      <c r="R26" s="10" t="s">
        <v>157</v>
      </c>
      <c r="S26" s="10" t="s">
        <v>158</v>
      </c>
      <c r="T26" s="10" t="s">
        <v>159</v>
      </c>
      <c r="U26" s="10" t="s">
        <v>160</v>
      </c>
      <c r="V26" s="10" t="s">
        <v>161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181</v>
      </c>
      <c r="I27" s="64" t="s">
        <v>25</v>
      </c>
      <c r="J27" s="64">
        <v>80</v>
      </c>
      <c r="K27" s="64">
        <v>1.5044999999999999</v>
      </c>
      <c r="L27" s="64"/>
      <c r="M27" s="64">
        <v>4</v>
      </c>
      <c r="N27" s="64">
        <v>1.5044999999999999</v>
      </c>
      <c r="O27" s="64">
        <v>1.5045999999999999</v>
      </c>
      <c r="P27" s="64">
        <v>34</v>
      </c>
      <c r="Q27" s="64"/>
      <c r="R27" s="64">
        <v>1.50545</v>
      </c>
      <c r="S27" s="64">
        <v>7527250.0499999998</v>
      </c>
      <c r="T27" s="64">
        <v>94316.897375</v>
      </c>
      <c r="U27" s="64">
        <v>-18101.740000000002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95" t="s">
        <v>162</v>
      </c>
      <c r="D29" s="96"/>
      <c r="E29" s="12">
        <v>1.5</v>
      </c>
      <c r="F29" s="12"/>
      <c r="G29" s="96" t="s">
        <v>163</v>
      </c>
      <c r="H29" s="96"/>
      <c r="I29" s="12">
        <v>1.5049999999999999</v>
      </c>
      <c r="J29" s="12"/>
      <c r="K29" s="96" t="s">
        <v>164</v>
      </c>
      <c r="L29" s="96"/>
      <c r="M29" s="12">
        <v>80</v>
      </c>
      <c r="N29" s="13"/>
      <c r="O29" s="96" t="s">
        <v>165</v>
      </c>
      <c r="P29" s="96"/>
      <c r="Q29" s="30">
        <v>1.5045060083712523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A30" t="s">
        <v>181</v>
      </c>
      <c r="B30" t="s">
        <v>205</v>
      </c>
      <c r="C30" s="95">
        <v>73</v>
      </c>
      <c r="D30" s="96"/>
      <c r="E30" s="12">
        <v>46</v>
      </c>
      <c r="F30" s="12">
        <v>1031</v>
      </c>
      <c r="G30" s="96" t="s">
        <v>206</v>
      </c>
      <c r="H30" s="96"/>
      <c r="I30" s="12">
        <v>4</v>
      </c>
      <c r="J30" s="12">
        <v>0</v>
      </c>
      <c r="K30" s="96">
        <v>0</v>
      </c>
      <c r="L30" s="96"/>
      <c r="M30" s="12">
        <v>80</v>
      </c>
      <c r="N30" s="13"/>
      <c r="O30" s="96" t="s">
        <v>166</v>
      </c>
      <c r="P30" s="96"/>
      <c r="Q30" s="30">
        <v>1.5044820500044742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A31" t="s">
        <v>181</v>
      </c>
      <c r="B31" t="s">
        <v>205</v>
      </c>
      <c r="C31" s="95">
        <v>73</v>
      </c>
      <c r="D31" s="96"/>
      <c r="E31" s="12">
        <v>45</v>
      </c>
      <c r="F31" s="12">
        <v>1031</v>
      </c>
      <c r="G31" s="96" t="s">
        <v>204</v>
      </c>
      <c r="H31" s="96"/>
      <c r="I31" s="12">
        <v>3</v>
      </c>
      <c r="J31" s="12">
        <v>0</v>
      </c>
      <c r="K31" s="96">
        <v>0</v>
      </c>
      <c r="L31" s="96"/>
      <c r="M31" s="12">
        <v>0</v>
      </c>
      <c r="N31" s="13"/>
      <c r="O31" s="96" t="s">
        <v>99</v>
      </c>
      <c r="P31" s="96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181</v>
      </c>
      <c r="B32" t="s">
        <v>205</v>
      </c>
      <c r="C32" s="108">
        <v>73</v>
      </c>
      <c r="D32" s="107"/>
      <c r="E32" s="107">
        <v>1.5037</v>
      </c>
      <c r="F32" s="107"/>
      <c r="G32" s="107" t="s">
        <v>204</v>
      </c>
      <c r="H32" s="107"/>
      <c r="I32" s="107">
        <v>73</v>
      </c>
      <c r="J32" s="107"/>
      <c r="K32" s="107">
        <v>0</v>
      </c>
      <c r="L32" s="107"/>
      <c r="M32" s="107"/>
      <c r="N32" s="109"/>
      <c r="O32" s="107"/>
      <c r="P32" s="107"/>
      <c r="Q32" s="107"/>
      <c r="R32" s="109"/>
      <c r="S32" s="107"/>
      <c r="T32" s="109"/>
      <c r="U32" s="107"/>
      <c r="V32" s="109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0" t="s">
        <v>167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Q34" s="112" t="s">
        <v>187</v>
      </c>
      <c r="R34" s="112"/>
      <c r="S34" s="112"/>
      <c r="T34" s="112"/>
      <c r="U34" s="112"/>
      <c r="V34" s="112"/>
      <c r="W34" s="112"/>
    </row>
    <row r="35" spans="1:33" s="11" customFormat="1" ht="39" customHeight="1" x14ac:dyDescent="0.3">
      <c r="A35" s="120" t="s">
        <v>1230</v>
      </c>
      <c r="B35" s="121" t="s">
        <v>27</v>
      </c>
      <c r="C35" s="121"/>
      <c r="D35" s="121"/>
      <c r="E35" s="121"/>
      <c r="F35" s="122"/>
      <c r="G35" s="121" t="s">
        <v>28</v>
      </c>
      <c r="H35" s="121"/>
      <c r="I35" s="121"/>
      <c r="J35" s="121"/>
      <c r="K35" s="121"/>
      <c r="L35" s="122"/>
      <c r="M35" s="121" t="s">
        <v>168</v>
      </c>
      <c r="N35" s="121"/>
      <c r="O35" s="123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124" t="s">
        <v>0</v>
      </c>
      <c r="B36" s="125" t="s">
        <v>32</v>
      </c>
      <c r="C36" s="125" t="s">
        <v>1213</v>
      </c>
      <c r="D36" s="125" t="s">
        <v>34</v>
      </c>
      <c r="E36" s="125" t="s">
        <v>47</v>
      </c>
      <c r="F36" s="125" t="s">
        <v>36</v>
      </c>
      <c r="G36" s="125" t="s">
        <v>12</v>
      </c>
      <c r="H36" s="125" t="s">
        <v>37</v>
      </c>
      <c r="I36" s="125" t="s">
        <v>38</v>
      </c>
      <c r="J36" s="125" t="s">
        <v>39</v>
      </c>
      <c r="K36" s="125" t="s">
        <v>40</v>
      </c>
      <c r="L36" s="125" t="s">
        <v>169</v>
      </c>
      <c r="M36" s="125" t="s">
        <v>170</v>
      </c>
      <c r="N36" s="125" t="s">
        <v>171</v>
      </c>
      <c r="O36" s="125" t="s">
        <v>172</v>
      </c>
      <c r="Q36" s="75">
        <f>SUM(U45:U65)+J27</f>
        <v>75.569871791938041</v>
      </c>
      <c r="R36" s="76">
        <f>SUM(X45:X65)</f>
        <v>-5350.7646155115881</v>
      </c>
      <c r="S36" s="74">
        <f>SUM(W45:W65)</f>
        <v>0.23275915024385985</v>
      </c>
      <c r="T36" s="76">
        <f>S36*62500</f>
        <v>14547.446890241241</v>
      </c>
      <c r="U36" s="73">
        <v>0.05</v>
      </c>
      <c r="V36" s="77">
        <f>-1*U36*W36</f>
        <v>-3153.125</v>
      </c>
      <c r="W36" s="77">
        <f>AG43</f>
        <v>63062.5</v>
      </c>
      <c r="X36" s="46"/>
      <c r="Y36" s="46"/>
      <c r="AC36" s="38"/>
    </row>
    <row r="37" spans="1:33" ht="18.75" x14ac:dyDescent="0.3">
      <c r="A37" s="2" t="s">
        <v>181</v>
      </c>
      <c r="B37" s="16" t="s">
        <v>205</v>
      </c>
      <c r="C37" s="16">
        <v>0</v>
      </c>
      <c r="D37" s="16" t="s">
        <v>202</v>
      </c>
      <c r="E37" s="16">
        <v>-1.1000000000000001E-3</v>
      </c>
      <c r="F37" s="2">
        <v>1042</v>
      </c>
      <c r="G37" s="18" t="s">
        <v>203</v>
      </c>
      <c r="H37" s="2">
        <v>0</v>
      </c>
      <c r="I37" s="2">
        <v>0</v>
      </c>
      <c r="J37" s="2">
        <v>0</v>
      </c>
      <c r="K37" s="2">
        <v>0</v>
      </c>
      <c r="L37" s="2"/>
      <c r="M37" s="2"/>
      <c r="N37" s="2"/>
      <c r="O37" s="2"/>
      <c r="Q37" s="71" t="s">
        <v>131</v>
      </c>
      <c r="R37" s="76">
        <f>ticksUpToLoss(V36,Q36,R36)</f>
        <v>288.98902633869073</v>
      </c>
      <c r="S37" s="76">
        <f>ticksDownToLoss(V36,Q36,R36)</f>
        <v>-6.5252021111591336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181</v>
      </c>
      <c r="B38" s="16" t="s">
        <v>185</v>
      </c>
      <c r="C38" s="16">
        <v>77</v>
      </c>
      <c r="D38" s="16" t="s">
        <v>202</v>
      </c>
      <c r="E38" s="16">
        <v>1.5339</v>
      </c>
      <c r="F38" s="2">
        <v>1045</v>
      </c>
      <c r="G38" s="18" t="s">
        <v>203</v>
      </c>
      <c r="H38" s="2">
        <v>0</v>
      </c>
      <c r="I38" s="2">
        <v>77</v>
      </c>
      <c r="J38" s="2">
        <v>0</v>
      </c>
      <c r="K38" s="2">
        <v>0</v>
      </c>
      <c r="L38" s="2"/>
      <c r="M38" s="2"/>
      <c r="N38" s="2"/>
      <c r="O38" s="2"/>
      <c r="Q38" s="71" t="s">
        <v>132</v>
      </c>
      <c r="R38" s="76">
        <f>Q36+R36*(R37*0.0001)</f>
        <v>-79.06135384848325</v>
      </c>
      <c r="S38" s="76">
        <f>Q36+R36*(S37*0.0001)</f>
        <v>79.061353848483222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 t="s">
        <v>181</v>
      </c>
      <c r="B39" s="16" t="s">
        <v>205</v>
      </c>
      <c r="C39" s="16">
        <v>0</v>
      </c>
      <c r="D39" s="16" t="s">
        <v>202</v>
      </c>
      <c r="E39" s="16">
        <v>-1.1000000000000001E-3</v>
      </c>
      <c r="F39" s="2">
        <v>1042</v>
      </c>
      <c r="G39" s="18" t="s">
        <v>203</v>
      </c>
      <c r="H39" s="2">
        <v>0</v>
      </c>
      <c r="I39" s="2">
        <v>0</v>
      </c>
      <c r="J39" s="2">
        <v>0</v>
      </c>
      <c r="K39" s="2">
        <v>0</v>
      </c>
      <c r="L39" s="2"/>
      <c r="M39" s="2"/>
      <c r="N39" s="2"/>
      <c r="O39" s="2"/>
      <c r="Q39" s="112" t="s">
        <v>133</v>
      </c>
      <c r="R39" s="112"/>
      <c r="S39" s="112"/>
      <c r="T39" s="112" t="s">
        <v>190</v>
      </c>
      <c r="U39" s="112"/>
      <c r="V39" s="112" t="s">
        <v>191</v>
      </c>
      <c r="W39" s="112"/>
      <c r="Y39" s="37"/>
      <c r="Z39" s="37"/>
      <c r="AA39" s="37"/>
      <c r="AB39" s="37"/>
      <c r="AC39" s="37"/>
    </row>
    <row r="40" spans="1:33" ht="21" x14ac:dyDescent="0.35">
      <c r="A40" s="2" t="s">
        <v>181</v>
      </c>
      <c r="B40" s="16" t="s">
        <v>205</v>
      </c>
      <c r="C40" s="16">
        <v>78</v>
      </c>
      <c r="D40" s="16" t="s">
        <v>202</v>
      </c>
      <c r="E40" s="16">
        <v>1.5031000000000001</v>
      </c>
      <c r="F40" s="2">
        <v>1046</v>
      </c>
      <c r="G40" s="18" t="s">
        <v>206</v>
      </c>
      <c r="H40" s="2">
        <v>0</v>
      </c>
      <c r="I40" s="2">
        <v>78</v>
      </c>
      <c r="J40" s="2">
        <v>0</v>
      </c>
      <c r="K40" s="2">
        <v>0</v>
      </c>
      <c r="L40" s="2"/>
      <c r="M40" s="2"/>
      <c r="N40" s="2"/>
      <c r="O40" s="2"/>
      <c r="Q40" s="71" t="s">
        <v>135</v>
      </c>
      <c r="R40" s="84">
        <f>midMarket(N27,O27)+R37/10000</f>
        <v>1.5334489026338691</v>
      </c>
      <c r="S40" s="76">
        <f>ROUND(-R38,0)</f>
        <v>79</v>
      </c>
      <c r="T40" s="72" t="s">
        <v>188</v>
      </c>
      <c r="U40" s="78">
        <v>4</v>
      </c>
      <c r="V40" s="84">
        <v>1.5328999999999999</v>
      </c>
      <c r="W40" s="76">
        <v>77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145</v>
      </c>
      <c r="R41" s="84">
        <f>midMarket(N27,O27)+S37/10000</f>
        <v>1.5038974797888842</v>
      </c>
      <c r="S41" s="76">
        <f>ROUND(-S38,0)</f>
        <v>-79</v>
      </c>
      <c r="T41" s="72" t="s">
        <v>189</v>
      </c>
      <c r="U41" s="78">
        <v>1</v>
      </c>
      <c r="V41" s="84">
        <v>1.5041</v>
      </c>
      <c r="W41" s="76">
        <v>78</v>
      </c>
      <c r="X41" s="37"/>
      <c r="Y41" s="37"/>
      <c r="Z41" s="37"/>
      <c r="AA41" s="37"/>
      <c r="AB41" s="37"/>
      <c r="AC41" s="37"/>
    </row>
    <row r="43" spans="1:33" x14ac:dyDescent="0.25">
      <c r="A43" s="91" t="s">
        <v>13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113" t="s">
        <v>101</v>
      </c>
      <c r="O43" s="113"/>
      <c r="P43" s="113"/>
      <c r="Q43" s="113"/>
      <c r="R43" s="113"/>
      <c r="S43" s="113"/>
      <c r="T43" s="113" t="s">
        <v>108</v>
      </c>
      <c r="U43" s="113"/>
      <c r="V43" s="113"/>
      <c r="W43" s="113"/>
      <c r="AG43" s="48">
        <f>SUM(AD45:AD65)</f>
        <v>63062.5</v>
      </c>
    </row>
    <row r="44" spans="1:33" ht="30" x14ac:dyDescent="0.25">
      <c r="A44" s="1" t="s">
        <v>9</v>
      </c>
      <c r="B44" s="1" t="s">
        <v>11</v>
      </c>
      <c r="C44" s="1" t="s">
        <v>173</v>
      </c>
      <c r="D44" s="1" t="s">
        <v>158</v>
      </c>
      <c r="E44" s="1" t="s">
        <v>159</v>
      </c>
      <c r="F44" s="1" t="s">
        <v>180</v>
      </c>
      <c r="G44" s="1" t="s">
        <v>174</v>
      </c>
      <c r="H44" s="61" t="s">
        <v>19</v>
      </c>
      <c r="I44" s="61" t="s">
        <v>21</v>
      </c>
      <c r="J44" s="61" t="s">
        <v>22</v>
      </c>
      <c r="K44" s="61" t="s">
        <v>18</v>
      </c>
      <c r="L44" s="61" t="s">
        <v>20</v>
      </c>
      <c r="M44" s="61" t="s">
        <v>23</v>
      </c>
      <c r="N44" s="31" t="s">
        <v>102</v>
      </c>
      <c r="O44" s="31" t="s">
        <v>103</v>
      </c>
      <c r="P44" s="31" t="s">
        <v>104</v>
      </c>
      <c r="Q44" s="31" t="s">
        <v>105</v>
      </c>
      <c r="R44" s="31" t="s">
        <v>106</v>
      </c>
      <c r="S44" s="31" t="s">
        <v>107</v>
      </c>
      <c r="T44" s="35" t="s">
        <v>112</v>
      </c>
      <c r="U44" s="31" t="s">
        <v>103</v>
      </c>
      <c r="V44" s="31" t="s">
        <v>104</v>
      </c>
      <c r="W44" s="31" t="s">
        <v>105</v>
      </c>
      <c r="X44" s="35" t="s">
        <v>113</v>
      </c>
      <c r="Y44" s="35" t="s">
        <v>114</v>
      </c>
      <c r="Z44" s="35" t="s">
        <v>119</v>
      </c>
      <c r="AA44" s="50" t="s">
        <v>118</v>
      </c>
      <c r="AB44" s="50" t="s">
        <v>115</v>
      </c>
      <c r="AC44" s="50" t="s">
        <v>116</v>
      </c>
      <c r="AD44" s="50" t="s">
        <v>117</v>
      </c>
    </row>
    <row r="45" spans="1:33" x14ac:dyDescent="0.25">
      <c r="A45" s="2" t="s">
        <v>196</v>
      </c>
      <c r="B45" s="2">
        <v>-30</v>
      </c>
      <c r="C45" s="2">
        <v>1.00064E-2</v>
      </c>
      <c r="D45" s="2">
        <v>-18762</v>
      </c>
      <c r="E45" s="2">
        <v>503.79</v>
      </c>
      <c r="F45" s="28">
        <v>-3648.3</v>
      </c>
      <c r="G45" s="2">
        <v>0</v>
      </c>
      <c r="H45" s="2">
        <v>0</v>
      </c>
      <c r="I45" s="2">
        <v>0</v>
      </c>
      <c r="J45" s="2">
        <v>36</v>
      </c>
      <c r="K45" s="2">
        <v>9.2999999999999992E-3</v>
      </c>
      <c r="L45" s="2">
        <v>9.7000000000000003E-3</v>
      </c>
      <c r="M45" s="2">
        <v>35</v>
      </c>
      <c r="N45" s="2">
        <v>0.10884395016486081</v>
      </c>
      <c r="O45" s="2">
        <v>0.60447603132292171</v>
      </c>
      <c r="P45" s="2">
        <v>0</v>
      </c>
      <c r="Q45" s="33">
        <v>-8.1650698682447418E-4</v>
      </c>
      <c r="R45" s="2">
        <v>6.3840692511989844E-4</v>
      </c>
      <c r="S45" s="2">
        <v>1.5044999999999999</v>
      </c>
      <c r="T45" s="2">
        <v>18.59261102189069</v>
      </c>
      <c r="U45" s="2">
        <f t="shared" ref="U45:U65" si="0">O45*B45</f>
        <v>-18.134280939687653</v>
      </c>
      <c r="V45" s="2">
        <v>1.5804</v>
      </c>
      <c r="W45" s="2">
        <f t="shared" ref="W45:W65" si="1">Q45*B45</f>
        <v>2.4495209604734225E-2</v>
      </c>
      <c r="X45">
        <f>IF(ISERR(T45),0,T45*B45)</f>
        <v>-557.77833065672075</v>
      </c>
      <c r="Y45">
        <f t="shared" ref="Y45:Y65" si="2">IF(X45 = 0,0,(W45*-10000)/X45)</f>
        <v>0.43915670900828818</v>
      </c>
      <c r="Z45" s="85">
        <f>midMarket(K45,L45) +AA45/10000</f>
        <v>1.3999999999999948E-2</v>
      </c>
      <c r="AA45">
        <f>IF(rightFromSymbol(A45)="C",MAX(0,$N$27-strikeFromSymbol(A45)),MAX(0,strikeFromSymbol(A45)-$N$27))*10000</f>
        <v>44.999999999999488</v>
      </c>
      <c r="AB45" s="86">
        <f>MAX(0,Z45-AA45) * 10000</f>
        <v>0</v>
      </c>
      <c r="AC45" s="49">
        <f t="shared" ref="AC45:AC65" si="3">-AB45*B45</f>
        <v>0</v>
      </c>
      <c r="AD45" s="48">
        <f t="shared" ref="AD45:AD53" si="4">MAX(0,AC45*6.25)</f>
        <v>0</v>
      </c>
    </row>
    <row r="46" spans="1:33" x14ac:dyDescent="0.25">
      <c r="A46" s="2" t="s">
        <v>197</v>
      </c>
      <c r="B46" s="2">
        <v>-50</v>
      </c>
      <c r="C46" s="2">
        <v>7.0159999999999997E-3</v>
      </c>
      <c r="D46" s="2">
        <v>-21925</v>
      </c>
      <c r="E46" s="2">
        <v>360.04</v>
      </c>
      <c r="F46" s="28">
        <v>-3923</v>
      </c>
      <c r="G46" s="2">
        <v>0</v>
      </c>
      <c r="H46" s="2">
        <v>5.7999999999999996E-3</v>
      </c>
      <c r="I46" s="2">
        <v>10</v>
      </c>
      <c r="J46" s="2">
        <v>10</v>
      </c>
      <c r="K46" s="2">
        <v>6.6E-3</v>
      </c>
      <c r="L46" s="2">
        <v>6.7999999999999996E-3</v>
      </c>
      <c r="M46" s="2">
        <v>15</v>
      </c>
      <c r="N46" s="2">
        <v>0.10666979708779861</v>
      </c>
      <c r="O46" s="2">
        <v>0.49071035456228052</v>
      </c>
      <c r="P46" s="2">
        <v>0</v>
      </c>
      <c r="Q46" s="33">
        <v>-8.2836665523544747E-4</v>
      </c>
      <c r="R46" s="2">
        <v>6.3947052790463109E-4</v>
      </c>
      <c r="S46" s="2">
        <v>1.5044999999999999</v>
      </c>
      <c r="T46" s="2">
        <v>19.193945770451815</v>
      </c>
      <c r="U46" s="2">
        <f t="shared" si="0"/>
        <v>-24.535517728114026</v>
      </c>
      <c r="V46" s="2">
        <v>1.5804</v>
      </c>
      <c r="W46" s="2">
        <f t="shared" si="1"/>
        <v>4.1418332761772376E-2</v>
      </c>
      <c r="X46">
        <f t="shared" ref="X46:X65" si="5">IF(ISERR(T46),0,T46*B46)</f>
        <v>-959.69728852259072</v>
      </c>
      <c r="Y46">
        <f t="shared" si="2"/>
        <v>0.43157705306778527</v>
      </c>
      <c r="Z46" s="85">
        <f>midMarket(K46,L46) +AA46/10000</f>
        <v>6.6999999999999994E-3</v>
      </c>
      <c r="AA46">
        <f>IF(rightFromSymbol(A46)="C",MAX(0,$N$27-strikeFromSymbol(A46)),MAX(0,strikeFromSymbol(A46)-$N$27))*10000</f>
        <v>0</v>
      </c>
      <c r="AB46" s="86">
        <f t="shared" ref="AB46:AB65" si="6">MAX(0,Z46-AA46) * 10000</f>
        <v>67</v>
      </c>
      <c r="AC46" s="49">
        <f t="shared" si="3"/>
        <v>3350</v>
      </c>
      <c r="AD46" s="48">
        <f t="shared" si="4"/>
        <v>20937.5</v>
      </c>
    </row>
    <row r="47" spans="1:33" x14ac:dyDescent="0.25">
      <c r="A47" s="2" t="s">
        <v>198</v>
      </c>
      <c r="B47" s="2">
        <v>-50</v>
      </c>
      <c r="C47" s="2">
        <v>3.3159999999999999E-3</v>
      </c>
      <c r="D47" s="2">
        <v>-10362.5</v>
      </c>
      <c r="E47" s="2">
        <v>335.04</v>
      </c>
      <c r="F47" s="28">
        <v>6389.5</v>
      </c>
      <c r="G47" s="2">
        <v>0</v>
      </c>
      <c r="H47" s="2">
        <v>0</v>
      </c>
      <c r="I47" s="2">
        <v>0</v>
      </c>
      <c r="J47" s="2">
        <v>10</v>
      </c>
      <c r="K47" s="2">
        <v>3.3E-3</v>
      </c>
      <c r="L47" s="2">
        <v>3.5000000000000001E-3</v>
      </c>
      <c r="M47" s="2">
        <v>31</v>
      </c>
      <c r="N47" s="2">
        <v>0.1104700059516972</v>
      </c>
      <c r="O47" s="2">
        <v>-0.29317895578850051</v>
      </c>
      <c r="P47" s="2">
        <v>0</v>
      </c>
      <c r="Q47" s="33">
        <v>-7.3925719094268191E-4</v>
      </c>
      <c r="R47" s="2">
        <v>5.8831712705680007E-4</v>
      </c>
      <c r="S47" s="2">
        <v>1.5044999999999999</v>
      </c>
      <c r="T47" s="2">
        <v>16.901416027867615</v>
      </c>
      <c r="U47" s="2">
        <f t="shared" si="0"/>
        <v>14.658947789425024</v>
      </c>
      <c r="V47" s="2">
        <v>1.5804</v>
      </c>
      <c r="W47" s="2">
        <f t="shared" si="1"/>
        <v>3.6962859547134096E-2</v>
      </c>
      <c r="X47">
        <f t="shared" si="5"/>
        <v>-845.07080139338075</v>
      </c>
      <c r="Y47">
        <f t="shared" si="2"/>
        <v>0.43739364188407059</v>
      </c>
      <c r="Z47" s="85">
        <f>midMarket(K47,L47) +AA47/10000</f>
        <v>3.4000000000000002E-3</v>
      </c>
      <c r="AA47">
        <f>IF(rightFromSymbol(A47)="C",MAX(0,$N$27-strikeFromSymbol(A47)),MAX(0,strikeFromSymbol(A47)-$N$27))*10000</f>
        <v>0</v>
      </c>
      <c r="AB47" s="86">
        <f t="shared" si="6"/>
        <v>34</v>
      </c>
      <c r="AC47" s="49">
        <f t="shared" si="3"/>
        <v>1700</v>
      </c>
      <c r="AD47" s="48">
        <f t="shared" si="4"/>
        <v>10625</v>
      </c>
    </row>
    <row r="48" spans="1:33" x14ac:dyDescent="0.25">
      <c r="A48" s="2" t="s">
        <v>199</v>
      </c>
      <c r="B48" s="2">
        <v>-50</v>
      </c>
      <c r="C48" s="2">
        <v>4.9160000000000002E-3</v>
      </c>
      <c r="D48" s="2">
        <v>-15362.5</v>
      </c>
      <c r="E48" s="2">
        <v>466.29</v>
      </c>
      <c r="F48" s="28">
        <v>7952</v>
      </c>
      <c r="G48" s="2">
        <v>0</v>
      </c>
      <c r="H48" s="2">
        <v>4.7000000000000002E-3</v>
      </c>
      <c r="I48" s="2">
        <v>2</v>
      </c>
      <c r="J48" s="2">
        <v>10</v>
      </c>
      <c r="K48" s="2">
        <v>4.8999999999999998E-3</v>
      </c>
      <c r="L48" s="2">
        <v>5.1000000000000004E-3</v>
      </c>
      <c r="M48" s="2">
        <v>10</v>
      </c>
      <c r="N48" s="2">
        <v>0.10884395016486081</v>
      </c>
      <c r="O48" s="2">
        <v>-0.3958478683199943</v>
      </c>
      <c r="P48" s="2">
        <v>0</v>
      </c>
      <c r="Q48" s="33">
        <v>-8.1654565204627159E-4</v>
      </c>
      <c r="R48" s="2">
        <v>6.3840930931296017E-4</v>
      </c>
      <c r="S48" s="2">
        <v>1.5044999999999999</v>
      </c>
      <c r="T48" s="2">
        <v>18.582686174203559</v>
      </c>
      <c r="U48" s="2">
        <f t="shared" si="0"/>
        <v>19.792393415999715</v>
      </c>
      <c r="V48" s="2">
        <v>1.5804</v>
      </c>
      <c r="W48" s="2">
        <f t="shared" si="1"/>
        <v>4.082728260231358E-2</v>
      </c>
      <c r="X48">
        <f t="shared" si="5"/>
        <v>-929.13430871017795</v>
      </c>
      <c r="Y48">
        <f t="shared" si="2"/>
        <v>0.43941206582921166</v>
      </c>
      <c r="Z48" s="85">
        <f t="shared" ref="Z48:Z65" si="7">midMarket(K48,L48) +AA48/10000</f>
        <v>5.0000000000000001E-3</v>
      </c>
      <c r="AA48">
        <f>IF(rightFromSymbol(A48)="C",MAX(0,$N$27-strikeFromSymbol(A48)),MAX(0,strikeFromSymbol(A48)-$N$27))*10000</f>
        <v>0</v>
      </c>
      <c r="AB48" s="86">
        <f t="shared" si="6"/>
        <v>50</v>
      </c>
      <c r="AC48" s="49">
        <f t="shared" si="3"/>
        <v>2500</v>
      </c>
      <c r="AD48" s="48">
        <f t="shared" si="4"/>
        <v>15625</v>
      </c>
    </row>
    <row r="49" spans="1:30" x14ac:dyDescent="0.25">
      <c r="A49" s="2" t="s">
        <v>200</v>
      </c>
      <c r="B49" s="2">
        <v>-50</v>
      </c>
      <c r="C49" s="2">
        <v>7.1159999999999999E-3</v>
      </c>
      <c r="D49" s="2">
        <v>-22237.5</v>
      </c>
      <c r="E49" s="2">
        <v>585.04</v>
      </c>
      <c r="F49" s="28">
        <v>7014.5</v>
      </c>
      <c r="G49" s="2">
        <v>0</v>
      </c>
      <c r="H49" s="2">
        <v>6.7000000000000002E-3</v>
      </c>
      <c r="I49" s="2">
        <v>2</v>
      </c>
      <c r="J49" s="2">
        <v>18</v>
      </c>
      <c r="K49" s="2">
        <v>7.0000000000000001E-3</v>
      </c>
      <c r="L49" s="2">
        <v>7.3000000000000001E-3</v>
      </c>
      <c r="M49" s="2">
        <v>10</v>
      </c>
      <c r="N49" s="2">
        <v>0.10805746680891559</v>
      </c>
      <c r="O49" s="2">
        <v>-0.50926442207135159</v>
      </c>
      <c r="P49" s="34">
        <v>0</v>
      </c>
      <c r="Q49" s="33">
        <v>-8.3919215405618415E-4</v>
      </c>
      <c r="R49" s="2">
        <v>6.3947327420278439E-4</v>
      </c>
      <c r="S49" s="2">
        <v>1.5044999999999999</v>
      </c>
      <c r="T49" s="2">
        <v>19.203527972122448</v>
      </c>
      <c r="U49" s="2">
        <f t="shared" si="0"/>
        <v>25.46322110356758</v>
      </c>
      <c r="V49" s="2">
        <v>1.5804</v>
      </c>
      <c r="W49" s="2">
        <f t="shared" si="1"/>
        <v>4.195960770280921E-2</v>
      </c>
      <c r="X49">
        <f t="shared" si="5"/>
        <v>-960.17639860612235</v>
      </c>
      <c r="Y49">
        <f t="shared" si="2"/>
        <v>0.4369989489818904</v>
      </c>
      <c r="Z49" s="85">
        <f t="shared" si="7"/>
        <v>7.649999999999945E-3</v>
      </c>
      <c r="AA49">
        <f>IF(rightFromSymbol(A49)="C",MAX(0,$N$27-strikeFromSymbol(A49)),MAX(0,strikeFromSymbol(A49)-$N$27))*10000</f>
        <v>4.9999999999994493</v>
      </c>
      <c r="AB49" s="86">
        <f t="shared" si="6"/>
        <v>0</v>
      </c>
      <c r="AC49" s="49">
        <f t="shared" si="3"/>
        <v>0</v>
      </c>
      <c r="AD49" s="48">
        <f t="shared" si="4"/>
        <v>0</v>
      </c>
    </row>
    <row r="50" spans="1:30" x14ac:dyDescent="0.25">
      <c r="A50" s="2" t="s">
        <v>201</v>
      </c>
      <c r="B50" s="2">
        <v>-50</v>
      </c>
      <c r="C50" s="2">
        <v>4.816E-3</v>
      </c>
      <c r="D50" s="2">
        <v>-15050</v>
      </c>
      <c r="E50" s="2">
        <v>241.29</v>
      </c>
      <c r="F50" s="28">
        <v>-2985.5</v>
      </c>
      <c r="G50" s="2">
        <v>0</v>
      </c>
      <c r="H50" s="2">
        <v>4.5999999999999999E-3</v>
      </c>
      <c r="I50" s="2">
        <v>8</v>
      </c>
      <c r="J50" s="2">
        <v>10</v>
      </c>
      <c r="K50" s="2">
        <v>4.4000000000000003E-3</v>
      </c>
      <c r="L50" s="2">
        <v>4.5999999999999999E-3</v>
      </c>
      <c r="M50" s="2">
        <v>10</v>
      </c>
      <c r="N50" s="2">
        <v>0.10811055588385443</v>
      </c>
      <c r="O50" s="2">
        <v>0.37816292695208259</v>
      </c>
      <c r="P50" s="2">
        <v>0</v>
      </c>
      <c r="Q50" s="33">
        <v>-7.9993791492637904E-4</v>
      </c>
      <c r="R50" s="2">
        <v>5.912599553218054E-4</v>
      </c>
      <c r="S50" s="2">
        <v>1.5044999999999999</v>
      </c>
      <c r="T50" s="2">
        <v>18.59593238262822</v>
      </c>
      <c r="U50" s="2">
        <f t="shared" si="0"/>
        <v>-18.908146347604131</v>
      </c>
      <c r="V50" s="2">
        <v>1.5804</v>
      </c>
      <c r="W50" s="2">
        <f t="shared" si="1"/>
        <v>3.9996895746318949E-2</v>
      </c>
      <c r="X50">
        <f t="shared" si="5"/>
        <v>-929.79661913141103</v>
      </c>
      <c r="Y50">
        <f t="shared" si="2"/>
        <v>0.43016822091354651</v>
      </c>
      <c r="Z50" s="85">
        <f t="shared" si="7"/>
        <v>4.5000000000000005E-3</v>
      </c>
      <c r="AA50">
        <f>IF(rightFromSymbol(A50)="C",MAX(0,$N$27-strikeFromSymbol(A50)),MAX(0,strikeFromSymbol(A50)-$N$27))*10000</f>
        <v>0</v>
      </c>
      <c r="AB50" s="86">
        <f t="shared" si="6"/>
        <v>45.000000000000007</v>
      </c>
      <c r="AC50" s="49">
        <f t="shared" si="3"/>
        <v>2250.0000000000005</v>
      </c>
      <c r="AD50" s="48">
        <f t="shared" si="4"/>
        <v>14062.500000000004</v>
      </c>
    </row>
    <row r="51" spans="1:30" x14ac:dyDescent="0.25">
      <c r="A51" s="2" t="s">
        <v>208</v>
      </c>
      <c r="B51" s="2">
        <v>-10</v>
      </c>
      <c r="C51" s="2">
        <v>3.1159999999999998E-3</v>
      </c>
      <c r="D51" s="2">
        <v>-1947.5</v>
      </c>
      <c r="E51" s="2">
        <v>191.29</v>
      </c>
      <c r="F51" s="28">
        <v>-34.6</v>
      </c>
      <c r="G51" s="2">
        <v>0</v>
      </c>
      <c r="H51" s="2">
        <v>3.0000000000000001E-3</v>
      </c>
      <c r="I51" s="2">
        <v>10</v>
      </c>
      <c r="J51" s="2">
        <v>10</v>
      </c>
      <c r="K51" s="2">
        <v>2.8E-3</v>
      </c>
      <c r="L51" s="2">
        <v>3.0000000000000001E-3</v>
      </c>
      <c r="M51" s="2">
        <v>15</v>
      </c>
      <c r="N51" s="2">
        <v>0.10900321738967733</v>
      </c>
      <c r="O51" s="2">
        <v>0.27667455016484638</v>
      </c>
      <c r="P51" s="2">
        <v>0</v>
      </c>
      <c r="Q51" s="33">
        <v>-7.0989622787774012E-4</v>
      </c>
      <c r="R51" s="2">
        <v>5.4107386880279619E-4</v>
      </c>
      <c r="S51" s="2">
        <v>1.5044999999999999</v>
      </c>
      <c r="T51" s="2">
        <v>16.911086849118497</v>
      </c>
      <c r="U51" s="2">
        <f t="shared" si="0"/>
        <v>-2.7667455016484639</v>
      </c>
      <c r="V51" s="2">
        <v>1.5804</v>
      </c>
      <c r="W51" s="2">
        <f t="shared" si="1"/>
        <v>7.0989622787774008E-3</v>
      </c>
      <c r="X51">
        <f t="shared" si="5"/>
        <v>-169.11086849118499</v>
      </c>
      <c r="Y51">
        <f t="shared" si="2"/>
        <v>0.41978155171898007</v>
      </c>
      <c r="Z51" s="85">
        <f t="shared" si="7"/>
        <v>2.8999999999999998E-3</v>
      </c>
      <c r="AA51">
        <f>IF(rightFromSymbol(A51)="C",MAX(0,$N$27-strikeFromSymbol(A51)),MAX(0,strikeFromSymbol(A51)-$N$27))*10000</f>
        <v>0</v>
      </c>
      <c r="AB51" s="86">
        <f t="shared" si="6"/>
        <v>28.999999999999996</v>
      </c>
      <c r="AC51" s="49">
        <f t="shared" si="3"/>
        <v>289.99999999999994</v>
      </c>
      <c r="AD51" s="48">
        <f t="shared" si="4"/>
        <v>1812.4999999999995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3"/>
        <v>0</v>
      </c>
      <c r="AD52" s="48">
        <f t="shared" si="4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3"/>
        <v>0</v>
      </c>
      <c r="AD53" s="48">
        <f t="shared" si="4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3"/>
        <v>0</v>
      </c>
      <c r="AD54" s="48">
        <f>MAX(0,AC54*6.25)</f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3"/>
        <v>0</v>
      </c>
      <c r="AD55" s="48">
        <f t="shared" ref="AD55:AD65" si="8">MAX(0,AC55*6.25)</f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5"/>
        <v>0</v>
      </c>
      <c r="Y56">
        <f t="shared" si="2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3"/>
        <v>0</v>
      </c>
      <c r="AD56" s="48">
        <f t="shared" si="8"/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5"/>
        <v>0</v>
      </c>
      <c r="Y57">
        <f t="shared" si="2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3"/>
        <v>0</v>
      </c>
      <c r="AD57" s="48">
        <f t="shared" si="8"/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3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3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3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3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3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3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3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3"/>
        <v>0</v>
      </c>
      <c r="AD65" s="48">
        <f t="shared" si="8"/>
        <v>0</v>
      </c>
    </row>
    <row r="71" spans="1:30" x14ac:dyDescent="0.25">
      <c r="A71" s="110" t="s">
        <v>175</v>
      </c>
      <c r="B71" s="111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</row>
    <row r="72" spans="1:30" x14ac:dyDescent="0.25">
      <c r="A72" s="105" t="s">
        <v>41</v>
      </c>
      <c r="B72" s="106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</row>
    <row r="73" spans="1:30" x14ac:dyDescent="0.25">
      <c r="A73" s="70" t="s">
        <v>9</v>
      </c>
      <c r="B73" s="69" t="s">
        <v>42</v>
      </c>
      <c r="C73" s="69" t="s">
        <v>43</v>
      </c>
      <c r="D73" s="69" t="s">
        <v>44</v>
      </c>
      <c r="E73" s="69" t="s">
        <v>45</v>
      </c>
      <c r="F73" s="69" t="s">
        <v>33</v>
      </c>
      <c r="G73" s="69" t="s">
        <v>46</v>
      </c>
      <c r="H73" s="69" t="s">
        <v>47</v>
      </c>
      <c r="I73" s="69" t="s">
        <v>48</v>
      </c>
      <c r="J73" s="69" t="s">
        <v>49</v>
      </c>
      <c r="K73" s="69" t="s">
        <v>50</v>
      </c>
      <c r="L73" s="69" t="s">
        <v>51</v>
      </c>
      <c r="M73" s="69" t="s">
        <v>52</v>
      </c>
    </row>
    <row r="74" spans="1:30" x14ac:dyDescent="0.25">
      <c r="A74" s="2"/>
      <c r="B74" s="16"/>
      <c r="C74" s="20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0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2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2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0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0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0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2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2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2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21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21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</sheetData>
  <dataConsolidate/>
  <mergeCells count="64">
    <mergeCell ref="Q32:R32"/>
    <mergeCell ref="Q34:W34"/>
    <mergeCell ref="S32:T32"/>
    <mergeCell ref="N43:S43"/>
    <mergeCell ref="T43:W43"/>
    <mergeCell ref="U32:V32"/>
    <mergeCell ref="M35:O35"/>
    <mergeCell ref="A34:O34"/>
    <mergeCell ref="Q39:S39"/>
    <mergeCell ref="T39:U39"/>
    <mergeCell ref="V39:W39"/>
    <mergeCell ref="A72:M72"/>
    <mergeCell ref="A43:M43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1:M71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15" t="s">
        <v>123</v>
      </c>
      <c r="AF1" s="115"/>
      <c r="AG1" s="115"/>
      <c r="AH1" s="115"/>
      <c r="AI1" s="115"/>
      <c r="AJ1" s="115"/>
      <c r="AK1" s="115"/>
    </row>
    <row r="4" spans="2:37" x14ac:dyDescent="0.25">
      <c r="B4" s="90" t="s">
        <v>13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90"/>
      <c r="R4" s="91"/>
      <c r="S4" s="91"/>
      <c r="T4" s="113" t="s">
        <v>101</v>
      </c>
      <c r="U4" s="113"/>
      <c r="V4" s="113"/>
      <c r="W4" s="113"/>
      <c r="X4" s="113"/>
      <c r="Y4" s="113"/>
      <c r="Z4" s="113"/>
      <c r="AA4" s="113"/>
      <c r="AB4" s="113" t="s">
        <v>108</v>
      </c>
      <c r="AC4" s="113"/>
      <c r="AD4" s="113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57" t="e">
        <f>BSGamma($AA$17,E6,D6,0.001,V6)</f>
        <v>#VALUE!</v>
      </c>
      <c r="AF6" s="58">
        <f t="shared" ref="AF6:AF37" si="0">IF(ISERR(AE6),0,AE6*M6)</f>
        <v>0</v>
      </c>
      <c r="AG6" s="29" t="e">
        <f>IF(AE6 = 0,0,(Y6*-10000)/AE6)</f>
        <v>#VALUE!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57" t="e">
        <f t="shared" ref="AE7:AE70" si="7">BSGamma($AA$17,E7,D7,0.001,V7)</f>
        <v>#VALUE!</v>
      </c>
      <c r="AF7" s="58">
        <f t="shared" si="0"/>
        <v>0</v>
      </c>
      <c r="AG7" s="29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57" t="e">
        <f t="shared" si="7"/>
        <v>#VALUE!</v>
      </c>
      <c r="AF8" s="58">
        <f t="shared" si="0"/>
        <v>0</v>
      </c>
      <c r="AG8" s="29" t="e">
        <f t="shared" si="8"/>
        <v>#VALUE!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57" t="e">
        <f t="shared" si="7"/>
        <v>#VALUE!</v>
      </c>
      <c r="AF9" s="58">
        <f t="shared" si="0"/>
        <v>0</v>
      </c>
      <c r="AG9" s="29" t="e">
        <f t="shared" si="8"/>
        <v>#VALUE!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57" t="e">
        <f t="shared" si="7"/>
        <v>#VALUE!</v>
      </c>
      <c r="AF10" s="58">
        <f t="shared" si="0"/>
        <v>0</v>
      </c>
      <c r="AG10" s="29" t="e">
        <f t="shared" si="8"/>
        <v>#VALUE!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57" t="e">
        <f t="shared" si="7"/>
        <v>#VALUE!</v>
      </c>
      <c r="AF11" s="58">
        <f t="shared" si="0"/>
        <v>0</v>
      </c>
      <c r="AG11" s="29" t="e">
        <f t="shared" si="8"/>
        <v>#VALUE!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57" t="e">
        <f t="shared" si="7"/>
        <v>#VALUE!</v>
      </c>
      <c r="AF12" s="58">
        <f t="shared" si="0"/>
        <v>0</v>
      </c>
      <c r="AG12" s="29" t="e">
        <f t="shared" si="8"/>
        <v>#VALUE!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57" t="e">
        <f t="shared" si="7"/>
        <v>#VALUE!</v>
      </c>
      <c r="AF13" s="58">
        <f t="shared" si="0"/>
        <v>0</v>
      </c>
      <c r="AG13" s="29" t="e">
        <f t="shared" si="8"/>
        <v>#VALUE!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57" t="e">
        <f t="shared" si="7"/>
        <v>#VALUE!</v>
      </c>
      <c r="AF14" s="58">
        <f t="shared" si="0"/>
        <v>0</v>
      </c>
      <c r="AG14" s="29" t="e">
        <f t="shared" si="8"/>
        <v>#VALUE!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57" t="e">
        <f t="shared" si="7"/>
        <v>#VALUE!</v>
      </c>
      <c r="AF15" s="58">
        <f t="shared" si="0"/>
        <v>0</v>
      </c>
      <c r="AG15" s="29" t="e">
        <f t="shared" si="8"/>
        <v>#VALUE!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57" t="e">
        <f t="shared" si="7"/>
        <v>#VALUE!</v>
      </c>
      <c r="AF16" s="58">
        <f t="shared" si="0"/>
        <v>0</v>
      </c>
      <c r="AG16" s="29" t="e">
        <f t="shared" si="8"/>
        <v>#VALUE!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57" t="e">
        <f t="shared" si="7"/>
        <v>#VALUE!</v>
      </c>
      <c r="AF17" s="58">
        <f t="shared" si="0"/>
        <v>0</v>
      </c>
      <c r="AG17" s="29" t="e">
        <f t="shared" si="8"/>
        <v>#VALUE!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57" t="e">
        <f t="shared" si="7"/>
        <v>#VALUE!</v>
      </c>
      <c r="AF18" s="58">
        <f t="shared" si="0"/>
        <v>0</v>
      </c>
      <c r="AG18" s="29" t="e">
        <f t="shared" si="8"/>
        <v>#VALUE!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57" t="e">
        <f t="shared" si="7"/>
        <v>#VALUE!</v>
      </c>
      <c r="AF19" s="58">
        <f t="shared" si="0"/>
        <v>0</v>
      </c>
      <c r="AG19" s="29" t="e">
        <f t="shared" si="8"/>
        <v>#VALUE!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57" t="e">
        <f t="shared" si="7"/>
        <v>#VALUE!</v>
      </c>
      <c r="AF20" s="58">
        <f t="shared" si="0"/>
        <v>0</v>
      </c>
      <c r="AG20" s="29" t="e">
        <f t="shared" si="8"/>
        <v>#VALUE!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57" t="e">
        <f t="shared" si="7"/>
        <v>#VALUE!</v>
      </c>
      <c r="AF21" s="58">
        <f t="shared" si="0"/>
        <v>0</v>
      </c>
      <c r="AG21" s="29" t="e">
        <f t="shared" si="8"/>
        <v>#VALUE!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57" t="e">
        <f t="shared" si="7"/>
        <v>#VALUE!</v>
      </c>
      <c r="AF22" s="58">
        <f t="shared" si="0"/>
        <v>0</v>
      </c>
      <c r="AG22" s="29" t="e">
        <f t="shared" si="8"/>
        <v>#VALUE!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57" t="e">
        <f t="shared" si="7"/>
        <v>#VALUE!</v>
      </c>
      <c r="AF23" s="58">
        <f t="shared" si="0"/>
        <v>0</v>
      </c>
      <c r="AG23" s="29" t="e">
        <f t="shared" si="8"/>
        <v>#VALUE!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57" t="e">
        <f t="shared" si="7"/>
        <v>#VALUE!</v>
      </c>
      <c r="AF24" s="58">
        <f t="shared" si="0"/>
        <v>0</v>
      </c>
      <c r="AG24" s="29" t="e">
        <f t="shared" si="8"/>
        <v>#VALUE!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57" t="e">
        <f t="shared" si="7"/>
        <v>#VALUE!</v>
      </c>
      <c r="AF25" s="58">
        <f t="shared" si="0"/>
        <v>0</v>
      </c>
      <c r="AG25" s="29" t="e">
        <f t="shared" si="8"/>
        <v>#VALUE!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57" t="e">
        <f t="shared" si="7"/>
        <v>#VALUE!</v>
      </c>
      <c r="AF26" s="58">
        <f t="shared" si="0"/>
        <v>0</v>
      </c>
      <c r="AG26" s="29" t="e">
        <f t="shared" si="8"/>
        <v>#VALUE!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57" t="e">
        <f t="shared" si="7"/>
        <v>#VALUE!</v>
      </c>
      <c r="AF27" s="58">
        <f t="shared" si="0"/>
        <v>0</v>
      </c>
      <c r="AG27" s="29" t="e">
        <f t="shared" si="8"/>
        <v>#VALUE!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57" t="e">
        <f t="shared" si="7"/>
        <v>#VALUE!</v>
      </c>
      <c r="AF28" s="58">
        <f t="shared" si="0"/>
        <v>0</v>
      </c>
      <c r="AG28" s="29" t="e">
        <f t="shared" si="8"/>
        <v>#VALUE!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57" t="e">
        <f t="shared" si="7"/>
        <v>#VALUE!</v>
      </c>
      <c r="AF29" s="58">
        <f t="shared" si="0"/>
        <v>0</v>
      </c>
      <c r="AG29" s="29" t="e">
        <f t="shared" si="8"/>
        <v>#VALUE!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57" t="e">
        <f t="shared" si="7"/>
        <v>#VALUE!</v>
      </c>
      <c r="AF30" s="58">
        <f t="shared" si="0"/>
        <v>0</v>
      </c>
      <c r="AG30" s="29" t="e">
        <f t="shared" si="8"/>
        <v>#VALUE!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57" t="e">
        <f t="shared" si="7"/>
        <v>#VALUE!</v>
      </c>
      <c r="AF31" s="58">
        <f t="shared" si="0"/>
        <v>0</v>
      </c>
      <c r="AG31" s="29" t="e">
        <f t="shared" si="8"/>
        <v>#VALUE!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57" t="e">
        <f t="shared" si="7"/>
        <v>#VALUE!</v>
      </c>
      <c r="AF32" s="58">
        <f t="shared" si="0"/>
        <v>0</v>
      </c>
      <c r="AG32" s="29" t="e">
        <f t="shared" si="8"/>
        <v>#VALUE!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57" t="e">
        <f t="shared" si="7"/>
        <v>#VALUE!</v>
      </c>
      <c r="AF33" s="58">
        <f t="shared" si="0"/>
        <v>0</v>
      </c>
      <c r="AG33" s="29" t="e">
        <f t="shared" si="8"/>
        <v>#VALUE!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57" t="e">
        <f t="shared" si="7"/>
        <v>#VALUE!</v>
      </c>
      <c r="AF34" s="58">
        <f t="shared" si="0"/>
        <v>0</v>
      </c>
      <c r="AG34" s="29" t="e">
        <f t="shared" si="8"/>
        <v>#VALUE!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57" t="e">
        <f t="shared" si="7"/>
        <v>#VALUE!</v>
      </c>
      <c r="AF35" s="58">
        <f t="shared" si="0"/>
        <v>0</v>
      </c>
      <c r="AG35" s="29" t="e">
        <f t="shared" si="8"/>
        <v>#VALUE!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57" t="e">
        <f t="shared" si="7"/>
        <v>#VALUE!</v>
      </c>
      <c r="AF36" s="58">
        <f t="shared" si="0"/>
        <v>0</v>
      </c>
      <c r="AG36" s="29" t="e">
        <f t="shared" si="8"/>
        <v>#VALUE!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57" t="e">
        <f t="shared" si="7"/>
        <v>#VALUE!</v>
      </c>
      <c r="AF37" s="58">
        <f t="shared" si="0"/>
        <v>0</v>
      </c>
      <c r="AG37" s="29" t="e">
        <f t="shared" si="8"/>
        <v>#VALUE!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57" t="e">
        <f t="shared" si="7"/>
        <v>#VALUE!</v>
      </c>
      <c r="AF38" s="58">
        <f t="shared" ref="AF38:AF69" si="13">IF(ISERR(AE38),0,AE38*M38)</f>
        <v>0</v>
      </c>
      <c r="AG38" s="29" t="e">
        <f t="shared" si="8"/>
        <v>#VALUE!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57" t="e">
        <f t="shared" si="7"/>
        <v>#VALUE!</v>
      </c>
      <c r="AF39" s="58">
        <f t="shared" si="13"/>
        <v>0</v>
      </c>
      <c r="AG39" s="29" t="e">
        <f t="shared" si="8"/>
        <v>#VALUE!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57" t="e">
        <f t="shared" si="7"/>
        <v>#VALUE!</v>
      </c>
      <c r="AF40" s="58">
        <f t="shared" si="13"/>
        <v>0</v>
      </c>
      <c r="AG40" s="29" t="e">
        <f t="shared" si="8"/>
        <v>#VALUE!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57" t="e">
        <f t="shared" si="7"/>
        <v>#VALUE!</v>
      </c>
      <c r="AF41" s="58">
        <f t="shared" si="13"/>
        <v>0</v>
      </c>
      <c r="AG41" s="29" t="e">
        <f t="shared" si="8"/>
        <v>#VALUE!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57" t="e">
        <f t="shared" si="7"/>
        <v>#VALUE!</v>
      </c>
      <c r="AF42" s="58">
        <f t="shared" si="13"/>
        <v>0</v>
      </c>
      <c r="AG42" s="29" t="e">
        <f t="shared" si="8"/>
        <v>#VALUE!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57" t="e">
        <f t="shared" si="7"/>
        <v>#VALUE!</v>
      </c>
      <c r="AF43" s="58">
        <f t="shared" si="13"/>
        <v>0</v>
      </c>
      <c r="AG43" s="29" t="e">
        <f t="shared" si="8"/>
        <v>#VALUE!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57" t="e">
        <f t="shared" si="7"/>
        <v>#VALUE!</v>
      </c>
      <c r="AF44" s="58">
        <f t="shared" si="13"/>
        <v>0</v>
      </c>
      <c r="AG44" s="29" t="e">
        <f t="shared" si="8"/>
        <v>#VALUE!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57" t="e">
        <f t="shared" si="7"/>
        <v>#VALUE!</v>
      </c>
      <c r="AF45" s="58">
        <f t="shared" si="13"/>
        <v>0</v>
      </c>
      <c r="AG45" s="29" t="e">
        <f t="shared" si="8"/>
        <v>#VALUE!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57" t="e">
        <f t="shared" si="7"/>
        <v>#VALUE!</v>
      </c>
      <c r="AF46" s="58">
        <f t="shared" si="13"/>
        <v>0</v>
      </c>
      <c r="AG46" s="29" t="e">
        <f t="shared" si="8"/>
        <v>#VALUE!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57" t="e">
        <f t="shared" si="7"/>
        <v>#VALUE!</v>
      </c>
      <c r="AF47" s="58">
        <f t="shared" si="13"/>
        <v>0</v>
      </c>
      <c r="AG47" s="29" t="e">
        <f t="shared" si="8"/>
        <v>#VALUE!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57" t="e">
        <f t="shared" si="7"/>
        <v>#VALUE!</v>
      </c>
      <c r="AF48" s="58">
        <f t="shared" si="13"/>
        <v>0</v>
      </c>
      <c r="AG48" s="29" t="e">
        <f t="shared" si="8"/>
        <v>#VALUE!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57" t="e">
        <f t="shared" si="7"/>
        <v>#VALUE!</v>
      </c>
      <c r="AF49" s="58">
        <f t="shared" si="13"/>
        <v>0</v>
      </c>
      <c r="AG49" s="29" t="e">
        <f t="shared" si="8"/>
        <v>#VALUE!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57" t="e">
        <f t="shared" si="7"/>
        <v>#VALUE!</v>
      </c>
      <c r="AF50" s="58">
        <f t="shared" si="13"/>
        <v>0</v>
      </c>
      <c r="AG50" s="29" t="e">
        <f t="shared" si="8"/>
        <v>#VALUE!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57" t="e">
        <f t="shared" si="7"/>
        <v>#VALUE!</v>
      </c>
      <c r="AF51" s="58">
        <f t="shared" si="13"/>
        <v>0</v>
      </c>
      <c r="AG51" s="29" t="e">
        <f t="shared" si="8"/>
        <v>#VALUE!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57" t="e">
        <f t="shared" si="7"/>
        <v>#VALUE!</v>
      </c>
      <c r="AF52" s="58">
        <f t="shared" si="13"/>
        <v>0</v>
      </c>
      <c r="AG52" s="29" t="e">
        <f t="shared" si="8"/>
        <v>#VALUE!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57" t="e">
        <f t="shared" si="7"/>
        <v>#VALUE!</v>
      </c>
      <c r="AF53" s="58">
        <f t="shared" si="13"/>
        <v>0</v>
      </c>
      <c r="AG53" s="29" t="e">
        <f t="shared" si="8"/>
        <v>#VALUE!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57" t="e">
        <f t="shared" si="7"/>
        <v>#VALUE!</v>
      </c>
      <c r="AF54" s="58">
        <f t="shared" si="13"/>
        <v>0</v>
      </c>
      <c r="AG54" s="29" t="e">
        <f t="shared" si="8"/>
        <v>#VALUE!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57" t="e">
        <f t="shared" si="7"/>
        <v>#VALUE!</v>
      </c>
      <c r="AF55" s="58">
        <f t="shared" si="13"/>
        <v>0</v>
      </c>
      <c r="AG55" s="29" t="e">
        <f t="shared" si="8"/>
        <v>#VALUE!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57" t="e">
        <f t="shared" si="7"/>
        <v>#VALUE!</v>
      </c>
      <c r="AF56" s="58">
        <f t="shared" si="13"/>
        <v>0</v>
      </c>
      <c r="AG56" s="29" t="e">
        <f t="shared" si="8"/>
        <v>#VALUE!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57" t="e">
        <f t="shared" si="7"/>
        <v>#VALUE!</v>
      </c>
      <c r="AF57" s="58">
        <f t="shared" si="13"/>
        <v>0</v>
      </c>
      <c r="AG57" s="29" t="e">
        <f t="shared" si="8"/>
        <v>#VALUE!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57" t="e">
        <f t="shared" si="7"/>
        <v>#VALUE!</v>
      </c>
      <c r="AF58" s="58">
        <f t="shared" si="13"/>
        <v>0</v>
      </c>
      <c r="AG58" s="29" t="e">
        <f t="shared" si="8"/>
        <v>#VALUE!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57" t="e">
        <f t="shared" si="7"/>
        <v>#VALUE!</v>
      </c>
      <c r="AF59" s="58">
        <f t="shared" si="13"/>
        <v>0</v>
      </c>
      <c r="AG59" s="29" t="e">
        <f t="shared" si="8"/>
        <v>#VALUE!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57" t="e">
        <f t="shared" si="7"/>
        <v>#VALUE!</v>
      </c>
      <c r="AF60" s="58">
        <f t="shared" si="13"/>
        <v>0</v>
      </c>
      <c r="AG60" s="29" t="e">
        <f t="shared" si="8"/>
        <v>#VALUE!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57" t="e">
        <f t="shared" si="7"/>
        <v>#VALUE!</v>
      </c>
      <c r="AF61" s="58">
        <f t="shared" si="13"/>
        <v>0</v>
      </c>
      <c r="AG61" s="29" t="e">
        <f t="shared" si="8"/>
        <v>#VALUE!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57" t="e">
        <f t="shared" si="7"/>
        <v>#VALUE!</v>
      </c>
      <c r="AF62" s="58">
        <f t="shared" si="13"/>
        <v>0</v>
      </c>
      <c r="AG62" s="29" t="e">
        <f t="shared" si="8"/>
        <v>#VALUE!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57" t="e">
        <f t="shared" si="7"/>
        <v>#VALUE!</v>
      </c>
      <c r="AF63" s="58">
        <f t="shared" si="13"/>
        <v>0</v>
      </c>
      <c r="AG63" s="29" t="e">
        <f t="shared" si="8"/>
        <v>#VALUE!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57" t="e">
        <f t="shared" si="7"/>
        <v>#VALUE!</v>
      </c>
      <c r="AF64" s="58">
        <f t="shared" si="13"/>
        <v>0</v>
      </c>
      <c r="AG64" s="29" t="e">
        <f t="shared" si="8"/>
        <v>#VALUE!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57" t="e">
        <f t="shared" si="7"/>
        <v>#VALUE!</v>
      </c>
      <c r="AF65" s="58">
        <f t="shared" si="13"/>
        <v>0</v>
      </c>
      <c r="AG65" s="29" t="e">
        <f t="shared" si="8"/>
        <v>#VALUE!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57" t="e">
        <f t="shared" si="7"/>
        <v>#VALUE!</v>
      </c>
      <c r="AF66" s="58">
        <f t="shared" si="13"/>
        <v>0</v>
      </c>
      <c r="AG66" s="29" t="e">
        <f t="shared" si="8"/>
        <v>#VALUE!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57" t="e">
        <f t="shared" si="7"/>
        <v>#VALUE!</v>
      </c>
      <c r="AF67" s="58">
        <f t="shared" si="13"/>
        <v>0</v>
      </c>
      <c r="AG67" s="29" t="e">
        <f t="shared" si="8"/>
        <v>#VALUE!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57" t="e">
        <f t="shared" si="7"/>
        <v>#VALUE!</v>
      </c>
      <c r="AF68" s="58">
        <f t="shared" si="13"/>
        <v>0</v>
      </c>
      <c r="AG68" s="29" t="e">
        <f t="shared" si="8"/>
        <v>#VALUE!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57" t="e">
        <f t="shared" si="7"/>
        <v>#VALUE!</v>
      </c>
      <c r="AF69" s="58">
        <f t="shared" si="13"/>
        <v>0</v>
      </c>
      <c r="AG69" s="29" t="e">
        <f t="shared" si="8"/>
        <v>#VALUE!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57" t="e">
        <f t="shared" si="7"/>
        <v>#VALUE!</v>
      </c>
      <c r="AF70" s="58">
        <f t="shared" ref="AF70:AF101" si="17">IF(ISERR(AE70),0,AE70*M70)</f>
        <v>0</v>
      </c>
      <c r="AG70" s="29" t="e">
        <f t="shared" si="8"/>
        <v>#VALUE!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57" t="e">
        <f t="shared" ref="AE71:AE125" si="21">BSGamma($AA$17,E71,D71,0.001,V71)</f>
        <v>#VALUE!</v>
      </c>
      <c r="AF71" s="58">
        <f t="shared" si="17"/>
        <v>0</v>
      </c>
      <c r="AG71" s="29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57" t="e">
        <f t="shared" si="21"/>
        <v>#VALUE!</v>
      </c>
      <c r="AF72" s="58">
        <f t="shared" si="17"/>
        <v>0</v>
      </c>
      <c r="AG72" s="29" t="e">
        <f t="shared" si="22"/>
        <v>#VALUE!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57" t="e">
        <f t="shared" si="21"/>
        <v>#VALUE!</v>
      </c>
      <c r="AF73" s="58">
        <f t="shared" si="17"/>
        <v>0</v>
      </c>
      <c r="AG73" s="29" t="e">
        <f t="shared" si="22"/>
        <v>#VALUE!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57" t="e">
        <f t="shared" si="21"/>
        <v>#VALUE!</v>
      </c>
      <c r="AF74" s="58">
        <f t="shared" si="17"/>
        <v>0</v>
      </c>
      <c r="AG74" s="29" t="e">
        <f t="shared" si="22"/>
        <v>#VALUE!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57" t="e">
        <f t="shared" si="21"/>
        <v>#VALUE!</v>
      </c>
      <c r="AF75" s="58">
        <f t="shared" si="17"/>
        <v>0</v>
      </c>
      <c r="AG75" s="29" t="e">
        <f t="shared" si="22"/>
        <v>#VALUE!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57" t="e">
        <f t="shared" si="21"/>
        <v>#VALUE!</v>
      </c>
      <c r="AF76" s="58">
        <f t="shared" si="17"/>
        <v>0</v>
      </c>
      <c r="AG76" s="29" t="e">
        <f t="shared" si="22"/>
        <v>#VALUE!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57" t="e">
        <f t="shared" si="21"/>
        <v>#VALUE!</v>
      </c>
      <c r="AF77" s="58">
        <f t="shared" si="17"/>
        <v>0</v>
      </c>
      <c r="AG77" s="29" t="e">
        <f t="shared" si="22"/>
        <v>#VALUE!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57" t="e">
        <f t="shared" si="21"/>
        <v>#VALUE!</v>
      </c>
      <c r="AF78" s="58">
        <f t="shared" si="17"/>
        <v>0</v>
      </c>
      <c r="AG78" s="29" t="e">
        <f t="shared" si="22"/>
        <v>#VALUE!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57" t="e">
        <f t="shared" si="21"/>
        <v>#VALUE!</v>
      </c>
      <c r="AF79" s="58">
        <f t="shared" si="17"/>
        <v>0</v>
      </c>
      <c r="AG79" s="29" t="e">
        <f t="shared" si="22"/>
        <v>#VALUE!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57" t="e">
        <f t="shared" si="21"/>
        <v>#VALUE!</v>
      </c>
      <c r="AF80" s="58">
        <f t="shared" si="17"/>
        <v>0</v>
      </c>
      <c r="AG80" s="29" t="e">
        <f t="shared" si="22"/>
        <v>#VALUE!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57" t="e">
        <f t="shared" si="21"/>
        <v>#VALUE!</v>
      </c>
      <c r="AF81" s="58">
        <f t="shared" si="17"/>
        <v>0</v>
      </c>
      <c r="AG81" s="29" t="e">
        <f t="shared" si="22"/>
        <v>#VALUE!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57" t="e">
        <f t="shared" si="21"/>
        <v>#VALUE!</v>
      </c>
      <c r="AF82" s="58">
        <f t="shared" si="17"/>
        <v>0</v>
      </c>
      <c r="AG82" s="29" t="e">
        <f t="shared" si="22"/>
        <v>#VALUE!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57" t="e">
        <f t="shared" si="21"/>
        <v>#VALUE!</v>
      </c>
      <c r="AF83" s="58">
        <f t="shared" si="17"/>
        <v>0</v>
      </c>
      <c r="AG83" s="29" t="e">
        <f t="shared" si="22"/>
        <v>#VALUE!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57" t="e">
        <f t="shared" si="21"/>
        <v>#VALUE!</v>
      </c>
      <c r="AF84" s="58">
        <f t="shared" si="17"/>
        <v>0</v>
      </c>
      <c r="AG84" s="29" t="e">
        <f t="shared" si="22"/>
        <v>#VALUE!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57" t="e">
        <f t="shared" si="21"/>
        <v>#VALUE!</v>
      </c>
      <c r="AF85" s="58">
        <f t="shared" si="17"/>
        <v>0</v>
      </c>
      <c r="AG85" s="29" t="e">
        <f t="shared" si="22"/>
        <v>#VALUE!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57" t="e">
        <f t="shared" si="21"/>
        <v>#VALUE!</v>
      </c>
      <c r="AF86" s="58">
        <f t="shared" si="17"/>
        <v>0</v>
      </c>
      <c r="AG86" s="29" t="e">
        <f t="shared" si="22"/>
        <v>#VALUE!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57" t="e">
        <f t="shared" si="21"/>
        <v>#VALUE!</v>
      </c>
      <c r="AF87" s="58">
        <f t="shared" si="17"/>
        <v>0</v>
      </c>
      <c r="AG87" s="29" t="e">
        <f t="shared" si="22"/>
        <v>#VALUE!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57" t="e">
        <f t="shared" si="21"/>
        <v>#VALUE!</v>
      </c>
      <c r="AF88" s="58">
        <f t="shared" si="17"/>
        <v>0</v>
      </c>
      <c r="AG88" s="29" t="e">
        <f t="shared" si="22"/>
        <v>#VALUE!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57" t="e">
        <f t="shared" si="21"/>
        <v>#VALUE!</v>
      </c>
      <c r="AF89" s="58">
        <f t="shared" si="17"/>
        <v>0</v>
      </c>
      <c r="AG89" s="29" t="e">
        <f t="shared" si="22"/>
        <v>#VALUE!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57" t="e">
        <f t="shared" si="21"/>
        <v>#VALUE!</v>
      </c>
      <c r="AF90" s="58">
        <f t="shared" si="17"/>
        <v>0</v>
      </c>
      <c r="AG90" s="29" t="e">
        <f t="shared" si="22"/>
        <v>#VALUE!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57" t="e">
        <f t="shared" si="21"/>
        <v>#VALUE!</v>
      </c>
      <c r="AF91" s="58">
        <f t="shared" si="17"/>
        <v>0</v>
      </c>
      <c r="AG91" s="29" t="e">
        <f t="shared" si="22"/>
        <v>#VALUE!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57" t="e">
        <f t="shared" si="21"/>
        <v>#VALUE!</v>
      </c>
      <c r="AF92" s="58">
        <f t="shared" si="17"/>
        <v>0</v>
      </c>
      <c r="AG92" s="29" t="e">
        <f t="shared" si="22"/>
        <v>#VALUE!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57" t="e">
        <f t="shared" si="21"/>
        <v>#VALUE!</v>
      </c>
      <c r="AF93" s="58">
        <f t="shared" si="17"/>
        <v>0</v>
      </c>
      <c r="AG93" s="29" t="e">
        <f t="shared" si="22"/>
        <v>#VALUE!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57" t="e">
        <f t="shared" si="21"/>
        <v>#VALUE!</v>
      </c>
      <c r="AF94" s="58">
        <f t="shared" si="17"/>
        <v>0</v>
      </c>
      <c r="AG94" s="29" t="e">
        <f t="shared" si="22"/>
        <v>#VALUE!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57" t="e">
        <f t="shared" si="21"/>
        <v>#VALUE!</v>
      </c>
      <c r="AF95" s="58">
        <f t="shared" si="17"/>
        <v>0</v>
      </c>
      <c r="AG95" s="29" t="e">
        <f t="shared" si="22"/>
        <v>#VALUE!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57" t="e">
        <f t="shared" si="21"/>
        <v>#VALUE!</v>
      </c>
      <c r="AF96" s="58">
        <f t="shared" si="17"/>
        <v>0</v>
      </c>
      <c r="AG96" s="29" t="e">
        <f t="shared" si="22"/>
        <v>#VALUE!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57" t="e">
        <f t="shared" si="21"/>
        <v>#VALUE!</v>
      </c>
      <c r="AF97" s="58">
        <f t="shared" si="17"/>
        <v>0</v>
      </c>
      <c r="AG97" s="29" t="e">
        <f t="shared" si="22"/>
        <v>#VALUE!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57" t="e">
        <f t="shared" si="21"/>
        <v>#VALUE!</v>
      </c>
      <c r="AF98" s="58">
        <f t="shared" si="17"/>
        <v>0</v>
      </c>
      <c r="AG98" s="29" t="e">
        <f t="shared" si="22"/>
        <v>#VALUE!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57" t="e">
        <f t="shared" si="21"/>
        <v>#VALUE!</v>
      </c>
      <c r="AF99" s="58">
        <f t="shared" si="17"/>
        <v>0</v>
      </c>
      <c r="AG99" s="29" t="e">
        <f t="shared" si="22"/>
        <v>#VALUE!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57" t="e">
        <f t="shared" si="21"/>
        <v>#VALUE!</v>
      </c>
      <c r="AF100" s="58">
        <f t="shared" si="17"/>
        <v>0</v>
      </c>
      <c r="AG100" s="29" t="e">
        <f t="shared" si="22"/>
        <v>#VALUE!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57" t="e">
        <f t="shared" si="21"/>
        <v>#VALUE!</v>
      </c>
      <c r="AF101" s="58">
        <f t="shared" si="17"/>
        <v>0</v>
      </c>
      <c r="AG101" s="29" t="e">
        <f t="shared" si="22"/>
        <v>#VALUE!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57" t="e">
        <f t="shared" si="21"/>
        <v>#VALUE!</v>
      </c>
      <c r="AF102" s="58">
        <f t="shared" ref="AF102:AF125" si="26">IF(ISERR(AE102),0,AE102*M102)</f>
        <v>0</v>
      </c>
      <c r="AG102" s="29" t="e">
        <f t="shared" si="22"/>
        <v>#VALUE!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57" t="e">
        <f t="shared" si="21"/>
        <v>#VALUE!</v>
      </c>
      <c r="AF103" s="58">
        <f t="shared" si="26"/>
        <v>0</v>
      </c>
      <c r="AG103" s="29" t="e">
        <f t="shared" si="22"/>
        <v>#VALUE!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57" t="e">
        <f t="shared" si="21"/>
        <v>#VALUE!</v>
      </c>
      <c r="AF104" s="58">
        <f t="shared" si="26"/>
        <v>0</v>
      </c>
      <c r="AG104" s="29" t="e">
        <f t="shared" si="22"/>
        <v>#VALUE!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57" t="e">
        <f t="shared" si="21"/>
        <v>#VALUE!</v>
      </c>
      <c r="AF105" s="58">
        <f t="shared" si="26"/>
        <v>0</v>
      </c>
      <c r="AG105" s="29" t="e">
        <f t="shared" si="22"/>
        <v>#VALUE!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57" t="e">
        <f t="shared" si="21"/>
        <v>#VALUE!</v>
      </c>
      <c r="AF106" s="58">
        <f t="shared" si="26"/>
        <v>0</v>
      </c>
      <c r="AG106" s="29" t="e">
        <f t="shared" si="22"/>
        <v>#VALUE!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57" t="e">
        <f t="shared" si="21"/>
        <v>#VALUE!</v>
      </c>
      <c r="AF107" s="58">
        <f t="shared" si="26"/>
        <v>0</v>
      </c>
      <c r="AG107" s="29" t="e">
        <f t="shared" si="22"/>
        <v>#VALUE!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57" t="e">
        <f t="shared" si="21"/>
        <v>#VALUE!</v>
      </c>
      <c r="AF108" s="58">
        <f t="shared" si="26"/>
        <v>0</v>
      </c>
      <c r="AG108" s="29" t="e">
        <f t="shared" si="22"/>
        <v>#VALUE!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57" t="e">
        <f t="shared" si="21"/>
        <v>#VALUE!</v>
      </c>
      <c r="AF109" s="58">
        <f t="shared" si="26"/>
        <v>0</v>
      </c>
      <c r="AG109" s="29" t="e">
        <f t="shared" si="22"/>
        <v>#VALUE!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57" t="e">
        <f t="shared" si="21"/>
        <v>#VALUE!</v>
      </c>
      <c r="AF110" s="58">
        <f t="shared" si="26"/>
        <v>0</v>
      </c>
      <c r="AG110" s="29" t="e">
        <f t="shared" si="22"/>
        <v>#VALUE!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57" t="e">
        <f t="shared" si="21"/>
        <v>#VALUE!</v>
      </c>
      <c r="AF111" s="58">
        <f t="shared" si="26"/>
        <v>0</v>
      </c>
      <c r="AG111" s="29" t="e">
        <f t="shared" si="22"/>
        <v>#VALUE!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57" t="e">
        <f t="shared" si="21"/>
        <v>#VALUE!</v>
      </c>
      <c r="AF112" s="58">
        <f t="shared" si="26"/>
        <v>0</v>
      </c>
      <c r="AG112" s="29" t="e">
        <f t="shared" si="22"/>
        <v>#VALUE!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57" t="e">
        <f t="shared" si="21"/>
        <v>#VALUE!</v>
      </c>
      <c r="AF113" s="58">
        <f t="shared" si="26"/>
        <v>0</v>
      </c>
      <c r="AG113" s="29" t="e">
        <f t="shared" si="22"/>
        <v>#VALUE!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57" t="e">
        <f t="shared" si="21"/>
        <v>#VALUE!</v>
      </c>
      <c r="AF114" s="58">
        <f t="shared" si="26"/>
        <v>0</v>
      </c>
      <c r="AG114" s="29" t="e">
        <f t="shared" si="22"/>
        <v>#VALUE!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57" t="e">
        <f t="shared" si="21"/>
        <v>#VALUE!</v>
      </c>
      <c r="AF115" s="58">
        <f t="shared" si="26"/>
        <v>0</v>
      </c>
      <c r="AG115" s="29" t="e">
        <f t="shared" si="22"/>
        <v>#VALUE!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57" t="e">
        <f t="shared" si="21"/>
        <v>#VALUE!</v>
      </c>
      <c r="AF116" s="58">
        <f t="shared" si="26"/>
        <v>0</v>
      </c>
      <c r="AG116" s="29" t="e">
        <f t="shared" si="22"/>
        <v>#VALUE!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57" t="e">
        <f t="shared" si="21"/>
        <v>#VALUE!</v>
      </c>
      <c r="AF117" s="58">
        <f t="shared" si="26"/>
        <v>0</v>
      </c>
      <c r="AG117" s="29" t="e">
        <f t="shared" si="22"/>
        <v>#VALUE!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57" t="e">
        <f t="shared" si="21"/>
        <v>#VALUE!</v>
      </c>
      <c r="AF118" s="58">
        <f t="shared" si="26"/>
        <v>0</v>
      </c>
      <c r="AG118" s="29" t="e">
        <f t="shared" si="22"/>
        <v>#VALUE!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57" t="e">
        <f t="shared" si="21"/>
        <v>#VALUE!</v>
      </c>
      <c r="AF119" s="58">
        <f t="shared" si="26"/>
        <v>0</v>
      </c>
      <c r="AG119" s="29" t="e">
        <f t="shared" si="22"/>
        <v>#VALUE!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57" t="e">
        <f t="shared" si="21"/>
        <v>#VALUE!</v>
      </c>
      <c r="AF120" s="58">
        <f t="shared" si="26"/>
        <v>0</v>
      </c>
      <c r="AG120" s="29" t="e">
        <f t="shared" si="22"/>
        <v>#VALUE!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57" t="e">
        <f t="shared" si="21"/>
        <v>#VALUE!</v>
      </c>
      <c r="AF121" s="58">
        <f t="shared" si="26"/>
        <v>0</v>
      </c>
      <c r="AG121" s="29" t="e">
        <f t="shared" si="22"/>
        <v>#VALUE!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57" t="e">
        <f t="shared" si="21"/>
        <v>#VALUE!</v>
      </c>
      <c r="AF122" s="58">
        <f t="shared" si="26"/>
        <v>0</v>
      </c>
      <c r="AG122" s="29" t="e">
        <f t="shared" si="22"/>
        <v>#VALUE!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57" t="e">
        <f t="shared" si="21"/>
        <v>#VALUE!</v>
      </c>
      <c r="AF123" s="58">
        <f t="shared" si="26"/>
        <v>0</v>
      </c>
      <c r="AG123" s="29" t="e">
        <f t="shared" si="22"/>
        <v>#VALUE!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57" t="e">
        <f t="shared" si="21"/>
        <v>#VALUE!</v>
      </c>
      <c r="AF124" s="58">
        <f t="shared" si="26"/>
        <v>0</v>
      </c>
      <c r="AG124" s="29" t="e">
        <f t="shared" si="22"/>
        <v>#VALUE!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57" t="e">
        <f t="shared" si="21"/>
        <v>#VALUE!</v>
      </c>
      <c r="AF125" s="58">
        <f t="shared" si="26"/>
        <v>0</v>
      </c>
      <c r="AG125" s="29" t="e">
        <f t="shared" si="22"/>
        <v>#VALUE!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176</v>
      </c>
      <c r="B1">
        <v>74</v>
      </c>
    </row>
    <row r="2" spans="1:2" x14ac:dyDescent="0.25">
      <c r="A2" t="s">
        <v>177</v>
      </c>
      <c r="B2">
        <v>1003</v>
      </c>
    </row>
    <row r="3" spans="1:2" x14ac:dyDescent="0.25">
      <c r="A3" t="s">
        <v>178</v>
      </c>
      <c r="B3">
        <v>45</v>
      </c>
    </row>
    <row r="4" spans="1:2" x14ac:dyDescent="0.25">
      <c r="A4" t="s">
        <v>179</v>
      </c>
      <c r="B4">
        <v>65</v>
      </c>
    </row>
    <row r="5" spans="1:2" x14ac:dyDescent="0.25">
      <c r="A5" t="s">
        <v>182</v>
      </c>
      <c r="B5">
        <v>1E-4</v>
      </c>
    </row>
    <row r="6" spans="1:2" x14ac:dyDescent="0.25">
      <c r="A6" t="s">
        <v>183</v>
      </c>
      <c r="B6">
        <v>37</v>
      </c>
    </row>
    <row r="7" spans="1:2" x14ac:dyDescent="0.25">
      <c r="A7" t="s">
        <v>184</v>
      </c>
      <c r="B7">
        <v>5</v>
      </c>
    </row>
    <row r="8" spans="1:2" x14ac:dyDescent="0.25">
      <c r="A8" t="s">
        <v>192</v>
      </c>
      <c r="B8">
        <v>34</v>
      </c>
    </row>
    <row r="9" spans="1:2" x14ac:dyDescent="0.25">
      <c r="A9" t="s">
        <v>193</v>
      </c>
      <c r="B9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9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1448</v>
      </c>
    </row>
    <row r="2" spans="1:1" x14ac:dyDescent="0.25">
      <c r="A2" s="27" t="s">
        <v>1449</v>
      </c>
    </row>
    <row r="3" spans="1:1" x14ac:dyDescent="0.25">
      <c r="A3" s="27" t="s">
        <v>1450</v>
      </c>
    </row>
    <row r="4" spans="1:1" x14ac:dyDescent="0.25">
      <c r="A4" s="27" t="s">
        <v>210</v>
      </c>
    </row>
    <row r="5" spans="1:1" x14ac:dyDescent="0.25">
      <c r="A5" s="27" t="s">
        <v>211</v>
      </c>
    </row>
    <row r="6" spans="1:1" x14ac:dyDescent="0.25">
      <c r="A6" s="27" t="s">
        <v>211</v>
      </c>
    </row>
    <row r="7" spans="1:1" x14ac:dyDescent="0.25">
      <c r="A7" s="27" t="s">
        <v>212</v>
      </c>
    </row>
    <row r="8" spans="1:1" x14ac:dyDescent="0.25">
      <c r="A8" s="27" t="s">
        <v>212</v>
      </c>
    </row>
    <row r="9" spans="1:1" x14ac:dyDescent="0.25">
      <c r="A9" s="27" t="s">
        <v>212</v>
      </c>
    </row>
    <row r="10" spans="1:1" x14ac:dyDescent="0.25">
      <c r="A10" s="27" t="s">
        <v>213</v>
      </c>
    </row>
    <row r="11" spans="1:1" x14ac:dyDescent="0.25">
      <c r="A11" s="27" t="s">
        <v>213</v>
      </c>
    </row>
    <row r="12" spans="1:1" x14ac:dyDescent="0.25">
      <c r="A12" s="27" t="s">
        <v>213</v>
      </c>
    </row>
    <row r="13" spans="1:1" x14ac:dyDescent="0.25">
      <c r="A13" s="27" t="s">
        <v>214</v>
      </c>
    </row>
    <row r="14" spans="1:1" x14ac:dyDescent="0.25">
      <c r="A14" s="88" t="s">
        <v>215</v>
      </c>
    </row>
    <row r="15" spans="1:1" x14ac:dyDescent="0.25">
      <c r="A15" s="27" t="s">
        <v>216</v>
      </c>
    </row>
    <row r="16" spans="1:1" x14ac:dyDescent="0.25">
      <c r="A16" s="27" t="s">
        <v>216</v>
      </c>
    </row>
    <row r="17" spans="1:1" x14ac:dyDescent="0.25">
      <c r="A17" s="27" t="s">
        <v>217</v>
      </c>
    </row>
    <row r="18" spans="1:1" x14ac:dyDescent="0.25">
      <c r="A18" s="27" t="s">
        <v>217</v>
      </c>
    </row>
    <row r="19" spans="1:1" x14ac:dyDescent="0.25">
      <c r="A19" s="27" t="s">
        <v>218</v>
      </c>
    </row>
    <row r="20" spans="1:1" x14ac:dyDescent="0.25">
      <c r="A20" s="27" t="s">
        <v>219</v>
      </c>
    </row>
    <row r="21" spans="1:1" x14ac:dyDescent="0.25">
      <c r="A21" s="27" t="s">
        <v>219</v>
      </c>
    </row>
    <row r="22" spans="1:1" x14ac:dyDescent="0.25">
      <c r="A22" s="27" t="s">
        <v>220</v>
      </c>
    </row>
    <row r="23" spans="1:1" x14ac:dyDescent="0.25">
      <c r="A23" s="27" t="s">
        <v>220</v>
      </c>
    </row>
    <row r="24" spans="1:1" x14ac:dyDescent="0.25">
      <c r="A24" s="27" t="s">
        <v>221</v>
      </c>
    </row>
    <row r="25" spans="1:1" x14ac:dyDescent="0.25">
      <c r="A25" s="27" t="s">
        <v>221</v>
      </c>
    </row>
    <row r="26" spans="1:1" x14ac:dyDescent="0.25">
      <c r="A26" s="27" t="s">
        <v>221</v>
      </c>
    </row>
    <row r="27" spans="1:1" x14ac:dyDescent="0.25">
      <c r="A27" s="27" t="s">
        <v>222</v>
      </c>
    </row>
    <row r="28" spans="1:1" x14ac:dyDescent="0.25">
      <c r="A28" s="27" t="s">
        <v>222</v>
      </c>
    </row>
    <row r="29" spans="1:1" x14ac:dyDescent="0.25">
      <c r="A29" s="27" t="s">
        <v>222</v>
      </c>
    </row>
    <row r="30" spans="1:1" x14ac:dyDescent="0.25">
      <c r="A30" s="27" t="s">
        <v>223</v>
      </c>
    </row>
    <row r="31" spans="1:1" x14ac:dyDescent="0.25">
      <c r="A31" s="27" t="s">
        <v>223</v>
      </c>
    </row>
    <row r="32" spans="1:1" x14ac:dyDescent="0.25">
      <c r="A32" s="27" t="s">
        <v>223</v>
      </c>
    </row>
    <row r="33" spans="1:1" x14ac:dyDescent="0.25">
      <c r="A33" s="27" t="s">
        <v>224</v>
      </c>
    </row>
    <row r="34" spans="1:1" x14ac:dyDescent="0.25">
      <c r="A34" s="27" t="s">
        <v>224</v>
      </c>
    </row>
    <row r="35" spans="1:1" x14ac:dyDescent="0.25">
      <c r="A35" s="27" t="s">
        <v>224</v>
      </c>
    </row>
    <row r="36" spans="1:1" x14ac:dyDescent="0.25">
      <c r="A36" s="27" t="s">
        <v>225</v>
      </c>
    </row>
    <row r="37" spans="1:1" x14ac:dyDescent="0.25">
      <c r="A37" s="27" t="s">
        <v>225</v>
      </c>
    </row>
    <row r="38" spans="1:1" x14ac:dyDescent="0.25">
      <c r="A38" s="27" t="s">
        <v>225</v>
      </c>
    </row>
    <row r="39" spans="1:1" x14ac:dyDescent="0.25">
      <c r="A39" s="27" t="s">
        <v>226</v>
      </c>
    </row>
    <row r="40" spans="1:1" x14ac:dyDescent="0.25">
      <c r="A40" s="87" t="s">
        <v>227</v>
      </c>
    </row>
    <row r="41" spans="1:1" x14ac:dyDescent="0.25">
      <c r="A41" s="87" t="s">
        <v>228</v>
      </c>
    </row>
    <row r="42" spans="1:1" x14ac:dyDescent="0.25">
      <c r="A42" s="88" t="s">
        <v>229</v>
      </c>
    </row>
    <row r="43" spans="1:1" x14ac:dyDescent="0.25">
      <c r="A43" s="87" t="s">
        <v>230</v>
      </c>
    </row>
    <row r="44" spans="1:1" x14ac:dyDescent="0.25">
      <c r="A44" s="27" t="s">
        <v>231</v>
      </c>
    </row>
    <row r="45" spans="1:1" x14ac:dyDescent="0.25">
      <c r="A45" s="27" t="s">
        <v>232</v>
      </c>
    </row>
    <row r="46" spans="1:1" x14ac:dyDescent="0.25">
      <c r="A46" s="27" t="s">
        <v>232</v>
      </c>
    </row>
    <row r="47" spans="1:1" x14ac:dyDescent="0.25">
      <c r="A47" s="27" t="s">
        <v>233</v>
      </c>
    </row>
    <row r="48" spans="1:1" x14ac:dyDescent="0.25">
      <c r="A48" s="27" t="s">
        <v>233</v>
      </c>
    </row>
    <row r="49" spans="1:1" x14ac:dyDescent="0.25">
      <c r="A49" s="27" t="s">
        <v>233</v>
      </c>
    </row>
    <row r="50" spans="1:1" x14ac:dyDescent="0.25">
      <c r="A50" s="27" t="s">
        <v>234</v>
      </c>
    </row>
    <row r="51" spans="1:1" x14ac:dyDescent="0.25">
      <c r="A51" s="27" t="s">
        <v>234</v>
      </c>
    </row>
    <row r="52" spans="1:1" x14ac:dyDescent="0.25">
      <c r="A52" s="27" t="s">
        <v>234</v>
      </c>
    </row>
    <row r="53" spans="1:1" x14ac:dyDescent="0.25">
      <c r="A53" s="27" t="s">
        <v>235</v>
      </c>
    </row>
    <row r="54" spans="1:1" x14ac:dyDescent="0.25">
      <c r="A54" s="88" t="s">
        <v>236</v>
      </c>
    </row>
    <row r="55" spans="1:1" x14ac:dyDescent="0.25">
      <c r="A55" s="27" t="s">
        <v>237</v>
      </c>
    </row>
    <row r="56" spans="1:1" x14ac:dyDescent="0.25">
      <c r="A56" s="27" t="s">
        <v>237</v>
      </c>
    </row>
    <row r="57" spans="1:1" x14ac:dyDescent="0.25">
      <c r="A57" s="27" t="s">
        <v>238</v>
      </c>
    </row>
    <row r="58" spans="1:1" x14ac:dyDescent="0.25">
      <c r="A58" s="27" t="s">
        <v>238</v>
      </c>
    </row>
    <row r="59" spans="1:1" x14ac:dyDescent="0.25">
      <c r="A59" s="27" t="s">
        <v>238</v>
      </c>
    </row>
    <row r="60" spans="1:1" x14ac:dyDescent="0.25">
      <c r="A60" s="27" t="s">
        <v>239</v>
      </c>
    </row>
    <row r="61" spans="1:1" x14ac:dyDescent="0.25">
      <c r="A61" s="27" t="s">
        <v>239</v>
      </c>
    </row>
    <row r="62" spans="1:1" x14ac:dyDescent="0.25">
      <c r="A62" s="27" t="s">
        <v>239</v>
      </c>
    </row>
    <row r="63" spans="1:1" x14ac:dyDescent="0.25">
      <c r="A63" s="27" t="s">
        <v>240</v>
      </c>
    </row>
    <row r="64" spans="1:1" x14ac:dyDescent="0.25">
      <c r="A64" s="27" t="s">
        <v>240</v>
      </c>
    </row>
    <row r="65" spans="1:1" x14ac:dyDescent="0.25">
      <c r="A65" s="27" t="s">
        <v>240</v>
      </c>
    </row>
    <row r="66" spans="1:1" x14ac:dyDescent="0.25">
      <c r="A66" s="27" t="s">
        <v>241</v>
      </c>
    </row>
    <row r="67" spans="1:1" x14ac:dyDescent="0.25">
      <c r="A67" s="27" t="s">
        <v>241</v>
      </c>
    </row>
    <row r="68" spans="1:1" x14ac:dyDescent="0.25">
      <c r="A68" s="27" t="s">
        <v>241</v>
      </c>
    </row>
    <row r="69" spans="1:1" x14ac:dyDescent="0.25">
      <c r="A69" s="27" t="s">
        <v>242</v>
      </c>
    </row>
    <row r="70" spans="1:1" x14ac:dyDescent="0.25">
      <c r="A70" s="27" t="s">
        <v>242</v>
      </c>
    </row>
    <row r="71" spans="1:1" x14ac:dyDescent="0.25">
      <c r="A71" s="27" t="s">
        <v>242</v>
      </c>
    </row>
    <row r="72" spans="1:1" x14ac:dyDescent="0.25">
      <c r="A72" s="27" t="s">
        <v>243</v>
      </c>
    </row>
    <row r="73" spans="1:1" x14ac:dyDescent="0.25">
      <c r="A73" s="27" t="s">
        <v>243</v>
      </c>
    </row>
    <row r="74" spans="1:1" x14ac:dyDescent="0.25">
      <c r="A74" s="27" t="s">
        <v>243</v>
      </c>
    </row>
    <row r="75" spans="1:1" x14ac:dyDescent="0.25">
      <c r="A75" s="27" t="s">
        <v>244</v>
      </c>
    </row>
    <row r="76" spans="1:1" x14ac:dyDescent="0.25">
      <c r="A76" s="27" t="s">
        <v>244</v>
      </c>
    </row>
    <row r="77" spans="1:1" x14ac:dyDescent="0.25">
      <c r="A77" s="27" t="s">
        <v>244</v>
      </c>
    </row>
    <row r="78" spans="1:1" x14ac:dyDescent="0.25">
      <c r="A78" s="27" t="s">
        <v>245</v>
      </c>
    </row>
    <row r="79" spans="1:1" x14ac:dyDescent="0.25">
      <c r="A79" s="27" t="s">
        <v>245</v>
      </c>
    </row>
    <row r="80" spans="1:1" x14ac:dyDescent="0.25">
      <c r="A80" s="87" t="s">
        <v>246</v>
      </c>
    </row>
    <row r="81" spans="1:1" x14ac:dyDescent="0.25">
      <c r="A81" s="87" t="s">
        <v>247</v>
      </c>
    </row>
    <row r="82" spans="1:1" x14ac:dyDescent="0.25">
      <c r="A82" s="88" t="s">
        <v>248</v>
      </c>
    </row>
    <row r="83" spans="1:1" x14ac:dyDescent="0.25">
      <c r="A83" s="27" t="s">
        <v>249</v>
      </c>
    </row>
    <row r="84" spans="1:1" x14ac:dyDescent="0.25">
      <c r="A84" s="27" t="s">
        <v>250</v>
      </c>
    </row>
    <row r="85" spans="1:1" x14ac:dyDescent="0.25">
      <c r="A85" s="27" t="s">
        <v>251</v>
      </c>
    </row>
    <row r="86" spans="1:1" x14ac:dyDescent="0.25">
      <c r="A86" s="27" t="s">
        <v>252</v>
      </c>
    </row>
    <row r="87" spans="1:1" x14ac:dyDescent="0.25">
      <c r="A87" s="27" t="s">
        <v>253</v>
      </c>
    </row>
    <row r="88" spans="1:1" x14ac:dyDescent="0.25">
      <c r="A88" s="27" t="s">
        <v>254</v>
      </c>
    </row>
    <row r="89" spans="1:1" x14ac:dyDescent="0.25">
      <c r="A89" s="27" t="s">
        <v>255</v>
      </c>
    </row>
    <row r="90" spans="1:1" x14ac:dyDescent="0.25">
      <c r="A90" t="s">
        <v>256</v>
      </c>
    </row>
    <row r="91" spans="1:1" x14ac:dyDescent="0.25">
      <c r="A91" t="s">
        <v>257</v>
      </c>
    </row>
    <row r="92" spans="1:1" x14ac:dyDescent="0.25">
      <c r="A92" s="87" t="s">
        <v>258</v>
      </c>
    </row>
    <row r="93" spans="1:1" x14ac:dyDescent="0.25">
      <c r="A93" s="27" t="s">
        <v>259</v>
      </c>
    </row>
    <row r="94" spans="1:1" x14ac:dyDescent="0.25">
      <c r="A94" s="27" t="s">
        <v>260</v>
      </c>
    </row>
    <row r="95" spans="1:1" x14ac:dyDescent="0.25">
      <c r="A95" s="27" t="s">
        <v>260</v>
      </c>
    </row>
    <row r="96" spans="1:1" x14ac:dyDescent="0.25">
      <c r="A96" s="27" t="s">
        <v>261</v>
      </c>
    </row>
    <row r="97" spans="1:1" x14ac:dyDescent="0.25">
      <c r="A97" s="27" t="s">
        <v>262</v>
      </c>
    </row>
    <row r="98" spans="1:1" x14ac:dyDescent="0.25">
      <c r="A98" s="27" t="s">
        <v>262</v>
      </c>
    </row>
    <row r="99" spans="1:1" x14ac:dyDescent="0.25">
      <c r="A99" s="27" t="s">
        <v>263</v>
      </c>
    </row>
    <row r="100" spans="1:1" x14ac:dyDescent="0.25">
      <c r="A100" s="27" t="s">
        <v>264</v>
      </c>
    </row>
    <row r="101" spans="1:1" x14ac:dyDescent="0.25">
      <c r="A101" s="27" t="s">
        <v>264</v>
      </c>
    </row>
    <row r="102" spans="1:1" x14ac:dyDescent="0.25">
      <c r="A102" s="27" t="s">
        <v>265</v>
      </c>
    </row>
    <row r="103" spans="1:1" x14ac:dyDescent="0.25">
      <c r="A103" s="88" t="s">
        <v>266</v>
      </c>
    </row>
    <row r="104" spans="1:1" x14ac:dyDescent="0.25">
      <c r="A104" s="27" t="s">
        <v>267</v>
      </c>
    </row>
    <row r="105" spans="1:1" x14ac:dyDescent="0.25">
      <c r="A105" s="27" t="s">
        <v>267</v>
      </c>
    </row>
    <row r="106" spans="1:1" x14ac:dyDescent="0.25">
      <c r="A106" s="27" t="s">
        <v>268</v>
      </c>
    </row>
    <row r="107" spans="1:1" x14ac:dyDescent="0.25">
      <c r="A107" s="27" t="s">
        <v>268</v>
      </c>
    </row>
    <row r="108" spans="1:1" x14ac:dyDescent="0.25">
      <c r="A108" s="27" t="s">
        <v>269</v>
      </c>
    </row>
    <row r="109" spans="1:1" x14ac:dyDescent="0.25">
      <c r="A109" s="27" t="s">
        <v>270</v>
      </c>
    </row>
    <row r="110" spans="1:1" x14ac:dyDescent="0.25">
      <c r="A110" s="27" t="s">
        <v>271</v>
      </c>
    </row>
    <row r="111" spans="1:1" x14ac:dyDescent="0.25">
      <c r="A111" s="27" t="s">
        <v>271</v>
      </c>
    </row>
    <row r="112" spans="1:1" x14ac:dyDescent="0.25">
      <c r="A112" s="27" t="s">
        <v>272</v>
      </c>
    </row>
    <row r="113" spans="1:1" x14ac:dyDescent="0.25">
      <c r="A113" s="27" t="s">
        <v>273</v>
      </c>
    </row>
    <row r="114" spans="1:1" x14ac:dyDescent="0.25">
      <c r="A114" s="27" t="s">
        <v>273</v>
      </c>
    </row>
    <row r="115" spans="1:1" x14ac:dyDescent="0.25">
      <c r="A115" s="27" t="s">
        <v>274</v>
      </c>
    </row>
    <row r="116" spans="1:1" x14ac:dyDescent="0.25">
      <c r="A116" s="27" t="s">
        <v>275</v>
      </c>
    </row>
    <row r="117" spans="1:1" x14ac:dyDescent="0.25">
      <c r="A117" s="27" t="s">
        <v>275</v>
      </c>
    </row>
    <row r="118" spans="1:1" x14ac:dyDescent="0.25">
      <c r="A118" s="27" t="s">
        <v>276</v>
      </c>
    </row>
    <row r="119" spans="1:1" x14ac:dyDescent="0.25">
      <c r="A119" s="27" t="s">
        <v>277</v>
      </c>
    </row>
    <row r="120" spans="1:1" x14ac:dyDescent="0.25">
      <c r="A120" s="27" t="s">
        <v>277</v>
      </c>
    </row>
    <row r="121" spans="1:1" x14ac:dyDescent="0.25">
      <c r="A121" s="27" t="s">
        <v>278</v>
      </c>
    </row>
    <row r="122" spans="1:1" x14ac:dyDescent="0.25">
      <c r="A122" s="27" t="s">
        <v>279</v>
      </c>
    </row>
    <row r="123" spans="1:1" x14ac:dyDescent="0.25">
      <c r="A123" s="27" t="s">
        <v>279</v>
      </c>
    </row>
    <row r="124" spans="1:1" x14ac:dyDescent="0.25">
      <c r="A124" s="27" t="s">
        <v>280</v>
      </c>
    </row>
    <row r="125" spans="1:1" x14ac:dyDescent="0.25">
      <c r="A125" s="27" t="s">
        <v>281</v>
      </c>
    </row>
    <row r="126" spans="1:1" x14ac:dyDescent="0.25">
      <c r="A126" s="27" t="s">
        <v>281</v>
      </c>
    </row>
    <row r="127" spans="1:1" x14ac:dyDescent="0.25">
      <c r="A127" s="27" t="s">
        <v>282</v>
      </c>
    </row>
    <row r="128" spans="1:1" x14ac:dyDescent="0.25">
      <c r="A128" s="27" t="s">
        <v>282</v>
      </c>
    </row>
    <row r="129" spans="1:1" x14ac:dyDescent="0.25">
      <c r="A129" s="87" t="s">
        <v>283</v>
      </c>
    </row>
    <row r="130" spans="1:1" x14ac:dyDescent="0.25">
      <c r="A130" s="87" t="s">
        <v>284</v>
      </c>
    </row>
    <row r="131" spans="1:1" x14ac:dyDescent="0.25">
      <c r="A131" s="27" t="s">
        <v>285</v>
      </c>
    </row>
    <row r="132" spans="1:1" x14ac:dyDescent="0.25">
      <c r="A132" s="27" t="s">
        <v>286</v>
      </c>
    </row>
    <row r="133" spans="1:1" x14ac:dyDescent="0.25">
      <c r="A133" s="27" t="s">
        <v>287</v>
      </c>
    </row>
    <row r="134" spans="1:1" x14ac:dyDescent="0.25">
      <c r="A134" s="27" t="s">
        <v>288</v>
      </c>
    </row>
    <row r="135" spans="1:1" x14ac:dyDescent="0.25">
      <c r="A135" s="27" t="s">
        <v>289</v>
      </c>
    </row>
    <row r="136" spans="1:1" x14ac:dyDescent="0.25">
      <c r="A136" s="27" t="s">
        <v>289</v>
      </c>
    </row>
    <row r="137" spans="1:1" x14ac:dyDescent="0.25">
      <c r="A137" s="27" t="s">
        <v>290</v>
      </c>
    </row>
    <row r="138" spans="1:1" x14ac:dyDescent="0.25">
      <c r="A138" s="27" t="s">
        <v>291</v>
      </c>
    </row>
    <row r="139" spans="1:1" x14ac:dyDescent="0.25">
      <c r="A139" s="27" t="s">
        <v>292</v>
      </c>
    </row>
    <row r="140" spans="1:1" x14ac:dyDescent="0.25">
      <c r="A140" s="27" t="s">
        <v>292</v>
      </c>
    </row>
    <row r="141" spans="1:1" x14ac:dyDescent="0.25">
      <c r="A141" s="27" t="s">
        <v>292</v>
      </c>
    </row>
    <row r="142" spans="1:1" x14ac:dyDescent="0.25">
      <c r="A142" s="27" t="s">
        <v>293</v>
      </c>
    </row>
    <row r="143" spans="1:1" x14ac:dyDescent="0.25">
      <c r="A143" s="27" t="s">
        <v>294</v>
      </c>
    </row>
    <row r="144" spans="1:1" x14ac:dyDescent="0.25">
      <c r="A144" s="27" t="s">
        <v>295</v>
      </c>
    </row>
    <row r="145" spans="1:1" x14ac:dyDescent="0.25">
      <c r="A145" s="27" t="s">
        <v>295</v>
      </c>
    </row>
    <row r="146" spans="1:1" x14ac:dyDescent="0.25">
      <c r="A146" s="27" t="s">
        <v>295</v>
      </c>
    </row>
    <row r="147" spans="1:1" x14ac:dyDescent="0.25">
      <c r="A147" s="27" t="s">
        <v>296</v>
      </c>
    </row>
    <row r="148" spans="1:1" x14ac:dyDescent="0.25">
      <c r="A148" s="27" t="s">
        <v>296</v>
      </c>
    </row>
    <row r="149" spans="1:1" x14ac:dyDescent="0.25">
      <c r="A149" s="27" t="s">
        <v>296</v>
      </c>
    </row>
    <row r="150" spans="1:1" x14ac:dyDescent="0.25">
      <c r="A150" s="27" t="s">
        <v>297</v>
      </c>
    </row>
    <row r="151" spans="1:1" x14ac:dyDescent="0.25">
      <c r="A151" s="27" t="s">
        <v>297</v>
      </c>
    </row>
    <row r="152" spans="1:1" x14ac:dyDescent="0.25">
      <c r="A152" s="27" t="s">
        <v>297</v>
      </c>
    </row>
    <row r="153" spans="1:1" x14ac:dyDescent="0.25">
      <c r="A153" s="27" t="s">
        <v>298</v>
      </c>
    </row>
    <row r="154" spans="1:1" x14ac:dyDescent="0.25">
      <c r="A154" s="27" t="s">
        <v>298</v>
      </c>
    </row>
    <row r="155" spans="1:1" x14ac:dyDescent="0.25">
      <c r="A155" s="27" t="s">
        <v>298</v>
      </c>
    </row>
    <row r="156" spans="1:1" x14ac:dyDescent="0.25">
      <c r="A156" s="27" t="s">
        <v>299</v>
      </c>
    </row>
    <row r="157" spans="1:1" x14ac:dyDescent="0.25">
      <c r="A157" s="27" t="s">
        <v>299</v>
      </c>
    </row>
    <row r="158" spans="1:1" x14ac:dyDescent="0.25">
      <c r="A158" s="27" t="s">
        <v>299</v>
      </c>
    </row>
    <row r="159" spans="1:1" x14ac:dyDescent="0.25">
      <c r="A159" s="27" t="s">
        <v>300</v>
      </c>
    </row>
    <row r="160" spans="1:1" x14ac:dyDescent="0.25">
      <c r="A160" s="27" t="s">
        <v>300</v>
      </c>
    </row>
    <row r="161" spans="1:1" x14ac:dyDescent="0.25">
      <c r="A161" s="27" t="s">
        <v>300</v>
      </c>
    </row>
    <row r="162" spans="1:1" x14ac:dyDescent="0.25">
      <c r="A162" s="27" t="s">
        <v>301</v>
      </c>
    </row>
    <row r="163" spans="1:1" x14ac:dyDescent="0.25">
      <c r="A163" s="87" t="s">
        <v>302</v>
      </c>
    </row>
    <row r="164" spans="1:1" x14ac:dyDescent="0.25">
      <c r="A164" s="27" t="s">
        <v>303</v>
      </c>
    </row>
    <row r="165" spans="1:1" x14ac:dyDescent="0.25">
      <c r="A165" s="27" t="s">
        <v>304</v>
      </c>
    </row>
    <row r="166" spans="1:1" x14ac:dyDescent="0.25">
      <c r="A166" s="27" t="s">
        <v>304</v>
      </c>
    </row>
    <row r="167" spans="1:1" x14ac:dyDescent="0.25">
      <c r="A167" s="27" t="s">
        <v>305</v>
      </c>
    </row>
    <row r="168" spans="1:1" x14ac:dyDescent="0.25">
      <c r="A168" s="27" t="s">
        <v>305</v>
      </c>
    </row>
    <row r="169" spans="1:1" x14ac:dyDescent="0.25">
      <c r="A169" s="27" t="s">
        <v>305</v>
      </c>
    </row>
    <row r="170" spans="1:1" x14ac:dyDescent="0.25">
      <c r="A170" s="27" t="s">
        <v>306</v>
      </c>
    </row>
    <row r="171" spans="1:1" x14ac:dyDescent="0.25">
      <c r="A171" s="27" t="s">
        <v>306</v>
      </c>
    </row>
    <row r="172" spans="1:1" x14ac:dyDescent="0.25">
      <c r="A172" s="27" t="s">
        <v>306</v>
      </c>
    </row>
    <row r="173" spans="1:1" x14ac:dyDescent="0.25">
      <c r="A173" s="27" t="s">
        <v>307</v>
      </c>
    </row>
    <row r="174" spans="1:1" x14ac:dyDescent="0.25">
      <c r="A174" s="88" t="s">
        <v>308</v>
      </c>
    </row>
    <row r="175" spans="1:1" x14ac:dyDescent="0.25">
      <c r="A175" s="27" t="s">
        <v>309</v>
      </c>
    </row>
    <row r="176" spans="1:1" x14ac:dyDescent="0.25">
      <c r="A176" s="27" t="s">
        <v>309</v>
      </c>
    </row>
    <row r="177" spans="1:1" x14ac:dyDescent="0.25">
      <c r="A177" s="27" t="s">
        <v>310</v>
      </c>
    </row>
    <row r="178" spans="1:1" x14ac:dyDescent="0.25">
      <c r="A178" s="27" t="s">
        <v>310</v>
      </c>
    </row>
    <row r="179" spans="1:1" x14ac:dyDescent="0.25">
      <c r="A179" s="27" t="s">
        <v>310</v>
      </c>
    </row>
    <row r="180" spans="1:1" x14ac:dyDescent="0.25">
      <c r="A180" s="27" t="s">
        <v>311</v>
      </c>
    </row>
    <row r="181" spans="1:1" x14ac:dyDescent="0.25">
      <c r="A181" s="27" t="s">
        <v>311</v>
      </c>
    </row>
    <row r="182" spans="1:1" x14ac:dyDescent="0.25">
      <c r="A182" s="27" t="s">
        <v>311</v>
      </c>
    </row>
    <row r="183" spans="1:1" x14ac:dyDescent="0.25">
      <c r="A183" s="27" t="s">
        <v>312</v>
      </c>
    </row>
    <row r="184" spans="1:1" x14ac:dyDescent="0.25">
      <c r="A184" s="27" t="s">
        <v>312</v>
      </c>
    </row>
    <row r="185" spans="1:1" x14ac:dyDescent="0.25">
      <c r="A185" s="27" t="s">
        <v>312</v>
      </c>
    </row>
    <row r="186" spans="1:1" x14ac:dyDescent="0.25">
      <c r="A186" s="27" t="s">
        <v>313</v>
      </c>
    </row>
    <row r="187" spans="1:1" x14ac:dyDescent="0.25">
      <c r="A187" s="27" t="s">
        <v>313</v>
      </c>
    </row>
    <row r="188" spans="1:1" x14ac:dyDescent="0.25">
      <c r="A188" s="27" t="s">
        <v>313</v>
      </c>
    </row>
    <row r="189" spans="1:1" x14ac:dyDescent="0.25">
      <c r="A189" s="27" t="s">
        <v>314</v>
      </c>
    </row>
    <row r="190" spans="1:1" x14ac:dyDescent="0.25">
      <c r="A190" s="27" t="s">
        <v>314</v>
      </c>
    </row>
    <row r="191" spans="1:1" x14ac:dyDescent="0.25">
      <c r="A191" s="27" t="s">
        <v>314</v>
      </c>
    </row>
    <row r="192" spans="1:1" x14ac:dyDescent="0.25">
      <c r="A192" s="27" t="s">
        <v>315</v>
      </c>
    </row>
    <row r="193" spans="1:1" x14ac:dyDescent="0.25">
      <c r="A193" s="27" t="s">
        <v>315</v>
      </c>
    </row>
    <row r="194" spans="1:1" x14ac:dyDescent="0.25">
      <c r="A194" s="27" t="s">
        <v>315</v>
      </c>
    </row>
    <row r="195" spans="1:1" x14ac:dyDescent="0.25">
      <c r="A195" s="27" t="s">
        <v>316</v>
      </c>
    </row>
    <row r="196" spans="1:1" x14ac:dyDescent="0.25">
      <c r="A196" s="27" t="s">
        <v>316</v>
      </c>
    </row>
    <row r="197" spans="1:1" x14ac:dyDescent="0.25">
      <c r="A197" s="27" t="s">
        <v>316</v>
      </c>
    </row>
    <row r="198" spans="1:1" x14ac:dyDescent="0.25">
      <c r="A198" s="27" t="s">
        <v>317</v>
      </c>
    </row>
    <row r="199" spans="1:1" x14ac:dyDescent="0.25">
      <c r="A199" s="27" t="s">
        <v>317</v>
      </c>
    </row>
    <row r="200" spans="1:1" x14ac:dyDescent="0.25">
      <c r="A200" s="87" t="s">
        <v>318</v>
      </c>
    </row>
    <row r="201" spans="1:1" x14ac:dyDescent="0.25">
      <c r="A201" s="87" t="s">
        <v>319</v>
      </c>
    </row>
    <row r="202" spans="1:1" x14ac:dyDescent="0.25">
      <c r="A202" s="27" t="s">
        <v>320</v>
      </c>
    </row>
    <row r="203" spans="1:1" x14ac:dyDescent="0.25">
      <c r="A203" s="27" t="s">
        <v>321</v>
      </c>
    </row>
    <row r="204" spans="1:1" x14ac:dyDescent="0.25">
      <c r="A204" s="27" t="s">
        <v>322</v>
      </c>
    </row>
    <row r="205" spans="1:1" x14ac:dyDescent="0.25">
      <c r="A205" s="27" t="s">
        <v>323</v>
      </c>
    </row>
    <row r="206" spans="1:1" x14ac:dyDescent="0.25">
      <c r="A206" s="27" t="s">
        <v>323</v>
      </c>
    </row>
    <row r="207" spans="1:1" x14ac:dyDescent="0.25">
      <c r="A207" s="27" t="s">
        <v>324</v>
      </c>
    </row>
    <row r="208" spans="1:1" x14ac:dyDescent="0.25">
      <c r="A208" s="27" t="s">
        <v>324</v>
      </c>
    </row>
    <row r="209" spans="1:1" x14ac:dyDescent="0.25">
      <c r="A209" s="27" t="s">
        <v>325</v>
      </c>
    </row>
    <row r="210" spans="1:1" x14ac:dyDescent="0.25">
      <c r="A210" s="27" t="s">
        <v>326</v>
      </c>
    </row>
    <row r="211" spans="1:1" x14ac:dyDescent="0.25">
      <c r="A211" s="27" t="s">
        <v>326</v>
      </c>
    </row>
    <row r="212" spans="1:1" x14ac:dyDescent="0.25">
      <c r="A212" s="27" t="s">
        <v>326</v>
      </c>
    </row>
    <row r="213" spans="1:1" x14ac:dyDescent="0.25">
      <c r="A213" s="27" t="s">
        <v>327</v>
      </c>
    </row>
    <row r="214" spans="1:1" x14ac:dyDescent="0.25">
      <c r="A214" s="27" t="s">
        <v>328</v>
      </c>
    </row>
    <row r="215" spans="1:1" x14ac:dyDescent="0.25">
      <c r="A215" s="27" t="s">
        <v>328</v>
      </c>
    </row>
    <row r="216" spans="1:1" x14ac:dyDescent="0.25">
      <c r="A216" s="27" t="s">
        <v>329</v>
      </c>
    </row>
    <row r="217" spans="1:1" x14ac:dyDescent="0.25">
      <c r="A217" s="27" t="s">
        <v>329</v>
      </c>
    </row>
    <row r="218" spans="1:1" x14ac:dyDescent="0.25">
      <c r="A218" s="27" t="s">
        <v>329</v>
      </c>
    </row>
    <row r="219" spans="1:1" x14ac:dyDescent="0.25">
      <c r="A219" s="27" t="s">
        <v>330</v>
      </c>
    </row>
    <row r="220" spans="1:1" x14ac:dyDescent="0.25">
      <c r="A220" s="27" t="s">
        <v>330</v>
      </c>
    </row>
    <row r="221" spans="1:1" x14ac:dyDescent="0.25">
      <c r="A221" s="27" t="s">
        <v>331</v>
      </c>
    </row>
    <row r="222" spans="1:1" x14ac:dyDescent="0.25">
      <c r="A222" s="27" t="s">
        <v>331</v>
      </c>
    </row>
    <row r="223" spans="1:1" x14ac:dyDescent="0.25">
      <c r="A223" s="27" t="s">
        <v>331</v>
      </c>
    </row>
    <row r="224" spans="1:1" x14ac:dyDescent="0.25">
      <c r="A224" s="27" t="s">
        <v>332</v>
      </c>
    </row>
    <row r="225" spans="1:1" x14ac:dyDescent="0.25">
      <c r="A225" s="27" t="s">
        <v>332</v>
      </c>
    </row>
    <row r="226" spans="1:1" x14ac:dyDescent="0.25">
      <c r="A226" s="27" t="s">
        <v>332</v>
      </c>
    </row>
    <row r="227" spans="1:1" x14ac:dyDescent="0.25">
      <c r="A227" s="27" t="s">
        <v>333</v>
      </c>
    </row>
    <row r="228" spans="1:1" x14ac:dyDescent="0.25">
      <c r="A228" s="27" t="s">
        <v>333</v>
      </c>
    </row>
    <row r="229" spans="1:1" x14ac:dyDescent="0.25">
      <c r="A229" s="27" t="s">
        <v>333</v>
      </c>
    </row>
    <row r="230" spans="1:1" x14ac:dyDescent="0.25">
      <c r="A230" s="27" t="s">
        <v>334</v>
      </c>
    </row>
    <row r="231" spans="1:1" x14ac:dyDescent="0.25">
      <c r="A231" s="27" t="s">
        <v>334</v>
      </c>
    </row>
    <row r="232" spans="1:1" x14ac:dyDescent="0.25">
      <c r="A232" s="27" t="s">
        <v>334</v>
      </c>
    </row>
    <row r="233" spans="1:1" x14ac:dyDescent="0.25">
      <c r="A233" s="27" t="s">
        <v>335</v>
      </c>
    </row>
    <row r="234" spans="1:1" x14ac:dyDescent="0.25">
      <c r="A234" s="87" t="s">
        <v>336</v>
      </c>
    </row>
    <row r="235" spans="1:1" x14ac:dyDescent="0.25">
      <c r="A235" s="27" t="s">
        <v>337</v>
      </c>
    </row>
    <row r="236" spans="1:1" x14ac:dyDescent="0.25">
      <c r="A236" s="87" t="s">
        <v>338</v>
      </c>
    </row>
    <row r="237" spans="1:1" x14ac:dyDescent="0.25">
      <c r="A237" s="27" t="s">
        <v>339</v>
      </c>
    </row>
    <row r="238" spans="1:1" x14ac:dyDescent="0.25">
      <c r="A238" s="87" t="s">
        <v>340</v>
      </c>
    </row>
    <row r="239" spans="1:1" x14ac:dyDescent="0.25">
      <c r="A239" s="27" t="s">
        <v>341</v>
      </c>
    </row>
    <row r="240" spans="1:1" x14ac:dyDescent="0.25">
      <c r="A240" s="87" t="s">
        <v>342</v>
      </c>
    </row>
    <row r="241" spans="1:1" x14ac:dyDescent="0.25">
      <c r="A241" s="27" t="s">
        <v>343</v>
      </c>
    </row>
    <row r="242" spans="1:1" x14ac:dyDescent="0.25">
      <c r="A242" s="87" t="s">
        <v>344</v>
      </c>
    </row>
    <row r="243" spans="1:1" x14ac:dyDescent="0.25">
      <c r="A243" s="27" t="s">
        <v>345</v>
      </c>
    </row>
    <row r="244" spans="1:1" x14ac:dyDescent="0.25">
      <c r="A244" s="87" t="s">
        <v>346</v>
      </c>
    </row>
    <row r="245" spans="1:1" x14ac:dyDescent="0.25">
      <c r="A245" s="27" t="s">
        <v>347</v>
      </c>
    </row>
    <row r="246" spans="1:1" x14ac:dyDescent="0.25">
      <c r="A246" s="87" t="s">
        <v>348</v>
      </c>
    </row>
    <row r="247" spans="1:1" x14ac:dyDescent="0.25">
      <c r="A247" s="27" t="s">
        <v>349</v>
      </c>
    </row>
    <row r="248" spans="1:1" x14ac:dyDescent="0.25">
      <c r="A248" s="87" t="s">
        <v>350</v>
      </c>
    </row>
    <row r="249" spans="1:1" x14ac:dyDescent="0.25">
      <c r="A249" s="27" t="s">
        <v>351</v>
      </c>
    </row>
    <row r="250" spans="1:1" x14ac:dyDescent="0.25">
      <c r="A250" s="87" t="s">
        <v>352</v>
      </c>
    </row>
    <row r="251" spans="1:1" x14ac:dyDescent="0.25">
      <c r="A251" s="27" t="s">
        <v>353</v>
      </c>
    </row>
    <row r="252" spans="1:1" x14ac:dyDescent="0.25">
      <c r="A252" t="s">
        <v>354</v>
      </c>
    </row>
    <row r="253" spans="1:1" x14ac:dyDescent="0.25">
      <c r="A253" t="s">
        <v>355</v>
      </c>
    </row>
    <row r="254" spans="1:1" x14ac:dyDescent="0.25">
      <c r="A254" t="s">
        <v>356</v>
      </c>
    </row>
    <row r="255" spans="1:1" x14ac:dyDescent="0.25">
      <c r="A255" t="s">
        <v>357</v>
      </c>
    </row>
    <row r="256" spans="1:1" x14ac:dyDescent="0.25">
      <c r="A256" t="s">
        <v>358</v>
      </c>
    </row>
    <row r="257" spans="1:1" x14ac:dyDescent="0.25">
      <c r="A257" t="s">
        <v>359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363</v>
      </c>
    </row>
    <row r="262" spans="1:1" x14ac:dyDescent="0.25">
      <c r="A262" t="s">
        <v>364</v>
      </c>
    </row>
    <row r="263" spans="1:1" x14ac:dyDescent="0.25">
      <c r="A263" t="s">
        <v>365</v>
      </c>
    </row>
    <row r="264" spans="1:1" x14ac:dyDescent="0.25">
      <c r="A264" t="s">
        <v>366</v>
      </c>
    </row>
    <row r="265" spans="1:1" x14ac:dyDescent="0.25">
      <c r="A265" t="s">
        <v>367</v>
      </c>
    </row>
    <row r="266" spans="1:1" x14ac:dyDescent="0.25">
      <c r="A266" s="87" t="s">
        <v>368</v>
      </c>
    </row>
    <row r="267" spans="1:1" x14ac:dyDescent="0.25">
      <c r="A267" s="87" t="s">
        <v>369</v>
      </c>
    </row>
    <row r="268" spans="1:1" x14ac:dyDescent="0.25">
      <c r="A268" s="87" t="s">
        <v>370</v>
      </c>
    </row>
    <row r="269" spans="1:1" x14ac:dyDescent="0.25">
      <c r="A269" s="88" t="s">
        <v>371</v>
      </c>
    </row>
    <row r="270" spans="1:1" x14ac:dyDescent="0.25">
      <c r="A270" s="88" t="s">
        <v>372</v>
      </c>
    </row>
    <row r="271" spans="1:1" x14ac:dyDescent="0.25">
      <c r="A271" s="87" t="s">
        <v>373</v>
      </c>
    </row>
    <row r="272" spans="1:1" x14ac:dyDescent="0.25">
      <c r="A272" s="27" t="s">
        <v>374</v>
      </c>
    </row>
    <row r="273" spans="1:1" x14ac:dyDescent="0.25">
      <c r="A273" s="27" t="s">
        <v>375</v>
      </c>
    </row>
    <row r="274" spans="1:1" x14ac:dyDescent="0.25">
      <c r="A274" s="27" t="s">
        <v>376</v>
      </c>
    </row>
    <row r="275" spans="1:1" x14ac:dyDescent="0.25">
      <c r="A275" s="27" t="s">
        <v>377</v>
      </c>
    </row>
    <row r="276" spans="1:1" x14ac:dyDescent="0.25">
      <c r="A276" s="27" t="s">
        <v>378</v>
      </c>
    </row>
    <row r="277" spans="1:1" x14ac:dyDescent="0.25">
      <c r="A277" s="27" t="s">
        <v>378</v>
      </c>
    </row>
    <row r="278" spans="1:1" x14ac:dyDescent="0.25">
      <c r="A278" s="27" t="s">
        <v>379</v>
      </c>
    </row>
    <row r="279" spans="1:1" x14ac:dyDescent="0.25">
      <c r="A279" s="27" t="s">
        <v>380</v>
      </c>
    </row>
    <row r="280" spans="1:1" x14ac:dyDescent="0.25">
      <c r="A280" s="27" t="s">
        <v>381</v>
      </c>
    </row>
    <row r="281" spans="1:1" x14ac:dyDescent="0.25">
      <c r="A281" s="27" t="s">
        <v>381</v>
      </c>
    </row>
    <row r="282" spans="1:1" x14ac:dyDescent="0.25">
      <c r="A282" s="27" t="s">
        <v>382</v>
      </c>
    </row>
    <row r="283" spans="1:1" x14ac:dyDescent="0.25">
      <c r="A283" s="27" t="s">
        <v>382</v>
      </c>
    </row>
    <row r="284" spans="1:1" x14ac:dyDescent="0.25">
      <c r="A284" s="27" t="s">
        <v>383</v>
      </c>
    </row>
    <row r="285" spans="1:1" x14ac:dyDescent="0.25">
      <c r="A285" s="27" t="s">
        <v>384</v>
      </c>
    </row>
    <row r="286" spans="1:1" x14ac:dyDescent="0.25">
      <c r="A286" s="27" t="s">
        <v>384</v>
      </c>
    </row>
    <row r="287" spans="1:1" x14ac:dyDescent="0.25">
      <c r="A287" s="87" t="s">
        <v>385</v>
      </c>
    </row>
    <row r="288" spans="1:1" x14ac:dyDescent="0.25">
      <c r="A288" s="87" t="s">
        <v>386</v>
      </c>
    </row>
    <row r="289" spans="1:1" x14ac:dyDescent="0.25">
      <c r="A289" s="87" t="s">
        <v>387</v>
      </c>
    </row>
    <row r="290" spans="1:1" x14ac:dyDescent="0.25">
      <c r="A290" s="88" t="s">
        <v>388</v>
      </c>
    </row>
    <row r="291" spans="1:1" x14ac:dyDescent="0.25">
      <c r="A291" s="88" t="s">
        <v>389</v>
      </c>
    </row>
    <row r="292" spans="1:1" x14ac:dyDescent="0.25">
      <c r="A292" s="87" t="s">
        <v>390</v>
      </c>
    </row>
    <row r="293" spans="1:1" x14ac:dyDescent="0.25">
      <c r="A293" s="27" t="s">
        <v>391</v>
      </c>
    </row>
    <row r="294" spans="1:1" x14ac:dyDescent="0.25">
      <c r="A294" s="87" t="s">
        <v>392</v>
      </c>
    </row>
    <row r="295" spans="1:1" x14ac:dyDescent="0.25">
      <c r="A295" s="87" t="s">
        <v>393</v>
      </c>
    </row>
    <row r="296" spans="1:1" x14ac:dyDescent="0.25">
      <c r="A296" s="87" t="s">
        <v>394</v>
      </c>
    </row>
    <row r="297" spans="1:1" x14ac:dyDescent="0.25">
      <c r="A297" s="88" t="s">
        <v>395</v>
      </c>
    </row>
    <row r="298" spans="1:1" x14ac:dyDescent="0.25">
      <c r="A298" s="88" t="s">
        <v>396</v>
      </c>
    </row>
    <row r="299" spans="1:1" x14ac:dyDescent="0.25">
      <c r="A299" s="87" t="s">
        <v>397</v>
      </c>
    </row>
    <row r="300" spans="1:1" x14ac:dyDescent="0.25">
      <c r="A300" s="27" t="s">
        <v>398</v>
      </c>
    </row>
    <row r="301" spans="1:1" x14ac:dyDescent="0.25">
      <c r="A301" s="87" t="s">
        <v>399</v>
      </c>
    </row>
    <row r="302" spans="1:1" x14ac:dyDescent="0.25">
      <c r="A302" s="87" t="s">
        <v>400</v>
      </c>
    </row>
    <row r="303" spans="1:1" x14ac:dyDescent="0.25">
      <c r="A303" s="87" t="s">
        <v>401</v>
      </c>
    </row>
    <row r="304" spans="1:1" x14ac:dyDescent="0.25">
      <c r="A304" s="88" t="s">
        <v>402</v>
      </c>
    </row>
    <row r="305" spans="1:1" x14ac:dyDescent="0.25">
      <c r="A305" s="88" t="s">
        <v>403</v>
      </c>
    </row>
    <row r="306" spans="1:1" x14ac:dyDescent="0.25">
      <c r="A306" s="87" t="s">
        <v>404</v>
      </c>
    </row>
    <row r="307" spans="1:1" x14ac:dyDescent="0.25">
      <c r="A307" s="27" t="s">
        <v>405</v>
      </c>
    </row>
    <row r="308" spans="1:1" x14ac:dyDescent="0.25">
      <c r="A308" s="87" t="s">
        <v>406</v>
      </c>
    </row>
    <row r="309" spans="1:1" x14ac:dyDescent="0.25">
      <c r="A309" s="87" t="s">
        <v>407</v>
      </c>
    </row>
    <row r="310" spans="1:1" x14ac:dyDescent="0.25">
      <c r="A310" s="87" t="s">
        <v>408</v>
      </c>
    </row>
    <row r="311" spans="1:1" x14ac:dyDescent="0.25">
      <c r="A311" s="88" t="s">
        <v>409</v>
      </c>
    </row>
    <row r="312" spans="1:1" x14ac:dyDescent="0.25">
      <c r="A312" s="88" t="s">
        <v>410</v>
      </c>
    </row>
    <row r="313" spans="1:1" x14ac:dyDescent="0.25">
      <c r="A313" s="87" t="s">
        <v>411</v>
      </c>
    </row>
    <row r="314" spans="1:1" x14ac:dyDescent="0.25">
      <c r="A314" s="27" t="s">
        <v>412</v>
      </c>
    </row>
    <row r="315" spans="1:1" x14ac:dyDescent="0.25">
      <c r="A315" s="87" t="s">
        <v>413</v>
      </c>
    </row>
    <row r="316" spans="1:1" x14ac:dyDescent="0.25">
      <c r="A316" s="87" t="s">
        <v>414</v>
      </c>
    </row>
    <row r="317" spans="1:1" x14ac:dyDescent="0.25">
      <c r="A317" s="87" t="s">
        <v>415</v>
      </c>
    </row>
    <row r="318" spans="1:1" x14ac:dyDescent="0.25">
      <c r="A318" s="88" t="s">
        <v>416</v>
      </c>
    </row>
    <row r="319" spans="1:1" x14ac:dyDescent="0.25">
      <c r="A319" s="88" t="s">
        <v>417</v>
      </c>
    </row>
    <row r="320" spans="1:1" x14ac:dyDescent="0.25">
      <c r="A320" s="87" t="s">
        <v>418</v>
      </c>
    </row>
    <row r="321" spans="1:1" x14ac:dyDescent="0.25">
      <c r="A321" s="27" t="s">
        <v>419</v>
      </c>
    </row>
    <row r="322" spans="1:1" x14ac:dyDescent="0.25">
      <c r="A322" s="87" t="s">
        <v>420</v>
      </c>
    </row>
    <row r="323" spans="1:1" x14ac:dyDescent="0.25">
      <c r="A323" s="87" t="s">
        <v>421</v>
      </c>
    </row>
    <row r="324" spans="1:1" x14ac:dyDescent="0.25">
      <c r="A324" s="87" t="s">
        <v>422</v>
      </c>
    </row>
    <row r="325" spans="1:1" x14ac:dyDescent="0.25">
      <c r="A325" s="88" t="s">
        <v>423</v>
      </c>
    </row>
    <row r="326" spans="1:1" x14ac:dyDescent="0.25">
      <c r="A326" s="88" t="s">
        <v>424</v>
      </c>
    </row>
    <row r="327" spans="1:1" x14ac:dyDescent="0.25">
      <c r="A327" s="87" t="s">
        <v>425</v>
      </c>
    </row>
    <row r="328" spans="1:1" x14ac:dyDescent="0.25">
      <c r="A328" s="27" t="s">
        <v>426</v>
      </c>
    </row>
    <row r="329" spans="1:1" x14ac:dyDescent="0.25">
      <c r="A329" s="87" t="s">
        <v>427</v>
      </c>
    </row>
    <row r="330" spans="1:1" x14ac:dyDescent="0.25">
      <c r="A330" s="87" t="s">
        <v>428</v>
      </c>
    </row>
    <row r="331" spans="1:1" x14ac:dyDescent="0.25">
      <c r="A331" s="87" t="s">
        <v>429</v>
      </c>
    </row>
    <row r="332" spans="1:1" x14ac:dyDescent="0.25">
      <c r="A332" s="88" t="s">
        <v>430</v>
      </c>
    </row>
    <row r="333" spans="1:1" x14ac:dyDescent="0.25">
      <c r="A333" s="88" t="s">
        <v>431</v>
      </c>
    </row>
    <row r="334" spans="1:1" x14ac:dyDescent="0.25">
      <c r="A334" s="87" t="s">
        <v>432</v>
      </c>
    </row>
    <row r="335" spans="1:1" x14ac:dyDescent="0.25">
      <c r="A335" s="27" t="s">
        <v>433</v>
      </c>
    </row>
    <row r="336" spans="1:1" x14ac:dyDescent="0.25">
      <c r="A336" s="87" t="s">
        <v>434</v>
      </c>
    </row>
    <row r="337" spans="1:1" x14ac:dyDescent="0.25">
      <c r="A337" s="87" t="s">
        <v>435</v>
      </c>
    </row>
    <row r="338" spans="1:1" x14ac:dyDescent="0.25">
      <c r="A338" s="87" t="s">
        <v>436</v>
      </c>
    </row>
    <row r="339" spans="1:1" x14ac:dyDescent="0.25">
      <c r="A339" s="88" t="s">
        <v>437</v>
      </c>
    </row>
    <row r="340" spans="1:1" x14ac:dyDescent="0.25">
      <c r="A340" s="88" t="s">
        <v>438</v>
      </c>
    </row>
    <row r="341" spans="1:1" x14ac:dyDescent="0.25">
      <c r="A341" s="87" t="s">
        <v>439</v>
      </c>
    </row>
    <row r="342" spans="1:1" x14ac:dyDescent="0.25">
      <c r="A342" s="27" t="s">
        <v>440</v>
      </c>
    </row>
    <row r="343" spans="1:1" x14ac:dyDescent="0.25">
      <c r="A343" s="87" t="s">
        <v>441</v>
      </c>
    </row>
    <row r="344" spans="1:1" x14ac:dyDescent="0.25">
      <c r="A344" s="87" t="s">
        <v>442</v>
      </c>
    </row>
    <row r="345" spans="1:1" x14ac:dyDescent="0.25">
      <c r="A345" s="87" t="s">
        <v>443</v>
      </c>
    </row>
    <row r="346" spans="1:1" x14ac:dyDescent="0.25">
      <c r="A346" s="88" t="s">
        <v>444</v>
      </c>
    </row>
    <row r="347" spans="1:1" x14ac:dyDescent="0.25">
      <c r="A347" s="88" t="s">
        <v>445</v>
      </c>
    </row>
    <row r="348" spans="1:1" x14ac:dyDescent="0.25">
      <c r="A348" s="87" t="s">
        <v>446</v>
      </c>
    </row>
    <row r="349" spans="1:1" x14ac:dyDescent="0.25">
      <c r="A349" s="27" t="s">
        <v>447</v>
      </c>
    </row>
    <row r="370" spans="1:1" x14ac:dyDescent="0.25">
      <c r="A370" s="88" t="s">
        <v>448</v>
      </c>
    </row>
    <row r="371" spans="1:1" x14ac:dyDescent="0.25">
      <c r="A371" t="s">
        <v>449</v>
      </c>
    </row>
    <row r="372" spans="1:1" x14ac:dyDescent="0.25">
      <c r="A372" s="88" t="s">
        <v>450</v>
      </c>
    </row>
    <row r="373" spans="1:1" x14ac:dyDescent="0.25">
      <c r="A373" s="88" t="s">
        <v>451</v>
      </c>
    </row>
    <row r="374" spans="1:1" x14ac:dyDescent="0.25">
      <c r="A374" s="88" t="s">
        <v>452</v>
      </c>
    </row>
    <row r="375" spans="1:1" x14ac:dyDescent="0.25">
      <c r="A375" s="27" t="s">
        <v>453</v>
      </c>
    </row>
    <row r="376" spans="1:1" x14ac:dyDescent="0.25">
      <c r="A376" s="88" t="s">
        <v>454</v>
      </c>
    </row>
    <row r="377" spans="1:1" x14ac:dyDescent="0.25">
      <c r="A377" t="s">
        <v>455</v>
      </c>
    </row>
    <row r="378" spans="1:1" x14ac:dyDescent="0.25">
      <c r="A378" s="88" t="s">
        <v>456</v>
      </c>
    </row>
    <row r="379" spans="1:1" x14ac:dyDescent="0.25">
      <c r="A379" s="88" t="s">
        <v>457</v>
      </c>
    </row>
    <row r="380" spans="1:1" x14ac:dyDescent="0.25">
      <c r="A380" s="87" t="s">
        <v>458</v>
      </c>
    </row>
    <row r="381" spans="1:1" x14ac:dyDescent="0.25">
      <c r="A381" s="88" t="s">
        <v>459</v>
      </c>
    </row>
    <row r="382" spans="1:1" x14ac:dyDescent="0.25">
      <c r="A382" t="s">
        <v>460</v>
      </c>
    </row>
    <row r="383" spans="1:1" x14ac:dyDescent="0.25">
      <c r="A383" s="87" t="s">
        <v>461</v>
      </c>
    </row>
    <row r="384" spans="1:1" x14ac:dyDescent="0.25">
      <c r="A384" s="87" t="s">
        <v>462</v>
      </c>
    </row>
    <row r="385" spans="1:1" x14ac:dyDescent="0.25">
      <c r="A385" s="27" t="s">
        <v>463</v>
      </c>
    </row>
    <row r="386" spans="1:1" x14ac:dyDescent="0.25">
      <c r="A386" s="88" t="s">
        <v>464</v>
      </c>
    </row>
    <row r="387" spans="1:1" x14ac:dyDescent="0.25">
      <c r="A387" s="87" t="s">
        <v>465</v>
      </c>
    </row>
    <row r="388" spans="1:1" x14ac:dyDescent="0.25">
      <c r="A388" s="88" t="s">
        <v>466</v>
      </c>
    </row>
    <row r="389" spans="1:1" x14ac:dyDescent="0.25">
      <c r="A389" t="s">
        <v>467</v>
      </c>
    </row>
    <row r="390" spans="1:1" x14ac:dyDescent="0.25">
      <c r="A390" s="87" t="s">
        <v>468</v>
      </c>
    </row>
    <row r="391" spans="1:1" x14ac:dyDescent="0.25">
      <c r="A391" s="87" t="s">
        <v>469</v>
      </c>
    </row>
    <row r="392" spans="1:1" x14ac:dyDescent="0.25">
      <c r="A392" s="88" t="s">
        <v>470</v>
      </c>
    </row>
    <row r="393" spans="1:1" x14ac:dyDescent="0.25">
      <c r="A393" s="88" t="s">
        <v>471</v>
      </c>
    </row>
    <row r="394" spans="1:1" x14ac:dyDescent="0.25">
      <c r="A394" t="s">
        <v>472</v>
      </c>
    </row>
    <row r="395" spans="1:1" x14ac:dyDescent="0.25">
      <c r="A395" s="88" t="s">
        <v>473</v>
      </c>
    </row>
    <row r="396" spans="1:1" x14ac:dyDescent="0.25">
      <c r="A396" s="27" t="s">
        <v>474</v>
      </c>
    </row>
    <row r="397" spans="1:1" x14ac:dyDescent="0.25">
      <c r="A397" s="87" t="s">
        <v>475</v>
      </c>
    </row>
    <row r="398" spans="1:1" x14ac:dyDescent="0.25">
      <c r="A398" s="88" t="s">
        <v>476</v>
      </c>
    </row>
    <row r="399" spans="1:1" x14ac:dyDescent="0.25">
      <c r="A399" t="s">
        <v>477</v>
      </c>
    </row>
    <row r="400" spans="1:1" x14ac:dyDescent="0.25">
      <c r="A400" s="87" t="s">
        <v>478</v>
      </c>
    </row>
    <row r="401" spans="1:1" x14ac:dyDescent="0.25">
      <c r="A401" s="87" t="s">
        <v>479</v>
      </c>
    </row>
    <row r="402" spans="1:1" x14ac:dyDescent="0.25">
      <c r="A402" s="27" t="s">
        <v>480</v>
      </c>
    </row>
    <row r="403" spans="1:1" x14ac:dyDescent="0.25">
      <c r="A403" s="27" t="s">
        <v>481</v>
      </c>
    </row>
    <row r="404" spans="1:1" x14ac:dyDescent="0.25">
      <c r="A404" s="27" t="s">
        <v>482</v>
      </c>
    </row>
    <row r="405" spans="1:1" x14ac:dyDescent="0.25">
      <c r="A405" t="s">
        <v>483</v>
      </c>
    </row>
    <row r="406" spans="1:1" x14ac:dyDescent="0.25">
      <c r="A406" s="88" t="s">
        <v>484</v>
      </c>
    </row>
    <row r="407" spans="1:1" x14ac:dyDescent="0.25">
      <c r="A407" s="87" t="s">
        <v>485</v>
      </c>
    </row>
    <row r="408" spans="1:1" x14ac:dyDescent="0.25">
      <c r="A408" s="88" t="s">
        <v>486</v>
      </c>
    </row>
    <row r="409" spans="1:1" x14ac:dyDescent="0.25">
      <c r="A409" t="s">
        <v>487</v>
      </c>
    </row>
    <row r="410" spans="1:1" x14ac:dyDescent="0.25">
      <c r="A410" s="87" t="s">
        <v>488</v>
      </c>
    </row>
    <row r="411" spans="1:1" x14ac:dyDescent="0.25">
      <c r="A411" s="87" t="s">
        <v>489</v>
      </c>
    </row>
    <row r="412" spans="1:1" x14ac:dyDescent="0.25">
      <c r="A412" s="88" t="s">
        <v>490</v>
      </c>
    </row>
    <row r="413" spans="1:1" x14ac:dyDescent="0.25">
      <c r="A413" s="88" t="s">
        <v>491</v>
      </c>
    </row>
    <row r="414" spans="1:1" x14ac:dyDescent="0.25">
      <c r="A414" t="s">
        <v>492</v>
      </c>
    </row>
    <row r="415" spans="1:1" x14ac:dyDescent="0.25">
      <c r="A415" s="88" t="s">
        <v>493</v>
      </c>
    </row>
    <row r="416" spans="1:1" x14ac:dyDescent="0.25">
      <c r="A416" s="27" t="s">
        <v>494</v>
      </c>
    </row>
    <row r="417" spans="1:1" x14ac:dyDescent="0.25">
      <c r="A417" s="87" t="s">
        <v>495</v>
      </c>
    </row>
    <row r="418" spans="1:1" x14ac:dyDescent="0.25">
      <c r="A418" s="88" t="s">
        <v>496</v>
      </c>
    </row>
    <row r="419" spans="1:1" x14ac:dyDescent="0.25">
      <c r="A419" t="s">
        <v>497</v>
      </c>
    </row>
    <row r="420" spans="1:1" x14ac:dyDescent="0.25">
      <c r="A420" s="87" t="s">
        <v>498</v>
      </c>
    </row>
    <row r="421" spans="1:1" x14ac:dyDescent="0.25">
      <c r="A421" s="87" t="s">
        <v>499</v>
      </c>
    </row>
    <row r="422" spans="1:1" x14ac:dyDescent="0.25">
      <c r="A422" s="27" t="s">
        <v>500</v>
      </c>
    </row>
    <row r="423" spans="1:1" x14ac:dyDescent="0.25">
      <c r="A423" s="27" t="s">
        <v>501</v>
      </c>
    </row>
    <row r="424" spans="1:1" x14ac:dyDescent="0.25">
      <c r="A424" s="27" t="s">
        <v>502</v>
      </c>
    </row>
    <row r="425" spans="1:1" x14ac:dyDescent="0.25">
      <c r="A425" t="s">
        <v>503</v>
      </c>
    </row>
    <row r="426" spans="1:1" x14ac:dyDescent="0.25">
      <c r="A426" s="88" t="s">
        <v>504</v>
      </c>
    </row>
    <row r="427" spans="1:1" x14ac:dyDescent="0.25">
      <c r="A427" s="87" t="s">
        <v>505</v>
      </c>
    </row>
    <row r="428" spans="1:1" x14ac:dyDescent="0.25">
      <c r="A428" s="88" t="s">
        <v>506</v>
      </c>
    </row>
    <row r="429" spans="1:1" x14ac:dyDescent="0.25">
      <c r="A429" t="s">
        <v>507</v>
      </c>
    </row>
    <row r="430" spans="1:1" x14ac:dyDescent="0.25">
      <c r="A430" s="87" t="s">
        <v>508</v>
      </c>
    </row>
    <row r="431" spans="1:1" x14ac:dyDescent="0.25">
      <c r="A431" s="87" t="s">
        <v>509</v>
      </c>
    </row>
    <row r="432" spans="1:1" x14ac:dyDescent="0.25">
      <c r="A432" s="27" t="s">
        <v>510</v>
      </c>
    </row>
    <row r="433" spans="1:1" x14ac:dyDescent="0.25">
      <c r="A433" s="27" t="s">
        <v>511</v>
      </c>
    </row>
    <row r="434" spans="1:1" x14ac:dyDescent="0.25">
      <c r="A434" s="27" t="s">
        <v>512</v>
      </c>
    </row>
    <row r="435" spans="1:1" x14ac:dyDescent="0.25">
      <c r="A435" t="s">
        <v>513</v>
      </c>
    </row>
    <row r="436" spans="1:1" x14ac:dyDescent="0.25">
      <c r="A436" s="27" t="s">
        <v>514</v>
      </c>
    </row>
    <row r="437" spans="1:1" x14ac:dyDescent="0.25">
      <c r="A437" t="s">
        <v>515</v>
      </c>
    </row>
    <row r="438" spans="1:1" x14ac:dyDescent="0.25">
      <c r="A438" t="s">
        <v>516</v>
      </c>
    </row>
    <row r="439" spans="1:1" x14ac:dyDescent="0.25">
      <c r="A439" t="s">
        <v>517</v>
      </c>
    </row>
    <row r="440" spans="1:1" x14ac:dyDescent="0.25">
      <c r="A440" s="88" t="s">
        <v>518</v>
      </c>
    </row>
    <row r="441" spans="1:1" x14ac:dyDescent="0.25">
      <c r="A441" s="88" t="s">
        <v>519</v>
      </c>
    </row>
    <row r="442" spans="1:1" x14ac:dyDescent="0.25">
      <c r="A442" t="s">
        <v>520</v>
      </c>
    </row>
    <row r="443" spans="1:1" x14ac:dyDescent="0.25">
      <c r="A443" s="88" t="s">
        <v>521</v>
      </c>
    </row>
    <row r="444" spans="1:1" x14ac:dyDescent="0.25">
      <c r="A444" s="27" t="s">
        <v>522</v>
      </c>
    </row>
    <row r="445" spans="1:1" x14ac:dyDescent="0.25">
      <c r="A445" s="87" t="s">
        <v>523</v>
      </c>
    </row>
    <row r="446" spans="1:1" x14ac:dyDescent="0.25">
      <c r="A446" s="88" t="s">
        <v>524</v>
      </c>
    </row>
    <row r="447" spans="1:1" x14ac:dyDescent="0.25">
      <c r="A447" t="s">
        <v>525</v>
      </c>
    </row>
    <row r="448" spans="1:1" x14ac:dyDescent="0.25">
      <c r="A448" s="87" t="s">
        <v>526</v>
      </c>
    </row>
    <row r="449" spans="1:1" x14ac:dyDescent="0.25">
      <c r="A449" s="87" t="s">
        <v>527</v>
      </c>
    </row>
    <row r="450" spans="1:1" x14ac:dyDescent="0.25">
      <c r="A450" s="27" t="s">
        <v>528</v>
      </c>
    </row>
    <row r="451" spans="1:1" x14ac:dyDescent="0.25">
      <c r="A451" s="27" t="s">
        <v>529</v>
      </c>
    </row>
    <row r="452" spans="1:1" x14ac:dyDescent="0.25">
      <c r="A452" s="27" t="s">
        <v>530</v>
      </c>
    </row>
    <row r="453" spans="1:1" x14ac:dyDescent="0.25">
      <c r="A453" t="s">
        <v>531</v>
      </c>
    </row>
    <row r="454" spans="1:1" x14ac:dyDescent="0.25">
      <c r="A454" s="88" t="s">
        <v>532</v>
      </c>
    </row>
    <row r="455" spans="1:1" x14ac:dyDescent="0.25">
      <c r="A455" s="87" t="s">
        <v>533</v>
      </c>
    </row>
    <row r="456" spans="1:1" x14ac:dyDescent="0.25">
      <c r="A456" s="88" t="s">
        <v>534</v>
      </c>
    </row>
    <row r="457" spans="1:1" x14ac:dyDescent="0.25">
      <c r="A457" t="s">
        <v>535</v>
      </c>
    </row>
    <row r="458" spans="1:1" x14ac:dyDescent="0.25">
      <c r="A458" s="87" t="s">
        <v>536</v>
      </c>
    </row>
    <row r="459" spans="1:1" x14ac:dyDescent="0.25">
      <c r="A459" s="87" t="s">
        <v>537</v>
      </c>
    </row>
    <row r="460" spans="1:1" x14ac:dyDescent="0.25">
      <c r="A460" t="s">
        <v>538</v>
      </c>
    </row>
    <row r="461" spans="1:1" x14ac:dyDescent="0.25">
      <c r="A461" s="27" t="s">
        <v>539</v>
      </c>
    </row>
    <row r="462" spans="1:1" x14ac:dyDescent="0.25">
      <c r="A462" t="s">
        <v>540</v>
      </c>
    </row>
    <row r="649" spans="1:1" x14ac:dyDescent="0.25">
      <c r="A649" s="88" t="s">
        <v>541</v>
      </c>
    </row>
    <row r="650" spans="1:1" x14ac:dyDescent="0.25">
      <c r="A650" s="88" t="s">
        <v>542</v>
      </c>
    </row>
    <row r="651" spans="1:1" x14ac:dyDescent="0.25">
      <c r="A651" t="s">
        <v>543</v>
      </c>
    </row>
    <row r="652" spans="1:1" x14ac:dyDescent="0.25">
      <c r="A652" s="88" t="s">
        <v>544</v>
      </c>
    </row>
    <row r="653" spans="1:1" x14ac:dyDescent="0.25">
      <c r="A653" s="88" t="s">
        <v>545</v>
      </c>
    </row>
    <row r="654" spans="1:1" x14ac:dyDescent="0.25">
      <c r="A654" s="88" t="s">
        <v>546</v>
      </c>
    </row>
    <row r="655" spans="1:1" x14ac:dyDescent="0.25">
      <c r="A655" s="27" t="s">
        <v>547</v>
      </c>
    </row>
    <row r="656" spans="1:1" x14ac:dyDescent="0.25">
      <c r="A656" s="87" t="s">
        <v>548</v>
      </c>
    </row>
    <row r="657" spans="1:1" x14ac:dyDescent="0.25">
      <c r="A657" s="88" t="s">
        <v>549</v>
      </c>
    </row>
    <row r="658" spans="1:1" x14ac:dyDescent="0.25">
      <c r="A658" t="s">
        <v>550</v>
      </c>
    </row>
    <row r="659" spans="1:1" x14ac:dyDescent="0.25">
      <c r="A659" s="87" t="s">
        <v>551</v>
      </c>
    </row>
    <row r="660" spans="1:1" x14ac:dyDescent="0.25">
      <c r="A660" s="87" t="s">
        <v>552</v>
      </c>
    </row>
    <row r="661" spans="1:1" x14ac:dyDescent="0.25">
      <c r="A661" s="27" t="s">
        <v>553</v>
      </c>
    </row>
    <row r="662" spans="1:1" x14ac:dyDescent="0.25">
      <c r="A662" s="27" t="s">
        <v>554</v>
      </c>
    </row>
    <row r="663" spans="1:1" x14ac:dyDescent="0.25">
      <c r="A663" s="27" t="s">
        <v>555</v>
      </c>
    </row>
    <row r="664" spans="1:1" x14ac:dyDescent="0.25">
      <c r="A664" t="s">
        <v>556</v>
      </c>
    </row>
    <row r="665" spans="1:1" x14ac:dyDescent="0.25">
      <c r="A665" s="87" t="s">
        <v>557</v>
      </c>
    </row>
    <row r="666" spans="1:1" x14ac:dyDescent="0.25">
      <c r="A666" s="88" t="s">
        <v>558</v>
      </c>
    </row>
    <row r="667" spans="1:1" x14ac:dyDescent="0.25">
      <c r="A667" t="s">
        <v>559</v>
      </c>
    </row>
    <row r="668" spans="1:1" x14ac:dyDescent="0.25">
      <c r="A668" s="87" t="s">
        <v>560</v>
      </c>
    </row>
    <row r="669" spans="1:1" x14ac:dyDescent="0.25">
      <c r="A669" s="87" t="s">
        <v>561</v>
      </c>
    </row>
    <row r="670" spans="1:1" x14ac:dyDescent="0.25">
      <c r="A670" s="27" t="s">
        <v>562</v>
      </c>
    </row>
    <row r="671" spans="1:1" x14ac:dyDescent="0.25">
      <c r="A671" s="27" t="s">
        <v>563</v>
      </c>
    </row>
    <row r="672" spans="1:1" x14ac:dyDescent="0.25">
      <c r="A672" s="27" t="s">
        <v>564</v>
      </c>
    </row>
    <row r="673" spans="1:1" x14ac:dyDescent="0.25">
      <c r="A673" t="s">
        <v>565</v>
      </c>
    </row>
    <row r="674" spans="1:1" x14ac:dyDescent="0.25">
      <c r="A674" s="88" t="s">
        <v>566</v>
      </c>
    </row>
    <row r="675" spans="1:1" x14ac:dyDescent="0.25">
      <c r="A675" s="87" t="s">
        <v>567</v>
      </c>
    </row>
    <row r="676" spans="1:1" x14ac:dyDescent="0.25">
      <c r="A676" s="88" t="s">
        <v>568</v>
      </c>
    </row>
    <row r="677" spans="1:1" x14ac:dyDescent="0.25">
      <c r="A677" t="s">
        <v>569</v>
      </c>
    </row>
    <row r="678" spans="1:1" x14ac:dyDescent="0.25">
      <c r="A678" s="87" t="s">
        <v>570</v>
      </c>
    </row>
    <row r="679" spans="1:1" x14ac:dyDescent="0.25">
      <c r="A679" s="87" t="s">
        <v>571</v>
      </c>
    </row>
    <row r="680" spans="1:1" x14ac:dyDescent="0.25">
      <c r="A680" s="88" t="s">
        <v>572</v>
      </c>
    </row>
    <row r="681" spans="1:1" x14ac:dyDescent="0.25">
      <c r="A681" s="88" t="s">
        <v>573</v>
      </c>
    </row>
    <row r="682" spans="1:1" x14ac:dyDescent="0.25">
      <c r="A682" t="s">
        <v>574</v>
      </c>
    </row>
    <row r="683" spans="1:1" x14ac:dyDescent="0.25">
      <c r="A683" s="88" t="s">
        <v>575</v>
      </c>
    </row>
    <row r="684" spans="1:1" x14ac:dyDescent="0.25">
      <c r="A684" s="88" t="s">
        <v>576</v>
      </c>
    </row>
    <row r="685" spans="1:1" x14ac:dyDescent="0.25">
      <c r="A685" s="88" t="s">
        <v>577</v>
      </c>
    </row>
    <row r="686" spans="1:1" x14ac:dyDescent="0.25">
      <c r="A686" s="27" t="s">
        <v>578</v>
      </c>
    </row>
    <row r="687" spans="1:1" x14ac:dyDescent="0.25">
      <c r="A687" s="87" t="s">
        <v>579</v>
      </c>
    </row>
    <row r="688" spans="1:1" x14ac:dyDescent="0.25">
      <c r="A688" s="88" t="s">
        <v>580</v>
      </c>
    </row>
    <row r="689" spans="1:1" x14ac:dyDescent="0.25">
      <c r="A689" t="s">
        <v>581</v>
      </c>
    </row>
    <row r="690" spans="1:1" x14ac:dyDescent="0.25">
      <c r="A690" s="87" t="s">
        <v>582</v>
      </c>
    </row>
    <row r="691" spans="1:1" x14ac:dyDescent="0.25">
      <c r="A691" s="87" t="s">
        <v>583</v>
      </c>
    </row>
    <row r="692" spans="1:1" x14ac:dyDescent="0.25">
      <c r="A692" s="27" t="s">
        <v>584</v>
      </c>
    </row>
    <row r="693" spans="1:1" x14ac:dyDescent="0.25">
      <c r="A693" s="27" t="s">
        <v>585</v>
      </c>
    </row>
    <row r="694" spans="1:1" x14ac:dyDescent="0.25">
      <c r="A694" s="27" t="s">
        <v>586</v>
      </c>
    </row>
    <row r="695" spans="1:1" x14ac:dyDescent="0.25">
      <c r="A695" t="s">
        <v>587</v>
      </c>
    </row>
    <row r="696" spans="1:1" x14ac:dyDescent="0.25">
      <c r="A696" s="88" t="s">
        <v>588</v>
      </c>
    </row>
    <row r="697" spans="1:1" x14ac:dyDescent="0.25">
      <c r="A697" s="87" t="s">
        <v>589</v>
      </c>
    </row>
    <row r="698" spans="1:1" x14ac:dyDescent="0.25">
      <c r="A698" s="88" t="s">
        <v>590</v>
      </c>
    </row>
    <row r="699" spans="1:1" x14ac:dyDescent="0.25">
      <c r="A699" t="s">
        <v>591</v>
      </c>
    </row>
    <row r="700" spans="1:1" x14ac:dyDescent="0.25">
      <c r="A700" s="87" t="s">
        <v>592</v>
      </c>
    </row>
    <row r="701" spans="1:1" x14ac:dyDescent="0.25">
      <c r="A701" s="87" t="s">
        <v>593</v>
      </c>
    </row>
    <row r="702" spans="1:1" x14ac:dyDescent="0.25">
      <c r="A702" s="88" t="s">
        <v>594</v>
      </c>
    </row>
    <row r="703" spans="1:1" x14ac:dyDescent="0.25">
      <c r="A703" t="s">
        <v>595</v>
      </c>
    </row>
    <row r="704" spans="1:1" x14ac:dyDescent="0.25">
      <c r="A704" s="88" t="s">
        <v>596</v>
      </c>
    </row>
    <row r="705" spans="1:1" x14ac:dyDescent="0.25">
      <c r="A705" s="27" t="s">
        <v>597</v>
      </c>
    </row>
    <row r="706" spans="1:1" x14ac:dyDescent="0.25">
      <c r="A706" s="88" t="s">
        <v>598</v>
      </c>
    </row>
    <row r="707" spans="1:1" x14ac:dyDescent="0.25">
      <c r="A707" s="87" t="s">
        <v>599</v>
      </c>
    </row>
    <row r="708" spans="1:1" x14ac:dyDescent="0.25">
      <c r="A708" s="88" t="s">
        <v>600</v>
      </c>
    </row>
    <row r="709" spans="1:1" x14ac:dyDescent="0.25">
      <c r="A709" t="s">
        <v>601</v>
      </c>
    </row>
    <row r="710" spans="1:1" x14ac:dyDescent="0.25">
      <c r="A710" s="87" t="s">
        <v>602</v>
      </c>
    </row>
    <row r="711" spans="1:1" x14ac:dyDescent="0.25">
      <c r="A711" s="87" t="s">
        <v>603</v>
      </c>
    </row>
    <row r="712" spans="1:1" x14ac:dyDescent="0.25">
      <c r="A712" s="88" t="s">
        <v>604</v>
      </c>
    </row>
    <row r="713" spans="1:1" x14ac:dyDescent="0.25">
      <c r="A713" s="88" t="s">
        <v>605</v>
      </c>
    </row>
    <row r="714" spans="1:1" x14ac:dyDescent="0.25">
      <c r="A714" t="s">
        <v>606</v>
      </c>
    </row>
    <row r="715" spans="1:1" x14ac:dyDescent="0.25">
      <c r="A715" s="27" t="s">
        <v>607</v>
      </c>
    </row>
    <row r="716" spans="1:1" x14ac:dyDescent="0.25">
      <c r="A716" s="88" t="s">
        <v>608</v>
      </c>
    </row>
    <row r="717" spans="1:1" x14ac:dyDescent="0.25">
      <c r="A717" s="27" t="s">
        <v>609</v>
      </c>
    </row>
    <row r="718" spans="1:1" x14ac:dyDescent="0.25">
      <c r="A718" s="87" t="s">
        <v>610</v>
      </c>
    </row>
    <row r="719" spans="1:1" x14ac:dyDescent="0.25">
      <c r="A719" s="88" t="s">
        <v>611</v>
      </c>
    </row>
    <row r="720" spans="1:1" x14ac:dyDescent="0.25">
      <c r="A720" t="s">
        <v>612</v>
      </c>
    </row>
    <row r="721" spans="1:1" x14ac:dyDescent="0.25">
      <c r="A721" s="87" t="s">
        <v>613</v>
      </c>
    </row>
    <row r="722" spans="1:1" x14ac:dyDescent="0.25">
      <c r="A722" s="87" t="s">
        <v>614</v>
      </c>
    </row>
    <row r="723" spans="1:1" x14ac:dyDescent="0.25">
      <c r="A723" s="27" t="s">
        <v>615</v>
      </c>
    </row>
    <row r="724" spans="1:1" x14ac:dyDescent="0.25">
      <c r="A724" s="27" t="s">
        <v>616</v>
      </c>
    </row>
    <row r="725" spans="1:1" x14ac:dyDescent="0.25">
      <c r="A725" s="27" t="s">
        <v>617</v>
      </c>
    </row>
    <row r="726" spans="1:1" x14ac:dyDescent="0.25">
      <c r="A726" t="s">
        <v>618</v>
      </c>
    </row>
    <row r="727" spans="1:1" x14ac:dyDescent="0.25">
      <c r="A727" s="88" t="s">
        <v>619</v>
      </c>
    </row>
    <row r="728" spans="1:1" x14ac:dyDescent="0.25">
      <c r="A728" s="87" t="s">
        <v>620</v>
      </c>
    </row>
    <row r="729" spans="1:1" x14ac:dyDescent="0.25">
      <c r="A729" s="88" t="s">
        <v>621</v>
      </c>
    </row>
    <row r="730" spans="1:1" x14ac:dyDescent="0.25">
      <c r="A730" t="s">
        <v>622</v>
      </c>
    </row>
    <row r="731" spans="1:1" x14ac:dyDescent="0.25">
      <c r="A731" s="87" t="s">
        <v>623</v>
      </c>
    </row>
    <row r="732" spans="1:1" x14ac:dyDescent="0.25">
      <c r="A732" s="87" t="s">
        <v>624</v>
      </c>
    </row>
    <row r="733" spans="1:1" x14ac:dyDescent="0.25">
      <c r="A733" t="s">
        <v>625</v>
      </c>
    </row>
    <row r="734" spans="1:1" x14ac:dyDescent="0.25">
      <c r="A734" s="27" t="s">
        <v>626</v>
      </c>
    </row>
    <row r="735" spans="1:1" x14ac:dyDescent="0.25">
      <c r="A735" s="27" t="s">
        <v>627</v>
      </c>
    </row>
    <row r="736" spans="1:1" x14ac:dyDescent="0.25">
      <c r="A736" s="27" t="s">
        <v>628</v>
      </c>
    </row>
    <row r="737" spans="1:1" x14ac:dyDescent="0.25">
      <c r="A737" s="27" t="s">
        <v>629</v>
      </c>
    </row>
    <row r="738" spans="1:1" x14ac:dyDescent="0.25">
      <c r="A738" s="27" t="s">
        <v>630</v>
      </c>
    </row>
    <row r="739" spans="1:1" x14ac:dyDescent="0.25">
      <c r="A739" s="27" t="s">
        <v>631</v>
      </c>
    </row>
    <row r="740" spans="1:1" x14ac:dyDescent="0.25">
      <c r="A740" t="s">
        <v>632</v>
      </c>
    </row>
    <row r="741" spans="1:1" x14ac:dyDescent="0.25">
      <c r="A741" s="88" t="s">
        <v>633</v>
      </c>
    </row>
    <row r="742" spans="1:1" x14ac:dyDescent="0.25">
      <c r="A742" s="88" t="s">
        <v>634</v>
      </c>
    </row>
    <row r="743" spans="1:1" x14ac:dyDescent="0.25">
      <c r="A743" t="s">
        <v>635</v>
      </c>
    </row>
    <row r="744" spans="1:1" x14ac:dyDescent="0.25">
      <c r="A744" s="88" t="s">
        <v>636</v>
      </c>
    </row>
    <row r="745" spans="1:1" x14ac:dyDescent="0.25">
      <c r="A745" t="s">
        <v>637</v>
      </c>
    </row>
    <row r="746" spans="1:1" x14ac:dyDescent="0.25">
      <c r="A746" t="s">
        <v>638</v>
      </c>
    </row>
    <row r="747" spans="1:1" x14ac:dyDescent="0.25">
      <c r="A747" t="s">
        <v>639</v>
      </c>
    </row>
    <row r="748" spans="1:1" x14ac:dyDescent="0.25">
      <c r="A748" s="27" t="s">
        <v>640</v>
      </c>
    </row>
    <row r="749" spans="1:1" x14ac:dyDescent="0.25">
      <c r="A749" s="87" t="s">
        <v>641</v>
      </c>
    </row>
    <row r="750" spans="1:1" x14ac:dyDescent="0.25">
      <c r="A750" s="88" t="s">
        <v>642</v>
      </c>
    </row>
    <row r="751" spans="1:1" x14ac:dyDescent="0.25">
      <c r="A751" t="s">
        <v>643</v>
      </c>
    </row>
    <row r="752" spans="1:1" x14ac:dyDescent="0.25">
      <c r="A752" s="87" t="s">
        <v>644</v>
      </c>
    </row>
    <row r="753" spans="1:1" x14ac:dyDescent="0.25">
      <c r="A753" s="87" t="s">
        <v>645</v>
      </c>
    </row>
    <row r="754" spans="1:1" x14ac:dyDescent="0.25">
      <c r="A754" s="27" t="s">
        <v>646</v>
      </c>
    </row>
    <row r="755" spans="1:1" x14ac:dyDescent="0.25">
      <c r="A755" s="27" t="s">
        <v>647</v>
      </c>
    </row>
    <row r="756" spans="1:1" x14ac:dyDescent="0.25">
      <c r="A756" s="27" t="s">
        <v>648</v>
      </c>
    </row>
    <row r="757" spans="1:1" x14ac:dyDescent="0.25">
      <c r="A757" t="s">
        <v>649</v>
      </c>
    </row>
    <row r="758" spans="1:1" x14ac:dyDescent="0.25">
      <c r="A758" s="88" t="s">
        <v>650</v>
      </c>
    </row>
    <row r="759" spans="1:1" x14ac:dyDescent="0.25">
      <c r="A759" s="87" t="s">
        <v>651</v>
      </c>
    </row>
    <row r="760" spans="1:1" x14ac:dyDescent="0.25">
      <c r="A760" s="88" t="s">
        <v>652</v>
      </c>
    </row>
    <row r="761" spans="1:1" x14ac:dyDescent="0.25">
      <c r="A761" t="s">
        <v>653</v>
      </c>
    </row>
    <row r="762" spans="1:1" x14ac:dyDescent="0.25">
      <c r="A762" s="87" t="s">
        <v>654</v>
      </c>
    </row>
    <row r="763" spans="1:1" x14ac:dyDescent="0.25">
      <c r="A763" s="87" t="s">
        <v>655</v>
      </c>
    </row>
    <row r="764" spans="1:1" x14ac:dyDescent="0.25">
      <c r="A764" s="27" t="s">
        <v>656</v>
      </c>
    </row>
    <row r="765" spans="1:1" x14ac:dyDescent="0.25">
      <c r="A765" s="27" t="s">
        <v>657</v>
      </c>
    </row>
    <row r="766" spans="1:1" x14ac:dyDescent="0.25">
      <c r="A766" t="s">
        <v>658</v>
      </c>
    </row>
    <row r="767" spans="1:1" x14ac:dyDescent="0.25">
      <c r="A767" t="s">
        <v>659</v>
      </c>
    </row>
    <row r="768" spans="1:1" x14ac:dyDescent="0.25">
      <c r="A768" s="88" t="s">
        <v>660</v>
      </c>
    </row>
    <row r="769" spans="1:1" x14ac:dyDescent="0.25">
      <c r="A769" s="88" t="s">
        <v>661</v>
      </c>
    </row>
    <row r="770" spans="1:1" x14ac:dyDescent="0.25">
      <c r="A770" t="s">
        <v>662</v>
      </c>
    </row>
    <row r="771" spans="1:1" x14ac:dyDescent="0.25">
      <c r="A771" s="88" t="s">
        <v>663</v>
      </c>
    </row>
    <row r="772" spans="1:1" x14ac:dyDescent="0.25">
      <c r="A772" t="s">
        <v>664</v>
      </c>
    </row>
    <row r="773" spans="1:1" x14ac:dyDescent="0.25">
      <c r="A773" t="s">
        <v>665</v>
      </c>
    </row>
    <row r="774" spans="1:1" x14ac:dyDescent="0.25">
      <c r="A774" t="s">
        <v>666</v>
      </c>
    </row>
    <row r="775" spans="1:1" x14ac:dyDescent="0.25">
      <c r="A775" s="87" t="s">
        <v>667</v>
      </c>
    </row>
    <row r="776" spans="1:1" x14ac:dyDescent="0.25">
      <c r="A776" s="87" t="s">
        <v>668</v>
      </c>
    </row>
    <row r="777" spans="1:1" x14ac:dyDescent="0.25">
      <c r="A777" s="87" t="s">
        <v>669</v>
      </c>
    </row>
    <row r="778" spans="1:1" x14ac:dyDescent="0.25">
      <c r="A778" s="88" t="s">
        <v>670</v>
      </c>
    </row>
    <row r="779" spans="1:1" x14ac:dyDescent="0.25">
      <c r="A779" s="88" t="s">
        <v>671</v>
      </c>
    </row>
    <row r="780" spans="1:1" x14ac:dyDescent="0.25">
      <c r="A780" s="87" t="s">
        <v>672</v>
      </c>
    </row>
    <row r="781" spans="1:1" x14ac:dyDescent="0.25">
      <c r="A781" s="27" t="s">
        <v>673</v>
      </c>
    </row>
    <row r="782" spans="1:1" x14ac:dyDescent="0.25">
      <c r="A782" s="87" t="s">
        <v>674</v>
      </c>
    </row>
    <row r="783" spans="1:1" x14ac:dyDescent="0.25">
      <c r="A783" s="87" t="s">
        <v>675</v>
      </c>
    </row>
    <row r="784" spans="1:1" x14ac:dyDescent="0.25">
      <c r="A784" s="87" t="s">
        <v>676</v>
      </c>
    </row>
    <row r="785" spans="1:1" x14ac:dyDescent="0.25">
      <c r="A785" s="88" t="s">
        <v>677</v>
      </c>
    </row>
    <row r="786" spans="1:1" x14ac:dyDescent="0.25">
      <c r="A786" s="88" t="s">
        <v>678</v>
      </c>
    </row>
    <row r="787" spans="1:1" x14ac:dyDescent="0.25">
      <c r="A787" s="87" t="s">
        <v>679</v>
      </c>
    </row>
    <row r="788" spans="1:1" x14ac:dyDescent="0.25">
      <c r="A788" s="27" t="s">
        <v>680</v>
      </c>
    </row>
    <row r="789" spans="1:1" x14ac:dyDescent="0.25">
      <c r="A789" s="87" t="s">
        <v>681</v>
      </c>
    </row>
    <row r="790" spans="1:1" x14ac:dyDescent="0.25">
      <c r="A790" s="87" t="s">
        <v>682</v>
      </c>
    </row>
    <row r="791" spans="1:1" x14ac:dyDescent="0.25">
      <c r="A791" s="87" t="s">
        <v>683</v>
      </c>
    </row>
    <row r="792" spans="1:1" x14ac:dyDescent="0.25">
      <c r="A792" s="88" t="s">
        <v>684</v>
      </c>
    </row>
    <row r="793" spans="1:1" x14ac:dyDescent="0.25">
      <c r="A793" s="88" t="s">
        <v>685</v>
      </c>
    </row>
    <row r="794" spans="1:1" x14ac:dyDescent="0.25">
      <c r="A794" s="87" t="s">
        <v>686</v>
      </c>
    </row>
    <row r="795" spans="1:1" x14ac:dyDescent="0.25">
      <c r="A795" s="27" t="s">
        <v>687</v>
      </c>
    </row>
    <row r="796" spans="1:1" x14ac:dyDescent="0.25">
      <c r="A796" s="87" t="s">
        <v>688</v>
      </c>
    </row>
    <row r="797" spans="1:1" x14ac:dyDescent="0.25">
      <c r="A797" s="87" t="s">
        <v>689</v>
      </c>
    </row>
    <row r="798" spans="1:1" x14ac:dyDescent="0.25">
      <c r="A798" s="87" t="s">
        <v>690</v>
      </c>
    </row>
    <row r="799" spans="1:1" x14ac:dyDescent="0.25">
      <c r="A799" s="88" t="s">
        <v>691</v>
      </c>
    </row>
    <row r="800" spans="1:1" x14ac:dyDescent="0.25">
      <c r="A800" s="88" t="s">
        <v>692</v>
      </c>
    </row>
    <row r="801" spans="1:1" x14ac:dyDescent="0.25">
      <c r="A801" s="87" t="s">
        <v>693</v>
      </c>
    </row>
    <row r="802" spans="1:1" x14ac:dyDescent="0.25">
      <c r="A802" s="27" t="s">
        <v>694</v>
      </c>
    </row>
    <row r="803" spans="1:1" x14ac:dyDescent="0.25">
      <c r="A803" s="87" t="s">
        <v>695</v>
      </c>
    </row>
    <row r="804" spans="1:1" x14ac:dyDescent="0.25">
      <c r="A804" s="87" t="s">
        <v>696</v>
      </c>
    </row>
    <row r="805" spans="1:1" x14ac:dyDescent="0.25">
      <c r="A805" s="87" t="s">
        <v>697</v>
      </c>
    </row>
    <row r="806" spans="1:1" x14ac:dyDescent="0.25">
      <c r="A806" s="88" t="s">
        <v>698</v>
      </c>
    </row>
    <row r="807" spans="1:1" x14ac:dyDescent="0.25">
      <c r="A807" s="88" t="s">
        <v>699</v>
      </c>
    </row>
    <row r="808" spans="1:1" x14ac:dyDescent="0.25">
      <c r="A808" s="87" t="s">
        <v>700</v>
      </c>
    </row>
    <row r="809" spans="1:1" x14ac:dyDescent="0.25">
      <c r="A809" s="27" t="s">
        <v>701</v>
      </c>
    </row>
    <row r="810" spans="1:1" x14ac:dyDescent="0.25">
      <c r="A810" s="87" t="s">
        <v>702</v>
      </c>
    </row>
    <row r="811" spans="1:1" x14ac:dyDescent="0.25">
      <c r="A811" s="87" t="s">
        <v>703</v>
      </c>
    </row>
    <row r="812" spans="1:1" x14ac:dyDescent="0.25">
      <c r="A812" s="87" t="s">
        <v>704</v>
      </c>
    </row>
    <row r="813" spans="1:1" x14ac:dyDescent="0.25">
      <c r="A813" s="88" t="s">
        <v>705</v>
      </c>
    </row>
    <row r="814" spans="1:1" x14ac:dyDescent="0.25">
      <c r="A814" s="88" t="s">
        <v>706</v>
      </c>
    </row>
    <row r="815" spans="1:1" x14ac:dyDescent="0.25">
      <c r="A815" s="87" t="s">
        <v>707</v>
      </c>
    </row>
    <row r="816" spans="1:1" x14ac:dyDescent="0.25">
      <c r="A816" s="27" t="s">
        <v>708</v>
      </c>
    </row>
    <row r="817" spans="1:1" x14ac:dyDescent="0.25">
      <c r="A817" s="87" t="s">
        <v>709</v>
      </c>
    </row>
    <row r="818" spans="1:1" x14ac:dyDescent="0.25">
      <c r="A818" s="87" t="s">
        <v>710</v>
      </c>
    </row>
    <row r="819" spans="1:1" x14ac:dyDescent="0.25">
      <c r="A819" s="87" t="s">
        <v>711</v>
      </c>
    </row>
    <row r="820" spans="1:1" x14ac:dyDescent="0.25">
      <c r="A820" s="88" t="s">
        <v>712</v>
      </c>
    </row>
    <row r="821" spans="1:1" x14ac:dyDescent="0.25">
      <c r="A821" s="88" t="s">
        <v>713</v>
      </c>
    </row>
    <row r="822" spans="1:1" x14ac:dyDescent="0.25">
      <c r="A822" s="87" t="s">
        <v>714</v>
      </c>
    </row>
    <row r="823" spans="1:1" x14ac:dyDescent="0.25">
      <c r="A823" s="27" t="s">
        <v>715</v>
      </c>
    </row>
    <row r="824" spans="1:1" x14ac:dyDescent="0.25">
      <c r="A824" s="87" t="s">
        <v>716</v>
      </c>
    </row>
    <row r="825" spans="1:1" x14ac:dyDescent="0.25">
      <c r="A825" s="87" t="s">
        <v>717</v>
      </c>
    </row>
    <row r="826" spans="1:1" x14ac:dyDescent="0.25">
      <c r="A826" s="87" t="s">
        <v>718</v>
      </c>
    </row>
    <row r="827" spans="1:1" x14ac:dyDescent="0.25">
      <c r="A827" s="88" t="s">
        <v>719</v>
      </c>
    </row>
    <row r="828" spans="1:1" x14ac:dyDescent="0.25">
      <c r="A828" s="88" t="s">
        <v>720</v>
      </c>
    </row>
    <row r="829" spans="1:1" x14ac:dyDescent="0.25">
      <c r="A829" s="87" t="s">
        <v>721</v>
      </c>
    </row>
    <row r="830" spans="1:1" x14ac:dyDescent="0.25">
      <c r="A830" s="27" t="s">
        <v>722</v>
      </c>
    </row>
    <row r="831" spans="1:1" x14ac:dyDescent="0.25">
      <c r="A831" s="87" t="s">
        <v>723</v>
      </c>
    </row>
    <row r="832" spans="1:1" x14ac:dyDescent="0.25">
      <c r="A832" s="87" t="s">
        <v>724</v>
      </c>
    </row>
    <row r="833" spans="1:1" x14ac:dyDescent="0.25">
      <c r="A833" s="87" t="s">
        <v>725</v>
      </c>
    </row>
    <row r="834" spans="1:1" x14ac:dyDescent="0.25">
      <c r="A834" s="88" t="s">
        <v>726</v>
      </c>
    </row>
    <row r="835" spans="1:1" x14ac:dyDescent="0.25">
      <c r="A835" s="88" t="s">
        <v>727</v>
      </c>
    </row>
    <row r="836" spans="1:1" x14ac:dyDescent="0.25">
      <c r="A836" s="87" t="s">
        <v>728</v>
      </c>
    </row>
    <row r="837" spans="1:1" x14ac:dyDescent="0.25">
      <c r="A837" s="27" t="s">
        <v>729</v>
      </c>
    </row>
    <row r="838" spans="1:1" x14ac:dyDescent="0.25">
      <c r="A838" s="27" t="s">
        <v>730</v>
      </c>
    </row>
    <row r="839" spans="1:1" x14ac:dyDescent="0.25">
      <c r="A839" s="87" t="s">
        <v>731</v>
      </c>
    </row>
    <row r="840" spans="1:1" x14ac:dyDescent="0.25">
      <c r="A840" s="88" t="s">
        <v>732</v>
      </c>
    </row>
    <row r="841" spans="1:1" x14ac:dyDescent="0.25">
      <c r="A841" t="s">
        <v>733</v>
      </c>
    </row>
    <row r="842" spans="1:1" x14ac:dyDescent="0.25">
      <c r="A842" s="87" t="s">
        <v>734</v>
      </c>
    </row>
    <row r="843" spans="1:1" x14ac:dyDescent="0.25">
      <c r="A843" s="87" t="s">
        <v>735</v>
      </c>
    </row>
    <row r="844" spans="1:1" x14ac:dyDescent="0.25">
      <c r="A844" s="27" t="s">
        <v>736</v>
      </c>
    </row>
    <row r="845" spans="1:1" x14ac:dyDescent="0.25">
      <c r="A845" s="27" t="s">
        <v>737</v>
      </c>
    </row>
    <row r="846" spans="1:1" x14ac:dyDescent="0.25">
      <c r="A846" s="27" t="s">
        <v>738</v>
      </c>
    </row>
    <row r="847" spans="1:1" x14ac:dyDescent="0.25">
      <c r="A847" t="s">
        <v>739</v>
      </c>
    </row>
    <row r="848" spans="1:1" x14ac:dyDescent="0.25">
      <c r="A848" s="88" t="s">
        <v>740</v>
      </c>
    </row>
    <row r="849" spans="1:1" x14ac:dyDescent="0.25">
      <c r="A849" s="87" t="s">
        <v>741</v>
      </c>
    </row>
    <row r="850" spans="1:1" x14ac:dyDescent="0.25">
      <c r="A850" s="88" t="s">
        <v>742</v>
      </c>
    </row>
    <row r="851" spans="1:1" x14ac:dyDescent="0.25">
      <c r="A851" t="s">
        <v>743</v>
      </c>
    </row>
    <row r="852" spans="1:1" x14ac:dyDescent="0.25">
      <c r="A852" s="87" t="s">
        <v>744</v>
      </c>
    </row>
    <row r="853" spans="1:1" x14ac:dyDescent="0.25">
      <c r="A853" s="87" t="s">
        <v>745</v>
      </c>
    </row>
    <row r="854" spans="1:1" x14ac:dyDescent="0.25">
      <c r="A854" t="s">
        <v>746</v>
      </c>
    </row>
    <row r="855" spans="1:1" x14ac:dyDescent="0.25">
      <c r="A855" s="27" t="s">
        <v>747</v>
      </c>
    </row>
    <row r="856" spans="1:1" x14ac:dyDescent="0.25">
      <c r="A856" t="s">
        <v>748</v>
      </c>
    </row>
    <row r="857" spans="1:1" x14ac:dyDescent="0.25">
      <c r="A857" s="88" t="s">
        <v>749</v>
      </c>
    </row>
    <row r="858" spans="1:1" x14ac:dyDescent="0.25">
      <c r="A858" s="88" t="s">
        <v>750</v>
      </c>
    </row>
    <row r="859" spans="1:1" x14ac:dyDescent="0.25">
      <c r="A859" t="s">
        <v>751</v>
      </c>
    </row>
    <row r="860" spans="1:1" x14ac:dyDescent="0.25">
      <c r="A860" s="88" t="s">
        <v>752</v>
      </c>
    </row>
    <row r="861" spans="1:1" x14ac:dyDescent="0.25">
      <c r="A861" s="27" t="s">
        <v>753</v>
      </c>
    </row>
    <row r="862" spans="1:1" x14ac:dyDescent="0.25">
      <c r="A862" s="87" t="s">
        <v>754</v>
      </c>
    </row>
    <row r="863" spans="1:1" x14ac:dyDescent="0.25">
      <c r="A863" s="88" t="s">
        <v>755</v>
      </c>
    </row>
    <row r="864" spans="1:1" x14ac:dyDescent="0.25">
      <c r="A864" t="s">
        <v>756</v>
      </c>
    </row>
    <row r="865" spans="1:1" x14ac:dyDescent="0.25">
      <c r="A865" s="87" t="s">
        <v>757</v>
      </c>
    </row>
    <row r="866" spans="1:1" x14ac:dyDescent="0.25">
      <c r="A866" s="87" t="s">
        <v>758</v>
      </c>
    </row>
    <row r="867" spans="1:1" x14ac:dyDescent="0.25">
      <c r="A867" s="27" t="s">
        <v>759</v>
      </c>
    </row>
    <row r="868" spans="1:1" x14ac:dyDescent="0.25">
      <c r="A868" s="27" t="s">
        <v>760</v>
      </c>
    </row>
    <row r="869" spans="1:1" x14ac:dyDescent="0.25">
      <c r="A869" s="27" t="s">
        <v>761</v>
      </c>
    </row>
    <row r="870" spans="1:1" x14ac:dyDescent="0.25">
      <c r="A870" t="s">
        <v>762</v>
      </c>
    </row>
    <row r="871" spans="1:1" x14ac:dyDescent="0.25">
      <c r="A871" s="88" t="s">
        <v>763</v>
      </c>
    </row>
    <row r="872" spans="1:1" x14ac:dyDescent="0.25">
      <c r="A872" s="87" t="s">
        <v>764</v>
      </c>
    </row>
    <row r="873" spans="1:1" x14ac:dyDescent="0.25">
      <c r="A873" s="88" t="s">
        <v>765</v>
      </c>
    </row>
    <row r="874" spans="1:1" x14ac:dyDescent="0.25">
      <c r="A874" t="s">
        <v>766</v>
      </c>
    </row>
    <row r="875" spans="1:1" x14ac:dyDescent="0.25">
      <c r="A875" s="87" t="s">
        <v>767</v>
      </c>
    </row>
    <row r="876" spans="1:1" x14ac:dyDescent="0.25">
      <c r="A876" s="87" t="s">
        <v>768</v>
      </c>
    </row>
    <row r="877" spans="1:1" x14ac:dyDescent="0.25">
      <c r="A877" s="27" t="s">
        <v>769</v>
      </c>
    </row>
    <row r="878" spans="1:1" x14ac:dyDescent="0.25">
      <c r="A878" s="27" t="s">
        <v>770</v>
      </c>
    </row>
    <row r="879" spans="1:1" x14ac:dyDescent="0.25">
      <c r="A879" t="s">
        <v>771</v>
      </c>
    </row>
    <row r="880" spans="1:1" x14ac:dyDescent="0.25">
      <c r="A880" t="s">
        <v>772</v>
      </c>
    </row>
    <row r="881" spans="1:1" x14ac:dyDescent="0.25">
      <c r="A881" s="88" t="s">
        <v>773</v>
      </c>
    </row>
    <row r="882" spans="1:1" x14ac:dyDescent="0.25">
      <c r="A882" s="88" t="s">
        <v>774</v>
      </c>
    </row>
    <row r="883" spans="1:1" x14ac:dyDescent="0.25">
      <c r="A883" t="s">
        <v>775</v>
      </c>
    </row>
    <row r="884" spans="1:1" x14ac:dyDescent="0.25">
      <c r="A884" s="88" t="s">
        <v>776</v>
      </c>
    </row>
    <row r="885" spans="1:1" x14ac:dyDescent="0.25">
      <c r="A885" s="27" t="s">
        <v>777</v>
      </c>
    </row>
    <row r="886" spans="1:1" x14ac:dyDescent="0.25">
      <c r="A886" s="87" t="s">
        <v>778</v>
      </c>
    </row>
    <row r="887" spans="1:1" x14ac:dyDescent="0.25">
      <c r="A887" s="88" t="s">
        <v>779</v>
      </c>
    </row>
    <row r="888" spans="1:1" x14ac:dyDescent="0.25">
      <c r="A888" t="s">
        <v>780</v>
      </c>
    </row>
    <row r="889" spans="1:1" x14ac:dyDescent="0.25">
      <c r="A889" s="87" t="s">
        <v>781</v>
      </c>
    </row>
    <row r="890" spans="1:1" x14ac:dyDescent="0.25">
      <c r="A890" s="87" t="s">
        <v>782</v>
      </c>
    </row>
    <row r="891" spans="1:1" x14ac:dyDescent="0.25">
      <c r="A891" s="27" t="s">
        <v>783</v>
      </c>
    </row>
    <row r="892" spans="1:1" x14ac:dyDescent="0.25">
      <c r="A892" s="27" t="s">
        <v>784</v>
      </c>
    </row>
    <row r="893" spans="1:1" x14ac:dyDescent="0.25">
      <c r="A893" s="27" t="s">
        <v>785</v>
      </c>
    </row>
    <row r="894" spans="1:1" x14ac:dyDescent="0.25">
      <c r="A894" t="s">
        <v>786</v>
      </c>
    </row>
    <row r="895" spans="1:1" x14ac:dyDescent="0.25">
      <c r="A895" s="88" t="s">
        <v>787</v>
      </c>
    </row>
    <row r="896" spans="1:1" x14ac:dyDescent="0.25">
      <c r="A896" s="87" t="s">
        <v>788</v>
      </c>
    </row>
    <row r="897" spans="1:1" x14ac:dyDescent="0.25">
      <c r="A897" s="88" t="s">
        <v>789</v>
      </c>
    </row>
    <row r="898" spans="1:1" x14ac:dyDescent="0.25">
      <c r="A898" t="s">
        <v>790</v>
      </c>
    </row>
    <row r="899" spans="1:1" x14ac:dyDescent="0.25">
      <c r="A899" s="87" t="s">
        <v>791</v>
      </c>
    </row>
    <row r="900" spans="1:1" x14ac:dyDescent="0.25">
      <c r="A900" s="87" t="s">
        <v>792</v>
      </c>
    </row>
    <row r="901" spans="1:1" x14ac:dyDescent="0.25">
      <c r="A901" s="88" t="s">
        <v>793</v>
      </c>
    </row>
    <row r="902" spans="1:1" x14ac:dyDescent="0.25">
      <c r="A902" s="88" t="s">
        <v>794</v>
      </c>
    </row>
    <row r="903" spans="1:1" x14ac:dyDescent="0.25">
      <c r="A903" t="s">
        <v>795</v>
      </c>
    </row>
    <row r="904" spans="1:1" x14ac:dyDescent="0.25">
      <c r="A904" s="88" t="s">
        <v>796</v>
      </c>
    </row>
    <row r="905" spans="1:1" x14ac:dyDescent="0.25">
      <c r="A905" s="27" t="s">
        <v>797</v>
      </c>
    </row>
    <row r="906" spans="1:1" x14ac:dyDescent="0.25">
      <c r="A906" s="87" t="s">
        <v>798</v>
      </c>
    </row>
    <row r="907" spans="1:1" x14ac:dyDescent="0.25">
      <c r="A907" s="88" t="s">
        <v>799</v>
      </c>
    </row>
    <row r="908" spans="1:1" x14ac:dyDescent="0.25">
      <c r="A908" t="s">
        <v>800</v>
      </c>
    </row>
    <row r="909" spans="1:1" x14ac:dyDescent="0.25">
      <c r="A909" s="87" t="s">
        <v>801</v>
      </c>
    </row>
    <row r="910" spans="1:1" x14ac:dyDescent="0.25">
      <c r="A910" s="87" t="s">
        <v>802</v>
      </c>
    </row>
    <row r="911" spans="1:1" x14ac:dyDescent="0.25">
      <c r="A911" s="27" t="s">
        <v>803</v>
      </c>
    </row>
    <row r="912" spans="1:1" x14ac:dyDescent="0.25">
      <c r="A912" s="27" t="s">
        <v>804</v>
      </c>
    </row>
    <row r="913" spans="1:1" x14ac:dyDescent="0.25">
      <c r="A913" s="27" t="s">
        <v>805</v>
      </c>
    </row>
    <row r="914" spans="1:1" x14ac:dyDescent="0.25">
      <c r="A914" t="s">
        <v>806</v>
      </c>
    </row>
    <row r="915" spans="1:1" x14ac:dyDescent="0.25">
      <c r="A915" s="88" t="s">
        <v>807</v>
      </c>
    </row>
    <row r="916" spans="1:1" x14ac:dyDescent="0.25">
      <c r="A916" s="87" t="s">
        <v>808</v>
      </c>
    </row>
    <row r="917" spans="1:1" x14ac:dyDescent="0.25">
      <c r="A917" s="88" t="s">
        <v>809</v>
      </c>
    </row>
    <row r="918" spans="1:1" x14ac:dyDescent="0.25">
      <c r="A918" t="s">
        <v>810</v>
      </c>
    </row>
    <row r="919" spans="1:1" x14ac:dyDescent="0.25">
      <c r="A919" s="87" t="s">
        <v>811</v>
      </c>
    </row>
    <row r="920" spans="1:1" x14ac:dyDescent="0.25">
      <c r="A920" s="87" t="s">
        <v>812</v>
      </c>
    </row>
    <row r="921" spans="1:1" x14ac:dyDescent="0.25">
      <c r="A921" s="88" t="s">
        <v>813</v>
      </c>
    </row>
    <row r="922" spans="1:1" x14ac:dyDescent="0.25">
      <c r="A922" s="88" t="s">
        <v>814</v>
      </c>
    </row>
    <row r="923" spans="1:1" x14ac:dyDescent="0.25">
      <c r="A923" t="s">
        <v>815</v>
      </c>
    </row>
    <row r="924" spans="1:1" x14ac:dyDescent="0.25">
      <c r="A924" s="88" t="s">
        <v>816</v>
      </c>
    </row>
    <row r="925" spans="1:1" x14ac:dyDescent="0.25">
      <c r="A925" s="27" t="s">
        <v>817</v>
      </c>
    </row>
    <row r="926" spans="1:1" x14ac:dyDescent="0.25">
      <c r="A926" s="87" t="s">
        <v>818</v>
      </c>
    </row>
    <row r="927" spans="1:1" x14ac:dyDescent="0.25">
      <c r="A927" s="88" t="s">
        <v>819</v>
      </c>
    </row>
    <row r="928" spans="1:1" x14ac:dyDescent="0.25">
      <c r="A928" t="s">
        <v>820</v>
      </c>
    </row>
    <row r="929" spans="1:1" x14ac:dyDescent="0.25">
      <c r="A929" s="87" t="s">
        <v>821</v>
      </c>
    </row>
    <row r="930" spans="1:1" x14ac:dyDescent="0.25">
      <c r="A930" s="87" t="s">
        <v>822</v>
      </c>
    </row>
    <row r="931" spans="1:1" x14ac:dyDescent="0.25">
      <c r="A931" s="27" t="s">
        <v>823</v>
      </c>
    </row>
    <row r="932" spans="1:1" x14ac:dyDescent="0.25">
      <c r="A932" s="27" t="s">
        <v>824</v>
      </c>
    </row>
    <row r="933" spans="1:1" x14ac:dyDescent="0.25">
      <c r="A933" s="27" t="s">
        <v>825</v>
      </c>
    </row>
    <row r="934" spans="1:1" x14ac:dyDescent="0.25">
      <c r="A934" t="s">
        <v>826</v>
      </c>
    </row>
    <row r="935" spans="1:1" x14ac:dyDescent="0.25">
      <c r="A935" s="88" t="s">
        <v>827</v>
      </c>
    </row>
    <row r="936" spans="1:1" x14ac:dyDescent="0.25">
      <c r="A936" s="87" t="s">
        <v>828</v>
      </c>
    </row>
    <row r="937" spans="1:1" x14ac:dyDescent="0.25">
      <c r="A937" s="88" t="s">
        <v>829</v>
      </c>
    </row>
    <row r="938" spans="1:1" x14ac:dyDescent="0.25">
      <c r="A938" t="s">
        <v>830</v>
      </c>
    </row>
    <row r="939" spans="1:1" x14ac:dyDescent="0.25">
      <c r="A939" s="87" t="s">
        <v>831</v>
      </c>
    </row>
    <row r="940" spans="1:1" x14ac:dyDescent="0.25">
      <c r="A940" s="87" t="s">
        <v>832</v>
      </c>
    </row>
    <row r="941" spans="1:1" x14ac:dyDescent="0.25">
      <c r="A941" s="88" t="s">
        <v>833</v>
      </c>
    </row>
    <row r="942" spans="1:1" x14ac:dyDescent="0.25">
      <c r="A942" s="88" t="s">
        <v>834</v>
      </c>
    </row>
    <row r="943" spans="1:1" x14ac:dyDescent="0.25">
      <c r="A943" t="s">
        <v>835</v>
      </c>
    </row>
    <row r="944" spans="1:1" x14ac:dyDescent="0.25">
      <c r="A944" s="27" t="s">
        <v>836</v>
      </c>
    </row>
    <row r="945" spans="1:1" x14ac:dyDescent="0.25">
      <c r="A945" s="88" t="s">
        <v>837</v>
      </c>
    </row>
    <row r="946" spans="1:1" x14ac:dyDescent="0.25">
      <c r="A946" s="27" t="s">
        <v>838</v>
      </c>
    </row>
    <row r="947" spans="1:1" x14ac:dyDescent="0.25">
      <c r="A947" s="87" t="s">
        <v>839</v>
      </c>
    </row>
    <row r="948" spans="1:1" x14ac:dyDescent="0.25">
      <c r="A948" s="88" t="s">
        <v>840</v>
      </c>
    </row>
    <row r="949" spans="1:1" x14ac:dyDescent="0.25">
      <c r="A949" t="s">
        <v>841</v>
      </c>
    </row>
    <row r="950" spans="1:1" x14ac:dyDescent="0.25">
      <c r="A950" s="87" t="s">
        <v>842</v>
      </c>
    </row>
    <row r="951" spans="1:1" x14ac:dyDescent="0.25">
      <c r="A951" s="87" t="s">
        <v>843</v>
      </c>
    </row>
    <row r="952" spans="1:1" x14ac:dyDescent="0.25">
      <c r="A952" s="27" t="s">
        <v>844</v>
      </c>
    </row>
    <row r="953" spans="1:1" x14ac:dyDescent="0.25">
      <c r="A953" s="27" t="s">
        <v>845</v>
      </c>
    </row>
    <row r="954" spans="1:1" x14ac:dyDescent="0.25">
      <c r="A954" s="27" t="s">
        <v>846</v>
      </c>
    </row>
    <row r="955" spans="1:1" x14ac:dyDescent="0.25">
      <c r="A955" t="s">
        <v>847</v>
      </c>
    </row>
    <row r="956" spans="1:1" x14ac:dyDescent="0.25">
      <c r="A956" s="88" t="s">
        <v>848</v>
      </c>
    </row>
    <row r="957" spans="1:1" x14ac:dyDescent="0.25">
      <c r="A957" s="87" t="s">
        <v>849</v>
      </c>
    </row>
    <row r="958" spans="1:1" x14ac:dyDescent="0.25">
      <c r="A958" s="88" t="s">
        <v>850</v>
      </c>
    </row>
    <row r="959" spans="1:1" x14ac:dyDescent="0.25">
      <c r="A959" t="s">
        <v>851</v>
      </c>
    </row>
    <row r="960" spans="1:1" x14ac:dyDescent="0.25">
      <c r="A960" s="87" t="s">
        <v>852</v>
      </c>
    </row>
    <row r="961" spans="1:1" x14ac:dyDescent="0.25">
      <c r="A961" s="87" t="s">
        <v>853</v>
      </c>
    </row>
    <row r="962" spans="1:1" x14ac:dyDescent="0.25">
      <c r="A962" t="s">
        <v>854</v>
      </c>
    </row>
    <row r="963" spans="1:1" x14ac:dyDescent="0.25">
      <c r="A963" s="27" t="s">
        <v>855</v>
      </c>
    </row>
    <row r="964" spans="1:1" x14ac:dyDescent="0.25">
      <c r="A964" s="27" t="s">
        <v>856</v>
      </c>
    </row>
    <row r="965" spans="1:1" x14ac:dyDescent="0.25">
      <c r="A965" s="27" t="s">
        <v>857</v>
      </c>
    </row>
    <row r="966" spans="1:1" x14ac:dyDescent="0.25">
      <c r="A966" s="27" t="s">
        <v>858</v>
      </c>
    </row>
    <row r="967" spans="1:1" x14ac:dyDescent="0.25">
      <c r="A967" s="27" t="s">
        <v>859</v>
      </c>
    </row>
    <row r="968" spans="1:1" x14ac:dyDescent="0.25">
      <c r="A968" s="27" t="s">
        <v>860</v>
      </c>
    </row>
    <row r="969" spans="1:1" x14ac:dyDescent="0.25">
      <c r="A969" t="s">
        <v>861</v>
      </c>
    </row>
    <row r="970" spans="1:1" x14ac:dyDescent="0.25">
      <c r="A970" s="88" t="s">
        <v>862</v>
      </c>
    </row>
    <row r="971" spans="1:1" x14ac:dyDescent="0.25">
      <c r="A971" s="88" t="s">
        <v>863</v>
      </c>
    </row>
    <row r="972" spans="1:1" x14ac:dyDescent="0.25">
      <c r="A972" t="s">
        <v>864</v>
      </c>
    </row>
    <row r="973" spans="1:1" x14ac:dyDescent="0.25">
      <c r="A973" s="88" t="s">
        <v>865</v>
      </c>
    </row>
    <row r="974" spans="1:1" x14ac:dyDescent="0.25">
      <c r="A974" s="27" t="s">
        <v>866</v>
      </c>
    </row>
    <row r="975" spans="1:1" x14ac:dyDescent="0.25">
      <c r="A975" s="87" t="s">
        <v>867</v>
      </c>
    </row>
    <row r="976" spans="1:1" x14ac:dyDescent="0.25">
      <c r="A976" s="88" t="s">
        <v>868</v>
      </c>
    </row>
    <row r="977" spans="1:1" x14ac:dyDescent="0.25">
      <c r="A977" t="s">
        <v>869</v>
      </c>
    </row>
    <row r="978" spans="1:1" x14ac:dyDescent="0.25">
      <c r="A978" s="87" t="s">
        <v>870</v>
      </c>
    </row>
    <row r="979" spans="1:1" x14ac:dyDescent="0.25">
      <c r="A979" s="87" t="s">
        <v>871</v>
      </c>
    </row>
    <row r="980" spans="1:1" x14ac:dyDescent="0.25">
      <c r="A980" s="27" t="s">
        <v>872</v>
      </c>
    </row>
    <row r="981" spans="1:1" x14ac:dyDescent="0.25">
      <c r="A981" s="27" t="s">
        <v>873</v>
      </c>
    </row>
    <row r="982" spans="1:1" x14ac:dyDescent="0.25">
      <c r="A982" s="27" t="s">
        <v>874</v>
      </c>
    </row>
    <row r="983" spans="1:1" x14ac:dyDescent="0.25">
      <c r="A983" t="s">
        <v>875</v>
      </c>
    </row>
    <row r="984" spans="1:1" x14ac:dyDescent="0.25">
      <c r="A984" s="88" t="s">
        <v>876</v>
      </c>
    </row>
    <row r="985" spans="1:1" x14ac:dyDescent="0.25">
      <c r="A985" s="87" t="s">
        <v>877</v>
      </c>
    </row>
    <row r="986" spans="1:1" x14ac:dyDescent="0.25">
      <c r="A986" s="88" t="s">
        <v>878</v>
      </c>
    </row>
    <row r="987" spans="1:1" x14ac:dyDescent="0.25">
      <c r="A987" t="s">
        <v>879</v>
      </c>
    </row>
    <row r="988" spans="1:1" x14ac:dyDescent="0.25">
      <c r="A988" s="87" t="s">
        <v>880</v>
      </c>
    </row>
    <row r="989" spans="1:1" x14ac:dyDescent="0.25">
      <c r="A989" s="87" t="s">
        <v>881</v>
      </c>
    </row>
    <row r="990" spans="1:1" x14ac:dyDescent="0.25">
      <c r="A990" s="27" t="s">
        <v>882</v>
      </c>
    </row>
    <row r="991" spans="1:1" x14ac:dyDescent="0.25">
      <c r="A991" s="27" t="s">
        <v>883</v>
      </c>
    </row>
    <row r="992" spans="1:1" x14ac:dyDescent="0.25">
      <c r="A992" t="s">
        <v>884</v>
      </c>
    </row>
    <row r="993" spans="1:1" x14ac:dyDescent="0.25">
      <c r="A993" t="s">
        <v>885</v>
      </c>
    </row>
    <row r="994" spans="1:1" x14ac:dyDescent="0.25">
      <c r="A994" s="88" t="s">
        <v>886</v>
      </c>
    </row>
    <row r="995" spans="1:1" x14ac:dyDescent="0.25">
      <c r="A995" s="88" t="s">
        <v>887</v>
      </c>
    </row>
    <row r="996" spans="1:1" x14ac:dyDescent="0.25">
      <c r="A996" t="s">
        <v>888</v>
      </c>
    </row>
    <row r="997" spans="1:1" x14ac:dyDescent="0.25">
      <c r="A997" s="88" t="s">
        <v>889</v>
      </c>
    </row>
    <row r="998" spans="1:1" x14ac:dyDescent="0.25">
      <c r="A998" s="27" t="s">
        <v>890</v>
      </c>
    </row>
    <row r="999" spans="1:1" x14ac:dyDescent="0.25">
      <c r="A999" s="87" t="s">
        <v>891</v>
      </c>
    </row>
    <row r="1000" spans="1:1" x14ac:dyDescent="0.25">
      <c r="A1000" s="88" t="s">
        <v>892</v>
      </c>
    </row>
    <row r="1001" spans="1:1" x14ac:dyDescent="0.25">
      <c r="A1001" t="s">
        <v>893</v>
      </c>
    </row>
    <row r="1002" spans="1:1" x14ac:dyDescent="0.25">
      <c r="A1002" s="87" t="s">
        <v>894</v>
      </c>
    </row>
    <row r="1003" spans="1:1" x14ac:dyDescent="0.25">
      <c r="A1003" s="87" t="s">
        <v>895</v>
      </c>
    </row>
    <row r="1004" spans="1:1" x14ac:dyDescent="0.25">
      <c r="A1004" s="27" t="s">
        <v>896</v>
      </c>
    </row>
    <row r="1005" spans="1:1" x14ac:dyDescent="0.25">
      <c r="A1005" s="27" t="s">
        <v>897</v>
      </c>
    </row>
    <row r="1006" spans="1:1" x14ac:dyDescent="0.25">
      <c r="A1006" s="27" t="s">
        <v>898</v>
      </c>
    </row>
    <row r="1007" spans="1:1" x14ac:dyDescent="0.25">
      <c r="A1007" t="s">
        <v>899</v>
      </c>
    </row>
    <row r="1008" spans="1:1" x14ac:dyDescent="0.25">
      <c r="A1008" s="88" t="s">
        <v>900</v>
      </c>
    </row>
    <row r="1009" spans="1:1" x14ac:dyDescent="0.25">
      <c r="A1009" s="87" t="s">
        <v>901</v>
      </c>
    </row>
    <row r="1010" spans="1:1" x14ac:dyDescent="0.25">
      <c r="A1010" s="88" t="s">
        <v>902</v>
      </c>
    </row>
    <row r="1011" spans="1:1" x14ac:dyDescent="0.25">
      <c r="A1011" t="s">
        <v>903</v>
      </c>
    </row>
    <row r="1012" spans="1:1" x14ac:dyDescent="0.25">
      <c r="A1012" s="87" t="s">
        <v>904</v>
      </c>
    </row>
    <row r="1013" spans="1:1" x14ac:dyDescent="0.25">
      <c r="A1013" s="87" t="s">
        <v>905</v>
      </c>
    </row>
    <row r="1014" spans="1:1" x14ac:dyDescent="0.25">
      <c r="A1014" t="s">
        <v>906</v>
      </c>
    </row>
    <row r="1015" spans="1:1" x14ac:dyDescent="0.25">
      <c r="A1015" s="27" t="s">
        <v>907</v>
      </c>
    </row>
    <row r="1016" spans="1:1" x14ac:dyDescent="0.25">
      <c r="A1016" t="s">
        <v>908</v>
      </c>
    </row>
    <row r="1017" spans="1:1" x14ac:dyDescent="0.25">
      <c r="A1017" t="s">
        <v>909</v>
      </c>
    </row>
    <row r="1018" spans="1:1" x14ac:dyDescent="0.25">
      <c r="A1018" t="s">
        <v>910</v>
      </c>
    </row>
    <row r="1019" spans="1:1" x14ac:dyDescent="0.25">
      <c r="A1019" t="s">
        <v>911</v>
      </c>
    </row>
    <row r="1020" spans="1:1" x14ac:dyDescent="0.25">
      <c r="A1020" t="s">
        <v>912</v>
      </c>
    </row>
    <row r="1021" spans="1:1" x14ac:dyDescent="0.25">
      <c r="A1021" t="s">
        <v>913</v>
      </c>
    </row>
    <row r="1022" spans="1:1" x14ac:dyDescent="0.25">
      <c r="A1022" t="s">
        <v>914</v>
      </c>
    </row>
    <row r="1023" spans="1:1" x14ac:dyDescent="0.25">
      <c r="A1023" t="s">
        <v>915</v>
      </c>
    </row>
    <row r="1024" spans="1:1" x14ac:dyDescent="0.25">
      <c r="A1024" t="s">
        <v>916</v>
      </c>
    </row>
    <row r="1025" spans="1:1" x14ac:dyDescent="0.25">
      <c r="A1025" s="27" t="s">
        <v>917</v>
      </c>
    </row>
    <row r="1026" spans="1:1" x14ac:dyDescent="0.25">
      <c r="A1026" s="27" t="s">
        <v>918</v>
      </c>
    </row>
    <row r="1027" spans="1:1" x14ac:dyDescent="0.25">
      <c r="A1027" s="27" t="s">
        <v>919</v>
      </c>
    </row>
    <row r="1028" spans="1:1" x14ac:dyDescent="0.25">
      <c r="A1028" s="88" t="s">
        <v>920</v>
      </c>
    </row>
    <row r="1029" spans="1:1" x14ac:dyDescent="0.25">
      <c r="A1029" s="88" t="s">
        <v>921</v>
      </c>
    </row>
    <row r="1030" spans="1:1" x14ac:dyDescent="0.25">
      <c r="A1030" t="s">
        <v>922</v>
      </c>
    </row>
    <row r="1031" spans="1:1" x14ac:dyDescent="0.25">
      <c r="A1031" s="88" t="s">
        <v>923</v>
      </c>
    </row>
    <row r="1032" spans="1:1" x14ac:dyDescent="0.25">
      <c r="A1032" s="88" t="s">
        <v>924</v>
      </c>
    </row>
    <row r="1033" spans="1:1" x14ac:dyDescent="0.25">
      <c r="A1033" s="88" t="s">
        <v>925</v>
      </c>
    </row>
    <row r="1034" spans="1:1" x14ac:dyDescent="0.25">
      <c r="A1034" s="27" t="s">
        <v>926</v>
      </c>
    </row>
    <row r="1035" spans="1:1" x14ac:dyDescent="0.25">
      <c r="A1035" s="27" t="s">
        <v>927</v>
      </c>
    </row>
    <row r="1036" spans="1:1" x14ac:dyDescent="0.25">
      <c r="A1036" s="27" t="s">
        <v>928</v>
      </c>
    </row>
    <row r="1037" spans="1:1" x14ac:dyDescent="0.25">
      <c r="A1037" s="27" t="s">
        <v>929</v>
      </c>
    </row>
    <row r="1038" spans="1:1" x14ac:dyDescent="0.25">
      <c r="A1038" s="27" t="s">
        <v>930</v>
      </c>
    </row>
    <row r="1039" spans="1:1" x14ac:dyDescent="0.25">
      <c r="A1039" s="87" t="s">
        <v>931</v>
      </c>
    </row>
    <row r="1040" spans="1:1" x14ac:dyDescent="0.25">
      <c r="A1040" s="88" t="s">
        <v>932</v>
      </c>
    </row>
    <row r="1041" spans="1:1" x14ac:dyDescent="0.25">
      <c r="A1041" t="s">
        <v>933</v>
      </c>
    </row>
    <row r="1042" spans="1:1" x14ac:dyDescent="0.25">
      <c r="A1042" s="87" t="s">
        <v>934</v>
      </c>
    </row>
    <row r="1043" spans="1:1" x14ac:dyDescent="0.25">
      <c r="A1043" s="87" t="s">
        <v>935</v>
      </c>
    </row>
    <row r="1044" spans="1:1" x14ac:dyDescent="0.25">
      <c r="A1044" s="27" t="s">
        <v>936</v>
      </c>
    </row>
    <row r="1045" spans="1:1" x14ac:dyDescent="0.25">
      <c r="A1045" s="27" t="s">
        <v>937</v>
      </c>
    </row>
    <row r="1046" spans="1:1" x14ac:dyDescent="0.25">
      <c r="A1046" s="27" t="s">
        <v>938</v>
      </c>
    </row>
    <row r="1047" spans="1:1" x14ac:dyDescent="0.25">
      <c r="A1047" t="s">
        <v>939</v>
      </c>
    </row>
    <row r="1048" spans="1:1" x14ac:dyDescent="0.25">
      <c r="A1048" s="87" t="s">
        <v>940</v>
      </c>
    </row>
    <row r="1049" spans="1:1" x14ac:dyDescent="0.25">
      <c r="A1049" s="88" t="s">
        <v>941</v>
      </c>
    </row>
    <row r="1050" spans="1:1" x14ac:dyDescent="0.25">
      <c r="A1050" t="s">
        <v>942</v>
      </c>
    </row>
    <row r="1051" spans="1:1" x14ac:dyDescent="0.25">
      <c r="A1051" s="87" t="s">
        <v>943</v>
      </c>
    </row>
    <row r="1052" spans="1:1" x14ac:dyDescent="0.25">
      <c r="A1052" s="87" t="s">
        <v>944</v>
      </c>
    </row>
    <row r="1053" spans="1:1" x14ac:dyDescent="0.25">
      <c r="A1053" s="27" t="s">
        <v>945</v>
      </c>
    </row>
    <row r="1054" spans="1:1" x14ac:dyDescent="0.25">
      <c r="A1054" s="27" t="s">
        <v>946</v>
      </c>
    </row>
    <row r="1055" spans="1:1" x14ac:dyDescent="0.25">
      <c r="A1055" s="27" t="s">
        <v>947</v>
      </c>
    </row>
    <row r="1056" spans="1:1" x14ac:dyDescent="0.25">
      <c r="A1056" t="s">
        <v>948</v>
      </c>
    </row>
    <row r="1057" spans="1:1" x14ac:dyDescent="0.25">
      <c r="A1057" s="27" t="s">
        <v>949</v>
      </c>
    </row>
    <row r="1058" spans="1:1" x14ac:dyDescent="0.25">
      <c r="A1058" s="27" t="s">
        <v>950</v>
      </c>
    </row>
    <row r="1059" spans="1:1" x14ac:dyDescent="0.25">
      <c r="A1059" s="27" t="s">
        <v>951</v>
      </c>
    </row>
    <row r="1060" spans="1:1" x14ac:dyDescent="0.25">
      <c r="A1060" s="88" t="s">
        <v>952</v>
      </c>
    </row>
    <row r="1061" spans="1:1" x14ac:dyDescent="0.25">
      <c r="A1061" s="27" t="s">
        <v>953</v>
      </c>
    </row>
    <row r="1062" spans="1:1" x14ac:dyDescent="0.25">
      <c r="A1062" t="s">
        <v>954</v>
      </c>
    </row>
    <row r="1063" spans="1:1" x14ac:dyDescent="0.25">
      <c r="A1063" s="88" t="s">
        <v>955</v>
      </c>
    </row>
    <row r="1064" spans="1:1" x14ac:dyDescent="0.25">
      <c r="A1064" s="27" t="s">
        <v>956</v>
      </c>
    </row>
    <row r="1065" spans="1:1" x14ac:dyDescent="0.25">
      <c r="A1065" s="27" t="s">
        <v>957</v>
      </c>
    </row>
    <row r="1066" spans="1:1" x14ac:dyDescent="0.25">
      <c r="A1066" s="27" t="s">
        <v>958</v>
      </c>
    </row>
    <row r="1067" spans="1:1" x14ac:dyDescent="0.25">
      <c r="A1067" s="27" t="s">
        <v>959</v>
      </c>
    </row>
    <row r="1068" spans="1:1" x14ac:dyDescent="0.25">
      <c r="A1068" s="27" t="s">
        <v>960</v>
      </c>
    </row>
    <row r="1069" spans="1:1" x14ac:dyDescent="0.25">
      <c r="A1069" s="27" t="s">
        <v>961</v>
      </c>
    </row>
    <row r="1070" spans="1:1" x14ac:dyDescent="0.25">
      <c r="A1070" s="27" t="s">
        <v>962</v>
      </c>
    </row>
    <row r="1071" spans="1:1" x14ac:dyDescent="0.25">
      <c r="A1071" s="27" t="s">
        <v>963</v>
      </c>
    </row>
    <row r="1072" spans="1:1" x14ac:dyDescent="0.25">
      <c r="A1072" s="27" t="s">
        <v>964</v>
      </c>
    </row>
    <row r="1073" spans="1:1" x14ac:dyDescent="0.25">
      <c r="A1073" s="27" t="s">
        <v>965</v>
      </c>
    </row>
    <row r="1074" spans="1:1" x14ac:dyDescent="0.25">
      <c r="A1074" s="27" t="s">
        <v>966</v>
      </c>
    </row>
    <row r="1075" spans="1:1" x14ac:dyDescent="0.25">
      <c r="A1075" s="27" t="s">
        <v>967</v>
      </c>
    </row>
    <row r="1076" spans="1:1" x14ac:dyDescent="0.25">
      <c r="A1076" s="27" t="s">
        <v>968</v>
      </c>
    </row>
    <row r="1077" spans="1:1" x14ac:dyDescent="0.25">
      <c r="A1077" s="27" t="s">
        <v>969</v>
      </c>
    </row>
    <row r="1078" spans="1:1" x14ac:dyDescent="0.25">
      <c r="A1078" s="27" t="s">
        <v>970</v>
      </c>
    </row>
    <row r="1079" spans="1:1" x14ac:dyDescent="0.25">
      <c r="A1079" s="27" t="s">
        <v>971</v>
      </c>
    </row>
    <row r="1080" spans="1:1" x14ac:dyDescent="0.25">
      <c r="A1080" s="27" t="s">
        <v>972</v>
      </c>
    </row>
    <row r="1081" spans="1:1" x14ac:dyDescent="0.25">
      <c r="A1081" s="27" t="s">
        <v>973</v>
      </c>
    </row>
    <row r="1082" spans="1:1" x14ac:dyDescent="0.25">
      <c r="A1082" s="27" t="s">
        <v>974</v>
      </c>
    </row>
    <row r="1083" spans="1:1" x14ac:dyDescent="0.25">
      <c r="A1083" s="27" t="s">
        <v>975</v>
      </c>
    </row>
    <row r="1084" spans="1:1" x14ac:dyDescent="0.25">
      <c r="A1084" s="27" t="s">
        <v>976</v>
      </c>
    </row>
    <row r="1085" spans="1:1" x14ac:dyDescent="0.25">
      <c r="A1085" s="27" t="s">
        <v>977</v>
      </c>
    </row>
    <row r="1086" spans="1:1" x14ac:dyDescent="0.25">
      <c r="A1086" s="27" t="s">
        <v>978</v>
      </c>
    </row>
    <row r="1087" spans="1:1" x14ac:dyDescent="0.25">
      <c r="A1087" s="27" t="s">
        <v>979</v>
      </c>
    </row>
    <row r="1088" spans="1:1" x14ac:dyDescent="0.25">
      <c r="A1088" s="27" t="s">
        <v>980</v>
      </c>
    </row>
    <row r="1089" spans="1:1" x14ac:dyDescent="0.25">
      <c r="A1089" s="87" t="s">
        <v>981</v>
      </c>
    </row>
    <row r="1090" spans="1:1" x14ac:dyDescent="0.25">
      <c r="A1090" s="87" t="s">
        <v>982</v>
      </c>
    </row>
    <row r="1091" spans="1:1" x14ac:dyDescent="0.25">
      <c r="A1091" s="87" t="s">
        <v>983</v>
      </c>
    </row>
    <row r="1092" spans="1:1" x14ac:dyDescent="0.25">
      <c r="A1092" s="88" t="s">
        <v>984</v>
      </c>
    </row>
    <row r="1093" spans="1:1" x14ac:dyDescent="0.25">
      <c r="A1093" s="88" t="s">
        <v>985</v>
      </c>
    </row>
    <row r="1094" spans="1:1" x14ac:dyDescent="0.25">
      <c r="A1094" s="27" t="s">
        <v>986</v>
      </c>
    </row>
    <row r="1095" spans="1:1" x14ac:dyDescent="0.25">
      <c r="A1095" s="27" t="s">
        <v>987</v>
      </c>
    </row>
    <row r="1096" spans="1:1" x14ac:dyDescent="0.25">
      <c r="A1096" s="27" t="s">
        <v>988</v>
      </c>
    </row>
    <row r="1097" spans="1:1" x14ac:dyDescent="0.25">
      <c r="A1097" s="27" t="s">
        <v>989</v>
      </c>
    </row>
    <row r="1098" spans="1:1" x14ac:dyDescent="0.25">
      <c r="A1098" s="27" t="s">
        <v>990</v>
      </c>
    </row>
    <row r="1099" spans="1:1" x14ac:dyDescent="0.25">
      <c r="A1099" s="27" t="s">
        <v>991</v>
      </c>
    </row>
    <row r="1100" spans="1:1" x14ac:dyDescent="0.25">
      <c r="A1100" s="27" t="s">
        <v>992</v>
      </c>
    </row>
    <row r="1101" spans="1:1" x14ac:dyDescent="0.25">
      <c r="A1101" s="27" t="s">
        <v>993</v>
      </c>
    </row>
    <row r="1102" spans="1:1" x14ac:dyDescent="0.25">
      <c r="A1102" s="27" t="s">
        <v>994</v>
      </c>
    </row>
    <row r="1103" spans="1:1" x14ac:dyDescent="0.25">
      <c r="A1103" s="27" t="s">
        <v>995</v>
      </c>
    </row>
    <row r="1104" spans="1:1" x14ac:dyDescent="0.25">
      <c r="A1104" s="27" t="s">
        <v>996</v>
      </c>
    </row>
    <row r="1105" spans="1:1" x14ac:dyDescent="0.25">
      <c r="A1105" s="27" t="s">
        <v>997</v>
      </c>
    </row>
    <row r="1106" spans="1:1" x14ac:dyDescent="0.25">
      <c r="A1106" s="27" t="s">
        <v>998</v>
      </c>
    </row>
    <row r="1107" spans="1:1" x14ac:dyDescent="0.25">
      <c r="A1107" s="27" t="s">
        <v>999</v>
      </c>
    </row>
    <row r="1108" spans="1:1" x14ac:dyDescent="0.25">
      <c r="A1108" s="27" t="s">
        <v>1000</v>
      </c>
    </row>
    <row r="1109" spans="1:1" x14ac:dyDescent="0.25">
      <c r="A1109" s="27" t="s">
        <v>1001</v>
      </c>
    </row>
    <row r="1110" spans="1:1" x14ac:dyDescent="0.25">
      <c r="A1110" s="27" t="s">
        <v>1002</v>
      </c>
    </row>
    <row r="1111" spans="1:1" x14ac:dyDescent="0.25">
      <c r="A1111" s="27" t="s">
        <v>1003</v>
      </c>
    </row>
    <row r="1112" spans="1:1" x14ac:dyDescent="0.25">
      <c r="A1112" s="27" t="s">
        <v>1004</v>
      </c>
    </row>
    <row r="1113" spans="1:1" x14ac:dyDescent="0.25">
      <c r="A1113" s="27" t="s">
        <v>1005</v>
      </c>
    </row>
    <row r="1114" spans="1:1" x14ac:dyDescent="0.25">
      <c r="A1114" s="27" t="s">
        <v>1006</v>
      </c>
    </row>
    <row r="1115" spans="1:1" x14ac:dyDescent="0.25">
      <c r="A1115" s="27" t="s">
        <v>1007</v>
      </c>
    </row>
    <row r="1116" spans="1:1" x14ac:dyDescent="0.25">
      <c r="A1116" s="27" t="s">
        <v>1008</v>
      </c>
    </row>
    <row r="1117" spans="1:1" x14ac:dyDescent="0.25">
      <c r="A1117" s="27" t="s">
        <v>1009</v>
      </c>
    </row>
    <row r="1118" spans="1:1" x14ac:dyDescent="0.25">
      <c r="A1118" s="27" t="s">
        <v>1010</v>
      </c>
    </row>
    <row r="1119" spans="1:1" x14ac:dyDescent="0.25">
      <c r="A1119" s="27" t="s">
        <v>1011</v>
      </c>
    </row>
    <row r="1120" spans="1:1" x14ac:dyDescent="0.25">
      <c r="A1120" s="27" t="s">
        <v>1012</v>
      </c>
    </row>
    <row r="1121" spans="1:1" x14ac:dyDescent="0.25">
      <c r="A1121" s="27" t="s">
        <v>1013</v>
      </c>
    </row>
    <row r="1122" spans="1:1" x14ac:dyDescent="0.25">
      <c r="A1122" s="27" t="s">
        <v>1014</v>
      </c>
    </row>
    <row r="1123" spans="1:1" x14ac:dyDescent="0.25">
      <c r="A1123" s="27" t="s">
        <v>1015</v>
      </c>
    </row>
    <row r="1124" spans="1:1" x14ac:dyDescent="0.25">
      <c r="A1124" s="27" t="s">
        <v>1016</v>
      </c>
    </row>
    <row r="1125" spans="1:1" x14ac:dyDescent="0.25">
      <c r="A1125" s="27" t="s">
        <v>1017</v>
      </c>
    </row>
    <row r="1126" spans="1:1" x14ac:dyDescent="0.25">
      <c r="A1126" s="27" t="s">
        <v>1018</v>
      </c>
    </row>
    <row r="1127" spans="1:1" x14ac:dyDescent="0.25">
      <c r="A1127" s="27" t="s">
        <v>1019</v>
      </c>
    </row>
    <row r="1128" spans="1:1" x14ac:dyDescent="0.25">
      <c r="A1128" s="27" t="s">
        <v>1020</v>
      </c>
    </row>
    <row r="1129" spans="1:1" x14ac:dyDescent="0.25">
      <c r="A1129" s="27" t="s">
        <v>1021</v>
      </c>
    </row>
    <row r="1130" spans="1:1" x14ac:dyDescent="0.25">
      <c r="A1130" s="27" t="s">
        <v>1022</v>
      </c>
    </row>
    <row r="1131" spans="1:1" x14ac:dyDescent="0.25">
      <c r="A1131" s="27" t="s">
        <v>1023</v>
      </c>
    </row>
    <row r="1132" spans="1:1" x14ac:dyDescent="0.25">
      <c r="A1132" s="27" t="s">
        <v>1024</v>
      </c>
    </row>
    <row r="1133" spans="1:1" x14ac:dyDescent="0.25">
      <c r="A1133" t="s">
        <v>1025</v>
      </c>
    </row>
    <row r="1134" spans="1:1" x14ac:dyDescent="0.25">
      <c r="A1134" t="s">
        <v>1026</v>
      </c>
    </row>
    <row r="1135" spans="1:1" x14ac:dyDescent="0.25">
      <c r="A1135" s="27" t="s">
        <v>1027</v>
      </c>
    </row>
    <row r="1136" spans="1:1" x14ac:dyDescent="0.25">
      <c r="A1136" s="27" t="s">
        <v>1028</v>
      </c>
    </row>
    <row r="1137" spans="1:1" x14ac:dyDescent="0.25">
      <c r="A1137" t="s">
        <v>1029</v>
      </c>
    </row>
    <row r="1138" spans="1:1" x14ac:dyDescent="0.25">
      <c r="A1138" t="s">
        <v>1030</v>
      </c>
    </row>
    <row r="1139" spans="1:1" x14ac:dyDescent="0.25">
      <c r="A1139" s="27" t="s">
        <v>1031</v>
      </c>
    </row>
    <row r="1140" spans="1:1" x14ac:dyDescent="0.25">
      <c r="A1140" s="27" t="s">
        <v>1032</v>
      </c>
    </row>
    <row r="1141" spans="1:1" x14ac:dyDescent="0.25">
      <c r="A1141" s="27" t="s">
        <v>1033</v>
      </c>
    </row>
    <row r="1142" spans="1:1" x14ac:dyDescent="0.25">
      <c r="A1142" s="27" t="s">
        <v>1034</v>
      </c>
    </row>
    <row r="1143" spans="1:1" x14ac:dyDescent="0.25">
      <c r="A1143" s="27" t="s">
        <v>1035</v>
      </c>
    </row>
    <row r="1144" spans="1:1" x14ac:dyDescent="0.25">
      <c r="A1144" s="27" t="s">
        <v>1036</v>
      </c>
    </row>
    <row r="1145" spans="1:1" x14ac:dyDescent="0.25">
      <c r="A1145" s="27" t="s">
        <v>1037</v>
      </c>
    </row>
    <row r="1146" spans="1:1" x14ac:dyDescent="0.25">
      <c r="A1146" s="27" t="s">
        <v>1038</v>
      </c>
    </row>
    <row r="1147" spans="1:1" x14ac:dyDescent="0.25">
      <c r="A1147" s="27" t="s">
        <v>1039</v>
      </c>
    </row>
    <row r="1148" spans="1:1" x14ac:dyDescent="0.25">
      <c r="A1148" s="27" t="s">
        <v>1040</v>
      </c>
    </row>
    <row r="1149" spans="1:1" x14ac:dyDescent="0.25">
      <c r="A1149" s="27" t="s">
        <v>1041</v>
      </c>
    </row>
    <row r="1150" spans="1:1" x14ac:dyDescent="0.25">
      <c r="A1150" s="88" t="s">
        <v>1042</v>
      </c>
    </row>
    <row r="1151" spans="1:1" x14ac:dyDescent="0.25">
      <c r="A1151" s="88" t="s">
        <v>1043</v>
      </c>
    </row>
    <row r="1152" spans="1:1" x14ac:dyDescent="0.25">
      <c r="A1152" s="27" t="s">
        <v>1044</v>
      </c>
    </row>
    <row r="1153" spans="1:1" x14ac:dyDescent="0.25">
      <c r="A1153" t="s">
        <v>1045</v>
      </c>
    </row>
    <row r="1154" spans="1:1" x14ac:dyDescent="0.25">
      <c r="A1154" s="88" t="s">
        <v>1046</v>
      </c>
    </row>
    <row r="1155" spans="1:1" x14ac:dyDescent="0.25">
      <c r="A1155" s="88" t="s">
        <v>1047</v>
      </c>
    </row>
    <row r="1156" spans="1:1" x14ac:dyDescent="0.25">
      <c r="A1156" s="88" t="s">
        <v>1048</v>
      </c>
    </row>
    <row r="1157" spans="1:1" x14ac:dyDescent="0.25">
      <c r="A1157" s="27" t="s">
        <v>1049</v>
      </c>
    </row>
    <row r="1158" spans="1:1" x14ac:dyDescent="0.25">
      <c r="A1158" s="27" t="s">
        <v>1050</v>
      </c>
    </row>
    <row r="1159" spans="1:1" x14ac:dyDescent="0.25">
      <c r="A1159" s="27" t="s">
        <v>1051</v>
      </c>
    </row>
    <row r="1160" spans="1:1" x14ac:dyDescent="0.25">
      <c r="A1160" t="s">
        <v>1052</v>
      </c>
    </row>
    <row r="1161" spans="1:1" x14ac:dyDescent="0.25">
      <c r="A1161" s="27" t="s">
        <v>1054</v>
      </c>
    </row>
    <row r="1162" spans="1:1" x14ac:dyDescent="0.25">
      <c r="A1162" s="88" t="s">
        <v>1055</v>
      </c>
    </row>
    <row r="1163" spans="1:1" x14ac:dyDescent="0.25">
      <c r="A1163" s="87" t="s">
        <v>1056</v>
      </c>
    </row>
    <row r="1164" spans="1:1" x14ac:dyDescent="0.25">
      <c r="A1164" s="88" t="s">
        <v>1057</v>
      </c>
    </row>
    <row r="1165" spans="1:1" x14ac:dyDescent="0.25">
      <c r="A1165" t="s">
        <v>1058</v>
      </c>
    </row>
    <row r="1166" spans="1:1" x14ac:dyDescent="0.25">
      <c r="A1166" s="87" t="s">
        <v>1059</v>
      </c>
    </row>
    <row r="1167" spans="1:1" x14ac:dyDescent="0.25">
      <c r="A1167" s="87" t="s">
        <v>1060</v>
      </c>
    </row>
    <row r="1168" spans="1:1" x14ac:dyDescent="0.25">
      <c r="A1168" s="88" t="s">
        <v>1061</v>
      </c>
    </row>
    <row r="1169" spans="1:1" x14ac:dyDescent="0.25">
      <c r="A1169" t="s">
        <v>1062</v>
      </c>
    </row>
    <row r="1170" spans="1:1" x14ac:dyDescent="0.25">
      <c r="A1170" s="88" t="s">
        <v>1063</v>
      </c>
    </row>
    <row r="1171" spans="1:1" x14ac:dyDescent="0.25">
      <c r="A1171" s="87" t="s">
        <v>1064</v>
      </c>
    </row>
    <row r="1172" spans="1:1" x14ac:dyDescent="0.25">
      <c r="A1172" s="88" t="s">
        <v>1065</v>
      </c>
    </row>
    <row r="1173" spans="1:1" x14ac:dyDescent="0.25">
      <c r="A1173" t="s">
        <v>1066</v>
      </c>
    </row>
    <row r="1174" spans="1:1" x14ac:dyDescent="0.25">
      <c r="A1174" s="87" t="s">
        <v>1067</v>
      </c>
    </row>
    <row r="1175" spans="1:1" x14ac:dyDescent="0.25">
      <c r="A1175" s="87" t="s">
        <v>1068</v>
      </c>
    </row>
    <row r="1176" spans="1:1" x14ac:dyDescent="0.25">
      <c r="A1176" s="27" t="s">
        <v>1069</v>
      </c>
    </row>
    <row r="1177" spans="1:1" x14ac:dyDescent="0.25">
      <c r="A1177" s="27" t="s">
        <v>1070</v>
      </c>
    </row>
    <row r="1178" spans="1:1" x14ac:dyDescent="0.25">
      <c r="A1178" s="27" t="s">
        <v>1071</v>
      </c>
    </row>
    <row r="1179" spans="1:1" x14ac:dyDescent="0.25">
      <c r="A1179" t="s">
        <v>1072</v>
      </c>
    </row>
    <row r="1180" spans="1:1" x14ac:dyDescent="0.25">
      <c r="A1180" s="27" t="s">
        <v>1073</v>
      </c>
    </row>
    <row r="1181" spans="1:1" x14ac:dyDescent="0.25">
      <c r="A1181" s="88" t="s">
        <v>1074</v>
      </c>
    </row>
    <row r="1182" spans="1:1" x14ac:dyDescent="0.25">
      <c r="A1182" s="87" t="s">
        <v>1075</v>
      </c>
    </row>
    <row r="1183" spans="1:1" x14ac:dyDescent="0.25">
      <c r="A1183" s="88" t="s">
        <v>1076</v>
      </c>
    </row>
    <row r="1184" spans="1:1" x14ac:dyDescent="0.25">
      <c r="A1184" t="s">
        <v>1077</v>
      </c>
    </row>
    <row r="1185" spans="1:1" x14ac:dyDescent="0.25">
      <c r="A1185" s="87" t="s">
        <v>1078</v>
      </c>
    </row>
    <row r="1186" spans="1:1" x14ac:dyDescent="0.25">
      <c r="A1186" s="87" t="s">
        <v>1079</v>
      </c>
    </row>
    <row r="1187" spans="1:1" x14ac:dyDescent="0.25">
      <c r="A1187" s="88" t="s">
        <v>1080</v>
      </c>
    </row>
    <row r="1188" spans="1:1" x14ac:dyDescent="0.25">
      <c r="A1188" s="88" t="s">
        <v>1081</v>
      </c>
    </row>
    <row r="1189" spans="1:1" x14ac:dyDescent="0.25">
      <c r="A1189" t="s">
        <v>1082</v>
      </c>
    </row>
    <row r="1190" spans="1:1" x14ac:dyDescent="0.25">
      <c r="A1190" s="88" t="s">
        <v>1083</v>
      </c>
    </row>
    <row r="1191" spans="1:1" x14ac:dyDescent="0.25">
      <c r="A1191" s="27" t="s">
        <v>1084</v>
      </c>
    </row>
    <row r="1192" spans="1:1" x14ac:dyDescent="0.25">
      <c r="A1192" s="27" t="s">
        <v>1085</v>
      </c>
    </row>
    <row r="1193" spans="1:1" x14ac:dyDescent="0.25">
      <c r="A1193" s="88" t="s">
        <v>1086</v>
      </c>
    </row>
    <row r="1194" spans="1:1" x14ac:dyDescent="0.25">
      <c r="A1194" s="87" t="s">
        <v>1087</v>
      </c>
    </row>
    <row r="1195" spans="1:1" x14ac:dyDescent="0.25">
      <c r="A1195" s="88" t="s">
        <v>1088</v>
      </c>
    </row>
    <row r="1196" spans="1:1" x14ac:dyDescent="0.25">
      <c r="A1196" t="s">
        <v>1089</v>
      </c>
    </row>
    <row r="1197" spans="1:1" x14ac:dyDescent="0.25">
      <c r="A1197" s="87" t="s">
        <v>1090</v>
      </c>
    </row>
    <row r="1198" spans="1:1" x14ac:dyDescent="0.25">
      <c r="A1198" s="87" t="s">
        <v>1091</v>
      </c>
    </row>
    <row r="1199" spans="1:1" x14ac:dyDescent="0.25">
      <c r="A1199" s="27" t="s">
        <v>1092</v>
      </c>
    </row>
    <row r="1200" spans="1:1" x14ac:dyDescent="0.25">
      <c r="A1200" s="27" t="s">
        <v>1093</v>
      </c>
    </row>
    <row r="1201" spans="1:1" x14ac:dyDescent="0.25">
      <c r="A1201" s="27" t="s">
        <v>1094</v>
      </c>
    </row>
    <row r="1202" spans="1:1" x14ac:dyDescent="0.25">
      <c r="A1202" s="88" t="s">
        <v>1095</v>
      </c>
    </row>
    <row r="1203" spans="1:1" x14ac:dyDescent="0.25">
      <c r="A1203" s="88" t="s">
        <v>1096</v>
      </c>
    </row>
    <row r="1204" spans="1:1" x14ac:dyDescent="0.25">
      <c r="A1204" t="s">
        <v>1097</v>
      </c>
    </row>
    <row r="1205" spans="1:1" x14ac:dyDescent="0.25">
      <c r="A1205" s="27" t="s">
        <v>1098</v>
      </c>
    </row>
    <row r="1206" spans="1:1" x14ac:dyDescent="0.25">
      <c r="A1206" s="88" t="s">
        <v>1099</v>
      </c>
    </row>
    <row r="1207" spans="1:1" x14ac:dyDescent="0.25">
      <c r="A1207" s="88" t="s">
        <v>1100</v>
      </c>
    </row>
    <row r="1208" spans="1:1" x14ac:dyDescent="0.25">
      <c r="A1208" s="88" t="s">
        <v>1101</v>
      </c>
    </row>
    <row r="1209" spans="1:1" x14ac:dyDescent="0.25">
      <c r="A1209" s="27" t="s">
        <v>1102</v>
      </c>
    </row>
    <row r="1210" spans="1:1" x14ac:dyDescent="0.25">
      <c r="A1210" s="27" t="s">
        <v>1103</v>
      </c>
    </row>
    <row r="1211" spans="1:1" x14ac:dyDescent="0.25">
      <c r="A1211" s="27" t="s">
        <v>1104</v>
      </c>
    </row>
    <row r="1212" spans="1:1" x14ac:dyDescent="0.25">
      <c r="A1212" s="27" t="s">
        <v>1105</v>
      </c>
    </row>
    <row r="1213" spans="1:1" x14ac:dyDescent="0.25">
      <c r="A1213" s="27" t="s">
        <v>1106</v>
      </c>
    </row>
    <row r="1214" spans="1:1" x14ac:dyDescent="0.25">
      <c r="A1214" s="87" t="s">
        <v>1107</v>
      </c>
    </row>
    <row r="1215" spans="1:1" x14ac:dyDescent="0.25">
      <c r="A1215" s="88" t="s">
        <v>1108</v>
      </c>
    </row>
    <row r="1216" spans="1:1" x14ac:dyDescent="0.25">
      <c r="A1216" t="s">
        <v>1109</v>
      </c>
    </row>
    <row r="1217" spans="1:1" x14ac:dyDescent="0.25">
      <c r="A1217" s="87" t="s">
        <v>1110</v>
      </c>
    </row>
    <row r="1218" spans="1:1" x14ac:dyDescent="0.25">
      <c r="A1218" s="87" t="s">
        <v>1111</v>
      </c>
    </row>
    <row r="1219" spans="1:1" x14ac:dyDescent="0.25">
      <c r="A1219" s="27" t="s">
        <v>1112</v>
      </c>
    </row>
    <row r="1220" spans="1:1" x14ac:dyDescent="0.25">
      <c r="A1220" s="27" t="s">
        <v>1113</v>
      </c>
    </row>
    <row r="1221" spans="1:1" x14ac:dyDescent="0.25">
      <c r="A1221" s="27" t="s">
        <v>1114</v>
      </c>
    </row>
    <row r="1222" spans="1:1" x14ac:dyDescent="0.25">
      <c r="A1222" t="s">
        <v>1115</v>
      </c>
    </row>
    <row r="1223" spans="1:1" x14ac:dyDescent="0.25">
      <c r="A1223" s="27" t="s">
        <v>1116</v>
      </c>
    </row>
    <row r="1224" spans="1:1" x14ac:dyDescent="0.25">
      <c r="A1224" s="27" t="s">
        <v>1117</v>
      </c>
    </row>
    <row r="1225" spans="1:1" x14ac:dyDescent="0.25">
      <c r="A1225" s="27" t="s">
        <v>1118</v>
      </c>
    </row>
    <row r="1226" spans="1:1" x14ac:dyDescent="0.25">
      <c r="A1226" s="88" t="s">
        <v>1119</v>
      </c>
    </row>
    <row r="1227" spans="1:1" x14ac:dyDescent="0.25">
      <c r="A1227" s="27" t="s">
        <v>1120</v>
      </c>
    </row>
    <row r="1228" spans="1:1" x14ac:dyDescent="0.25">
      <c r="A1228" t="s">
        <v>1121</v>
      </c>
    </row>
    <row r="1229" spans="1:1" x14ac:dyDescent="0.25">
      <c r="A1229" s="27" t="s">
        <v>1122</v>
      </c>
    </row>
    <row r="1230" spans="1:1" x14ac:dyDescent="0.25">
      <c r="A1230" s="88" t="s">
        <v>1123</v>
      </c>
    </row>
    <row r="1231" spans="1:1" x14ac:dyDescent="0.25">
      <c r="A1231" s="27" t="s">
        <v>1124</v>
      </c>
    </row>
    <row r="1232" spans="1:1" x14ac:dyDescent="0.25">
      <c r="A1232" s="27" t="s">
        <v>1125</v>
      </c>
    </row>
    <row r="1233" spans="1:1" x14ac:dyDescent="0.25">
      <c r="A1233" s="27" t="s">
        <v>1126</v>
      </c>
    </row>
    <row r="1234" spans="1:1" x14ac:dyDescent="0.25">
      <c r="A1234" s="27" t="s">
        <v>1127</v>
      </c>
    </row>
    <row r="1235" spans="1:1" x14ac:dyDescent="0.25">
      <c r="A1235" s="87" t="s">
        <v>1128</v>
      </c>
    </row>
    <row r="1236" spans="1:1" x14ac:dyDescent="0.25">
      <c r="A1236" s="88" t="s">
        <v>1129</v>
      </c>
    </row>
    <row r="1237" spans="1:1" x14ac:dyDescent="0.25">
      <c r="A1237" t="s">
        <v>1130</v>
      </c>
    </row>
    <row r="1238" spans="1:1" x14ac:dyDescent="0.25">
      <c r="A1238" s="87" t="s">
        <v>1131</v>
      </c>
    </row>
    <row r="1239" spans="1:1" x14ac:dyDescent="0.25">
      <c r="A1239" s="87" t="s">
        <v>1132</v>
      </c>
    </row>
    <row r="1240" spans="1:1" x14ac:dyDescent="0.25">
      <c r="A1240" s="27" t="s">
        <v>1133</v>
      </c>
    </row>
    <row r="1241" spans="1:1" x14ac:dyDescent="0.25">
      <c r="A1241" s="27" t="s">
        <v>1134</v>
      </c>
    </row>
    <row r="1242" spans="1:1" x14ac:dyDescent="0.25">
      <c r="A1242" s="27" t="s">
        <v>1135</v>
      </c>
    </row>
    <row r="1243" spans="1:1" x14ac:dyDescent="0.25">
      <c r="A1243" t="s">
        <v>1136</v>
      </c>
    </row>
    <row r="1244" spans="1:1" x14ac:dyDescent="0.25">
      <c r="A1244" s="27" t="s">
        <v>1137</v>
      </c>
    </row>
    <row r="1245" spans="1:1" x14ac:dyDescent="0.25">
      <c r="A1245" s="27" t="s">
        <v>1138</v>
      </c>
    </row>
    <row r="1246" spans="1:1" x14ac:dyDescent="0.25">
      <c r="A1246" s="27" t="s">
        <v>1139</v>
      </c>
    </row>
    <row r="1247" spans="1:1" x14ac:dyDescent="0.25">
      <c r="A1247" t="s">
        <v>1140</v>
      </c>
    </row>
    <row r="1248" spans="1:1" x14ac:dyDescent="0.25">
      <c r="A1248" s="27" t="s">
        <v>1141</v>
      </c>
    </row>
    <row r="1249" spans="1:1" x14ac:dyDescent="0.25">
      <c r="A1249" s="27" t="s">
        <v>1142</v>
      </c>
    </row>
    <row r="1250" spans="1:1" x14ac:dyDescent="0.25">
      <c r="A1250" s="27" t="s">
        <v>1143</v>
      </c>
    </row>
    <row r="1251" spans="1:1" x14ac:dyDescent="0.25">
      <c r="A1251" s="27" t="s">
        <v>1144</v>
      </c>
    </row>
    <row r="1252" spans="1:1" x14ac:dyDescent="0.25">
      <c r="A1252" s="27" t="s">
        <v>1145</v>
      </c>
    </row>
    <row r="1253" spans="1:1" x14ac:dyDescent="0.25">
      <c r="A1253" s="27" t="s">
        <v>1146</v>
      </c>
    </row>
    <row r="1254" spans="1:1" x14ac:dyDescent="0.25">
      <c r="A1254" t="s">
        <v>1147</v>
      </c>
    </row>
    <row r="1255" spans="1:1" x14ac:dyDescent="0.25">
      <c r="A1255" s="27" t="s">
        <v>1148</v>
      </c>
    </row>
    <row r="1256" spans="1:1" x14ac:dyDescent="0.25">
      <c r="A1256" s="27" t="s">
        <v>1149</v>
      </c>
    </row>
    <row r="1257" spans="1:1" x14ac:dyDescent="0.25">
      <c r="A1257" t="s">
        <v>1150</v>
      </c>
    </row>
    <row r="1258" spans="1:1" x14ac:dyDescent="0.25">
      <c r="A1258" s="27" t="s">
        <v>1151</v>
      </c>
    </row>
    <row r="1259" spans="1:1" x14ac:dyDescent="0.25">
      <c r="A1259" t="s">
        <v>1152</v>
      </c>
    </row>
    <row r="1260" spans="1:1" x14ac:dyDescent="0.25">
      <c r="A1260" s="27" t="s">
        <v>1153</v>
      </c>
    </row>
    <row r="1261" spans="1:1" x14ac:dyDescent="0.25">
      <c r="A1261" s="27" t="s">
        <v>1154</v>
      </c>
    </row>
    <row r="1262" spans="1:1" x14ac:dyDescent="0.25">
      <c r="A1262" t="s">
        <v>1155</v>
      </c>
    </row>
    <row r="1263" spans="1:1" x14ac:dyDescent="0.25">
      <c r="A1263" t="s">
        <v>1156</v>
      </c>
    </row>
    <row r="1264" spans="1:1" x14ac:dyDescent="0.25">
      <c r="A1264" t="s">
        <v>1157</v>
      </c>
    </row>
    <row r="1265" spans="1:1" x14ac:dyDescent="0.25">
      <c r="A1265" t="s">
        <v>1158</v>
      </c>
    </row>
    <row r="1366" spans="1:1" x14ac:dyDescent="0.25">
      <c r="A1366" s="88" t="s">
        <v>1159</v>
      </c>
    </row>
    <row r="1367" spans="1:1" x14ac:dyDescent="0.25">
      <c r="A1367" s="88" t="s">
        <v>1160</v>
      </c>
    </row>
    <row r="1368" spans="1:1" x14ac:dyDescent="0.25">
      <c r="A1368" s="27" t="s">
        <v>1161</v>
      </c>
    </row>
    <row r="1369" spans="1:1" x14ac:dyDescent="0.25">
      <c r="A1369" t="s">
        <v>1162</v>
      </c>
    </row>
    <row r="1370" spans="1:1" x14ac:dyDescent="0.25">
      <c r="A1370" s="88" t="s">
        <v>1163</v>
      </c>
    </row>
    <row r="1371" spans="1:1" x14ac:dyDescent="0.25">
      <c r="A1371" s="88" t="s">
        <v>1164</v>
      </c>
    </row>
    <row r="1372" spans="1:1" x14ac:dyDescent="0.25">
      <c r="A1372" s="88" t="s">
        <v>1165</v>
      </c>
    </row>
    <row r="1373" spans="1:1" x14ac:dyDescent="0.25">
      <c r="A1373" s="27" t="s">
        <v>1166</v>
      </c>
    </row>
    <row r="1374" spans="1:1" x14ac:dyDescent="0.25">
      <c r="A1374" s="27" t="s">
        <v>1167</v>
      </c>
    </row>
    <row r="1375" spans="1:1" x14ac:dyDescent="0.25">
      <c r="A1375" s="27" t="s">
        <v>1168</v>
      </c>
    </row>
    <row r="1376" spans="1:1" x14ac:dyDescent="0.25">
      <c r="A1376" t="s">
        <v>1169</v>
      </c>
    </row>
    <row r="1377" spans="1:1" x14ac:dyDescent="0.25">
      <c r="A1377" s="27" t="s">
        <v>1170</v>
      </c>
    </row>
    <row r="1378" spans="1:1" x14ac:dyDescent="0.25">
      <c r="A1378" s="88" t="s">
        <v>1171</v>
      </c>
    </row>
    <row r="1379" spans="1:1" x14ac:dyDescent="0.25">
      <c r="A1379" s="87" t="s">
        <v>1172</v>
      </c>
    </row>
    <row r="1380" spans="1:1" x14ac:dyDescent="0.25">
      <c r="A1380" s="88" t="s">
        <v>1173</v>
      </c>
    </row>
    <row r="1381" spans="1:1" x14ac:dyDescent="0.25">
      <c r="A1381" t="s">
        <v>1174</v>
      </c>
    </row>
    <row r="1382" spans="1:1" x14ac:dyDescent="0.25">
      <c r="A1382" s="87" t="s">
        <v>1175</v>
      </c>
    </row>
    <row r="1383" spans="1:1" x14ac:dyDescent="0.25">
      <c r="A1383" s="87" t="s">
        <v>1176</v>
      </c>
    </row>
    <row r="1384" spans="1:1" x14ac:dyDescent="0.25">
      <c r="A1384" s="87" t="s">
        <v>1177</v>
      </c>
    </row>
    <row r="1385" spans="1:1" x14ac:dyDescent="0.25">
      <c r="A1385" s="88" t="s">
        <v>1178</v>
      </c>
    </row>
    <row r="1386" spans="1:1" x14ac:dyDescent="0.25">
      <c r="A1386" t="s">
        <v>1179</v>
      </c>
    </row>
    <row r="1387" spans="1:1" x14ac:dyDescent="0.25">
      <c r="A1387" s="87" t="s">
        <v>1180</v>
      </c>
    </row>
    <row r="1388" spans="1:1" x14ac:dyDescent="0.25">
      <c r="A1388" s="87" t="s">
        <v>1181</v>
      </c>
    </row>
    <row r="1389" spans="1:1" x14ac:dyDescent="0.25">
      <c r="A1389" s="27" t="s">
        <v>1182</v>
      </c>
    </row>
    <row r="1390" spans="1:1" x14ac:dyDescent="0.25">
      <c r="A1390" s="27" t="s">
        <v>1183</v>
      </c>
    </row>
    <row r="1391" spans="1:1" x14ac:dyDescent="0.25">
      <c r="A1391" s="27" t="s">
        <v>1184</v>
      </c>
    </row>
    <row r="1392" spans="1:1" x14ac:dyDescent="0.25">
      <c r="A1392" t="s">
        <v>1185</v>
      </c>
    </row>
    <row r="1393" spans="1:1" x14ac:dyDescent="0.25">
      <c r="A1393" s="88" t="s">
        <v>1186</v>
      </c>
    </row>
    <row r="1394" spans="1:1" x14ac:dyDescent="0.25">
      <c r="A1394" t="s">
        <v>1187</v>
      </c>
    </row>
    <row r="1395" spans="1:1" x14ac:dyDescent="0.25">
      <c r="A1395" s="88" t="s">
        <v>1188</v>
      </c>
    </row>
    <row r="1396" spans="1:1" x14ac:dyDescent="0.25">
      <c r="A1396" t="s">
        <v>1189</v>
      </c>
    </row>
    <row r="1397" spans="1:1" x14ac:dyDescent="0.25">
      <c r="A1397" t="s">
        <v>1190</v>
      </c>
    </row>
    <row r="1398" spans="1:1" x14ac:dyDescent="0.25">
      <c r="A1398" t="s">
        <v>1191</v>
      </c>
    </row>
    <row r="1399" spans="1:1" x14ac:dyDescent="0.25">
      <c r="A1399" t="s">
        <v>1192</v>
      </c>
    </row>
    <row r="1400" spans="1:1" x14ac:dyDescent="0.25">
      <c r="A1400" t="s">
        <v>1193</v>
      </c>
    </row>
    <row r="1401" spans="1:1" x14ac:dyDescent="0.25">
      <c r="A1401" t="s">
        <v>1194</v>
      </c>
    </row>
    <row r="1402" spans="1:1" x14ac:dyDescent="0.25">
      <c r="A1402" t="s">
        <v>1195</v>
      </c>
    </row>
    <row r="1403" spans="1:1" x14ac:dyDescent="0.25">
      <c r="A1403" t="s">
        <v>1196</v>
      </c>
    </row>
    <row r="1404" spans="1:1" x14ac:dyDescent="0.25">
      <c r="A1404" t="s">
        <v>1197</v>
      </c>
    </row>
    <row r="1405" spans="1:1" x14ac:dyDescent="0.25">
      <c r="A1405" t="s">
        <v>1198</v>
      </c>
    </row>
    <row r="1406" spans="1:1" x14ac:dyDescent="0.25">
      <c r="A1406" t="s">
        <v>1199</v>
      </c>
    </row>
    <row r="1407" spans="1:1" x14ac:dyDescent="0.25">
      <c r="A1407" t="s">
        <v>1200</v>
      </c>
    </row>
    <row r="1408" spans="1:1" x14ac:dyDescent="0.25">
      <c r="A1408" t="s">
        <v>1201</v>
      </c>
    </row>
    <row r="1409" spans="1:1" x14ac:dyDescent="0.25">
      <c r="A1409" t="s">
        <v>1202</v>
      </c>
    </row>
    <row r="1410" spans="1:1" x14ac:dyDescent="0.25">
      <c r="A1410" t="s">
        <v>1203</v>
      </c>
    </row>
    <row r="1411" spans="1:1" x14ac:dyDescent="0.25">
      <c r="A1411" t="s">
        <v>1204</v>
      </c>
    </row>
    <row r="1412" spans="1:1" x14ac:dyDescent="0.25">
      <c r="A1412" t="s">
        <v>1205</v>
      </c>
    </row>
    <row r="1413" spans="1:1" x14ac:dyDescent="0.25">
      <c r="A1413" t="s">
        <v>1206</v>
      </c>
    </row>
    <row r="1414" spans="1:1" x14ac:dyDescent="0.25">
      <c r="A1414" t="s">
        <v>1207</v>
      </c>
    </row>
    <row r="1415" spans="1:1" x14ac:dyDescent="0.25">
      <c r="A1415" t="s">
        <v>1208</v>
      </c>
    </row>
    <row r="1416" spans="1:1" x14ac:dyDescent="0.25">
      <c r="A1416" t="s">
        <v>1209</v>
      </c>
    </row>
    <row r="1417" spans="1:1" x14ac:dyDescent="0.25">
      <c r="A1417" t="s">
        <v>1210</v>
      </c>
    </row>
    <row r="1418" spans="1:1" x14ac:dyDescent="0.25">
      <c r="A1418" t="s">
        <v>1211</v>
      </c>
    </row>
    <row r="1419" spans="1:1" x14ac:dyDescent="0.25">
      <c r="A1419" t="s">
        <v>1212</v>
      </c>
    </row>
    <row r="1420" spans="1:1" x14ac:dyDescent="0.25">
      <c r="A1420" s="88" t="s">
        <v>1214</v>
      </c>
    </row>
    <row r="1421" spans="1:1" x14ac:dyDescent="0.25">
      <c r="A1421" s="88" t="s">
        <v>1215</v>
      </c>
    </row>
    <row r="1422" spans="1:1" x14ac:dyDescent="0.25">
      <c r="A1422" s="88" t="s">
        <v>1216</v>
      </c>
    </row>
    <row r="1423" spans="1:1" x14ac:dyDescent="0.25">
      <c r="A1423" s="88" t="s">
        <v>1217</v>
      </c>
    </row>
    <row r="1424" spans="1:1" x14ac:dyDescent="0.25">
      <c r="A1424" s="88" t="s">
        <v>1218</v>
      </c>
    </row>
    <row r="1425" spans="1:1" x14ac:dyDescent="0.25">
      <c r="A1425" s="27" t="s">
        <v>1219</v>
      </c>
    </row>
    <row r="1426" spans="1:1" x14ac:dyDescent="0.25">
      <c r="A1426" s="27" t="s">
        <v>1220</v>
      </c>
    </row>
    <row r="1427" spans="1:1" x14ac:dyDescent="0.25">
      <c r="A1427" s="27" t="s">
        <v>1221</v>
      </c>
    </row>
    <row r="1428" spans="1:1" x14ac:dyDescent="0.25">
      <c r="A1428" t="s">
        <v>1222</v>
      </c>
    </row>
    <row r="1429" spans="1:1" x14ac:dyDescent="0.25">
      <c r="A1429" s="88" t="s">
        <v>1223</v>
      </c>
    </row>
    <row r="1430" spans="1:1" x14ac:dyDescent="0.25">
      <c r="A1430" s="88" t="s">
        <v>1224</v>
      </c>
    </row>
    <row r="1431" spans="1:1" x14ac:dyDescent="0.25">
      <c r="A1431" t="s">
        <v>1225</v>
      </c>
    </row>
    <row r="1432" spans="1:1" x14ac:dyDescent="0.25">
      <c r="A1432" t="s">
        <v>1226</v>
      </c>
    </row>
    <row r="1433" spans="1:1" x14ac:dyDescent="0.25">
      <c r="A1433" t="s">
        <v>1227</v>
      </c>
    </row>
    <row r="1434" spans="1:1" x14ac:dyDescent="0.25">
      <c r="A1434" t="s">
        <v>1228</v>
      </c>
    </row>
    <row r="1435" spans="1:1" x14ac:dyDescent="0.25">
      <c r="A1435" s="88" t="s">
        <v>1229</v>
      </c>
    </row>
    <row r="1436" spans="1:1" x14ac:dyDescent="0.25">
      <c r="A1436" s="88" t="s">
        <v>1231</v>
      </c>
    </row>
    <row r="1437" spans="1:1" x14ac:dyDescent="0.25">
      <c r="A1437" s="88" t="s">
        <v>1232</v>
      </c>
    </row>
    <row r="1438" spans="1:1" x14ac:dyDescent="0.25">
      <c r="A1438" s="88" t="s">
        <v>1233</v>
      </c>
    </row>
    <row r="1439" spans="1:1" x14ac:dyDescent="0.25">
      <c r="A1439" s="88" t="s">
        <v>1234</v>
      </c>
    </row>
    <row r="1697" spans="1:1" x14ac:dyDescent="0.25">
      <c r="A1697" s="88" t="s">
        <v>1235</v>
      </c>
    </row>
    <row r="1698" spans="1:1" x14ac:dyDescent="0.25">
      <c r="A1698" s="88" t="s">
        <v>1236</v>
      </c>
    </row>
    <row r="1699" spans="1:1" x14ac:dyDescent="0.25">
      <c r="A1699" s="88" t="s">
        <v>1237</v>
      </c>
    </row>
    <row r="1700" spans="1:1" x14ac:dyDescent="0.25">
      <c r="A1700" s="88" t="s">
        <v>1238</v>
      </c>
    </row>
    <row r="1701" spans="1:1" x14ac:dyDescent="0.25">
      <c r="A1701" s="88" t="s">
        <v>1239</v>
      </c>
    </row>
    <row r="1702" spans="1:1" x14ac:dyDescent="0.25">
      <c r="A1702" s="87" t="s">
        <v>1240</v>
      </c>
    </row>
    <row r="1703" spans="1:1" x14ac:dyDescent="0.25">
      <c r="A1703" s="88" t="s">
        <v>1241</v>
      </c>
    </row>
    <row r="1704" spans="1:1" x14ac:dyDescent="0.25">
      <c r="A1704" t="s">
        <v>1242</v>
      </c>
    </row>
    <row r="1705" spans="1:1" x14ac:dyDescent="0.25">
      <c r="A1705" s="87" t="s">
        <v>1243</v>
      </c>
    </row>
    <row r="1706" spans="1:1" x14ac:dyDescent="0.25">
      <c r="A1706" s="87" t="s">
        <v>1244</v>
      </c>
    </row>
    <row r="1707" spans="1:1" x14ac:dyDescent="0.25">
      <c r="A1707" s="27" t="s">
        <v>1245</v>
      </c>
    </row>
    <row r="1708" spans="1:1" x14ac:dyDescent="0.25">
      <c r="A1708" s="27" t="s">
        <v>1246</v>
      </c>
    </row>
    <row r="1709" spans="1:1" x14ac:dyDescent="0.25">
      <c r="A1709" s="27" t="s">
        <v>1247</v>
      </c>
    </row>
    <row r="1710" spans="1:1" x14ac:dyDescent="0.25">
      <c r="A1710" t="s">
        <v>1248</v>
      </c>
    </row>
    <row r="1711" spans="1:1" x14ac:dyDescent="0.25">
      <c r="A1711" s="88" t="s">
        <v>1249</v>
      </c>
    </row>
    <row r="1712" spans="1:1" x14ac:dyDescent="0.25">
      <c r="A1712" s="88" t="s">
        <v>1250</v>
      </c>
    </row>
    <row r="1713" spans="1:1" x14ac:dyDescent="0.25">
      <c r="A1713" s="88" t="s">
        <v>1251</v>
      </c>
    </row>
    <row r="1714" spans="1:1" x14ac:dyDescent="0.25">
      <c r="A1714" s="88" t="s">
        <v>1252</v>
      </c>
    </row>
    <row r="1715" spans="1:1" x14ac:dyDescent="0.25">
      <c r="A1715" s="88" t="s">
        <v>1253</v>
      </c>
    </row>
    <row r="1716" spans="1:1" x14ac:dyDescent="0.25">
      <c r="A1716" s="88" t="s">
        <v>1254</v>
      </c>
    </row>
    <row r="1717" spans="1:1" x14ac:dyDescent="0.25">
      <c r="A1717" s="88" t="s">
        <v>1255</v>
      </c>
    </row>
    <row r="1718" spans="1:1" x14ac:dyDescent="0.25">
      <c r="A1718" s="88" t="s">
        <v>1256</v>
      </c>
    </row>
    <row r="1719" spans="1:1" x14ac:dyDescent="0.25">
      <c r="A1719" t="s">
        <v>1257</v>
      </c>
    </row>
    <row r="1720" spans="1:1" x14ac:dyDescent="0.25">
      <c r="A1720" t="s">
        <v>1258</v>
      </c>
    </row>
    <row r="1721" spans="1:1" x14ac:dyDescent="0.25">
      <c r="A1721" t="s">
        <v>1259</v>
      </c>
    </row>
    <row r="1742" spans="1:1" x14ac:dyDescent="0.25">
      <c r="A1742" s="88" t="s">
        <v>1260</v>
      </c>
    </row>
    <row r="1743" spans="1:1" x14ac:dyDescent="0.25">
      <c r="A1743" s="88" t="s">
        <v>1261</v>
      </c>
    </row>
    <row r="1744" spans="1:1" x14ac:dyDescent="0.25">
      <c r="A1744" s="88" t="s">
        <v>1262</v>
      </c>
    </row>
    <row r="1745" spans="1:1" x14ac:dyDescent="0.25">
      <c r="A1745" s="88" t="s">
        <v>1263</v>
      </c>
    </row>
    <row r="1746" spans="1:1" x14ac:dyDescent="0.25">
      <c r="A1746" s="88" t="s">
        <v>1264</v>
      </c>
    </row>
    <row r="1747" spans="1:1" x14ac:dyDescent="0.25">
      <c r="A1747" s="88" t="s">
        <v>1265</v>
      </c>
    </row>
    <row r="1748" spans="1:1" x14ac:dyDescent="0.25">
      <c r="A1748" s="88" t="s">
        <v>1266</v>
      </c>
    </row>
    <row r="1749" spans="1:1" x14ac:dyDescent="0.25">
      <c r="A1749" s="88" t="s">
        <v>1267</v>
      </c>
    </row>
    <row r="1750" spans="1:1" x14ac:dyDescent="0.25">
      <c r="A1750" s="88" t="s">
        <v>1268</v>
      </c>
    </row>
    <row r="1751" spans="1:1" x14ac:dyDescent="0.25">
      <c r="A1751" s="88" t="s">
        <v>1269</v>
      </c>
    </row>
    <row r="1752" spans="1:1" x14ac:dyDescent="0.25">
      <c r="A1752" s="88" t="s">
        <v>1270</v>
      </c>
    </row>
    <row r="1753" spans="1:1" x14ac:dyDescent="0.25">
      <c r="A1753" s="88" t="s">
        <v>1271</v>
      </c>
    </row>
    <row r="1754" spans="1:1" x14ac:dyDescent="0.25">
      <c r="A1754" s="88" t="s">
        <v>1272</v>
      </c>
    </row>
    <row r="1755" spans="1:1" x14ac:dyDescent="0.25">
      <c r="A1755" s="88" t="s">
        <v>1273</v>
      </c>
    </row>
    <row r="1756" spans="1:1" x14ac:dyDescent="0.25">
      <c r="A1756" s="88" t="s">
        <v>1274</v>
      </c>
    </row>
    <row r="1757" spans="1:1" x14ac:dyDescent="0.25">
      <c r="A1757" s="88" t="s">
        <v>1275</v>
      </c>
    </row>
    <row r="1758" spans="1:1" x14ac:dyDescent="0.25">
      <c r="A1758" s="88" t="s">
        <v>1276</v>
      </c>
    </row>
    <row r="1759" spans="1:1" x14ac:dyDescent="0.25">
      <c r="A1759" s="88" t="s">
        <v>1277</v>
      </c>
    </row>
    <row r="1760" spans="1:1" x14ac:dyDescent="0.25">
      <c r="A1760" s="88" t="s">
        <v>1278</v>
      </c>
    </row>
    <row r="1761" spans="1:1" x14ac:dyDescent="0.25">
      <c r="A1761" s="88" t="s">
        <v>1279</v>
      </c>
    </row>
    <row r="1762" spans="1:1" x14ac:dyDescent="0.25">
      <c r="A1762" s="88" t="s">
        <v>1280</v>
      </c>
    </row>
    <row r="1763" spans="1:1" x14ac:dyDescent="0.25">
      <c r="A1763" s="88" t="s">
        <v>1281</v>
      </c>
    </row>
    <row r="1764" spans="1:1" x14ac:dyDescent="0.25">
      <c r="A1764" s="88" t="s">
        <v>1282</v>
      </c>
    </row>
    <row r="1765" spans="1:1" x14ac:dyDescent="0.25">
      <c r="A1765" s="88" t="s">
        <v>1283</v>
      </c>
    </row>
    <row r="1766" spans="1:1" x14ac:dyDescent="0.25">
      <c r="A1766" s="88" t="s">
        <v>1284</v>
      </c>
    </row>
    <row r="1767" spans="1:1" x14ac:dyDescent="0.25">
      <c r="A1767" s="88" t="s">
        <v>1285</v>
      </c>
    </row>
    <row r="1768" spans="1:1" x14ac:dyDescent="0.25">
      <c r="A1768" s="88" t="s">
        <v>1286</v>
      </c>
    </row>
    <row r="1769" spans="1:1" x14ac:dyDescent="0.25">
      <c r="A1769" s="88" t="s">
        <v>1287</v>
      </c>
    </row>
    <row r="1770" spans="1:1" x14ac:dyDescent="0.25">
      <c r="A1770" s="88" t="s">
        <v>1288</v>
      </c>
    </row>
    <row r="1771" spans="1:1" x14ac:dyDescent="0.25">
      <c r="A1771" s="88" t="s">
        <v>1289</v>
      </c>
    </row>
    <row r="1772" spans="1:1" x14ac:dyDescent="0.25">
      <c r="A1772" s="88" t="s">
        <v>1290</v>
      </c>
    </row>
    <row r="1773" spans="1:1" x14ac:dyDescent="0.25">
      <c r="A1773" s="88" t="s">
        <v>1290</v>
      </c>
    </row>
    <row r="1774" spans="1:1" x14ac:dyDescent="0.25">
      <c r="A1774" s="88" t="s">
        <v>1291</v>
      </c>
    </row>
    <row r="1775" spans="1:1" x14ac:dyDescent="0.25">
      <c r="A1775" s="88" t="s">
        <v>1292</v>
      </c>
    </row>
    <row r="1776" spans="1:1" x14ac:dyDescent="0.25">
      <c r="A1776" s="88" t="s">
        <v>1293</v>
      </c>
    </row>
    <row r="1777" spans="1:1" x14ac:dyDescent="0.25">
      <c r="A1777" s="88" t="s">
        <v>1294</v>
      </c>
    </row>
    <row r="1778" spans="1:1" x14ac:dyDescent="0.25">
      <c r="A1778" s="88" t="s">
        <v>1295</v>
      </c>
    </row>
    <row r="1779" spans="1:1" x14ac:dyDescent="0.25">
      <c r="A1779" s="88" t="s">
        <v>1296</v>
      </c>
    </row>
    <row r="1780" spans="1:1" x14ac:dyDescent="0.25">
      <c r="A1780" s="88" t="s">
        <v>1297</v>
      </c>
    </row>
    <row r="1781" spans="1:1" x14ac:dyDescent="0.25">
      <c r="A1781" s="88" t="s">
        <v>1298</v>
      </c>
    </row>
    <row r="1782" spans="1:1" x14ac:dyDescent="0.25">
      <c r="A1782" s="88" t="s">
        <v>1299</v>
      </c>
    </row>
    <row r="1783" spans="1:1" x14ac:dyDescent="0.25">
      <c r="A1783" s="88" t="s">
        <v>1300</v>
      </c>
    </row>
    <row r="1784" spans="1:1" x14ac:dyDescent="0.25">
      <c r="A1784" s="88" t="s">
        <v>1301</v>
      </c>
    </row>
    <row r="1785" spans="1:1" x14ac:dyDescent="0.25">
      <c r="A1785" s="88" t="s">
        <v>1302</v>
      </c>
    </row>
    <row r="1786" spans="1:1" x14ac:dyDescent="0.25">
      <c r="A1786" s="88" t="s">
        <v>1303</v>
      </c>
    </row>
    <row r="1787" spans="1:1" x14ac:dyDescent="0.25">
      <c r="A1787" s="88" t="s">
        <v>1304</v>
      </c>
    </row>
    <row r="1788" spans="1:1" x14ac:dyDescent="0.25">
      <c r="A1788" s="88" t="s">
        <v>1305</v>
      </c>
    </row>
    <row r="1789" spans="1:1" x14ac:dyDescent="0.25">
      <c r="A1789" s="88" t="s">
        <v>1306</v>
      </c>
    </row>
    <row r="1790" spans="1:1" x14ac:dyDescent="0.25">
      <c r="A1790" s="88" t="s">
        <v>1307</v>
      </c>
    </row>
    <row r="1791" spans="1:1" x14ac:dyDescent="0.25">
      <c r="A1791" s="88" t="s">
        <v>1308</v>
      </c>
    </row>
    <row r="1792" spans="1:1" x14ac:dyDescent="0.25">
      <c r="A1792" s="88" t="s">
        <v>1309</v>
      </c>
    </row>
    <row r="1793" spans="1:1" x14ac:dyDescent="0.25">
      <c r="A1793" s="88" t="s">
        <v>1310</v>
      </c>
    </row>
    <row r="1794" spans="1:1" x14ac:dyDescent="0.25">
      <c r="A1794" s="88" t="s">
        <v>1311</v>
      </c>
    </row>
    <row r="1795" spans="1:1" x14ac:dyDescent="0.25">
      <c r="A1795" s="88" t="s">
        <v>1312</v>
      </c>
    </row>
    <row r="1796" spans="1:1" x14ac:dyDescent="0.25">
      <c r="A1796" s="88" t="s">
        <v>1313</v>
      </c>
    </row>
    <row r="1797" spans="1:1" x14ac:dyDescent="0.25">
      <c r="A1797" s="88" t="s">
        <v>1314</v>
      </c>
    </row>
    <row r="1798" spans="1:1" x14ac:dyDescent="0.25">
      <c r="A1798" s="88" t="s">
        <v>1315</v>
      </c>
    </row>
    <row r="1799" spans="1:1" x14ac:dyDescent="0.25">
      <c r="A1799" s="88" t="s">
        <v>1316</v>
      </c>
    </row>
    <row r="1800" spans="1:1" x14ac:dyDescent="0.25">
      <c r="A1800" s="88" t="s">
        <v>1317</v>
      </c>
    </row>
    <row r="1801" spans="1:1" x14ac:dyDescent="0.25">
      <c r="A1801" s="88" t="s">
        <v>1318</v>
      </c>
    </row>
    <row r="1802" spans="1:1" x14ac:dyDescent="0.25">
      <c r="A1802" s="88" t="s">
        <v>1319</v>
      </c>
    </row>
    <row r="1803" spans="1:1" x14ac:dyDescent="0.25">
      <c r="A1803" s="88" t="s">
        <v>1320</v>
      </c>
    </row>
    <row r="1804" spans="1:1" x14ac:dyDescent="0.25">
      <c r="A1804" s="88" t="s">
        <v>1321</v>
      </c>
    </row>
    <row r="1805" spans="1:1" x14ac:dyDescent="0.25">
      <c r="A1805" s="88" t="s">
        <v>1322</v>
      </c>
    </row>
    <row r="1806" spans="1:1" x14ac:dyDescent="0.25">
      <c r="A1806" s="88" t="s">
        <v>1323</v>
      </c>
    </row>
    <row r="1807" spans="1:1" x14ac:dyDescent="0.25">
      <c r="A1807" s="88" t="s">
        <v>1324</v>
      </c>
    </row>
    <row r="1808" spans="1:1" x14ac:dyDescent="0.25">
      <c r="A1808" s="88" t="s">
        <v>1325</v>
      </c>
    </row>
    <row r="1809" spans="1:1" x14ac:dyDescent="0.25">
      <c r="A1809" s="88" t="s">
        <v>1326</v>
      </c>
    </row>
    <row r="1810" spans="1:1" x14ac:dyDescent="0.25">
      <c r="A1810" s="88" t="s">
        <v>1327</v>
      </c>
    </row>
    <row r="1811" spans="1:1" x14ac:dyDescent="0.25">
      <c r="A1811" s="88" t="s">
        <v>1328</v>
      </c>
    </row>
    <row r="1812" spans="1:1" x14ac:dyDescent="0.25">
      <c r="A1812" s="88" t="s">
        <v>1329</v>
      </c>
    </row>
    <row r="1813" spans="1:1" x14ac:dyDescent="0.25">
      <c r="A1813" s="88" t="s">
        <v>1330</v>
      </c>
    </row>
    <row r="1814" spans="1:1" x14ac:dyDescent="0.25">
      <c r="A1814" s="88" t="s">
        <v>1331</v>
      </c>
    </row>
    <row r="1815" spans="1:1" x14ac:dyDescent="0.25">
      <c r="A1815" s="88" t="s">
        <v>1332</v>
      </c>
    </row>
    <row r="1816" spans="1:1" x14ac:dyDescent="0.25">
      <c r="A1816" s="88" t="s">
        <v>1333</v>
      </c>
    </row>
    <row r="1817" spans="1:1" x14ac:dyDescent="0.25">
      <c r="A1817" s="88" t="s">
        <v>1334</v>
      </c>
    </row>
    <row r="1818" spans="1:1" x14ac:dyDescent="0.25">
      <c r="A1818" s="88" t="s">
        <v>1335</v>
      </c>
    </row>
    <row r="1819" spans="1:1" x14ac:dyDescent="0.25">
      <c r="A1819" s="88" t="s">
        <v>1336</v>
      </c>
    </row>
    <row r="1820" spans="1:1" x14ac:dyDescent="0.25">
      <c r="A1820" s="88" t="s">
        <v>1337</v>
      </c>
    </row>
    <row r="1821" spans="1:1" x14ac:dyDescent="0.25">
      <c r="A1821" s="88" t="s">
        <v>1338</v>
      </c>
    </row>
    <row r="1822" spans="1:1" x14ac:dyDescent="0.25">
      <c r="A1822" s="88" t="s">
        <v>1339</v>
      </c>
    </row>
    <row r="1823" spans="1:1" x14ac:dyDescent="0.25">
      <c r="A1823" s="88" t="s">
        <v>1340</v>
      </c>
    </row>
    <row r="1824" spans="1:1" x14ac:dyDescent="0.25">
      <c r="A1824" s="88" t="s">
        <v>1341</v>
      </c>
    </row>
    <row r="1825" spans="1:1" x14ac:dyDescent="0.25">
      <c r="A1825" s="88" t="s">
        <v>1342</v>
      </c>
    </row>
    <row r="1826" spans="1:1" x14ac:dyDescent="0.25">
      <c r="A1826" s="88" t="s">
        <v>1343</v>
      </c>
    </row>
    <row r="1827" spans="1:1" x14ac:dyDescent="0.25">
      <c r="A1827" s="88" t="s">
        <v>1344</v>
      </c>
    </row>
    <row r="1828" spans="1:1" x14ac:dyDescent="0.25">
      <c r="A1828" s="88" t="s">
        <v>1345</v>
      </c>
    </row>
    <row r="1829" spans="1:1" x14ac:dyDescent="0.25">
      <c r="A1829" s="88" t="s">
        <v>1346</v>
      </c>
    </row>
    <row r="1830" spans="1:1" x14ac:dyDescent="0.25">
      <c r="A1830" s="88" t="s">
        <v>1347</v>
      </c>
    </row>
    <row r="1831" spans="1:1" x14ac:dyDescent="0.25">
      <c r="A1831" s="88" t="s">
        <v>1348</v>
      </c>
    </row>
    <row r="1832" spans="1:1" x14ac:dyDescent="0.25">
      <c r="A1832" s="88" t="s">
        <v>1349</v>
      </c>
    </row>
    <row r="1833" spans="1:1" x14ac:dyDescent="0.25">
      <c r="A1833" s="88" t="s">
        <v>1350</v>
      </c>
    </row>
    <row r="1834" spans="1:1" x14ac:dyDescent="0.25">
      <c r="A1834" s="88" t="s">
        <v>1351</v>
      </c>
    </row>
    <row r="1835" spans="1:1" x14ac:dyDescent="0.25">
      <c r="A1835" s="88" t="s">
        <v>1352</v>
      </c>
    </row>
    <row r="1836" spans="1:1" x14ac:dyDescent="0.25">
      <c r="A1836" s="88" t="s">
        <v>1353</v>
      </c>
    </row>
    <row r="1837" spans="1:1" x14ac:dyDescent="0.25">
      <c r="A1837" s="88" t="s">
        <v>1354</v>
      </c>
    </row>
    <row r="1838" spans="1:1" x14ac:dyDescent="0.25">
      <c r="A1838" s="88" t="s">
        <v>1355</v>
      </c>
    </row>
    <row r="1839" spans="1:1" x14ac:dyDescent="0.25">
      <c r="A1839" s="88" t="s">
        <v>1356</v>
      </c>
    </row>
    <row r="1840" spans="1:1" x14ac:dyDescent="0.25">
      <c r="A1840" s="88" t="s">
        <v>1357</v>
      </c>
    </row>
    <row r="1841" spans="1:1" x14ac:dyDescent="0.25">
      <c r="A1841" s="88" t="s">
        <v>1358</v>
      </c>
    </row>
    <row r="1842" spans="1:1" x14ac:dyDescent="0.25">
      <c r="A1842" s="88" t="s">
        <v>1359</v>
      </c>
    </row>
    <row r="1843" spans="1:1" x14ac:dyDescent="0.25">
      <c r="A1843" s="88" t="s">
        <v>1360</v>
      </c>
    </row>
    <row r="1844" spans="1:1" x14ac:dyDescent="0.25">
      <c r="A1844" s="88" t="s">
        <v>1361</v>
      </c>
    </row>
    <row r="1845" spans="1:1" x14ac:dyDescent="0.25">
      <c r="A1845" s="88" t="s">
        <v>1362</v>
      </c>
    </row>
    <row r="1846" spans="1:1" x14ac:dyDescent="0.25">
      <c r="A1846" s="88" t="s">
        <v>1363</v>
      </c>
    </row>
    <row r="1847" spans="1:1" x14ac:dyDescent="0.25">
      <c r="A1847" s="88" t="s">
        <v>1364</v>
      </c>
    </row>
    <row r="1848" spans="1:1" x14ac:dyDescent="0.25">
      <c r="A1848" s="88" t="s">
        <v>1365</v>
      </c>
    </row>
    <row r="1849" spans="1:1" x14ac:dyDescent="0.25">
      <c r="A1849" s="88" t="s">
        <v>1365</v>
      </c>
    </row>
    <row r="1850" spans="1:1" x14ac:dyDescent="0.25">
      <c r="A1850" s="88" t="s">
        <v>1366</v>
      </c>
    </row>
    <row r="1851" spans="1:1" x14ac:dyDescent="0.25">
      <c r="A1851" s="88" t="s">
        <v>1367</v>
      </c>
    </row>
    <row r="1852" spans="1:1" x14ac:dyDescent="0.25">
      <c r="A1852" s="88" t="s">
        <v>1368</v>
      </c>
    </row>
    <row r="1853" spans="1:1" x14ac:dyDescent="0.25">
      <c r="A1853" s="88" t="s">
        <v>1369</v>
      </c>
    </row>
    <row r="1854" spans="1:1" x14ac:dyDescent="0.25">
      <c r="A1854" s="88" t="s">
        <v>1370</v>
      </c>
    </row>
    <row r="1855" spans="1:1" x14ac:dyDescent="0.25">
      <c r="A1855" s="88" t="s">
        <v>1371</v>
      </c>
    </row>
    <row r="1856" spans="1:1" x14ac:dyDescent="0.25">
      <c r="A1856" s="88" t="s">
        <v>1372</v>
      </c>
    </row>
    <row r="1857" spans="1:1" x14ac:dyDescent="0.25">
      <c r="A1857" s="88" t="s">
        <v>1373</v>
      </c>
    </row>
    <row r="1858" spans="1:1" x14ac:dyDescent="0.25">
      <c r="A1858" s="88" t="s">
        <v>1374</v>
      </c>
    </row>
    <row r="1859" spans="1:1" x14ac:dyDescent="0.25">
      <c r="A1859" s="88" t="s">
        <v>1375</v>
      </c>
    </row>
    <row r="1860" spans="1:1" x14ac:dyDescent="0.25">
      <c r="A1860" s="88" t="s">
        <v>1376</v>
      </c>
    </row>
    <row r="1861" spans="1:1" x14ac:dyDescent="0.25">
      <c r="A1861" s="88" t="s">
        <v>1376</v>
      </c>
    </row>
    <row r="1862" spans="1:1" x14ac:dyDescent="0.25">
      <c r="A1862" s="88" t="s">
        <v>1377</v>
      </c>
    </row>
    <row r="1863" spans="1:1" x14ac:dyDescent="0.25">
      <c r="A1863" s="88" t="s">
        <v>1378</v>
      </c>
    </row>
    <row r="1864" spans="1:1" x14ac:dyDescent="0.25">
      <c r="A1864" s="88" t="s">
        <v>1379</v>
      </c>
    </row>
    <row r="1865" spans="1:1" x14ac:dyDescent="0.25">
      <c r="A1865" s="88" t="s">
        <v>1380</v>
      </c>
    </row>
    <row r="1866" spans="1:1" x14ac:dyDescent="0.25">
      <c r="A1866" s="88" t="s">
        <v>1381</v>
      </c>
    </row>
    <row r="1867" spans="1:1" x14ac:dyDescent="0.25">
      <c r="A1867" s="88" t="s">
        <v>1382</v>
      </c>
    </row>
    <row r="1868" spans="1:1" x14ac:dyDescent="0.25">
      <c r="A1868" s="88" t="s">
        <v>1383</v>
      </c>
    </row>
    <row r="1869" spans="1:1" x14ac:dyDescent="0.25">
      <c r="A1869" s="88" t="s">
        <v>1384</v>
      </c>
    </row>
    <row r="2030" spans="1:1" x14ac:dyDescent="0.25">
      <c r="A2030" s="88" t="s">
        <v>1385</v>
      </c>
    </row>
    <row r="2031" spans="1:1" x14ac:dyDescent="0.25">
      <c r="A2031" s="88" t="s">
        <v>1386</v>
      </c>
    </row>
    <row r="2032" spans="1:1" x14ac:dyDescent="0.25">
      <c r="A2032" s="88" t="s">
        <v>1387</v>
      </c>
    </row>
    <row r="2033" spans="1:1" x14ac:dyDescent="0.25">
      <c r="A2033" s="88" t="s">
        <v>1388</v>
      </c>
    </row>
    <row r="2034" spans="1:1" x14ac:dyDescent="0.25">
      <c r="A2034" s="88" t="s">
        <v>1389</v>
      </c>
    </row>
    <row r="2035" spans="1:1" x14ac:dyDescent="0.25">
      <c r="A2035" s="88" t="s">
        <v>1390</v>
      </c>
    </row>
    <row r="2036" spans="1:1" x14ac:dyDescent="0.25">
      <c r="A2036" s="88" t="s">
        <v>1391</v>
      </c>
    </row>
    <row r="2037" spans="1:1" x14ac:dyDescent="0.25">
      <c r="A2037" s="88" t="s">
        <v>1392</v>
      </c>
    </row>
    <row r="2038" spans="1:1" x14ac:dyDescent="0.25">
      <c r="A2038" s="88" t="s">
        <v>1393</v>
      </c>
    </row>
    <row r="2039" spans="1:1" x14ac:dyDescent="0.25">
      <c r="A2039" s="88" t="s">
        <v>1394</v>
      </c>
    </row>
    <row r="2042" spans="1:1" x14ac:dyDescent="0.25">
      <c r="A2042" s="88" t="s">
        <v>1395</v>
      </c>
    </row>
    <row r="2043" spans="1:1" x14ac:dyDescent="0.25">
      <c r="A2043" s="88" t="s">
        <v>1396</v>
      </c>
    </row>
    <row r="2044" spans="1:1" x14ac:dyDescent="0.25">
      <c r="A2044" s="88" t="s">
        <v>1397</v>
      </c>
    </row>
    <row r="2045" spans="1:1" x14ac:dyDescent="0.25">
      <c r="A2045" s="88" t="s">
        <v>1398</v>
      </c>
    </row>
    <row r="2046" spans="1:1" x14ac:dyDescent="0.25">
      <c r="A2046" s="88" t="s">
        <v>1399</v>
      </c>
    </row>
    <row r="2047" spans="1:1" x14ac:dyDescent="0.25">
      <c r="A2047" s="88" t="s">
        <v>1400</v>
      </c>
    </row>
    <row r="2048" spans="1:1" x14ac:dyDescent="0.25">
      <c r="A2048" s="88" t="s">
        <v>1401</v>
      </c>
    </row>
    <row r="2049" spans="1:1" x14ac:dyDescent="0.25">
      <c r="A2049" s="88" t="s">
        <v>1402</v>
      </c>
    </row>
    <row r="2050" spans="1:1" x14ac:dyDescent="0.25">
      <c r="A2050" s="88" t="s">
        <v>1403</v>
      </c>
    </row>
    <row r="2051" spans="1:1" x14ac:dyDescent="0.25">
      <c r="A2051" s="88" t="s">
        <v>1404</v>
      </c>
    </row>
    <row r="2052" spans="1:1" x14ac:dyDescent="0.25">
      <c r="A2052" s="88" t="s">
        <v>1405</v>
      </c>
    </row>
    <row r="2053" spans="1:1" x14ac:dyDescent="0.25">
      <c r="A2053" s="88" t="s">
        <v>1406</v>
      </c>
    </row>
    <row r="2054" spans="1:1" x14ac:dyDescent="0.25">
      <c r="A2054" s="88" t="s">
        <v>1407</v>
      </c>
    </row>
    <row r="2055" spans="1:1" x14ac:dyDescent="0.25">
      <c r="A2055" s="88" t="s">
        <v>1408</v>
      </c>
    </row>
    <row r="2056" spans="1:1" x14ac:dyDescent="0.25">
      <c r="A2056" s="88" t="s">
        <v>1409</v>
      </c>
    </row>
    <row r="2057" spans="1:1" x14ac:dyDescent="0.25">
      <c r="A2057" s="88" t="s">
        <v>1410</v>
      </c>
    </row>
    <row r="2058" spans="1:1" x14ac:dyDescent="0.25">
      <c r="A2058" s="88" t="s">
        <v>1411</v>
      </c>
    </row>
    <row r="2059" spans="1:1" x14ac:dyDescent="0.25">
      <c r="A2059" s="88" t="s">
        <v>1412</v>
      </c>
    </row>
    <row r="2060" spans="1:1" x14ac:dyDescent="0.25">
      <c r="A2060" s="88" t="s">
        <v>1413</v>
      </c>
    </row>
    <row r="2061" spans="1:1" x14ac:dyDescent="0.25">
      <c r="A2061" s="88" t="s">
        <v>1414</v>
      </c>
    </row>
    <row r="2062" spans="1:1" x14ac:dyDescent="0.25">
      <c r="A2062" s="88" t="s">
        <v>1415</v>
      </c>
    </row>
    <row r="2063" spans="1:1" x14ac:dyDescent="0.25">
      <c r="A2063" s="88" t="s">
        <v>1416</v>
      </c>
    </row>
    <row r="2064" spans="1:1" x14ac:dyDescent="0.25">
      <c r="A2064" s="88" t="s">
        <v>1417</v>
      </c>
    </row>
    <row r="2065" spans="1:1" x14ac:dyDescent="0.25">
      <c r="A2065" s="88" t="s">
        <v>1418</v>
      </c>
    </row>
    <row r="2066" spans="1:1" x14ac:dyDescent="0.25">
      <c r="A2066" s="88" t="s">
        <v>1419</v>
      </c>
    </row>
    <row r="2067" spans="1:1" x14ac:dyDescent="0.25">
      <c r="A2067" s="88" t="s">
        <v>1420</v>
      </c>
    </row>
    <row r="2068" spans="1:1" x14ac:dyDescent="0.25">
      <c r="A2068" s="88" t="s">
        <v>1421</v>
      </c>
    </row>
    <row r="2069" spans="1:1" x14ac:dyDescent="0.25">
      <c r="A2069" s="88" t="s">
        <v>1422</v>
      </c>
    </row>
    <row r="2070" spans="1:1" x14ac:dyDescent="0.25">
      <c r="A2070" s="88" t="s">
        <v>1423</v>
      </c>
    </row>
    <row r="2071" spans="1:1" x14ac:dyDescent="0.25">
      <c r="A2071" s="88" t="s">
        <v>1424</v>
      </c>
    </row>
    <row r="2072" spans="1:1" x14ac:dyDescent="0.25">
      <c r="A2072" s="88" t="s">
        <v>1425</v>
      </c>
    </row>
    <row r="2073" spans="1:1" x14ac:dyDescent="0.25">
      <c r="A2073" s="88" t="s">
        <v>1426</v>
      </c>
    </row>
    <row r="2074" spans="1:1" x14ac:dyDescent="0.25">
      <c r="A2074" s="88" t="s">
        <v>1427</v>
      </c>
    </row>
    <row r="2075" spans="1:1" x14ac:dyDescent="0.25">
      <c r="A2075" s="88" t="s">
        <v>1428</v>
      </c>
    </row>
    <row r="2076" spans="1:1" x14ac:dyDescent="0.25">
      <c r="A2076" s="88" t="s">
        <v>1429</v>
      </c>
    </row>
    <row r="2077" spans="1:1" x14ac:dyDescent="0.25">
      <c r="A2077" s="88" t="s">
        <v>1430</v>
      </c>
    </row>
    <row r="2078" spans="1:1" x14ac:dyDescent="0.25">
      <c r="A2078" s="88" t="s">
        <v>1431</v>
      </c>
    </row>
    <row r="2079" spans="1:1" x14ac:dyDescent="0.25">
      <c r="A2079" s="88" t="s">
        <v>1432</v>
      </c>
    </row>
    <row r="2080" spans="1:1" x14ac:dyDescent="0.25">
      <c r="A2080" s="88" t="s">
        <v>1433</v>
      </c>
    </row>
    <row r="2081" spans="1:1" x14ac:dyDescent="0.25">
      <c r="A2081" s="88" t="s">
        <v>1434</v>
      </c>
    </row>
    <row r="2082" spans="1:1" x14ac:dyDescent="0.25">
      <c r="A2082" s="88" t="s">
        <v>1435</v>
      </c>
    </row>
    <row r="2083" spans="1:1" x14ac:dyDescent="0.25">
      <c r="A2083" s="88" t="s">
        <v>1435</v>
      </c>
    </row>
    <row r="2084" spans="1:1" x14ac:dyDescent="0.25">
      <c r="A2084" s="88" t="s">
        <v>1436</v>
      </c>
    </row>
    <row r="2085" spans="1:1" x14ac:dyDescent="0.25">
      <c r="A2085" s="88" t="s">
        <v>1437</v>
      </c>
    </row>
    <row r="2086" spans="1:1" x14ac:dyDescent="0.25">
      <c r="A2086" s="88" t="s">
        <v>1438</v>
      </c>
    </row>
    <row r="2087" spans="1:1" x14ac:dyDescent="0.25">
      <c r="A2087" s="88" t="s">
        <v>1439</v>
      </c>
    </row>
    <row r="2088" spans="1:1" x14ac:dyDescent="0.25">
      <c r="A2088" s="88" t="s">
        <v>1440</v>
      </c>
    </row>
    <row r="2089" spans="1:1" x14ac:dyDescent="0.25">
      <c r="A2089" s="88" t="s">
        <v>1441</v>
      </c>
    </row>
    <row r="2090" spans="1:1" x14ac:dyDescent="0.25">
      <c r="A2090" s="88" t="s">
        <v>1442</v>
      </c>
    </row>
    <row r="2091" spans="1:1" x14ac:dyDescent="0.25">
      <c r="A2091" s="88" t="s">
        <v>1443</v>
      </c>
    </row>
    <row r="2092" spans="1:1" x14ac:dyDescent="0.25">
      <c r="A2092" s="88" t="s">
        <v>1444</v>
      </c>
    </row>
    <row r="2093" spans="1:1" x14ac:dyDescent="0.25">
      <c r="A2093" s="88" t="s">
        <v>1445</v>
      </c>
    </row>
    <row r="2094" spans="1:1" x14ac:dyDescent="0.25">
      <c r="A2094" s="88" t="s">
        <v>1446</v>
      </c>
    </row>
    <row r="2095" spans="1:1" x14ac:dyDescent="0.25">
      <c r="A2095" s="88" t="s">
        <v>1447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07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0" t="s">
        <v>57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16" t="s">
        <v>26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7"/>
      <c r="M2" s="118" t="s">
        <v>27</v>
      </c>
      <c r="N2" s="118"/>
      <c r="O2" s="118"/>
      <c r="P2" s="118"/>
      <c r="Q2" s="118"/>
      <c r="R2" s="118" t="s">
        <v>28</v>
      </c>
      <c r="S2" s="118"/>
      <c r="T2" s="118"/>
      <c r="U2" s="118"/>
      <c r="V2" s="118"/>
      <c r="W2" s="118"/>
      <c r="X2" s="118"/>
      <c r="Y2" s="105" t="s">
        <v>41</v>
      </c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19"/>
      <c r="AM2" s="119"/>
      <c r="AN2" s="119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181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1024</v>
      </c>
      <c r="S10" s="2" t="s">
        <v>203</v>
      </c>
      <c r="T10" s="2">
        <v>0</v>
      </c>
      <c r="U10" s="2">
        <v>76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181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1025</v>
      </c>
      <c r="S11" s="2" t="s">
        <v>203</v>
      </c>
      <c r="T11" s="2">
        <v>0</v>
      </c>
      <c r="U11" s="2">
        <v>-76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181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1024</v>
      </c>
      <c r="S12" s="2" t="s">
        <v>204</v>
      </c>
      <c r="T12" s="2">
        <v>0</v>
      </c>
      <c r="U12" s="2">
        <v>76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181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1025</v>
      </c>
      <c r="S13" s="2" t="s">
        <v>204</v>
      </c>
      <c r="T13" s="2">
        <v>0</v>
      </c>
      <c r="U13" s="2">
        <v>76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181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1026</v>
      </c>
      <c r="S14" s="2" t="s">
        <v>203</v>
      </c>
      <c r="T14" s="2">
        <v>0</v>
      </c>
      <c r="U14" s="2">
        <v>76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181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1024</v>
      </c>
      <c r="S15" s="2" t="s">
        <v>206</v>
      </c>
      <c r="T15" s="2">
        <v>0</v>
      </c>
      <c r="U15" s="2">
        <v>76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181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1024</v>
      </c>
      <c r="S16" s="2" t="s">
        <v>207</v>
      </c>
      <c r="T16" s="2">
        <v>0</v>
      </c>
      <c r="U16" s="2">
        <v>76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181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1026</v>
      </c>
      <c r="S17" s="2" t="s">
        <v>204</v>
      </c>
      <c r="T17" s="2">
        <v>0</v>
      </c>
      <c r="U17" s="2">
        <v>76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181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1027</v>
      </c>
      <c r="S18" s="2" t="s">
        <v>203</v>
      </c>
      <c r="T18" s="2">
        <v>0</v>
      </c>
      <c r="U18" s="2">
        <v>77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181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1026</v>
      </c>
      <c r="S19" s="2" t="s">
        <v>206</v>
      </c>
      <c r="T19" s="2">
        <v>0</v>
      </c>
      <c r="U19" s="2">
        <v>76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181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1026</v>
      </c>
      <c r="S20" s="2" t="s">
        <v>207</v>
      </c>
      <c r="T20" s="2">
        <v>0</v>
      </c>
      <c r="U20" s="2">
        <v>76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181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1027</v>
      </c>
      <c r="S21" s="2" t="s">
        <v>204</v>
      </c>
      <c r="T21" s="2">
        <v>0</v>
      </c>
      <c r="U21" s="2">
        <v>77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181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1028</v>
      </c>
      <c r="S22" s="2" t="s">
        <v>203</v>
      </c>
      <c r="T22" s="2">
        <v>0</v>
      </c>
      <c r="U22" s="2">
        <v>-78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181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1025</v>
      </c>
      <c r="S23" s="2" t="s">
        <v>206</v>
      </c>
      <c r="T23" s="2">
        <v>0</v>
      </c>
      <c r="U23" s="2">
        <v>76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181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1025</v>
      </c>
      <c r="S24" s="2" t="s">
        <v>207</v>
      </c>
      <c r="T24" s="2">
        <v>0</v>
      </c>
      <c r="U24" s="2">
        <v>76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181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1028</v>
      </c>
      <c r="S25" s="2" t="s">
        <v>204</v>
      </c>
      <c r="T25" s="2">
        <v>0</v>
      </c>
      <c r="U25" s="2">
        <v>78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181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1029</v>
      </c>
      <c r="S26" s="2" t="s">
        <v>203</v>
      </c>
      <c r="T26" s="2">
        <v>0</v>
      </c>
      <c r="U26" s="2">
        <v>73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181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1027</v>
      </c>
      <c r="S27" s="2" t="s">
        <v>206</v>
      </c>
      <c r="T27" s="2">
        <v>0</v>
      </c>
      <c r="U27" s="2">
        <v>77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181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1027</v>
      </c>
      <c r="S28" s="2" t="s">
        <v>207</v>
      </c>
      <c r="T28" s="2">
        <v>0</v>
      </c>
      <c r="U28" s="2">
        <v>77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181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1028</v>
      </c>
      <c r="S29" s="2" t="s">
        <v>206</v>
      </c>
      <c r="T29" s="2">
        <v>0</v>
      </c>
      <c r="U29" s="2">
        <v>78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181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1028</v>
      </c>
      <c r="S30" s="2" t="s">
        <v>207</v>
      </c>
      <c r="T30" s="2">
        <v>0</v>
      </c>
      <c r="U30" s="2">
        <v>78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181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1029</v>
      </c>
      <c r="S31" s="2" t="s">
        <v>204</v>
      </c>
      <c r="T31" s="2">
        <v>0</v>
      </c>
      <c r="U31" s="2">
        <v>73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181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1030</v>
      </c>
      <c r="S32" s="2" t="s">
        <v>203</v>
      </c>
      <c r="T32" s="2">
        <v>0</v>
      </c>
      <c r="U32" s="2">
        <v>73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181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1029</v>
      </c>
      <c r="S33" s="2" t="s">
        <v>206</v>
      </c>
      <c r="T33" s="2">
        <v>0</v>
      </c>
      <c r="U33" s="2">
        <v>73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181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1029</v>
      </c>
      <c r="S34" s="2" t="s">
        <v>207</v>
      </c>
      <c r="T34" s="2">
        <v>0</v>
      </c>
      <c r="U34" s="2">
        <v>73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181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1030</v>
      </c>
      <c r="S35" s="2" t="s">
        <v>204</v>
      </c>
      <c r="T35" s="2">
        <v>0</v>
      </c>
      <c r="U35" s="2">
        <v>73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181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1031</v>
      </c>
      <c r="S36" s="2" t="s">
        <v>203</v>
      </c>
      <c r="T36" s="2">
        <v>0</v>
      </c>
      <c r="U36" s="2">
        <v>-73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181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1031</v>
      </c>
      <c r="S37" s="2" t="s">
        <v>204</v>
      </c>
      <c r="T37" s="2">
        <v>0</v>
      </c>
      <c r="U37" s="2">
        <v>73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181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1032</v>
      </c>
      <c r="S38" s="2" t="s">
        <v>203</v>
      </c>
      <c r="T38" s="2">
        <v>0</v>
      </c>
      <c r="U38" s="2">
        <v>73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181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1030</v>
      </c>
      <c r="S39" s="2" t="s">
        <v>206</v>
      </c>
      <c r="T39" s="2">
        <v>0</v>
      </c>
      <c r="U39" s="2">
        <v>73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181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1030</v>
      </c>
      <c r="S40" s="2" t="s">
        <v>207</v>
      </c>
      <c r="T40" s="2">
        <v>0</v>
      </c>
      <c r="U40" s="2">
        <v>73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181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1032</v>
      </c>
      <c r="S41" s="2" t="s">
        <v>204</v>
      </c>
      <c r="T41" s="2">
        <v>0</v>
      </c>
      <c r="U41" s="2">
        <v>73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181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1033</v>
      </c>
      <c r="S42" s="2" t="s">
        <v>203</v>
      </c>
      <c r="T42" s="2">
        <v>0</v>
      </c>
      <c r="U42" s="2">
        <v>73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181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1032</v>
      </c>
      <c r="S43" s="2" t="s">
        <v>206</v>
      </c>
      <c r="T43" s="2">
        <v>0</v>
      </c>
      <c r="U43" s="2">
        <v>73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181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1032</v>
      </c>
      <c r="S44" s="2" t="s">
        <v>207</v>
      </c>
      <c r="T44" s="2">
        <v>0</v>
      </c>
      <c r="U44" s="2">
        <v>73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181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1033</v>
      </c>
      <c r="S45" s="2" t="s">
        <v>204</v>
      </c>
      <c r="T45" s="2">
        <v>0</v>
      </c>
      <c r="U45" s="2">
        <v>73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181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1034</v>
      </c>
      <c r="S46" s="2" t="s">
        <v>203</v>
      </c>
      <c r="T46" s="2">
        <v>0</v>
      </c>
      <c r="U46" s="2">
        <v>74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181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1033</v>
      </c>
      <c r="S47" s="2" t="s">
        <v>206</v>
      </c>
      <c r="T47" s="2">
        <v>0</v>
      </c>
      <c r="U47" s="2">
        <v>73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181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1033</v>
      </c>
      <c r="S48" s="2" t="s">
        <v>207</v>
      </c>
      <c r="T48" s="2">
        <v>0</v>
      </c>
      <c r="U48" s="2">
        <v>73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181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1034</v>
      </c>
      <c r="S49" s="2" t="s">
        <v>204</v>
      </c>
      <c r="T49" s="2">
        <v>0</v>
      </c>
      <c r="U49" s="2">
        <v>74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181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1035</v>
      </c>
      <c r="S50" s="2" t="s">
        <v>203</v>
      </c>
      <c r="T50" s="2">
        <v>0</v>
      </c>
      <c r="U50" s="2">
        <v>73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181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1034</v>
      </c>
      <c r="S51" s="2" t="s">
        <v>206</v>
      </c>
      <c r="T51" s="2">
        <v>0</v>
      </c>
      <c r="U51" s="2">
        <v>74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181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1034</v>
      </c>
      <c r="S52" s="2" t="s">
        <v>207</v>
      </c>
      <c r="T52" s="2">
        <v>0</v>
      </c>
      <c r="U52" s="2">
        <v>74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181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1035</v>
      </c>
      <c r="S53" s="2" t="s">
        <v>204</v>
      </c>
      <c r="T53" s="2">
        <v>0</v>
      </c>
      <c r="U53" s="2">
        <v>73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181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1036</v>
      </c>
      <c r="S54" s="2" t="s">
        <v>203</v>
      </c>
      <c r="T54" s="2">
        <v>0</v>
      </c>
      <c r="U54" s="2">
        <v>74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181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1035</v>
      </c>
      <c r="S55" s="2" t="s">
        <v>206</v>
      </c>
      <c r="T55" s="2">
        <v>0</v>
      </c>
      <c r="U55" s="2">
        <v>73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181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1035</v>
      </c>
      <c r="S56" s="2" t="s">
        <v>207</v>
      </c>
      <c r="T56" s="2">
        <v>0</v>
      </c>
      <c r="U56" s="2">
        <v>73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181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1036</v>
      </c>
      <c r="S57" s="2" t="s">
        <v>204</v>
      </c>
      <c r="T57" s="2">
        <v>0</v>
      </c>
      <c r="U57" s="2">
        <v>74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181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1037</v>
      </c>
      <c r="S58" s="2" t="s">
        <v>203</v>
      </c>
      <c r="T58" s="2">
        <v>0</v>
      </c>
      <c r="U58" s="2">
        <v>74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181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1036</v>
      </c>
      <c r="S59" s="2" t="s">
        <v>206</v>
      </c>
      <c r="T59" s="2">
        <v>0</v>
      </c>
      <c r="U59" s="2">
        <v>74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181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1036</v>
      </c>
      <c r="S60" s="2" t="s">
        <v>207</v>
      </c>
      <c r="T60" s="2">
        <v>0</v>
      </c>
      <c r="U60" s="2">
        <v>74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181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1037</v>
      </c>
      <c r="S61" s="2" t="s">
        <v>204</v>
      </c>
      <c r="T61" s="2">
        <v>0</v>
      </c>
      <c r="U61" s="2">
        <v>74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181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1038</v>
      </c>
      <c r="S62" s="2" t="s">
        <v>203</v>
      </c>
      <c r="T62" s="2">
        <v>0</v>
      </c>
      <c r="U62" s="2">
        <v>74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181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1037</v>
      </c>
      <c r="S63" s="2" t="s">
        <v>206</v>
      </c>
      <c r="T63" s="2">
        <v>0</v>
      </c>
      <c r="U63" s="2">
        <v>74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181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1037</v>
      </c>
      <c r="S64" s="2" t="s">
        <v>207</v>
      </c>
      <c r="T64" s="2">
        <v>0</v>
      </c>
      <c r="U64" s="2">
        <v>74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181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1038</v>
      </c>
      <c r="S65" s="2" t="s">
        <v>204</v>
      </c>
      <c r="T65" s="2">
        <v>0</v>
      </c>
      <c r="U65" s="2">
        <v>74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181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1039</v>
      </c>
      <c r="S66" s="2" t="s">
        <v>203</v>
      </c>
      <c r="T66" s="2">
        <v>0</v>
      </c>
      <c r="U66" s="2">
        <v>74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181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1038</v>
      </c>
      <c r="S67" s="2" t="s">
        <v>206</v>
      </c>
      <c r="T67" s="2">
        <v>0</v>
      </c>
      <c r="U67" s="2">
        <v>74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181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1038</v>
      </c>
      <c r="S68" s="2" t="s">
        <v>207</v>
      </c>
      <c r="T68" s="2">
        <v>0</v>
      </c>
      <c r="U68" s="2">
        <v>74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181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1039</v>
      </c>
      <c r="S69" s="2" t="s">
        <v>204</v>
      </c>
      <c r="T69" s="2">
        <v>0</v>
      </c>
      <c r="U69" s="2">
        <v>74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181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1040</v>
      </c>
      <c r="S70" s="2" t="s">
        <v>203</v>
      </c>
      <c r="T70" s="2">
        <v>0</v>
      </c>
      <c r="U70" s="2">
        <v>73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181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1039</v>
      </c>
      <c r="S71" s="2" t="s">
        <v>206</v>
      </c>
      <c r="T71" s="2">
        <v>0</v>
      </c>
      <c r="U71" s="2">
        <v>74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181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1039</v>
      </c>
      <c r="S72" s="2" t="s">
        <v>207</v>
      </c>
      <c r="T72" s="2">
        <v>0</v>
      </c>
      <c r="U72" s="2">
        <v>74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181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1040</v>
      </c>
      <c r="S73" s="2" t="s">
        <v>204</v>
      </c>
      <c r="T73" s="2">
        <v>0</v>
      </c>
      <c r="U73" s="2">
        <v>73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181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1041</v>
      </c>
      <c r="S74" s="2" t="s">
        <v>203</v>
      </c>
      <c r="T74" s="2">
        <v>0</v>
      </c>
      <c r="U74" s="2">
        <v>74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181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1040</v>
      </c>
      <c r="S75" s="2" t="s">
        <v>206</v>
      </c>
      <c r="T75" s="2">
        <v>0</v>
      </c>
      <c r="U75" s="2">
        <v>73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181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1040</v>
      </c>
      <c r="S76" s="2" t="s">
        <v>207</v>
      </c>
      <c r="T76" s="2">
        <v>0</v>
      </c>
      <c r="U76" s="2">
        <v>73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181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1041</v>
      </c>
      <c r="S77" s="2" t="s">
        <v>204</v>
      </c>
      <c r="T77" s="2">
        <v>0</v>
      </c>
      <c r="U77" s="2">
        <v>74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181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1042</v>
      </c>
      <c r="S78" s="2" t="s">
        <v>203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181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1041</v>
      </c>
      <c r="S79" s="2" t="s">
        <v>206</v>
      </c>
      <c r="T79" s="2">
        <v>0</v>
      </c>
      <c r="U79" s="2">
        <v>74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181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1041</v>
      </c>
      <c r="S80" s="2" t="s">
        <v>207</v>
      </c>
      <c r="T80" s="2">
        <v>0</v>
      </c>
      <c r="U80" s="2">
        <v>74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181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1031</v>
      </c>
      <c r="S81" s="2" t="s">
        <v>206</v>
      </c>
      <c r="T81" s="2">
        <v>0</v>
      </c>
      <c r="U81" s="2">
        <v>73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181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1031</v>
      </c>
      <c r="S82" s="2" t="s">
        <v>207</v>
      </c>
      <c r="T82" s="2">
        <v>0</v>
      </c>
      <c r="U82" s="2">
        <v>73</v>
      </c>
      <c r="V82" s="2">
        <v>0</v>
      </c>
      <c r="W82" s="2">
        <v>0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181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1042</v>
      </c>
      <c r="S83" s="2" t="s">
        <v>203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181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1042</v>
      </c>
      <c r="S84" s="2" t="s">
        <v>203</v>
      </c>
      <c r="T84" s="2">
        <v>0</v>
      </c>
      <c r="U84" s="2">
        <v>77</v>
      </c>
      <c r="V84" s="2">
        <v>0</v>
      </c>
      <c r="W84" s="2">
        <v>0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181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1042</v>
      </c>
      <c r="S85" s="2" t="s">
        <v>1053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181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1042</v>
      </c>
      <c r="S86" s="2" t="s">
        <v>209</v>
      </c>
      <c r="T86" s="2">
        <v>0</v>
      </c>
      <c r="U86" s="2">
        <v>77</v>
      </c>
      <c r="V86" s="2">
        <v>0</v>
      </c>
      <c r="W86" s="2">
        <v>0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181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1043</v>
      </c>
      <c r="S87" s="2" t="s">
        <v>203</v>
      </c>
      <c r="T87" s="2">
        <v>0</v>
      </c>
      <c r="U87" s="2">
        <v>-77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181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1042</v>
      </c>
      <c r="S88" s="2" t="s">
        <v>206</v>
      </c>
      <c r="T88" s="2">
        <v>0</v>
      </c>
      <c r="U88" s="2">
        <v>77</v>
      </c>
      <c r="V88" s="2">
        <v>0</v>
      </c>
      <c r="W88" s="2">
        <v>0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181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1042</v>
      </c>
      <c r="S89" s="2" t="s">
        <v>207</v>
      </c>
      <c r="T89" s="2">
        <v>0</v>
      </c>
      <c r="U89" s="2">
        <v>77</v>
      </c>
      <c r="V89" s="2">
        <v>0</v>
      </c>
      <c r="W89" s="2">
        <v>0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181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1043</v>
      </c>
      <c r="S90" s="2" t="s">
        <v>204</v>
      </c>
      <c r="T90" s="2">
        <v>0</v>
      </c>
      <c r="U90" s="2">
        <v>77</v>
      </c>
      <c r="V90" s="2">
        <v>0</v>
      </c>
      <c r="W90" s="2">
        <v>0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181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1044</v>
      </c>
      <c r="S91" s="2" t="s">
        <v>203</v>
      </c>
      <c r="T91" s="2">
        <v>0</v>
      </c>
      <c r="U91" s="2">
        <v>77</v>
      </c>
      <c r="V91" s="2">
        <v>0</v>
      </c>
      <c r="W91" s="2">
        <v>0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181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1044</v>
      </c>
      <c r="S92" s="2" t="s">
        <v>204</v>
      </c>
      <c r="T92" s="2">
        <v>0</v>
      </c>
      <c r="U92" s="2">
        <v>77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181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1045</v>
      </c>
      <c r="S93" s="2" t="s">
        <v>203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181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1044</v>
      </c>
      <c r="S94" s="2" t="s">
        <v>206</v>
      </c>
      <c r="T94" s="2">
        <v>0</v>
      </c>
      <c r="U94" s="2">
        <v>77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181</v>
      </c>
      <c r="K95" t="s">
        <v>25</v>
      </c>
      <c r="L95">
        <v>132757294</v>
      </c>
      <c r="R95">
        <v>1044</v>
      </c>
      <c r="S95" t="s">
        <v>207</v>
      </c>
      <c r="T95">
        <v>0</v>
      </c>
      <c r="U95">
        <v>77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181</v>
      </c>
      <c r="K96" t="s">
        <v>25</v>
      </c>
      <c r="L96">
        <v>132757294</v>
      </c>
      <c r="R96">
        <v>1045</v>
      </c>
      <c r="S96" t="s">
        <v>203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181</v>
      </c>
      <c r="K97" t="s">
        <v>25</v>
      </c>
      <c r="L97">
        <v>132757294</v>
      </c>
      <c r="R97">
        <v>1043</v>
      </c>
      <c r="S97" t="s">
        <v>206</v>
      </c>
      <c r="T97">
        <v>0</v>
      </c>
      <c r="U97">
        <v>77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181</v>
      </c>
      <c r="K98" t="s">
        <v>25</v>
      </c>
      <c r="L98">
        <v>132757294</v>
      </c>
      <c r="R98">
        <v>1043</v>
      </c>
      <c r="S98" t="s">
        <v>207</v>
      </c>
      <c r="T98">
        <v>0</v>
      </c>
      <c r="U98">
        <v>77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181</v>
      </c>
      <c r="K99" t="s">
        <v>25</v>
      </c>
      <c r="L99">
        <v>132757294</v>
      </c>
      <c r="R99">
        <v>1045</v>
      </c>
      <c r="S99" t="s">
        <v>203</v>
      </c>
      <c r="T99">
        <v>0</v>
      </c>
      <c r="U99">
        <v>77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181</v>
      </c>
      <c r="K100" t="s">
        <v>25</v>
      </c>
      <c r="L100">
        <v>132757294</v>
      </c>
      <c r="R100">
        <v>1045</v>
      </c>
      <c r="S100" t="s">
        <v>1053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181</v>
      </c>
      <c r="K101" t="s">
        <v>25</v>
      </c>
      <c r="L101">
        <v>132757294</v>
      </c>
      <c r="R101">
        <v>1045</v>
      </c>
      <c r="S101" t="s">
        <v>209</v>
      </c>
      <c r="T101">
        <v>0</v>
      </c>
      <c r="U101">
        <v>77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181</v>
      </c>
      <c r="K102" t="s">
        <v>25</v>
      </c>
      <c r="L102">
        <v>132757294</v>
      </c>
      <c r="R102">
        <v>1045</v>
      </c>
      <c r="S102" t="s">
        <v>206</v>
      </c>
      <c r="T102">
        <v>0</v>
      </c>
      <c r="U102">
        <v>77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181</v>
      </c>
      <c r="K103" t="s">
        <v>25</v>
      </c>
      <c r="L103">
        <v>132757294</v>
      </c>
      <c r="R103">
        <v>1045</v>
      </c>
      <c r="S103" t="s">
        <v>207</v>
      </c>
      <c r="T103">
        <v>0</v>
      </c>
      <c r="U103">
        <v>77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181</v>
      </c>
      <c r="K104" t="s">
        <v>25</v>
      </c>
      <c r="L104">
        <v>132757294</v>
      </c>
      <c r="R104">
        <v>1046</v>
      </c>
      <c r="S104" t="s">
        <v>203</v>
      </c>
      <c r="T104">
        <v>0</v>
      </c>
      <c r="U104">
        <v>-78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181</v>
      </c>
      <c r="K105" t="s">
        <v>25</v>
      </c>
      <c r="L105">
        <v>132757294</v>
      </c>
      <c r="R105">
        <v>1045</v>
      </c>
      <c r="S105" t="s">
        <v>1053</v>
      </c>
      <c r="T105">
        <v>0</v>
      </c>
      <c r="U105">
        <v>77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181</v>
      </c>
      <c r="K106" t="s">
        <v>25</v>
      </c>
      <c r="L106">
        <v>132757294</v>
      </c>
      <c r="R106">
        <v>1046</v>
      </c>
      <c r="S106" t="s">
        <v>206</v>
      </c>
      <c r="T106">
        <v>0</v>
      </c>
      <c r="U106">
        <v>78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181</v>
      </c>
      <c r="K107" t="s">
        <v>25</v>
      </c>
      <c r="L107">
        <v>132757294</v>
      </c>
      <c r="R107">
        <v>1046</v>
      </c>
      <c r="S107" t="s">
        <v>207</v>
      </c>
      <c r="T107">
        <v>0</v>
      </c>
      <c r="U107">
        <v>78</v>
      </c>
      <c r="V107">
        <v>0</v>
      </c>
      <c r="W107">
        <v>0</v>
      </c>
      <c r="X107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2015-01-26T15:57:49Z</dcterms:modified>
</cp:coreProperties>
</file>