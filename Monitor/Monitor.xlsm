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U47" i="15"/>
  <c r="H42" i="15"/>
  <c r="F42" i="15"/>
  <c r="D42" i="15"/>
  <c r="B42" i="15"/>
  <c r="AE37" i="13"/>
  <c r="AE14" i="13"/>
  <c r="AE77" i="13"/>
  <c r="AE72" i="13"/>
  <c r="AE59" i="13"/>
  <c r="AE17" i="13"/>
  <c r="AE75" i="13"/>
  <c r="AE86" i="13"/>
  <c r="AE93" i="13"/>
  <c r="AE103" i="13"/>
  <c r="AE64" i="13"/>
  <c r="AE31" i="13"/>
  <c r="AE108" i="13"/>
  <c r="AE7" i="13"/>
  <c r="AE95" i="13"/>
  <c r="AE6" i="13"/>
  <c r="AE35" i="13"/>
  <c r="AE100" i="13"/>
  <c r="AE11" i="13"/>
  <c r="AE90" i="13"/>
  <c r="AE116" i="13"/>
  <c r="AE16" i="13"/>
  <c r="AE40" i="13"/>
  <c r="AE63" i="13"/>
  <c r="AE53" i="13"/>
  <c r="AE111" i="13"/>
  <c r="AE99" i="13"/>
  <c r="AE8" i="13"/>
  <c r="AE12" i="13"/>
  <c r="AE112" i="13"/>
  <c r="AE94" i="13"/>
  <c r="AE13" i="13"/>
  <c r="AE83" i="13"/>
  <c r="AE109" i="13"/>
  <c r="AE34" i="13"/>
  <c r="AE66" i="13"/>
  <c r="AE89" i="13"/>
  <c r="AE80" i="13"/>
  <c r="AE10" i="13"/>
  <c r="AE88" i="13"/>
  <c r="AE25" i="13"/>
  <c r="AE101" i="13"/>
  <c r="AE113" i="13"/>
  <c r="AE51" i="13"/>
  <c r="AE20" i="13"/>
  <c r="AE78" i="13"/>
  <c r="AE105" i="13"/>
  <c r="AE107" i="13"/>
  <c r="AE92" i="13"/>
  <c r="AE39" i="13"/>
  <c r="AE30" i="13"/>
  <c r="AE121" i="13"/>
  <c r="AE45" i="13"/>
  <c r="AE125" i="13"/>
  <c r="AE106" i="13"/>
  <c r="AE110" i="13"/>
  <c r="AE87" i="13"/>
  <c r="AE60" i="13"/>
  <c r="AE47" i="13"/>
  <c r="AE55" i="13"/>
  <c r="AE41" i="13"/>
  <c r="AE98" i="13"/>
  <c r="AE91" i="13"/>
  <c r="AE36" i="13"/>
  <c r="AE123" i="13"/>
  <c r="AE57" i="13"/>
  <c r="AE19" i="13"/>
  <c r="AE56" i="13"/>
  <c r="AE61" i="13"/>
  <c r="AE119" i="13"/>
  <c r="AE81" i="13"/>
  <c r="AE73" i="13"/>
  <c r="AE48" i="13"/>
  <c r="AE22" i="13"/>
  <c r="AE71" i="13"/>
  <c r="AE65" i="13"/>
  <c r="AE102" i="13"/>
  <c r="AE117" i="13"/>
  <c r="AE82" i="13"/>
  <c r="AE74" i="13"/>
  <c r="AE15" i="13"/>
  <c r="AE33" i="13"/>
  <c r="AE24" i="13"/>
  <c r="AE26" i="13"/>
  <c r="AE115" i="13"/>
  <c r="AE21" i="13"/>
  <c r="AE49" i="13"/>
  <c r="AE104" i="13"/>
  <c r="AE84" i="13"/>
  <c r="AE122" i="13"/>
  <c r="AE43" i="13"/>
  <c r="AE28" i="13"/>
  <c r="AE27" i="13"/>
  <c r="AE54" i="13"/>
  <c r="AE38" i="13"/>
  <c r="AE68" i="13"/>
  <c r="AE70" i="13"/>
  <c r="AE46" i="13"/>
  <c r="AE50" i="13"/>
  <c r="AE18" i="13"/>
  <c r="AE124" i="13"/>
  <c r="AE97" i="13"/>
  <c r="AE62" i="13"/>
  <c r="AE114" i="13"/>
  <c r="AE23" i="13"/>
  <c r="AE52" i="13"/>
  <c r="AE96" i="13"/>
  <c r="AE76" i="13"/>
  <c r="AE118" i="13"/>
  <c r="AE29" i="13"/>
  <c r="AE120" i="13"/>
  <c r="AE32" i="13"/>
  <c r="AE58" i="13"/>
  <c r="AE44" i="13"/>
  <c r="AE67" i="13"/>
  <c r="AE9" i="13"/>
  <c r="AE85" i="13"/>
  <c r="AE79" i="13"/>
  <c r="AE69" i="13"/>
  <c r="AE42" i="13"/>
  <c r="AA55" i="15"/>
  <c r="AA65" i="15"/>
  <c r="AA56" i="15"/>
  <c r="AA67" i="15"/>
  <c r="AA51" i="15"/>
  <c r="AA53" i="15"/>
  <c r="AA47" i="15"/>
  <c r="AA59" i="15"/>
  <c r="AA50" i="15"/>
  <c r="AA52" i="15"/>
  <c r="AA62" i="15"/>
  <c r="AA54" i="15"/>
  <c r="AA49" i="15"/>
  <c r="AA64" i="15"/>
  <c r="AA60" i="15"/>
  <c r="AA61" i="15"/>
  <c r="AA48" i="15"/>
  <c r="AA63" i="15"/>
  <c r="AA66" i="15"/>
  <c r="AA58" i="15"/>
  <c r="AA57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Q36" i="15"/>
  <c r="R36" i="15"/>
  <c r="Z58" i="15"/>
  <c r="Z50" i="15"/>
  <c r="Z65" i="15"/>
  <c r="Z66" i="15"/>
  <c r="Z56" i="15"/>
  <c r="Z59" i="15"/>
  <c r="Z49" i="15"/>
  <c r="Z63" i="15"/>
  <c r="Z57" i="15"/>
  <c r="Z53" i="15"/>
  <c r="Z52" i="15"/>
  <c r="Z64" i="15"/>
  <c r="Z60" i="15"/>
  <c r="Z47" i="15"/>
  <c r="Z54" i="15"/>
  <c r="Z61" i="15"/>
  <c r="Z48" i="15"/>
  <c r="Z51" i="15"/>
  <c r="Z67" i="15"/>
  <c r="Z62" i="15"/>
  <c r="Z55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S37" i="15"/>
  <c r="R37" i="15"/>
  <c r="R38" i="15" l="1"/>
  <c r="S40" i="15" s="1"/>
  <c r="S38" i="15"/>
  <c r="S41" i="15" s="1"/>
  <c r="R41" i="15"/>
  <c r="R40" i="15"/>
</calcChain>
</file>

<file path=xl/sharedStrings.xml><?xml version="1.0" encoding="utf-8"?>
<sst xmlns="http://schemas.openxmlformats.org/spreadsheetml/2006/main" count="1535" uniqueCount="429">
  <si>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</si>
  <si>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</si>
  <si>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</si>
  <si>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</si>
  <si>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</si>
  <si>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</si>
  <si>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</si>
  <si>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</si>
  <si>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</si>
  <si>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</si>
  <si>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</si>
  <si>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</si>
  <si>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</si>
  <si>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</si>
  <si>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</si>
  <si>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</si>
  <si>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</si>
  <si>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</si>
  <si>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</si>
  <si>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</si>
  <si>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</si>
  <si>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</si>
  <si>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</si>
  <si>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</si>
  <si>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</si>
  <si>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</si>
  <si>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</si>
  <si>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</si>
  <si>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</si>
  <si>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</si>
  <si>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</si>
  <si>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</si>
  <si>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</si>
  <si>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</si>
  <si>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</si>
  <si>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</si>
  <si>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</si>
  <si>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</si>
  <si>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</si>
  <si>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</si>
  <si>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</si>
  <si>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</si>
  <si>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</si>
  <si>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</si>
  <si>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</si>
  <si>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</si>
  <si>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</si>
  <si>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</si>
  <si>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</si>
  <si>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</si>
  <si>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</si>
  <si>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</si>
  <si>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</si>
  <si>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</si>
  <si>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</si>
  <si>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</si>
  <si>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</si>
  <si>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</si>
  <si>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</si>
  <si>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</si>
  <si>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</si>
  <si>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</si>
  <si>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</si>
  <si>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</si>
  <si>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</si>
  <si>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</si>
  <si>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</si>
  <si>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</si>
  <si>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</si>
  <si>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</si>
  <si>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</si>
  <si>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</si>
  <si>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</si>
  <si>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</si>
  <si>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</si>
  <si>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</si>
  <si>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</si>
  <si>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</si>
  <si>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</si>
  <si>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</si>
  <si>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</si>
  <si>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</si>
  <si>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</si>
  <si>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</si>
  <si>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</si>
  <si>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</si>
  <si>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</si>
  <si>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</si>
  <si>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</si>
  <si>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</si>
  <si>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</si>
  <si>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</si>
  <si>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</si>
  <si>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</si>
  <si>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</si>
  <si>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</si>
  <si>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</si>
  <si>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</si>
  <si>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</si>
  <si>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</si>
  <si>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</si>
  <si>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</si>
  <si>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</si>
  <si>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</si>
  <si>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</si>
  <si>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</si>
  <si>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</si>
  <si>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</si>
  <si>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</si>
  <si>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</si>
  <si>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</si>
  <si>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</si>
  <si>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</si>
  <si>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</si>
  <si>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</si>
  <si>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</si>
  <si>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</si>
  <si>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</si>
  <si>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</si>
  <si>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</si>
  <si>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</si>
  <si>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</si>
  <si>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</si>
  <si>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</si>
  <si>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</si>
  <si>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</si>
  <si>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</si>
  <si>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</si>
  <si>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</si>
  <si>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</si>
  <si>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</si>
  <si>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</si>
  <si>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</si>
  <si>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</si>
  <si>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</si>
  <si>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</si>
  <si>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</si>
  <si>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</si>
  <si>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</si>
  <si>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</si>
  <si>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</si>
  <si>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</si>
  <si>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</si>
  <si>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</si>
  <si>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</si>
  <si>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</si>
  <si>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</si>
  <si>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</si>
  <si>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</si>
  <si>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</si>
  <si>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</si>
  <si>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</si>
  <si>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</si>
  <si>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</si>
  <si>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</si>
  <si>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</si>
  <si>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</si>
  <si>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</si>
  <si>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</si>
  <si>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</si>
  <si>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</si>
  <si>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</si>
  <si>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</si>
  <si>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</si>
  <si>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</si>
  <si>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</si>
  <si>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</si>
  <si>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</si>
  <si>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</si>
  <si>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</si>
  <si>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</si>
  <si>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</si>
  <si>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</si>
  <si>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</si>
  <si>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</si>
  <si>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</si>
  <si>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</si>
  <si>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</si>
  <si>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</si>
  <si>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</si>
  <si>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</si>
  <si>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</si>
  <si>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</si>
  <si>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</si>
  <si>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</si>
  <si>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</si>
  <si>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</si>
  <si>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</si>
  <si>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</si>
  <si>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</si>
  <si>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</si>
  <si>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</si>
  <si>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</si>
  <si>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</si>
  <si>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</si>
  <si>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</si>
  <si>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</si>
  <si>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</si>
  <si>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</si>
  <si>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TWS Control NOT connected</t>
  </si>
  <si>
    <t>Subscribed</t>
  </si>
  <si>
    <t>6BG5 C1505</t>
  </si>
  <si>
    <t>6BG5 P1495</t>
  </si>
  <si>
    <t>6BG5 P1500</t>
  </si>
  <si>
    <t>6BG5 P1505</t>
  </si>
  <si>
    <t>6BG5 C1510</t>
  </si>
  <si>
    <t>6BG5 C1515</t>
  </si>
  <si>
    <t>In-Flight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</si>
  <si>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</si>
  <si>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</si>
  <si>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</si>
  <si>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</si>
  <si>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</si>
  <si>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</si>
  <si>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</si>
  <si>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2015-2-4 17:27:40.760: Main - Initialize - initializing...</t>
  </si>
  <si>
    <t>2015-2-4 17:27:47.292: RTWSControl - nextValidId - entering nextValidId id is 8619</t>
  </si>
  <si>
    <t>2015-2-4 17:27:47.314: WatchlistView - initialize - an error occurredSelect method of Range class failed</t>
  </si>
  <si>
    <t>2015-2-4 17:27:47.353: RTWSControl - errMsg - got error message 2104:Market data farm connection is OK:usfuturewith id -1</t>
  </si>
  <si>
    <t>2015-2-4 17:27:47.358: RTWSControl - errMsg - got error message 2104:Market data farm connection is OK:usfuture.uswith id -1</t>
  </si>
  <si>
    <t>2015-2-4 17:27:47.365: RTWSControl - errMsg - got error message 2104:Market data farm connection is OK:cashfarmwith id -1</t>
  </si>
  <si>
    <t>2015-2-4 17:27:47.386: RTWSControl - errMsg - got error message 2104:Market data farm connection is OK:usfarmwith id -1</t>
  </si>
  <si>
    <t>2015-2-4 17:27:47.392: RTWSControl - errMsg - got error message 2106:HMDS data farm connection is OK:ilhmdswith id -1</t>
  </si>
  <si>
    <t>2015-2-4 17:27:47.442: RTWSControl - contractDetailsEx - got contractDetails id 0 British pound 6BH5</t>
  </si>
  <si>
    <t>2015-2-4 17:27:47.655: RTWSControl - contractDetailsEnd - Got contract details end event</t>
  </si>
  <si>
    <t>2015-2-4 17:27:53.808: Algorithm - updatePortfolio - haveAllDetails is False</t>
  </si>
  <si>
    <t>2015-2-4 17:27:53.854: Algorithm - updatePortfolio - haveAllDetails is False</t>
  </si>
  <si>
    <t>2015-2-4 17:27:53.900: Algorithm - updatePortfolio - haveAllDetails is False</t>
  </si>
  <si>
    <t>2015-2-4 17:27:53.942: Algorithm - updatePortfolio - haveAllDetails is False</t>
  </si>
  <si>
    <t>2015-2-4 17:27:53.985: Algorithm - updatePortfolio - haveAllDetails is False</t>
  </si>
  <si>
    <t>2015-2-4 17:27:54.26: Algorithm - updatePortfolio - haveAllDetails is False</t>
  </si>
  <si>
    <t>2015-2-4 17:27:54.68: Algorithm - updatePortfolio - haveAllDetails is False</t>
  </si>
  <si>
    <t>6BG5 P1515</t>
  </si>
  <si>
    <t>2015-2-4 17:27:54.111: Algorithm - updatePortfolio - haveAllDetails is False</t>
  </si>
  <si>
    <t>6BG5 C1520</t>
  </si>
  <si>
    <t>2015-2-4 17:27:54.152: Algorithm - updatePortfolio - haveAllDetails is False</t>
  </si>
  <si>
    <t>6BG5 C1525</t>
  </si>
  <si>
    <t>2015-2-4 17:27:54.194: Algorithm - updatePortfolio - haveAllDetails is False</t>
  </si>
  <si>
    <t>6BG5 P1520</t>
  </si>
  <si>
    <t>2015-2-4 17:27:54.235: Algorithm - updatePortfolio - haveAllDetails is False</t>
  </si>
  <si>
    <t>6BG5 C1530</t>
  </si>
  <si>
    <t>2015-2-4 17:27:54.274: Algorithm - updatePortfolio - haveAllDetails is False</t>
  </si>
  <si>
    <t>2015-2-4 17:27:54.314: Algorithm - updatePortfolio - haveAllDetails is False</t>
  </si>
  <si>
    <t>2015-2-4 17:27:54.885: RTWSControl - contractDetailsEx - got contractDetails id 0 British pound 6BG5 C1505</t>
  </si>
  <si>
    <t>2015-2-4 17:27:54.891: RTWSControl - contractDetailsEnd - Got contract details end event</t>
  </si>
  <si>
    <t>2015-2-4 17:27:54.898: RTWSControl - contractDetailsEx - got contractDetails id 0 British pound 6BG5 P1495</t>
  </si>
  <si>
    <t>2015-2-4 17:27:54.927: RTWSControl - contractDetailsEnd - Got contract details end event</t>
  </si>
  <si>
    <t>2015-2-4 17:27:54.933: RTWSControl - contractDetailsEx - got contractDetails id 0 British pound 6BG5 P1500</t>
  </si>
  <si>
    <t>2015-2-4 17:27:54.938: RTWSControl - contractDetailsEnd - Got contract details end event</t>
  </si>
  <si>
    <t>2015-2-4 17:27:54.970: RTWSControl - contractDetailsEx - got contractDetails id 0 British pound 6BG5 P1505</t>
  </si>
  <si>
    <t>2015-2-4 17:27:54.975: RTWSControl - contractDetailsEnd - Got contract details end event</t>
  </si>
  <si>
    <t>2015-2-4 17:27:54.981: RTWSControl - contractDetailsEx - got contractDetails id 0 British pound 6BG5 C1510</t>
  </si>
  <si>
    <t>2015-2-4 17:27:55.9: RTWSControl - contractDetailsEnd - Got contract details end event</t>
  </si>
  <si>
    <t>2015-2-4 17:27:55.16: RTWSControl - contractDetailsEx - got contractDetails id 0 British pound 6BG5 C1515</t>
  </si>
  <si>
    <t>2015-2-4 17:27:55.22: RTWSControl - contractDetailsEnd - Got contract details end event</t>
  </si>
  <si>
    <t>2015-2-4 17:27:55.52: RTWSControl - contractDetailsEx - got contractDetails id 0 British pound 6BG5 P1515</t>
  </si>
  <si>
    <t>2015-2-4 17:27:55.58: RTWSControl - contractDetailsEnd - Got contract details end event</t>
  </si>
  <si>
    <t>2015-2-4 17:27:55.65: RTWSControl - contractDetailsEx - got contractDetails id 0 British pound 6BG5 C1520</t>
  </si>
  <si>
    <t>2015-2-4 17:27:55.93: RTWSControl - contractDetailsEnd - Got contract details end event</t>
  </si>
  <si>
    <t>2015-2-4 17:27:55.100: RTWSControl - contractDetailsEx - got contractDetails id 0 British pound 6BG5 C1525</t>
  </si>
  <si>
    <t>2015-2-4 17:27:55.105: RTWSControl - contractDetailsEnd - Got contract details end event</t>
  </si>
  <si>
    <t>2015-2-4 17:27:55.135: RTWSControl - contractDetailsEx - got contractDetails id 0 British pound 6BG5 P1520</t>
  </si>
  <si>
    <t>2015-2-4 17:27:55.141: RTWSControl - contractDetailsEnd - Got contract details end event</t>
  </si>
  <si>
    <t>2015-2-4 17:27:55.149: RTWSControl - contractDetailsEx - got contractDetails id 0 British pound 6BG5 C1530</t>
  </si>
  <si>
    <t>2015-2-4 17:27:55.175: RTWSControl - contractDetailsEnd - Got contract details end event</t>
  </si>
  <si>
    <t>2015-2-4 17:27:56.89: Algorithm - FindNextStrikes - price is 1.52025 nextStrikeUp/Down 1.525/1.52</t>
  </si>
  <si>
    <t>2015-2-4 17:27:56.91: Algorithm - getPortfolioForwardDelta - required deltas is 45 currentHedgePosition is 45</t>
  </si>
  <si>
    <t>2015-2-4 17:27:56.91: Algorithm - getHedgeShortfall - required deltas is 45 price is 1.52025 currentHedgePositionDeltas is 45</t>
  </si>
  <si>
    <t>2015-2-4 17:27:56.92: Algorithm - processTransitionPoint - nextUpper/LowerStrikes are 1.525/1.52 requiredDeltas/currentPosition/currentHedgeShortfall/direction/transitionPrice are 45/45/0/0/1.52025</t>
  </si>
  <si>
    <t>2015-2-4 17:27:56.94: TransitionLogger - processTransitionpoint - checking transition - currentHedgeShortfall is 0</t>
  </si>
  <si>
    <t>2015-2-4 17:27:56.99: Algorithm - updatePortfolio - haveAllDetails is True</t>
  </si>
  <si>
    <t>2015-2-4 17:27:57.792: AutostopView - getBuyPrice - an error occurred Type mismatch</t>
  </si>
  <si>
    <t>2015-2-4 17:27:57.795: AutostopView - getBuyQty - an error occurred Type mismatch</t>
  </si>
  <si>
    <t>2015-2-4 17:27:57.797: AutostopView - getSellPrice - an error occurred Type mismatch</t>
  </si>
  <si>
    <t>2015-2-4 17:27:57.799: AutostopView - getSellQty - an error occurred Type mismatch</t>
  </si>
  <si>
    <t>2015-2-4 17:27:57.800: OrderManager - PlaceOrder - id 8619 workingQty 0</t>
  </si>
  <si>
    <t>2015-2-4 17:27:57.802: OrderManagerView - UpdateMainSheetOpenOrder - entering UpdateMainSheetOpenOrder order.status is In-Flight</t>
  </si>
  <si>
    <t>STP LMT</t>
  </si>
  <si>
    <t>2015-2-4 17:27:57.807: OrderManager - sendOrder - exiting place order id 8619 BUY 0 0.001  - workingQty 0 currentPosition is 45 workingOrderCount is 1</t>
  </si>
  <si>
    <t>2015-2-4 17:27:57.808: OrderManager - createOrder - exiting without creating order - did not have validID</t>
  </si>
  <si>
    <t>2015-2-4 17:27:57.883: RTWSControl - errMsg - got error message 321:Error validating request:-'qd' : cause - The size value cannot be zero:with id 8619</t>
  </si>
  <si>
    <t>2015-2-4 17:27:57.884: OrderManager - invalidOrder - cleaning up after invalid order 8619</t>
  </si>
  <si>
    <t>2015-2-4 17:27:57.884: OrderManager - terminateOrder - cleaning up after Invalid 8619  order was supposed to BUY 0 0.001 STP LMT workingQty/OrderCount now 0/0</t>
  </si>
  <si>
    <t>2015-2-4 17:27:57.887: OrderManagerView - UpdateMainSheetOpenOrder - entering UpdateMainSheetOpenOrder order.status is Invalid</t>
  </si>
  <si>
    <t>Invalid</t>
  </si>
  <si>
    <t>2015-2-4 17:27:57.899: RTWSControl - nextValidId - entering nextValidId id is 8619</t>
  </si>
  <si>
    <t>2015-2-4 17:28:1.2: AutostopView - getBuyPrice - an error occurred Type mismatch</t>
  </si>
  <si>
    <t>2015-2-4 17:28:1.5: AutostopView - getBuyQty - an error occurred Type mismatch</t>
  </si>
  <si>
    <t>2015-2-4 17:28:1.8: AutostopView - getSellPrice - an error occurred Type mismatch</t>
  </si>
  <si>
    <t>2015-2-4 17:28:1.10: AutostopView - getSellQty - an error occurred Type mismatch</t>
  </si>
  <si>
    <t>2015-2-4 17:28:1.11: OrderManager - PlaceOrder - id 8619 workingQty 0</t>
  </si>
  <si>
    <t>2015-2-4 17:28:1.13: OrderManager - PlaceOrder - An Error Occurred This key is already associated with an element of this collection</t>
  </si>
  <si>
    <t>2015-2-4 17:28:1.16: OrderManagerView - UpdateMainSheetOpenOrder - entering UpdateMainSheetOpenOrder order.status is In-Flight</t>
  </si>
  <si>
    <t>2015-2-4 17:28:1.23: OrderManager - sendOrder - exiting place order id 8619 BUY 0 0.001  - workingQty 0 currentPosition is 45 workingOrderCount is 1</t>
  </si>
  <si>
    <t>2015-2-4 17:28:1.24: OrderManager - createOrder - exiting without creating order - did not have validID</t>
  </si>
  <si>
    <t>2015-2-4 17:28:1.182: RTWSControl - errMsg - got error message 321:Error validating request:-'qd' : cause - The size value cannot be zero:with id 8619</t>
  </si>
  <si>
    <t>2015-2-4 17:28:1.183: OrderManager - invalidOrder - cleaning up after invalid order 8619</t>
  </si>
  <si>
    <t>2015-2-4 17:28:1.183: OrderManager - terminateOrder - cleaning up after Invalid 8619  order was supposed to BUY 0 0.001 STP LMT workingQty/OrderCount now 0/0</t>
  </si>
  <si>
    <t>2015-2-4 17:28:1.186: OrderManagerView - UpdateMainSheetOpenOrder - entering UpdateMainSheetOpenOrder order.status is Invalid</t>
  </si>
  <si>
    <t>2015-2-4 17:28:1.218: RTWSControl - nextValidId - entering nextValidId id is 8619</t>
  </si>
  <si>
    <t>2015-2-4 17:28:2.58: OrderManagerView - UpdateMainSheetOpenOrder - entering UpdateMainSheetOpenOrder order.status is In-Flight</t>
  </si>
  <si>
    <t>2015-2-4 17:28:2.984: AutostopView - getBuyPrice - an error occurred Type mismatch</t>
  </si>
  <si>
    <t>2015-2-4 17:28:2.984: AutostopView - getBuyQty - an error occurred Type mismatch</t>
  </si>
  <si>
    <t>2015-2-4 17:28:2.985: AutostopView - getSellPrice - an error occurred Type mismatch</t>
  </si>
  <si>
    <t>2015-2-4 17:28:2.986: AutostopView - getSellQty - an error occurred Type mismatch</t>
  </si>
  <si>
    <t>2015-2-4 17:28:2.986: OrderManager - PlaceOrder - id 8619 workingQty 0</t>
  </si>
  <si>
    <t>2015-2-4 17:28:2.986: OrderManager - PlaceOrder - An Error Occurred This key is already associated with an element of this collection</t>
  </si>
  <si>
    <t>2015-2-4 17:28:2.987: OrderManagerView - UpdateMainSheetOpenOrder - entering UpdateMainSheetOpenOrder order.status is In-Flight</t>
  </si>
  <si>
    <t>2015-2-4 17:28:2.989: OrderManager - sendOrder - exiting place order id 8619 BUY 0 0.001  - workingQty 0 currentPosition is 45 workingOrderCount is 1</t>
  </si>
  <si>
    <t>2015-2-4 17:28:2.990: OrderManager - createOrder - exiting without creating order - did not have validID</t>
  </si>
  <si>
    <t>2015-2-4 17:28:3.56: AutostopView - getBuyPrice - an error occurred Type mismatch</t>
  </si>
  <si>
    <t>2015-2-4 17:28:3.56: AutostopView - getBuyQty - an error occurred Type mismatch</t>
  </si>
  <si>
    <t>2015-2-4 17:28:3.57: AutostopView - getSellPrice - an error occurred Type mismatch</t>
  </si>
  <si>
    <t>2015-2-4 17:28:3.58: AutostopView - getSellQty - an error occurred Type mismatch</t>
  </si>
  <si>
    <t>2015-2-4 17:28:3.58: OrderManager - createOrder - exiting without creating order - did not have validID</t>
  </si>
  <si>
    <t>2015-2-4 17:28:3.147: RTWSControl - errMsg - got error message 321:Error validating request:-'qd' : cause - The size value cannot be zero:with id 8619</t>
  </si>
  <si>
    <t>2015-2-4 17:28:3.147: OrderManager - invalidOrder - cleaning up after invalid order 8619</t>
  </si>
  <si>
    <t>2015-2-4 17:28:3.148: OrderManager - terminateOrder - cleaning up after Invalid 8619  order was supposed to BUY 0 0.001 STP LMT workingQty/OrderCount now 0/0</t>
  </si>
  <si>
    <t>2015-2-4 17:28:3.150: OrderManagerView - UpdateMainSheetOpenOrder - entering UpdateMainSheetOpenOrder order.status is Invalid</t>
  </si>
  <si>
    <t>2015-2-4 17:28:3.182: RTWSControl - nextValidId - entering nextValidId id is 8619</t>
  </si>
  <si>
    <t>2015-2-4 17:28:3.230: AutostopView - getBuyPrice - an error occurred Type mismatch</t>
  </si>
  <si>
    <t>2015-2-4 17:28:3.231: AutostopView - getBuyQty - an error occurred Type mismatch</t>
  </si>
  <si>
    <t>2015-2-4 17:28:3.232: AutostopView - getSellPrice - an error occurred Type mismatch</t>
  </si>
  <si>
    <t>2015-2-4 17:28:3.233: AutostopView - getSellQty - an error occurred Type mismatch</t>
  </si>
  <si>
    <t>2015-2-4 17:28:3.233: OrderManager - PlaceOrder - id 8619 workingQty 0</t>
  </si>
  <si>
    <t>2015-2-4 17:28:3.233: OrderManager - PlaceOrder - An Error Occurred This key is already associated with an element of this collection</t>
  </si>
  <si>
    <t>2015-2-4 17:28:3.234: OrderManagerView - UpdateMainSheetOpenOrder - entering UpdateMainSheetOpenOrder order.status is In-Flight</t>
  </si>
  <si>
    <t>2015-2-4 17:28:3.236: OrderManager - sendOrder - exiting place order id 8619 BUY 0 0.001  - workingQty 0 currentPosition is 45 workingOrderCount is 1</t>
  </si>
  <si>
    <t>2015-2-4 17:28:3.237: OrderManager - createOrder - exiting without creating order - did not have validID</t>
  </si>
  <si>
    <t>2015-2-4 17:28:3.401: AutostopView - getBuyPrice - an error occurred Type mismatch</t>
  </si>
  <si>
    <t>2015-2-4 17:28:3.402: AutostopView - getBuyQty - an error occurred Type mismatch</t>
  </si>
  <si>
    <t>2015-2-4 17:28:3.403: AutostopView - getSellPrice - an error occurred Type mismatch</t>
  </si>
  <si>
    <t>2015-2-4 17:28:3.404: AutostopView - getSellQty - an error occurred Type mismatch</t>
  </si>
  <si>
    <t>2015-2-4 17:28:3.404: OrderManager - createOrder - exiting without creating order - did not have validID</t>
  </si>
  <si>
    <t>2015-2-4 17:28:3.511: RTWSControl - errMsg - got error message 321:Error validating request:-'qd' : cause - The size value cannot be zero:with id 8619</t>
  </si>
  <si>
    <t>2015-2-4 17:28:3.512: OrderManager - invalidOrder - cleaning up after invalid order 8619</t>
  </si>
  <si>
    <t>2015-2-4 17:28:3.512: OrderManager - terminateOrder - cleaning up after Invalid 8619  order was supposed to BUY 0 0.001 STP LMT workingQty/OrderCount now 0/0</t>
  </si>
  <si>
    <t>2015-2-4 17:28:3.515: OrderManagerView - UpdateMainSheetOpenOrder - entering UpdateMainSheetOpenOrder order.status is Invalid</t>
  </si>
  <si>
    <t>2015-2-4 17:28:3.526: RTWSControl - nextValidId - entering nextValidId id is 8619</t>
  </si>
  <si>
    <t>2015-2-4 17:28:6.8: OrderManagerView - UpdateMainSheetOpenOrder - entering UpdateMainSheetOpenOrder order.status is In-Flight</t>
  </si>
  <si>
    <t>2015-2-4 17:28:6.11: OrderManagerView - UpdateMainSheetOpenOrder - entering UpdateMainSheetOpenOrder order.status is In-Flight</t>
  </si>
  <si>
    <t>2015-2-4 17:28:6.14: OrderManagerView - UpdateMainSheetOpenOrder - entering UpdateMainSheetOpenOrder order.status is In-Flight</t>
  </si>
  <si>
    <t>2015-2-4 17:28:8.830: OrderManagerView - UpdateMainSheetOpenOrder - entering UpdateMainSheetOpenOrder order.status is In-Flight</t>
  </si>
  <si>
    <t>2015-2-4 17:28:8.836: OrderManagerView - UpdateMainSheetOpenOrder - entering UpdateMainSheetOpenOrder order.status is In-Flight</t>
  </si>
  <si>
    <t>2015-2-4 17:28:8.839: OrderManagerView - UpdateMainSheetOpenOrder - entering UpdateMainSheetOpenOrder order.status is In-Flight</t>
  </si>
  <si>
    <t>2015-2-4 17:28:8.850: OrderManagerView - UpdateMainSheetOpenOrder - entering UpdateMainSheetOpenOrder order.status is In-Flight</t>
  </si>
  <si>
    <t>2015-2-4 17:28:8.853: OrderManagerView - UpdateMainSheetOpenOrder - entering UpdateMainSheetOpenOrder order.status is In-Flight</t>
  </si>
  <si>
    <t>2015-2-4 17:28:8.856: OrderManagerView - UpdateMainSheetOpenOrder - entering UpdateMainSheetOpenOrder order.status is In-Flight</t>
  </si>
  <si>
    <t>2015-2-4 17:28:37.62: RTWSControl - errMsg - got error message 300:Can't find EId with tickerId:200047with id 200047</t>
  </si>
  <si>
    <t>2015-2-4 17:28:37.63: RTWSControl - errMsg - Got Error_x000D_id: 200047_x000D_errorCode: 300_x000D_errorMsg: Can't find EId with tickerId:200047</t>
  </si>
  <si>
    <t>2015-2-4 17:28:37.79: RTWSControl - errMsg - got error message 300:Can't find EId with tickerId:200048with id 200048</t>
  </si>
  <si>
    <t>2015-2-4 17:28:37.79: RTWSControl - errMsg - Got Error_x000D_id: 200048_x000D_errorCode: 300_x000D_errorMsg: Can't find EId with tickerId:200048</t>
  </si>
  <si>
    <t>2015-2-4 17:28:37.114: RTWSControl - errMsg - got error message 300:Can't find EId with tickerId:200049with id 200049</t>
  </si>
  <si>
    <t>2015-2-4 17:28:37.115: RTWSControl - errMsg - Got Error_x000D_id: 200049_x000D_errorCode: 300_x000D_errorMsg: Can't find EId with tickerId:200049</t>
  </si>
  <si>
    <t>2015-2-4 17:28:37.121: RTWSControl - errMsg - got error message 300:Can't find EId with tickerId:200050with id 200050</t>
  </si>
  <si>
    <t>2015-2-4 17:28:37.122: RTWSControl - errMsg - Got Error_x000D_id: 200050_x000D_errorCode: 300_x000D_errorMsg: Can't find EId with tickerId:200050</t>
  </si>
  <si>
    <t>2015-2-4 17:28:37.127: RTWSControl - errMsg - got error message 300:Can't find EId with tickerId:200051with id 200051</t>
  </si>
  <si>
    <t>2015-2-4 17:28:37.128: RTWSControl - errMsg - Got Error_x000D_id: 200051_x000D_errorCode: 300_x000D_errorMsg: Can't find EId with tickerId:200051</t>
  </si>
  <si>
    <t>2015-2-4 17:28:37.143: RTWSControl - errMsg - got error message 300:Can't find EId with tickerId:200052with id 200052</t>
  </si>
  <si>
    <t>2015-2-4 17:28:37.143: RTWSControl - errMsg - Got Error_x000D_id: 200052_x000D_errorCode: 300_x000D_errorMsg: Can't find EId with tickerId:200052</t>
  </si>
  <si>
    <t>2015-2-4 17:28:37.150: RTWSControl - errMsg - got error message 300:Can't find EId with tickerId:200053with id 200053</t>
  </si>
  <si>
    <t>2015-2-4 17:28:37.150: RTWSControl - errMsg - Got Error_x000D_id: 200053_x000D_errorCode: 300_x000D_errorMsg: Can't find EId with tickerId:200053</t>
  </si>
  <si>
    <t>2015-2-4 17:28:37.156: RTWSControl - errMsg - got error message 300:Can't find EId with tickerId:200054with id 200054</t>
  </si>
  <si>
    <t>2015-2-4 17:28:37.156: RTWSControl - errMsg - Got Error_x000D_id: 200054_x000D_errorCode: 300_x000D_errorMsg: Can't find EId with tickerId:200054</t>
  </si>
  <si>
    <t>2015-2-4 17:28:37.177: RTWSControl - errMsg - got error message 300:Can't find EId with tickerId:200055with id 200055</t>
  </si>
  <si>
    <t>2015-2-4 17:28:37.178: RTWSControl - errMsg - Got Error_x000D_id: 200055_x000D_errorCode: 300_x000D_errorMsg: Can't find EId with tickerId:200055</t>
  </si>
  <si>
    <t>2015-2-4 17:28:37.183: RTWSControl - errMsg - got error message 300:Can't find EId with tickerId:200056with id 200056</t>
  </si>
  <si>
    <t>2015-2-4 17:28:37.184: RTWSControl - errMsg - Got Error_x000D_id: 200056_x000D_errorCode: 300_x000D_errorMsg: Can't find EId with tickerId:200056</t>
  </si>
  <si>
    <t>2015-2-4 17:28:37.191: RTWSControl - errMsg - got error message 300:Can't find EId with tickerId:200057with id 200057</t>
  </si>
  <si>
    <t>2015-2-4 17:28:37.191: RTWSControl - errMsg - Got Error_x000D_id: 200057_x000D_errorCode: 300_x000D_errorMsg: Can't find EId with tickerId:200057</t>
  </si>
  <si>
    <t>2015-2-4 17:29:4.515: OrderManager - PlaceOrder - id 8619 workingQty 33</t>
  </si>
  <si>
    <t>2015-2-4 17:29:4.515: OrderManager - PlaceOrder - An Error Occurred This key is already associated with an element of this collection</t>
  </si>
  <si>
    <t>2015-2-4 17:29:4.516: OrderManagerView - UpdateMainSheetOpenOrder - entering UpdateMainSheetOpenOrder order.status is In-Flight</t>
  </si>
  <si>
    <t>2015-2-4 17:29:4.517: OrderManager - sendOrder - exiting place order id 8619 BUY 33 1.5268  - workingQty 33 currentPosition is 45 workingOrderCount is 1</t>
  </si>
  <si>
    <t>2015-2-4 17:29:4.518: OrderManager - createOrder - exiting without creating order - did not have validID</t>
  </si>
  <si>
    <t>2015-2-4 17:29:5.965: RTWSControl - nextValidId - entering nextValidId id is 8620</t>
  </si>
  <si>
    <t>2015-2-4 17:29:5.975: openOrderEx - I am here</t>
  </si>
  <si>
    <t>2015-2-4 17:29:5.976: OrderManagerView - UpdateMainSheetOpenOrder - entering UpdateMainSheetOpenOrder order.status is Invalid</t>
  </si>
  <si>
    <t>2015-2-4 17:29:6.9: RTWSControl - orderStatus -  entering orderStatus id is 8619 status is PreSubmitted</t>
  </si>
  <si>
    <t>2015-2-4 17:29:6.10: OrderManager - UpdateOrderStatus - id 8619 Setting status to PreSubmitted workingOrderCount is now 1 workingQty 33</t>
  </si>
  <si>
    <t>2015-2-4 17:29:6.10: OrderManager - terminateOrder - cleaning up after PreSubmitted 8619  order was supposed to BUY 0 0.001 STP LMT workingQty/OrderCount now 0/0</t>
  </si>
  <si>
    <t>2015-2-4 17:29:6.12: OrderManagerView - UpdateMainSheetOpenOrder - entering UpdateMainSheetOpenOrder order.status is PreSubmitted</t>
  </si>
  <si>
    <t>2015-2-4 17:29:6.14: OrderManagerView - UpdateMainSheetOpenOrder - entering UpdateMainSheetOpenOrder order.status is PreSubmitted</t>
  </si>
  <si>
    <t>2015-2-4 17:29:6.15: RTWSControl - OrderStatus - Got OrderStatus Message id:8619 status: PreSubmitted filled: 0</t>
  </si>
  <si>
    <t>2015-2-4 17:29:6.16: RTWSControl - OrderStatus - exiting orderStatus</t>
  </si>
  <si>
    <t>2015-2-4 17:29:6.95: OrderManager - PlaceOrder - id 8620 workingQty 34</t>
  </si>
  <si>
    <t>2015-2-4 17:29:6.96: OrderManagerView - UpdateMainSheetOpenOrder - entering UpdateMainSheetOpenOrder order.status is In-Flight</t>
  </si>
  <si>
    <t>2015-2-4 17:29:6.99: OrderManager - sendOrder - exiting place order id 8620 BUY 34 1.527  - workingQty 34 currentPosition is 45 workingOrderCount is 1</t>
  </si>
  <si>
    <t>2015-2-4 17:29:6.100: OrderManager - createOrder - exiting without creating order - did not have validID</t>
  </si>
  <si>
    <t>2015-2-4 17:29:6.347: RTWSControl - nextValidId - entering nextValidId id is 8621</t>
  </si>
  <si>
    <t>2015-2-4 17:29:6.369: openOrderEx - I am here</t>
  </si>
  <si>
    <t>2015-2-4 17:29:6.370: OrderManagerView - UpdateMainSheetOpenOrder - entering UpdateMainSheetOpenOrder order.status is In-Flight</t>
  </si>
  <si>
    <t>2015-2-4 17:29:6.390: RTWSControl - orderStatus -  entering orderStatus id is 8620 status is PreSubmitted</t>
  </si>
  <si>
    <t>2015-2-4 17:29:6.391: OrderManager - UpdateOrderStatus - id 8620 Setting status to PreSubmitted workingOrderCount is now 1 workingQty 34</t>
  </si>
  <si>
    <t>2015-2-4 17:29:6.392: OrderManagerView - UpdateMainSheetOpenOrder - entering UpdateMainSheetOpenOrder order.status is PreSubmitted</t>
  </si>
  <si>
    <t>2015-2-4 17:29:6.395: RTWSControl - OrderStatus - Got OrderStatus Message id:8620 status: PreSubmitted filled: 0</t>
  </si>
  <si>
    <t>2015-2-4 17:29:6.396: RTWSControl - OrderStatus - exiting orderStatus</t>
  </si>
  <si>
    <t>2015-2-4 17:29:8.349: OrderManager - PlaceOrder - id 8621 workingQty 1</t>
  </si>
  <si>
    <t>2015-2-4 17:29:8.350: OrderManagerView - UpdateMainSheetOpenOrder - entering UpdateMainSheetOpenOrder order.status is In-Flight</t>
  </si>
  <si>
    <t>2015-2-4 17:29:8.350: OrderManagerView - findNextOORow - there are no available OpenOrderView Rows!!!!!!</t>
  </si>
  <si>
    <t>2015-2-4 17:29:8.352: OrderManager - sendOrder - exiting place order id 8621 SELL 33 1.5184  - workingQty 1 currentPosition is 45 workingOrderCount is 2</t>
  </si>
  <si>
    <t>2015-2-4 17:29:9.329: RTWSControl - nextValidId - entering nextValidId id is 8622</t>
  </si>
  <si>
    <t>2015-2-4 17:29:9.580: openOrderEx - I am here</t>
  </si>
  <si>
    <t>2015-2-4 17:29:9.580: OrderManagerView - UpdateMainSheetOpenOrder - entering UpdateMainSheetOpenOrder order.status is In-Flight</t>
  </si>
  <si>
    <t>2015-2-4 17:29:9.605: RTWSControl - orderStatus -  entering orderStatus id is 8621 status is PreSubmitted</t>
  </si>
  <si>
    <t>2015-2-4 17:29:9.605: OrderManager - UpdateOrderStatus - id 8621 Setting status to PreSubmitted workingOrderCount is now 2 workingQty 1</t>
  </si>
  <si>
    <t>2015-2-4 17:29:9.606: OrderManagerView - UpdateMainSheetOpenOrder - entering UpdateMainSheetOpenOrder order.status is PreSubmitted</t>
  </si>
  <si>
    <t>2015-2-4 17:29:9.608: RTWSControl - OrderStatus - Got OrderStatus Message id:8621 status: PreSubmitted filled: 0</t>
  </si>
  <si>
    <t>2015-2-4 17:29:9.608: RTWSControl - OrderStatus - exiting orderStatus</t>
  </si>
  <si>
    <t>2015-2-4 17:29:10.1: OrderManagerView - UpdateMainSheetOpenOrder - entering UpdateMainSheetOpenOrder order.status is PreSubmitted</t>
  </si>
  <si>
    <t>2015-2-4 17:29:10.8: OrderManagerView - UpdateMainSheetOpenOrder - entering UpdateMainSheetOpenOrder order.status is In-Flight</t>
  </si>
  <si>
    <t>2015-2-4 17:29:10.9: OrderManagerView - UpdateMainSheetOpenOrder - entering UpdateMainSheetOpenOrder order.status is In-Flight</t>
  </si>
  <si>
    <t>2015-2-4 17:29:10.10: OrderManagerView - UpdateMainSheetOpenOrder - entering UpdateMainSheetOpenOrder order.status is In-Flight</t>
  </si>
  <si>
    <t>2015-2-4 17:29:10.12: OrderManagerView - UpdateMainSheetOpenOrder - entering UpdateMainSheetOpenOrder order.status is PreSubmitted</t>
  </si>
  <si>
    <t>2015-2-4 17:29:11.345: OrderManagerView - UpdateMainSheetOpenOrder - entering UpdateMainSheetOpenOrder order.status is PreSubmitted</t>
  </si>
  <si>
    <t>2015-2-4 17:29:11.352: OrderManagerView - UpdateMainSheetOpenOrder - entering UpdateMainSheetOpenOrder order.status is In-Flight</t>
  </si>
  <si>
    <t>2015-2-4 17:29:11.356: OrderManagerView - UpdateMainSheetOpenOrder - entering UpdateMainSheetOpenOrder order.status is In-Flight</t>
  </si>
  <si>
    <t>2015-2-4 17:29:11.359: OrderManagerView - UpdateMainSheetOpenOrder - entering UpdateMainSheetOpenOrder order.status is In-Flight</t>
  </si>
  <si>
    <t>2015-2-4 17:29:11.362: OrderManagerView - UpdateMainSheetOpenOrder - entering UpdateMainSheetOpenOrder order.status is PreSubmitted</t>
  </si>
  <si>
    <t>2015-2-4 17:29:11.377: OrderManagerView - UpdateMainSheetOpenOrder - entering UpdateMainSheetOpenOrder order.status is PreSubmitted</t>
  </si>
  <si>
    <t>2015-2-4 17:29:11.380: OrderManagerView - UpdateMainSheetOpenOrder - entering UpdateMainSheetOpenOrder order.status is In-Flight</t>
  </si>
  <si>
    <t>2015-2-4 17:29:11.383: OrderManagerView - UpdateMainSheetOpenOrder - entering UpdateMainSheetOpenOrder order.status is In-Flight</t>
  </si>
  <si>
    <t>2015-2-4 17:29:11.386: OrderManagerView - UpdateMainSheetOpenOrder - entering UpdateMainSheetOpenOrder order.status is In-Flight</t>
  </si>
  <si>
    <t>2015-2-4 17:29:11.388: OrderManagerView - UpdateMainSheetOpenOrder - entering UpdateMainSheetOpenOrder order.status is PreSubmitted</t>
  </si>
  <si>
    <t>2015-2-4 17:29:20.239: Algorithm - FindNextStrikes - price is 1.52005 nextStrikeUp/Down 1.525/1.52</t>
  </si>
  <si>
    <t>2015-2-4 17:29:20.239: Algorithm - getPortfolioForwardDelta - required deltas is -82 currentHedgePosition is 45</t>
  </si>
  <si>
    <t>2015-2-4 17:29:20.240: Algorithm - getHedgeShortfall - required deltas is -82 price is 1.51995 currentHedgePositionDeltas is 45</t>
  </si>
  <si>
    <t>2015-2-4 17:29:20.240: Algorithm - processTransitionPoint - nextUpper/LowerStrikes are 1.525/1.52 requiredDeltas/currentPosition/currentHedgeShortfall/direction/transitionPrice are -82/45/-127/-1/1.51995</t>
  </si>
  <si>
    <t>2015-2-4 17:29:20.241: TransitionLogger - processTransitionpoint - checking transition - currentHedgeShortfall is -127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</si>
</sst>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7" fillId="2" borderId="8" xfId="0" applyFont="1" applyFill="1" applyBorder="1" applyAlignment="1">
      <alignment horizontal="left"/>
    </xf>
    <xf numFmtId="0" fontId="19" fillId="0" borderId="0" xfId="0" applyFo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abSelected="1" zoomScale="65" zoomScaleNormal="65" workbookViewId="0">
      <selection activeCell="P39" sqref="P39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184</v>
      </c>
      <c r="C1">
        <v>3</v>
      </c>
      <c r="D1" t="s">
        <v>185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109" t="s">
        <v>124</v>
      </c>
      <c r="B6" s="109"/>
      <c r="C6" s="109"/>
      <c r="D6" s="109"/>
      <c r="E6" s="109" t="s">
        <v>125</v>
      </c>
      <c r="F6" s="109"/>
      <c r="G6" s="109" t="s">
        <v>126</v>
      </c>
      <c r="H6" s="109"/>
      <c r="I6" s="109" t="s">
        <v>127</v>
      </c>
      <c r="J6" s="109"/>
      <c r="K6" s="109" t="s">
        <v>128</v>
      </c>
      <c r="L6" s="109"/>
      <c r="M6" s="109" t="s">
        <v>129</v>
      </c>
      <c r="N6" s="109"/>
      <c r="O6" s="109"/>
      <c r="P6" s="109"/>
      <c r="Q6" s="109"/>
      <c r="R6" s="109"/>
      <c r="S6" s="109"/>
      <c r="T6" s="109"/>
      <c r="U6" s="61"/>
      <c r="V6" s="61"/>
      <c r="W6" s="61"/>
      <c r="AF6" s="36"/>
    </row>
    <row r="7" spans="1:32" x14ac:dyDescent="0.25">
      <c r="A7" s="110" t="s">
        <v>130</v>
      </c>
      <c r="B7" s="110"/>
      <c r="C7" s="110">
        <v>7497</v>
      </c>
      <c r="D7" s="110"/>
      <c r="E7" s="110">
        <v>7</v>
      </c>
      <c r="F7" s="110"/>
      <c r="G7" s="110">
        <v>5</v>
      </c>
      <c r="H7" s="110"/>
      <c r="I7" s="111">
        <v>0.96388888888888891</v>
      </c>
      <c r="J7" s="112"/>
      <c r="K7" s="107" t="s">
        <v>199</v>
      </c>
      <c r="L7" s="108"/>
      <c r="M7" s="113"/>
      <c r="N7" s="114"/>
      <c r="O7" s="113"/>
      <c r="P7" s="114"/>
      <c r="Q7" s="113"/>
      <c r="R7" s="114"/>
      <c r="S7" s="113"/>
      <c r="T7" s="114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18" t="s">
        <v>135</v>
      </c>
      <c r="B12" s="118"/>
      <c r="C12" s="118" t="s">
        <v>136</v>
      </c>
      <c r="D12" s="118"/>
      <c r="E12" s="65" t="s">
        <v>137</v>
      </c>
      <c r="F12" s="65"/>
      <c r="G12" s="118" t="s">
        <v>138</v>
      </c>
      <c r="H12" s="118"/>
      <c r="I12" s="118" t="s">
        <v>139</v>
      </c>
      <c r="J12" s="118"/>
      <c r="K12" s="109" t="s">
        <v>140</v>
      </c>
      <c r="L12" s="109"/>
      <c r="M12" s="109" t="s">
        <v>141</v>
      </c>
      <c r="N12" s="109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1004318.76</v>
      </c>
      <c r="B13" s="3"/>
      <c r="C13" s="5">
        <v>741324.78</v>
      </c>
      <c r="D13" s="3"/>
      <c r="E13" s="5">
        <v>604106.88</v>
      </c>
      <c r="F13" s="5"/>
      <c r="G13" s="5">
        <v>262993.98</v>
      </c>
      <c r="H13" s="5"/>
      <c r="I13" s="5">
        <v>36791</v>
      </c>
      <c r="J13" s="5"/>
      <c r="K13" s="6">
        <v>-24398</v>
      </c>
      <c r="L13" s="4"/>
      <c r="M13" s="62" t="s">
        <v>200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8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15">
        <v>5</v>
      </c>
      <c r="F21" s="115"/>
      <c r="G21" s="81">
        <v>5</v>
      </c>
      <c r="H21" s="81">
        <v>10</v>
      </c>
      <c r="I21" s="81">
        <v>0.2</v>
      </c>
      <c r="J21" s="81"/>
      <c r="K21" s="116">
        <v>8</v>
      </c>
      <c r="L21" s="117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154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155</v>
      </c>
      <c r="Q26" s="10"/>
      <c r="R26" s="10" t="s">
        <v>156</v>
      </c>
      <c r="S26" s="10" t="s">
        <v>157</v>
      </c>
      <c r="T26" s="10" t="s">
        <v>158</v>
      </c>
      <c r="U26" s="10" t="s">
        <v>159</v>
      </c>
      <c r="V26" s="10" t="s">
        <v>160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180</v>
      </c>
      <c r="I27" s="64" t="s">
        <v>25</v>
      </c>
      <c r="J27" s="64">
        <v>45</v>
      </c>
      <c r="K27" s="64">
        <v>1.5201</v>
      </c>
      <c r="L27" s="64"/>
      <c r="M27" s="64">
        <v>52</v>
      </c>
      <c r="N27" s="64">
        <v>1.52</v>
      </c>
      <c r="O27" s="64">
        <v>1.5201</v>
      </c>
      <c r="P27" s="64">
        <v>5</v>
      </c>
      <c r="Q27" s="64"/>
      <c r="R27" s="64">
        <v>1.52024995</v>
      </c>
      <c r="S27" s="64">
        <v>4275703.0199999996</v>
      </c>
      <c r="T27" s="64">
        <v>94887.446796300006</v>
      </c>
      <c r="U27" s="64">
        <v>5767.91</v>
      </c>
      <c r="V27" s="64">
        <v>56509.17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5" t="s">
        <v>161</v>
      </c>
      <c r="D29" s="106"/>
      <c r="E29" s="12">
        <v>1.52</v>
      </c>
      <c r="F29" s="12"/>
      <c r="G29" s="106" t="s">
        <v>162</v>
      </c>
      <c r="H29" s="106"/>
      <c r="I29" s="12">
        <v>1.5249999999999999</v>
      </c>
      <c r="J29" s="12"/>
      <c r="K29" s="106" t="s">
        <v>163</v>
      </c>
      <c r="L29" s="106"/>
      <c r="M29" s="12">
        <v>-82</v>
      </c>
      <c r="N29" s="13"/>
      <c r="O29" s="106" t="s">
        <v>164</v>
      </c>
      <c r="P29" s="106"/>
      <c r="Q29" s="30">
        <v>1.5201360604109275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5"/>
      <c r="D30" s="106"/>
      <c r="E30" s="12">
        <v>0</v>
      </c>
      <c r="F30" s="12"/>
      <c r="G30" s="106" t="s">
        <v>195</v>
      </c>
      <c r="H30" s="106"/>
      <c r="I30" s="12">
        <v>50</v>
      </c>
      <c r="J30" s="12"/>
      <c r="K30" s="106" t="s">
        <v>196</v>
      </c>
      <c r="L30" s="106"/>
      <c r="M30" s="12">
        <v>45</v>
      </c>
      <c r="N30" s="13"/>
      <c r="O30" s="106" t="s">
        <v>165</v>
      </c>
      <c r="P30" s="106"/>
      <c r="Q30" s="30">
        <v>1.5201902257783781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5"/>
      <c r="D31" s="106"/>
      <c r="E31" s="12">
        <v>-1</v>
      </c>
      <c r="F31" s="12"/>
      <c r="G31" s="106" t="s">
        <v>193</v>
      </c>
      <c r="H31" s="106"/>
      <c r="I31" s="12">
        <v>49</v>
      </c>
      <c r="J31" s="12"/>
      <c r="K31" s="106" t="s">
        <v>197</v>
      </c>
      <c r="L31" s="106"/>
      <c r="M31" s="12">
        <v>-127</v>
      </c>
      <c r="N31" s="13"/>
      <c r="O31" s="106" t="s">
        <v>99</v>
      </c>
      <c r="P31" s="106"/>
      <c r="Q31" s="12">
        <v>-1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194</v>
      </c>
      <c r="C32" s="102">
        <v>73</v>
      </c>
      <c r="D32" s="92"/>
      <c r="E32" s="92">
        <v>1.5037</v>
      </c>
      <c r="F32" s="92"/>
      <c r="G32" s="92" t="s">
        <v>193</v>
      </c>
      <c r="H32" s="92"/>
      <c r="I32" s="92">
        <v>73</v>
      </c>
      <c r="J32" s="92"/>
      <c r="K32" s="92">
        <v>0</v>
      </c>
      <c r="L32" s="92"/>
      <c r="M32" s="92"/>
      <c r="N32" s="93"/>
      <c r="O32" s="92"/>
      <c r="P32" s="92"/>
      <c r="Q32" s="92"/>
      <c r="R32" s="93"/>
      <c r="S32" s="92"/>
      <c r="T32" s="93"/>
      <c r="U32" s="92"/>
      <c r="V32" s="93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8" t="s">
        <v>166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Q34" s="94" t="s">
        <v>186</v>
      </c>
      <c r="R34" s="94"/>
      <c r="S34" s="94"/>
      <c r="T34" s="94"/>
      <c r="U34" s="94"/>
      <c r="V34" s="94"/>
      <c r="W34" s="94"/>
    </row>
    <row r="35" spans="1:33" s="11" customFormat="1" ht="39" customHeight="1" x14ac:dyDescent="0.3">
      <c r="A35" s="87" t="s">
        <v>26</v>
      </c>
      <c r="B35" s="96" t="s">
        <v>27</v>
      </c>
      <c r="C35" s="96"/>
      <c r="D35" s="96"/>
      <c r="E35" s="96"/>
      <c r="F35" s="88"/>
      <c r="G35" s="96" t="s">
        <v>28</v>
      </c>
      <c r="H35" s="96"/>
      <c r="I35" s="96"/>
      <c r="J35" s="96"/>
      <c r="K35" s="96"/>
      <c r="L35" s="88"/>
      <c r="M35" s="96" t="s">
        <v>167</v>
      </c>
      <c r="N35" s="96"/>
      <c r="O35" s="97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198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168</v>
      </c>
      <c r="M36" s="90" t="s">
        <v>169</v>
      </c>
      <c r="N36" s="90" t="s">
        <v>170</v>
      </c>
      <c r="O36" s="90" t="s">
        <v>171</v>
      </c>
      <c r="Q36" s="75">
        <f>SUM(U47:U67)+J27</f>
        <v>24.774812534689143</v>
      </c>
      <c r="R36" s="76">
        <f>SUM(X47:X67)</f>
        <v>-10514.933347726705</v>
      </c>
      <c r="S36" s="74">
        <f>SUM(W47:W67)</f>
        <v>0.50225560271518388</v>
      </c>
      <c r="T36" s="76">
        <f>S36*62500</f>
        <v>31390.975169698992</v>
      </c>
      <c r="U36" s="73">
        <v>0.02</v>
      </c>
      <c r="V36" s="77">
        <f>-1*U36*W36</f>
        <v>-1763.875</v>
      </c>
      <c r="W36" s="77">
        <f>AG45</f>
        <v>88193.75</v>
      </c>
      <c r="X36" s="46"/>
      <c r="Y36" s="46"/>
      <c r="AC36" s="38"/>
    </row>
    <row r="37" spans="1:33" ht="18.75" x14ac:dyDescent="0.3">
      <c r="A37" s="2" t="s">
        <v>180</v>
      </c>
      <c r="B37" s="16" t="s">
        <v>194</v>
      </c>
      <c r="C37" s="16">
        <v>33</v>
      </c>
      <c r="D37" s="16" t="s">
        <v>277</v>
      </c>
      <c r="E37" s="16">
        <v>1.5194000000000001</v>
      </c>
      <c r="F37" s="2">
        <v>8621</v>
      </c>
      <c r="G37" s="18" t="s">
        <v>193</v>
      </c>
      <c r="H37" s="2">
        <v>0</v>
      </c>
      <c r="I37" s="2">
        <v>33</v>
      </c>
      <c r="J37" s="2">
        <v>0</v>
      </c>
      <c r="K37" s="2">
        <v>0</v>
      </c>
      <c r="L37" s="2"/>
      <c r="M37" s="2"/>
      <c r="N37" s="2"/>
      <c r="O37" s="2"/>
      <c r="Q37" s="71" t="s">
        <v>131</v>
      </c>
      <c r="R37" s="76">
        <f>ticksUpToLoss(V36,Q36,R36)</f>
        <v>56.606142131172824</v>
      </c>
      <c r="S37" s="76">
        <f>ticksDownToLoss(V36,Q36,R36)</f>
        <v>-9.4830426014066536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180</v>
      </c>
      <c r="B38" s="16" t="s">
        <v>184</v>
      </c>
      <c r="C38" s="16">
        <v>0</v>
      </c>
      <c r="D38" s="16" t="s">
        <v>277</v>
      </c>
      <c r="E38" s="16">
        <v>0</v>
      </c>
      <c r="F38" s="2">
        <v>8619</v>
      </c>
      <c r="G38" s="18" t="s">
        <v>207</v>
      </c>
      <c r="H38" s="2">
        <v>0</v>
      </c>
      <c r="I38" s="2">
        <v>0</v>
      </c>
      <c r="J38" s="2">
        <v>0</v>
      </c>
      <c r="K38" s="2">
        <v>0</v>
      </c>
      <c r="L38" s="2"/>
      <c r="M38" s="2"/>
      <c r="N38" s="2"/>
      <c r="O38" s="2"/>
      <c r="Q38" s="71" t="s">
        <v>132</v>
      </c>
      <c r="R38" s="76">
        <f>Q36+R36*(R37*0.0001)</f>
        <v>-34.746168623433533</v>
      </c>
      <c r="S38" s="76">
        <f>Q36+R36*(S37*0.0001)</f>
        <v>34.746168623433526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 t="s">
        <v>180</v>
      </c>
      <c r="B39" s="16" t="s">
        <v>184</v>
      </c>
      <c r="C39" s="16">
        <v>0</v>
      </c>
      <c r="D39" s="16" t="s">
        <v>277</v>
      </c>
      <c r="E39" s="16">
        <v>0</v>
      </c>
      <c r="F39" s="2">
        <v>8619</v>
      </c>
      <c r="G39" s="18" t="s">
        <v>207</v>
      </c>
      <c r="H39" s="2">
        <v>0</v>
      </c>
      <c r="I39" s="2">
        <v>0</v>
      </c>
      <c r="J39" s="2">
        <v>0</v>
      </c>
      <c r="K39" s="2">
        <v>0</v>
      </c>
      <c r="L39" s="2"/>
      <c r="M39" s="2"/>
      <c r="N39" s="2"/>
      <c r="O39" s="2"/>
      <c r="Q39" s="94" t="s">
        <v>133</v>
      </c>
      <c r="R39" s="94"/>
      <c r="S39" s="94"/>
      <c r="T39" s="94" t="s">
        <v>189</v>
      </c>
      <c r="U39" s="94"/>
      <c r="V39" s="94" t="s">
        <v>190</v>
      </c>
      <c r="W39" s="94"/>
      <c r="Y39" s="37"/>
      <c r="Z39" s="37"/>
      <c r="AA39" s="37"/>
      <c r="AB39" s="37"/>
      <c r="AC39" s="37"/>
    </row>
    <row r="40" spans="1:33" ht="21" x14ac:dyDescent="0.35">
      <c r="A40" s="2" t="s">
        <v>180</v>
      </c>
      <c r="B40" s="16" t="s">
        <v>184</v>
      </c>
      <c r="C40" s="16">
        <v>33</v>
      </c>
      <c r="D40" s="16" t="s">
        <v>277</v>
      </c>
      <c r="E40" s="16">
        <v>1.5258</v>
      </c>
      <c r="F40" s="2">
        <v>8619</v>
      </c>
      <c r="G40" s="18" t="s">
        <v>207</v>
      </c>
      <c r="H40" s="2">
        <v>0</v>
      </c>
      <c r="I40" s="2">
        <v>33</v>
      </c>
      <c r="J40" s="2">
        <v>0</v>
      </c>
      <c r="K40" s="2">
        <v>0</v>
      </c>
      <c r="L40" s="2"/>
      <c r="M40" s="2"/>
      <c r="N40" s="2"/>
      <c r="O40" s="2"/>
      <c r="Q40" s="71" t="s">
        <v>134</v>
      </c>
      <c r="R40" s="84">
        <f>midMarket(N27,O27)+R37/10000</f>
        <v>1.5257106142131172</v>
      </c>
      <c r="S40" s="76">
        <f>ROUND(-R38,0)</f>
        <v>35</v>
      </c>
      <c r="T40" s="72" t="s">
        <v>187</v>
      </c>
      <c r="U40" s="78">
        <v>25</v>
      </c>
      <c r="V40" s="84">
        <v>1.526</v>
      </c>
      <c r="W40" s="76">
        <v>34</v>
      </c>
      <c r="Y40" s="37"/>
      <c r="Z40" s="37"/>
      <c r="AA40" s="37"/>
      <c r="AB40" s="37"/>
      <c r="AC40" s="37"/>
    </row>
    <row r="41" spans="1:33" ht="21" x14ac:dyDescent="0.35">
      <c r="A41" s="2" t="s">
        <v>180</v>
      </c>
      <c r="B41" s="16" t="s">
        <v>184</v>
      </c>
      <c r="C41" s="16">
        <v>34</v>
      </c>
      <c r="D41" s="16" t="s">
        <v>277</v>
      </c>
      <c r="E41" s="16">
        <v>1.526</v>
      </c>
      <c r="F41" s="2">
        <v>8620</v>
      </c>
      <c r="G41" s="18" t="s">
        <v>193</v>
      </c>
      <c r="H41" s="2">
        <v>0</v>
      </c>
      <c r="I41" s="2">
        <v>34</v>
      </c>
      <c r="J41" s="2">
        <v>0</v>
      </c>
      <c r="K41" s="2">
        <v>0</v>
      </c>
      <c r="L41" s="2"/>
      <c r="M41" s="2"/>
      <c r="N41" s="2"/>
      <c r="O41" s="2"/>
      <c r="Q41" s="71" t="s">
        <v>144</v>
      </c>
      <c r="R41" s="84">
        <f>midMarket(N27,O27)+S37/10000</f>
        <v>1.5191016957398593</v>
      </c>
      <c r="S41" s="76">
        <f>ROUND(-S38,0)</f>
        <v>-35</v>
      </c>
      <c r="T41" s="72" t="s">
        <v>188</v>
      </c>
      <c r="U41" s="78">
        <v>2</v>
      </c>
      <c r="V41" s="84">
        <v>1.5194000000000001</v>
      </c>
      <c r="W41" s="76">
        <v>33</v>
      </c>
      <c r="X41" s="37"/>
      <c r="Y41" s="37"/>
      <c r="Z41" s="37"/>
      <c r="AA41" s="37"/>
      <c r="AB41" s="37"/>
      <c r="AC41" s="37"/>
    </row>
    <row r="42" spans="1:33" ht="15.75" x14ac:dyDescent="0.25">
      <c r="A42" s="91" t="s">
        <v>209</v>
      </c>
      <c r="B42" s="76" t="e">
        <f>ticksUpToLoss(F41,A41,B41)</f>
        <v>#VALUE!</v>
      </c>
      <c r="C42" s="91" t="s">
        <v>210</v>
      </c>
      <c r="D42" s="76" t="e">
        <f>ticksUpToLoss(H41,C41,D41)</f>
        <v>#VALUE!</v>
      </c>
      <c r="E42" s="91" t="s">
        <v>174</v>
      </c>
      <c r="F42" s="76">
        <f>ticksUpToLoss(J41,E41,F41)</f>
        <v>-3.5406032482598611</v>
      </c>
      <c r="G42" s="91" t="s">
        <v>211</v>
      </c>
      <c r="H42" s="76" t="e">
        <f>ticksUpToLoss(L41,G41,H41)</f>
        <v>#VALUE!</v>
      </c>
      <c r="I42" s="125" t="s">
        <v>212</v>
      </c>
      <c r="J42" s="125"/>
      <c r="K42" s="76"/>
      <c r="L42" s="76"/>
      <c r="M42" s="76"/>
      <c r="N42" s="76"/>
      <c r="O42" s="76"/>
    </row>
    <row r="43" spans="1:33" ht="15.75" x14ac:dyDescent="0.25">
      <c r="A43" s="91" t="s">
        <v>208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9" t="s">
        <v>13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5" t="s">
        <v>101</v>
      </c>
      <c r="O45" s="95"/>
      <c r="P45" s="95"/>
      <c r="Q45" s="95"/>
      <c r="R45" s="95"/>
      <c r="S45" s="95"/>
      <c r="T45" s="95" t="s">
        <v>108</v>
      </c>
      <c r="U45" s="95"/>
      <c r="V45" s="95"/>
      <c r="W45" s="95"/>
      <c r="AG45" s="48">
        <f>SUM(AD47:AD67)</f>
        <v>88193.75</v>
      </c>
    </row>
    <row r="46" spans="1:33" ht="30" x14ac:dyDescent="0.25">
      <c r="A46" s="1" t="s">
        <v>9</v>
      </c>
      <c r="B46" s="1" t="s">
        <v>11</v>
      </c>
      <c r="C46" s="1" t="s">
        <v>172</v>
      </c>
      <c r="D46" s="1" t="s">
        <v>157</v>
      </c>
      <c r="E46" s="1" t="s">
        <v>158</v>
      </c>
      <c r="F46" s="1" t="s">
        <v>179</v>
      </c>
      <c r="G46" s="1" t="s">
        <v>173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201</v>
      </c>
      <c r="B47" s="2">
        <v>0</v>
      </c>
      <c r="C47" s="2">
        <v>1.6480749999999999E-2</v>
      </c>
      <c r="D47" s="2">
        <v>0</v>
      </c>
      <c r="E47" s="2">
        <v>0</v>
      </c>
      <c r="F47" s="28">
        <v>0</v>
      </c>
      <c r="G47" s="2">
        <v>-41796.74</v>
      </c>
      <c r="H47" s="2">
        <v>0</v>
      </c>
      <c r="I47" s="2">
        <v>0</v>
      </c>
      <c r="J47" s="2">
        <v>30</v>
      </c>
      <c r="K47" s="2">
        <v>1.5900000000000001E-2</v>
      </c>
      <c r="L47" s="2">
        <v>1.6400000000000001E-2</v>
      </c>
      <c r="M47" s="2">
        <v>30</v>
      </c>
      <c r="N47" s="2">
        <v>0.12316075884476163</v>
      </c>
      <c r="O47" s="2">
        <v>0.86256620656092531</v>
      </c>
      <c r="P47" s="2">
        <v>0</v>
      </c>
      <c r="Q47" s="33">
        <v>-7.4785735275390139E-4</v>
      </c>
      <c r="R47" s="2">
        <v>2.8173376448525564E-4</v>
      </c>
      <c r="S47" s="2">
        <v>1.5203</v>
      </c>
      <c r="T47" s="2">
        <v>15.595885815923289</v>
      </c>
      <c r="U47" s="2">
        <f t="shared" ref="U47:U67" si="0">O47*B47</f>
        <v>0</v>
      </c>
      <c r="V47" s="2">
        <v>1.5804</v>
      </c>
      <c r="W47" s="2">
        <f t="shared" ref="W47:W67" si="1">Q47*B47</f>
        <v>0</v>
      </c>
      <c r="X47">
        <f>IF(ISERR(T47),0,T47*B47)</f>
        <v>0</v>
      </c>
      <c r="Y47">
        <f t="shared" ref="Y47:Y67" si="2">IF(X47 = 0,0,(W47*-10000)/X47)</f>
        <v>0</v>
      </c>
      <c r="Z47" s="85">
        <f>midMarket(K47,L47) +AA47/10000</f>
        <v>3.1150000000000126E-2</v>
      </c>
      <c r="AA47">
        <f>IF(rightFromSymbol(A47)="C",MAX(0,$N$27-strikeFromSymbol(A47)),MAX(0,strikeFromSymbol(A47)-$N$27))*10000</f>
        <v>150.00000000000125</v>
      </c>
      <c r="AB47" s="86">
        <f>MAX(0,Z47-AA47) * 10000</f>
        <v>0</v>
      </c>
      <c r="AC47" s="49">
        <f t="shared" ref="AC47:AC67" si="3">-AB47*B47</f>
        <v>0</v>
      </c>
      <c r="AD47" s="48">
        <f t="shared" ref="AD47:AD55" si="4">MAX(0,AC47*6.25)</f>
        <v>0</v>
      </c>
    </row>
    <row r="48" spans="1:33" x14ac:dyDescent="0.25">
      <c r="A48" s="2" t="s">
        <v>202</v>
      </c>
      <c r="B48" s="2">
        <v>0</v>
      </c>
      <c r="C48" s="2">
        <v>3.9385000000000001E-4</v>
      </c>
      <c r="D48" s="2">
        <v>0</v>
      </c>
      <c r="E48" s="2">
        <v>0</v>
      </c>
      <c r="F48" s="28">
        <v>0</v>
      </c>
      <c r="G48" s="2">
        <v>23258</v>
      </c>
      <c r="H48" s="2">
        <v>4.0000000000000002E-4</v>
      </c>
      <c r="I48" s="2">
        <v>1</v>
      </c>
      <c r="J48" s="2">
        <v>142</v>
      </c>
      <c r="K48" s="2">
        <v>2.0000000000000001E-4</v>
      </c>
      <c r="L48" s="2">
        <v>4.0000000000000002E-4</v>
      </c>
      <c r="M48" s="2">
        <v>23</v>
      </c>
      <c r="N48" s="2">
        <v>0.13689388304004524</v>
      </c>
      <c r="O48" s="2">
        <v>-5.199591853485324E-2</v>
      </c>
      <c r="P48" s="2">
        <v>0</v>
      </c>
      <c r="Q48" s="33">
        <v>-3.9980290288987088E-4</v>
      </c>
      <c r="R48" s="2">
        <v>1.3555651743920108E-4</v>
      </c>
      <c r="S48" s="2">
        <v>1.5203</v>
      </c>
      <c r="T48" s="2">
        <v>8.5607969259508323</v>
      </c>
      <c r="U48" s="2">
        <f t="shared" si="0"/>
        <v>0</v>
      </c>
      <c r="V48" s="2">
        <v>1.5804</v>
      </c>
      <c r="W48" s="2">
        <f t="shared" si="1"/>
        <v>0</v>
      </c>
      <c r="X48">
        <f t="shared" ref="X48:X67" si="5">IF(ISERR(T48),0,T48*B48)</f>
        <v>0</v>
      </c>
      <c r="Y48">
        <f t="shared" si="2"/>
        <v>0</v>
      </c>
      <c r="Z48" s="85">
        <f>midMarket(K48,L48) +AA48/10000</f>
        <v>3.0000000000000003E-4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3.0000000000000004</v>
      </c>
      <c r="AC48" s="49">
        <f t="shared" si="3"/>
        <v>0</v>
      </c>
      <c r="AD48" s="48">
        <f t="shared" si="4"/>
        <v>0</v>
      </c>
    </row>
    <row r="49" spans="1:30" x14ac:dyDescent="0.25">
      <c r="A49" s="2" t="s">
        <v>203</v>
      </c>
      <c r="B49" s="2">
        <v>-35</v>
      </c>
      <c r="C49" s="2">
        <v>7.0169999999999998E-4</v>
      </c>
      <c r="D49" s="2">
        <v>-1534.93</v>
      </c>
      <c r="E49" s="2">
        <v>272.54000000000002</v>
      </c>
      <c r="F49" s="28">
        <v>8003.97</v>
      </c>
      <c r="G49" s="2">
        <v>0</v>
      </c>
      <c r="H49" s="2">
        <v>5.9999999999999995E-4</v>
      </c>
      <c r="I49" s="2">
        <v>1</v>
      </c>
      <c r="J49" s="2">
        <v>74</v>
      </c>
      <c r="K49" s="2">
        <v>5.0000000000000001E-4</v>
      </c>
      <c r="L49" s="2">
        <v>6.9999999999999999E-4</v>
      </c>
      <c r="M49" s="2">
        <v>95</v>
      </c>
      <c r="N49" s="2">
        <v>0.12931952655944201</v>
      </c>
      <c r="O49" s="2">
        <v>-8.3555785418768125E-2</v>
      </c>
      <c r="P49" s="2">
        <v>0</v>
      </c>
      <c r="Q49" s="33">
        <v>-5.4762337167393762E-4</v>
      </c>
      <c r="R49" s="2">
        <v>2.0367486156872862E-4</v>
      </c>
      <c r="S49" s="2">
        <v>1.5203</v>
      </c>
      <c r="T49" s="2">
        <v>11.671627705426513</v>
      </c>
      <c r="U49" s="2">
        <f t="shared" si="0"/>
        <v>2.9244524896568844</v>
      </c>
      <c r="V49" s="2">
        <v>1.5804</v>
      </c>
      <c r="W49" s="2">
        <f t="shared" si="1"/>
        <v>1.9166818008587817E-2</v>
      </c>
      <c r="X49">
        <f t="shared" si="5"/>
        <v>-408.50696968992793</v>
      </c>
      <c r="Y49">
        <f t="shared" si="2"/>
        <v>0.46919194605507336</v>
      </c>
      <c r="Z49" s="85">
        <f>midMarket(K49,L49) +AA49/10000</f>
        <v>6.0000000000000006E-4</v>
      </c>
      <c r="AA49">
        <f>IF(rightFromSymbol(A49)="C",MAX(0,$N$27-strikeFromSymbol(A49)),MAX(0,strikeFromSymbol(A49)-$N$27))*10000</f>
        <v>0</v>
      </c>
      <c r="AB49" s="86">
        <f t="shared" si="6"/>
        <v>6.0000000000000009</v>
      </c>
      <c r="AC49" s="49">
        <f t="shared" si="3"/>
        <v>210.00000000000003</v>
      </c>
      <c r="AD49" s="48">
        <f t="shared" si="4"/>
        <v>1312.5000000000002</v>
      </c>
    </row>
    <row r="50" spans="1:30" x14ac:dyDescent="0.25">
      <c r="A50" s="2" t="s">
        <v>204</v>
      </c>
      <c r="B50" s="2">
        <v>-50</v>
      </c>
      <c r="C50" s="2">
        <v>1.1050000000000001E-3</v>
      </c>
      <c r="D50" s="2">
        <v>-3453.12</v>
      </c>
      <c r="E50" s="2">
        <v>378.79</v>
      </c>
      <c r="F50" s="28">
        <v>15486.38</v>
      </c>
      <c r="G50" s="2">
        <v>0</v>
      </c>
      <c r="H50" s="2">
        <v>1E-3</v>
      </c>
      <c r="I50" s="2">
        <v>2</v>
      </c>
      <c r="J50" s="2">
        <v>46</v>
      </c>
      <c r="K50" s="2">
        <v>1E-3</v>
      </c>
      <c r="L50" s="2">
        <v>1.1000000000000001E-3</v>
      </c>
      <c r="M50" s="2">
        <v>2</v>
      </c>
      <c r="N50" s="2">
        <v>0.12316075884476163</v>
      </c>
      <c r="O50" s="2">
        <v>-0.1377055616416023</v>
      </c>
      <c r="P50" s="2">
        <v>0</v>
      </c>
      <c r="Q50" s="33">
        <v>-7.479682093421402E-4</v>
      </c>
      <c r="R50" s="2">
        <v>2.8173405146872496E-4</v>
      </c>
      <c r="S50" s="2">
        <v>1.5203</v>
      </c>
      <c r="T50" s="2">
        <v>15.595885815923289</v>
      </c>
      <c r="U50" s="2">
        <f t="shared" si="0"/>
        <v>6.8852780820801147</v>
      </c>
      <c r="V50" s="2">
        <v>1.5804</v>
      </c>
      <c r="W50" s="2">
        <f t="shared" si="1"/>
        <v>3.7398410467107013E-2</v>
      </c>
      <c r="X50">
        <f t="shared" si="5"/>
        <v>-779.79429079616443</v>
      </c>
      <c r="Y50">
        <f t="shared" si="2"/>
        <v>0.47959328387648875</v>
      </c>
      <c r="Z50" s="85">
        <f t="shared" ref="Z50:Z67" si="7">midMarket(K50,L50) +AA50/10000</f>
        <v>1.0500000000000002E-3</v>
      </c>
      <c r="AA50">
        <f>IF(rightFromSymbol(A50)="C",MAX(0,$N$27-strikeFromSymbol(A50)),MAX(0,strikeFromSymbol(A50)-$N$27))*10000</f>
        <v>0</v>
      </c>
      <c r="AB50" s="86">
        <f t="shared" si="6"/>
        <v>10.500000000000002</v>
      </c>
      <c r="AC50" s="49">
        <f t="shared" si="3"/>
        <v>525.00000000000011</v>
      </c>
      <c r="AD50" s="48">
        <f t="shared" si="4"/>
        <v>3281.2500000000009</v>
      </c>
    </row>
    <row r="51" spans="1:30" x14ac:dyDescent="0.25">
      <c r="A51" s="2" t="s">
        <v>205</v>
      </c>
      <c r="B51" s="2">
        <v>0</v>
      </c>
      <c r="C51" s="2">
        <v>1.232215E-2</v>
      </c>
      <c r="D51" s="2">
        <v>0</v>
      </c>
      <c r="E51" s="2">
        <v>0</v>
      </c>
      <c r="F51" s="28">
        <v>0</v>
      </c>
      <c r="G51" s="2">
        <v>-25246</v>
      </c>
      <c r="H51" s="2">
        <v>1.24E-2</v>
      </c>
      <c r="I51" s="2">
        <v>4</v>
      </c>
      <c r="J51" s="2">
        <v>30</v>
      </c>
      <c r="K51" s="2">
        <v>1.17E-2</v>
      </c>
      <c r="L51" s="2">
        <v>1.2200000000000001E-2</v>
      </c>
      <c r="M51" s="2">
        <v>30</v>
      </c>
      <c r="N51" s="2">
        <v>0.1184175798960041</v>
      </c>
      <c r="O51" s="2">
        <v>0.77684134080227207</v>
      </c>
      <c r="P51" s="34">
        <v>0</v>
      </c>
      <c r="Q51" s="33">
        <v>-9.7446376152317932E-4</v>
      </c>
      <c r="R51" s="2">
        <v>3.5916568860448229E-4</v>
      </c>
      <c r="S51" s="2">
        <v>1.5203</v>
      </c>
      <c r="T51" s="2">
        <v>20.010825518409554</v>
      </c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85">
        <f t="shared" si="7"/>
        <v>2.1950000000000011E-2</v>
      </c>
      <c r="AA51">
        <f>IF(rightFromSymbol(A51)="C",MAX(0,$N$27-strikeFromSymbol(A51)),MAX(0,strikeFromSymbol(A51)-$N$27))*10000</f>
        <v>100.00000000000009</v>
      </c>
      <c r="AB51" s="86">
        <f t="shared" si="6"/>
        <v>0</v>
      </c>
      <c r="AC51" s="49">
        <f t="shared" si="3"/>
        <v>0</v>
      </c>
      <c r="AD51" s="48">
        <f t="shared" si="4"/>
        <v>0</v>
      </c>
    </row>
    <row r="52" spans="1:30" x14ac:dyDescent="0.25">
      <c r="A52" s="2" t="s">
        <v>206</v>
      </c>
      <c r="B52" s="2">
        <v>0</v>
      </c>
      <c r="C52" s="2">
        <v>8.6320000000000008E-3</v>
      </c>
      <c r="D52" s="2">
        <v>0</v>
      </c>
      <c r="E52" s="2">
        <v>0</v>
      </c>
      <c r="F52" s="28">
        <v>0</v>
      </c>
      <c r="G52" s="2">
        <v>-35936.15</v>
      </c>
      <c r="H52" s="2">
        <v>1.11E-2</v>
      </c>
      <c r="I52" s="2">
        <v>3</v>
      </c>
      <c r="J52" s="2">
        <v>10</v>
      </c>
      <c r="K52" s="2">
        <v>8.2000000000000007E-3</v>
      </c>
      <c r="L52" s="2">
        <v>8.3999999999999995E-3</v>
      </c>
      <c r="M52" s="2">
        <v>5</v>
      </c>
      <c r="N52" s="2">
        <v>0.11508998971318363</v>
      </c>
      <c r="O52" s="2">
        <v>0.65682736810578857</v>
      </c>
      <c r="P52" s="2">
        <v>0</v>
      </c>
      <c r="Q52" s="33">
        <v>-1.1666538008631808E-3</v>
      </c>
      <c r="R52" s="2">
        <v>4.2232702828365505E-4</v>
      </c>
      <c r="S52" s="2">
        <v>1.5203</v>
      </c>
      <c r="T52" s="2">
        <v>23.837683835348926</v>
      </c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85">
        <f t="shared" si="7"/>
        <v>1.3300000000000116E-2</v>
      </c>
      <c r="AA52">
        <f>IF(rightFromSymbol(A52)="C",MAX(0,$N$27-strikeFromSymbol(A52)),MAX(0,strikeFromSymbol(A52)-$N$27))*10000</f>
        <v>50.000000000001151</v>
      </c>
      <c r="AB52" s="86">
        <f t="shared" si="6"/>
        <v>0</v>
      </c>
      <c r="AC52" s="49">
        <f t="shared" si="3"/>
        <v>0</v>
      </c>
      <c r="AD52" s="48">
        <f t="shared" si="4"/>
        <v>0</v>
      </c>
    </row>
    <row r="53" spans="1:30" x14ac:dyDescent="0.25">
      <c r="A53" s="2" t="s">
        <v>232</v>
      </c>
      <c r="B53" s="2">
        <v>-50</v>
      </c>
      <c r="C53" s="2">
        <v>3.2076000000000001E-3</v>
      </c>
      <c r="D53" s="2">
        <v>-10023.81</v>
      </c>
      <c r="E53" s="2">
        <v>321.54000000000002</v>
      </c>
      <c r="F53" s="28">
        <v>6053.19</v>
      </c>
      <c r="G53" s="2">
        <v>0</v>
      </c>
      <c r="H53" s="2">
        <v>2.8999999999999998E-3</v>
      </c>
      <c r="I53" s="2">
        <v>2</v>
      </c>
      <c r="J53" s="2">
        <v>49</v>
      </c>
      <c r="K53" s="2">
        <v>3.0999999999999999E-3</v>
      </c>
      <c r="L53" s="2">
        <v>3.3E-3</v>
      </c>
      <c r="M53" s="2">
        <v>93</v>
      </c>
      <c r="N53" s="2">
        <v>0.11508998971318363</v>
      </c>
      <c r="O53" s="2">
        <v>-0.34344492248680397</v>
      </c>
      <c r="P53" s="2">
        <v>0</v>
      </c>
      <c r="Q53" s="33">
        <v>-1.166695512504558E-3</v>
      </c>
      <c r="R53" s="2">
        <v>4.2232766561386276E-4</v>
      </c>
      <c r="S53" s="2">
        <v>1.5203</v>
      </c>
      <c r="T53" s="2">
        <v>23.837683835348926</v>
      </c>
      <c r="U53" s="2">
        <f t="shared" si="0"/>
        <v>17.172246124340198</v>
      </c>
      <c r="V53" s="2">
        <v>1.5804</v>
      </c>
      <c r="W53" s="2">
        <f t="shared" si="1"/>
        <v>5.8334775625227903E-2</v>
      </c>
      <c r="X53">
        <f t="shared" si="5"/>
        <v>-1191.8841917674463</v>
      </c>
      <c r="Y53">
        <f t="shared" si="2"/>
        <v>0.48943325222497674</v>
      </c>
      <c r="Z53" s="85">
        <f t="shared" si="7"/>
        <v>3.1999999999999997E-3</v>
      </c>
      <c r="AA53">
        <f>IF(rightFromSymbol(A53)="C",MAX(0,$N$27-strikeFromSymbol(A53)),MAX(0,strikeFromSymbol(A53)-$N$27))*10000</f>
        <v>0</v>
      </c>
      <c r="AB53" s="86">
        <f t="shared" si="6"/>
        <v>31.999999999999996</v>
      </c>
      <c r="AC53" s="49">
        <f t="shared" si="3"/>
        <v>1599.9999999999998</v>
      </c>
      <c r="AD53" s="48">
        <f t="shared" si="4"/>
        <v>9999.9999999999982</v>
      </c>
    </row>
    <row r="54" spans="1:30" x14ac:dyDescent="0.25">
      <c r="A54" s="2" t="s">
        <v>234</v>
      </c>
      <c r="B54" s="2">
        <v>-45</v>
      </c>
      <c r="C54" s="2">
        <v>5.5018000000000003E-3</v>
      </c>
      <c r="D54" s="2">
        <v>-15473.86</v>
      </c>
      <c r="E54" s="2">
        <v>221.54</v>
      </c>
      <c r="F54" s="28">
        <v>-5504.56</v>
      </c>
      <c r="G54" s="2">
        <v>-1185.8499999999999</v>
      </c>
      <c r="H54" s="2">
        <v>5.4000000000000003E-3</v>
      </c>
      <c r="I54" s="2">
        <v>10</v>
      </c>
      <c r="J54" s="2">
        <v>4</v>
      </c>
      <c r="K54" s="2">
        <v>5.1999999999999998E-3</v>
      </c>
      <c r="L54" s="2">
        <v>5.4000000000000003E-3</v>
      </c>
      <c r="M54" s="2">
        <v>58</v>
      </c>
      <c r="N54" s="2">
        <v>0.11317798829627179</v>
      </c>
      <c r="O54" s="2">
        <v>0.51096306308832296</v>
      </c>
      <c r="P54" s="2">
        <v>0</v>
      </c>
      <c r="Q54" s="33">
        <v>-1.2528236585163846E-3</v>
      </c>
      <c r="R54" s="2">
        <v>4.5827552124177041E-4</v>
      </c>
      <c r="S54" s="2">
        <v>1.5203</v>
      </c>
      <c r="T54" s="2">
        <v>25.572827516819459</v>
      </c>
      <c r="U54" s="2">
        <f t="shared" si="0"/>
        <v>-22.993337838974533</v>
      </c>
      <c r="V54" s="2">
        <v>1.5804</v>
      </c>
      <c r="W54" s="2">
        <f t="shared" si="1"/>
        <v>5.6377064633237307E-2</v>
      </c>
      <c r="X54">
        <f t="shared" si="5"/>
        <v>-1150.7772382568755</v>
      </c>
      <c r="Y54">
        <f t="shared" si="2"/>
        <v>0.4899042382749394</v>
      </c>
      <c r="Z54" s="85">
        <f t="shared" si="7"/>
        <v>5.3E-3</v>
      </c>
      <c r="AA54">
        <f>IF(rightFromSymbol(A54)="C",MAX(0,$N$27-strikeFromSymbol(A54)),MAX(0,strikeFromSymbol(A54)-$N$27))*10000</f>
        <v>0</v>
      </c>
      <c r="AB54" s="86">
        <f t="shared" si="6"/>
        <v>53</v>
      </c>
      <c r="AC54" s="49">
        <f t="shared" si="3"/>
        <v>2385</v>
      </c>
      <c r="AD54" s="48">
        <f t="shared" si="4"/>
        <v>14906.25</v>
      </c>
    </row>
    <row r="55" spans="1:30" x14ac:dyDescent="0.25">
      <c r="A55" s="2" t="s">
        <v>236</v>
      </c>
      <c r="B55" s="2">
        <v>-114</v>
      </c>
      <c r="C55" s="2">
        <v>3.2106499999999998E-3</v>
      </c>
      <c r="D55" s="2">
        <v>-22876</v>
      </c>
      <c r="E55" s="2">
        <v>275.50052629999999</v>
      </c>
      <c r="F55" s="28">
        <v>8531.06</v>
      </c>
      <c r="G55" s="2">
        <v>0</v>
      </c>
      <c r="H55" s="2">
        <v>3.0999999999999999E-3</v>
      </c>
      <c r="I55" s="2">
        <v>1</v>
      </c>
      <c r="J55" s="2">
        <v>12</v>
      </c>
      <c r="K55" s="2">
        <v>3.0000000000000001E-3</v>
      </c>
      <c r="L55" s="2">
        <v>3.0999999999999999E-3</v>
      </c>
      <c r="M55" s="2">
        <v>10</v>
      </c>
      <c r="N55" s="2">
        <v>0.11268157564529702</v>
      </c>
      <c r="O55" s="2">
        <v>0.36090361778517827</v>
      </c>
      <c r="P55" s="2">
        <v>0</v>
      </c>
      <c r="Q55" s="33">
        <v>-1.1651095150499568E-3</v>
      </c>
      <c r="R55" s="2">
        <v>4.2371875163493052E-4</v>
      </c>
      <c r="S55" s="2">
        <v>1.5203</v>
      </c>
      <c r="T55" s="2">
        <v>24.483603901878112</v>
      </c>
      <c r="U55" s="2">
        <f t="shared" si="0"/>
        <v>-41.143012427510321</v>
      </c>
      <c r="V55" s="2">
        <v>1.5804</v>
      </c>
      <c r="W55" s="2">
        <f t="shared" si="1"/>
        <v>0.13282248471569508</v>
      </c>
      <c r="X55">
        <f t="shared" si="5"/>
        <v>-2791.1308448141049</v>
      </c>
      <c r="Y55">
        <f t="shared" si="2"/>
        <v>0.47587337212255032</v>
      </c>
      <c r="Z55" s="85">
        <f t="shared" si="7"/>
        <v>3.0499999999999998E-3</v>
      </c>
      <c r="AA55">
        <f>IF(rightFromSymbol(A55)="C",MAX(0,$N$27-strikeFromSymbol(A55)),MAX(0,strikeFromSymbol(A55)-$N$27))*10000</f>
        <v>0</v>
      </c>
      <c r="AB55" s="86">
        <f t="shared" si="6"/>
        <v>30.499999999999996</v>
      </c>
      <c r="AC55" s="49">
        <f t="shared" si="3"/>
        <v>3476.9999999999995</v>
      </c>
      <c r="AD55" s="48">
        <f t="shared" si="4"/>
        <v>21731.249999999996</v>
      </c>
    </row>
    <row r="56" spans="1:30" x14ac:dyDescent="0.25">
      <c r="A56" s="2" t="s">
        <v>238</v>
      </c>
      <c r="B56" s="2">
        <v>-82</v>
      </c>
      <c r="C56" s="2">
        <v>5.2133500000000003E-3</v>
      </c>
      <c r="D56" s="2">
        <v>-26718.33</v>
      </c>
      <c r="E56" s="2">
        <v>247.54</v>
      </c>
      <c r="F56" s="28">
        <v>-6420.05</v>
      </c>
      <c r="G56" s="2">
        <v>0</v>
      </c>
      <c r="H56" s="2">
        <v>5.1000000000000004E-3</v>
      </c>
      <c r="I56" s="2">
        <v>10</v>
      </c>
      <c r="J56" s="2">
        <v>5</v>
      </c>
      <c r="K56" s="2">
        <v>5.1000000000000004E-3</v>
      </c>
      <c r="L56" s="2">
        <v>5.3E-3</v>
      </c>
      <c r="M56" s="2">
        <v>93</v>
      </c>
      <c r="N56" s="2">
        <v>0.11317798829627179</v>
      </c>
      <c r="O56" s="2">
        <v>-0.48930973924648674</v>
      </c>
      <c r="P56" s="2">
        <v>0</v>
      </c>
      <c r="Q56" s="33">
        <v>-1.2528314973119742E-3</v>
      </c>
      <c r="R56" s="2">
        <v>4.5827639273641248E-4</v>
      </c>
      <c r="S56" s="2">
        <v>1.5203</v>
      </c>
      <c r="T56" s="2">
        <v>25.572827516819459</v>
      </c>
      <c r="U56" s="2">
        <f t="shared" si="0"/>
        <v>40.123398618211915</v>
      </c>
      <c r="V56" s="2">
        <v>1.5804</v>
      </c>
      <c r="W56" s="2">
        <f t="shared" si="1"/>
        <v>0.10273218277958189</v>
      </c>
      <c r="X56">
        <f t="shared" si="5"/>
        <v>-2096.9718563791957</v>
      </c>
      <c r="Y56">
        <f t="shared" si="2"/>
        <v>0.48990730355803508</v>
      </c>
      <c r="Z56" s="85">
        <f t="shared" si="7"/>
        <v>5.1999999999999998E-3</v>
      </c>
      <c r="AA56">
        <f>IF(rightFromSymbol(A56)="C",MAX(0,$N$27-strikeFromSymbol(A56)),MAX(0,strikeFromSymbol(A56)-$N$27))*10000</f>
        <v>0</v>
      </c>
      <c r="AB56" s="86">
        <f t="shared" si="6"/>
        <v>52</v>
      </c>
      <c r="AC56" s="49">
        <f t="shared" si="3"/>
        <v>4264</v>
      </c>
      <c r="AD56" s="48">
        <f>MAX(0,AC56*6.25)</f>
        <v>26650</v>
      </c>
    </row>
    <row r="57" spans="1:30" x14ac:dyDescent="0.25">
      <c r="A57" s="2" t="s">
        <v>240</v>
      </c>
      <c r="B57" s="2">
        <v>-100</v>
      </c>
      <c r="C57" s="2">
        <v>1.7080000000000001E-3</v>
      </c>
      <c r="D57" s="2">
        <v>-10675</v>
      </c>
      <c r="E57" s="2">
        <v>155.47749999999999</v>
      </c>
      <c r="F57" s="28">
        <v>4872.75</v>
      </c>
      <c r="G57" s="2">
        <v>0</v>
      </c>
      <c r="H57" s="2">
        <v>1.6999999999999999E-3</v>
      </c>
      <c r="I57" s="2">
        <v>1</v>
      </c>
      <c r="J57" s="2">
        <v>20</v>
      </c>
      <c r="K57" s="2">
        <v>1.6000000000000001E-3</v>
      </c>
      <c r="L57" s="2">
        <v>1.6999999999999999E-3</v>
      </c>
      <c r="M57" s="2">
        <v>31</v>
      </c>
      <c r="N57" s="2">
        <v>0.11360075176023088</v>
      </c>
      <c r="O57" s="2">
        <v>0.23194212513115114</v>
      </c>
      <c r="P57" s="2">
        <v>0</v>
      </c>
      <c r="Q57" s="33">
        <v>-9.5423866485746806E-4</v>
      </c>
      <c r="R57" s="2">
        <v>3.615367536102857E-4</v>
      </c>
      <c r="S57" s="2">
        <v>1.5203</v>
      </c>
      <c r="T57" s="2">
        <v>20.958679560229903</v>
      </c>
      <c r="U57" s="2">
        <f t="shared" si="0"/>
        <v>-23.194212513115115</v>
      </c>
      <c r="V57" s="2">
        <v>1.5804</v>
      </c>
      <c r="W57" s="2">
        <f t="shared" si="1"/>
        <v>9.54238664857468E-2</v>
      </c>
      <c r="X57">
        <f t="shared" si="5"/>
        <v>-2095.8679560229903</v>
      </c>
      <c r="Y57">
        <f t="shared" si="2"/>
        <v>0.45529522130210032</v>
      </c>
      <c r="Z57" s="85">
        <f t="shared" si="7"/>
        <v>1.65E-3</v>
      </c>
      <c r="AA57">
        <f>IF(rightFromSymbol(A57)="C",MAX(0,$N$27-strikeFromSymbol(A57)),MAX(0,strikeFromSymbol(A57)-$N$27))*10000</f>
        <v>0</v>
      </c>
      <c r="AB57" s="86">
        <f t="shared" si="6"/>
        <v>16.5</v>
      </c>
      <c r="AC57" s="49">
        <f t="shared" si="3"/>
        <v>1650</v>
      </c>
      <c r="AD57" s="48">
        <f t="shared" ref="AD57:AD67" si="8">MAX(0,AC57*6.25)</f>
        <v>10312.5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5"/>
        <v>0</v>
      </c>
      <c r="Y58">
        <f t="shared" si="2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3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3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3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3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3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3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3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3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3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3"/>
        <v>0</v>
      </c>
      <c r="AD67" s="48">
        <f t="shared" si="8"/>
        <v>0</v>
      </c>
    </row>
    <row r="73" spans="1:30" x14ac:dyDescent="0.25">
      <c r="A73" s="103" t="s">
        <v>174</v>
      </c>
      <c r="B73" s="104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</row>
    <row r="74" spans="1:30" x14ac:dyDescent="0.25">
      <c r="A74" s="100" t="s">
        <v>41</v>
      </c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0" t="s">
        <v>123</v>
      </c>
      <c r="AF1" s="120"/>
      <c r="AG1" s="120"/>
      <c r="AH1" s="120"/>
      <c r="AI1" s="120"/>
      <c r="AJ1" s="120"/>
      <c r="AK1" s="120"/>
    </row>
    <row r="4" spans="2:37" x14ac:dyDescent="0.25">
      <c r="B4" s="98" t="s">
        <v>13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98"/>
      <c r="R4" s="99"/>
      <c r="S4" s="99"/>
      <c r="T4" s="95" t="s">
        <v>101</v>
      </c>
      <c r="U4" s="95"/>
      <c r="V4" s="95"/>
      <c r="W4" s="95"/>
      <c r="X4" s="95"/>
      <c r="Y4" s="95"/>
      <c r="Z4" s="95"/>
      <c r="AA4" s="95"/>
      <c r="AB4" s="95" t="s">
        <v>108</v>
      </c>
      <c r="AC4" s="95"/>
      <c r="AD4" s="95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76</v>
      </c>
    </row>
    <row r="2" spans="1:2" x14ac:dyDescent="0.25">
      <c r="A2" t="s">
        <v>176</v>
      </c>
      <c r="B2">
        <v>1005</v>
      </c>
    </row>
    <row r="3" spans="1:2" x14ac:dyDescent="0.25">
      <c r="A3" t="s">
        <v>177</v>
      </c>
      <c r="B3">
        <v>47</v>
      </c>
    </row>
    <row r="4" spans="1:2" x14ac:dyDescent="0.25">
      <c r="A4" t="s">
        <v>178</v>
      </c>
      <c r="B4">
        <v>67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37</v>
      </c>
    </row>
    <row r="7" spans="1:2" x14ac:dyDescent="0.25">
      <c r="A7" t="s">
        <v>183</v>
      </c>
      <c r="B7">
        <v>5</v>
      </c>
    </row>
    <row r="8" spans="1:2" x14ac:dyDescent="0.25">
      <c r="A8" t="s">
        <v>191</v>
      </c>
      <c r="B8">
        <v>34</v>
      </c>
    </row>
    <row r="9" spans="1:2" x14ac:dyDescent="0.25">
      <c r="A9" t="s">
        <v>192</v>
      </c>
      <c r="B9">
        <v>17</v>
      </c>
    </row>
    <row r="10" spans="1:2" x14ac:dyDescent="0.25">
      <c r="A10" t="s">
        <v>213</v>
      </c>
      <c r="B10">
        <v>42</v>
      </c>
    </row>
    <row r="11" spans="1:2" x14ac:dyDescent="0.25">
      <c r="A11" t="s">
        <v>214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07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215</v>
      </c>
    </row>
    <row r="2" spans="1:1" x14ac:dyDescent="0.25">
      <c r="A2" s="27" t="s">
        <v>216</v>
      </c>
    </row>
    <row r="3" spans="1:1" x14ac:dyDescent="0.25">
      <c r="A3" s="27" t="s">
        <v>217</v>
      </c>
    </row>
    <row r="4" spans="1:1" x14ac:dyDescent="0.25">
      <c r="A4" s="27" t="s">
        <v>218</v>
      </c>
    </row>
    <row r="5" spans="1:1" x14ac:dyDescent="0.25">
      <c r="A5" s="27" t="s">
        <v>219</v>
      </c>
    </row>
    <row r="6" spans="1:1" x14ac:dyDescent="0.25">
      <c r="A6" s="27" t="s">
        <v>220</v>
      </c>
    </row>
    <row r="7" spans="1:1" x14ac:dyDescent="0.25">
      <c r="A7" s="27" t="s">
        <v>221</v>
      </c>
    </row>
    <row r="8" spans="1:1" x14ac:dyDescent="0.25">
      <c r="A8" s="27" t="s">
        <v>222</v>
      </c>
    </row>
    <row r="9" spans="1:1" x14ac:dyDescent="0.25">
      <c r="A9" t="s">
        <v>223</v>
      </c>
    </row>
    <row r="10" spans="1:1" x14ac:dyDescent="0.25">
      <c r="A10" t="s">
        <v>224</v>
      </c>
    </row>
    <row r="11" spans="1:1" x14ac:dyDescent="0.25">
      <c r="A11" s="126" t="s">
        <v>225</v>
      </c>
    </row>
    <row r="12" spans="1:1" x14ac:dyDescent="0.25">
      <c r="A12" s="126" t="s">
        <v>226</v>
      </c>
    </row>
    <row r="13" spans="1:1" x14ac:dyDescent="0.25">
      <c r="A13" s="126" t="s">
        <v>227</v>
      </c>
    </row>
    <row r="14" spans="1:1" x14ac:dyDescent="0.25">
      <c r="A14" s="126" t="s">
        <v>228</v>
      </c>
    </row>
    <row r="15" spans="1:1" x14ac:dyDescent="0.25">
      <c r="A15" s="126" t="s">
        <v>229</v>
      </c>
    </row>
    <row r="16" spans="1:1" x14ac:dyDescent="0.25">
      <c r="A16" s="126" t="s">
        <v>230</v>
      </c>
    </row>
    <row r="17" spans="1:1" x14ac:dyDescent="0.25">
      <c r="A17" s="126" t="s">
        <v>231</v>
      </c>
    </row>
    <row r="18" spans="1:1" x14ac:dyDescent="0.25">
      <c r="A18" s="126" t="s">
        <v>233</v>
      </c>
    </row>
    <row r="19" spans="1:1" x14ac:dyDescent="0.25">
      <c r="A19" s="126" t="s">
        <v>235</v>
      </c>
    </row>
    <row r="20" spans="1:1" x14ac:dyDescent="0.25">
      <c r="A20" s="126" t="s">
        <v>237</v>
      </c>
    </row>
    <row r="21" spans="1:1" x14ac:dyDescent="0.25">
      <c r="A21" s="126" t="s">
        <v>239</v>
      </c>
    </row>
    <row r="22" spans="1:1" x14ac:dyDescent="0.25">
      <c r="A22" s="126" t="s">
        <v>241</v>
      </c>
    </row>
    <row r="23" spans="1:1" x14ac:dyDescent="0.25">
      <c r="A23" s="126" t="s">
        <v>242</v>
      </c>
    </row>
    <row r="24" spans="1:1" x14ac:dyDescent="0.25">
      <c r="A24" t="s">
        <v>243</v>
      </c>
    </row>
    <row r="25" spans="1:1" x14ac:dyDescent="0.25">
      <c r="A25" t="s">
        <v>244</v>
      </c>
    </row>
    <row r="26" spans="1:1" x14ac:dyDescent="0.25">
      <c r="A26" t="s">
        <v>245</v>
      </c>
    </row>
    <row r="27" spans="1:1" x14ac:dyDescent="0.25">
      <c r="A27" t="s">
        <v>246</v>
      </c>
    </row>
    <row r="28" spans="1:1" x14ac:dyDescent="0.25">
      <c r="A28" t="s">
        <v>247</v>
      </c>
    </row>
    <row r="29" spans="1:1" x14ac:dyDescent="0.25">
      <c r="A29" t="s">
        <v>248</v>
      </c>
    </row>
    <row r="30" spans="1:1" x14ac:dyDescent="0.25">
      <c r="A30" t="s">
        <v>249</v>
      </c>
    </row>
    <row r="31" spans="1:1" x14ac:dyDescent="0.25">
      <c r="A31" t="s">
        <v>250</v>
      </c>
    </row>
    <row r="32" spans="1:1" x14ac:dyDescent="0.25">
      <c r="A32" t="s">
        <v>251</v>
      </c>
    </row>
    <row r="33" spans="1:1" x14ac:dyDescent="0.25">
      <c r="A33" t="s">
        <v>252</v>
      </c>
    </row>
    <row r="34" spans="1:1" x14ac:dyDescent="0.25">
      <c r="A34" t="s">
        <v>253</v>
      </c>
    </row>
    <row r="35" spans="1:1" x14ac:dyDescent="0.25">
      <c r="A35" t="s">
        <v>254</v>
      </c>
    </row>
    <row r="36" spans="1:1" x14ac:dyDescent="0.25">
      <c r="A36" t="s">
        <v>255</v>
      </c>
    </row>
    <row r="37" spans="1:1" x14ac:dyDescent="0.25">
      <c r="A37" t="s">
        <v>256</v>
      </c>
    </row>
    <row r="38" spans="1:1" x14ac:dyDescent="0.25">
      <c r="A38" t="s">
        <v>257</v>
      </c>
    </row>
    <row r="39" spans="1:1" x14ac:dyDescent="0.25">
      <c r="A39" t="s">
        <v>258</v>
      </c>
    </row>
    <row r="40" spans="1:1" x14ac:dyDescent="0.25">
      <c r="A40" t="s">
        <v>259</v>
      </c>
    </row>
    <row r="41" spans="1:1" x14ac:dyDescent="0.25">
      <c r="A41" t="s">
        <v>260</v>
      </c>
    </row>
    <row r="42" spans="1:1" x14ac:dyDescent="0.25">
      <c r="A42" t="s">
        <v>261</v>
      </c>
    </row>
    <row r="43" spans="1:1" x14ac:dyDescent="0.25">
      <c r="A43" t="s">
        <v>262</v>
      </c>
    </row>
    <row r="44" spans="1:1" x14ac:dyDescent="0.25">
      <c r="A44" t="s">
        <v>263</v>
      </c>
    </row>
    <row r="45" spans="1:1" x14ac:dyDescent="0.25">
      <c r="A45" t="s">
        <v>264</v>
      </c>
    </row>
    <row r="46" spans="1:1" x14ac:dyDescent="0.25">
      <c r="A46" s="126" t="s">
        <v>265</v>
      </c>
    </row>
    <row r="47" spans="1:1" x14ac:dyDescent="0.25">
      <c r="A47" s="126" t="s">
        <v>266</v>
      </c>
    </row>
    <row r="48" spans="1:1" x14ac:dyDescent="0.25">
      <c r="A48" s="126" t="s">
        <v>267</v>
      </c>
    </row>
    <row r="49" spans="1:1" x14ac:dyDescent="0.25">
      <c r="A49" s="127" t="s">
        <v>268</v>
      </c>
    </row>
    <row r="50" spans="1:1" x14ac:dyDescent="0.25">
      <c r="A50" s="127" t="s">
        <v>269</v>
      </c>
    </row>
    <row r="51" spans="1:1" x14ac:dyDescent="0.25">
      <c r="A51" s="126" t="s">
        <v>270</v>
      </c>
    </row>
    <row r="52" spans="1:1" x14ac:dyDescent="0.25">
      <c r="A52" s="27" t="s">
        <v>271</v>
      </c>
    </row>
    <row r="53" spans="1:1" x14ac:dyDescent="0.25">
      <c r="A53" s="27" t="s">
        <v>272</v>
      </c>
    </row>
    <row r="54" spans="1:1" x14ac:dyDescent="0.25">
      <c r="A54" s="27" t="s">
        <v>273</v>
      </c>
    </row>
    <row r="55" spans="1:1" x14ac:dyDescent="0.25">
      <c r="A55" s="27" t="s">
        <v>274</v>
      </c>
    </row>
    <row r="56" spans="1:1" x14ac:dyDescent="0.25">
      <c r="A56" s="127" t="s">
        <v>275</v>
      </c>
    </row>
    <row r="57" spans="1:1" x14ac:dyDescent="0.25">
      <c r="A57" t="s">
        <v>276</v>
      </c>
    </row>
    <row r="58" spans="1:1" x14ac:dyDescent="0.25">
      <c r="A58" s="127" t="s">
        <v>278</v>
      </c>
    </row>
    <row r="59" spans="1:1" x14ac:dyDescent="0.25">
      <c r="A59" s="127" t="s">
        <v>279</v>
      </c>
    </row>
    <row r="60" spans="1:1" x14ac:dyDescent="0.25">
      <c r="A60" s="27" t="s">
        <v>280</v>
      </c>
    </row>
    <row r="61" spans="1:1" x14ac:dyDescent="0.25">
      <c r="A61" s="27" t="s">
        <v>281</v>
      </c>
    </row>
    <row r="62" spans="1:1" x14ac:dyDescent="0.25">
      <c r="A62" s="27" t="s">
        <v>282</v>
      </c>
    </row>
    <row r="63" spans="1:1" x14ac:dyDescent="0.25">
      <c r="A63" t="s">
        <v>283</v>
      </c>
    </row>
    <row r="64" spans="1:1" x14ac:dyDescent="0.25">
      <c r="A64" s="27" t="s">
        <v>285</v>
      </c>
    </row>
    <row r="65" spans="1:1" x14ac:dyDescent="0.25">
      <c r="A65" s="27" t="s">
        <v>286</v>
      </c>
    </row>
    <row r="66" spans="1:1" x14ac:dyDescent="0.25">
      <c r="A66" s="27" t="s">
        <v>287</v>
      </c>
    </row>
    <row r="67" spans="1:1" x14ac:dyDescent="0.25">
      <c r="A67" s="27" t="s">
        <v>288</v>
      </c>
    </row>
    <row r="68" spans="1:1" x14ac:dyDescent="0.25">
      <c r="A68" s="27" t="s">
        <v>289</v>
      </c>
    </row>
    <row r="69" spans="1:1" x14ac:dyDescent="0.25">
      <c r="A69" s="127" t="s">
        <v>290</v>
      </c>
    </row>
    <row r="70" spans="1:1" x14ac:dyDescent="0.25">
      <c r="A70" s="27" t="s">
        <v>291</v>
      </c>
    </row>
    <row r="71" spans="1:1" x14ac:dyDescent="0.25">
      <c r="A71" t="s">
        <v>292</v>
      </c>
    </row>
    <row r="72" spans="1:1" x14ac:dyDescent="0.25">
      <c r="A72" s="127" t="s">
        <v>293</v>
      </c>
    </row>
    <row r="73" spans="1:1" x14ac:dyDescent="0.25">
      <c r="A73" s="127" t="s">
        <v>294</v>
      </c>
    </row>
    <row r="74" spans="1:1" x14ac:dyDescent="0.25">
      <c r="A74" s="27" t="s">
        <v>295</v>
      </c>
    </row>
    <row r="75" spans="1:1" x14ac:dyDescent="0.25">
      <c r="A75" s="27" t="s">
        <v>296</v>
      </c>
    </row>
    <row r="76" spans="1:1" x14ac:dyDescent="0.25">
      <c r="A76" s="27" t="s">
        <v>297</v>
      </c>
    </row>
    <row r="77" spans="1:1" x14ac:dyDescent="0.25">
      <c r="A77" t="s">
        <v>298</v>
      </c>
    </row>
    <row r="78" spans="1:1" x14ac:dyDescent="0.25">
      <c r="A78" s="27" t="s">
        <v>299</v>
      </c>
    </row>
    <row r="79" spans="1:1" x14ac:dyDescent="0.25">
      <c r="A79" t="s">
        <v>300</v>
      </c>
    </row>
    <row r="80" spans="1:1" x14ac:dyDescent="0.25">
      <c r="A80" s="27" t="s">
        <v>301</v>
      </c>
    </row>
    <row r="81" spans="1:1" x14ac:dyDescent="0.25">
      <c r="A81" s="27" t="s">
        <v>302</v>
      </c>
    </row>
    <row r="82" spans="1:1" x14ac:dyDescent="0.25">
      <c r="A82" s="27" t="s">
        <v>303</v>
      </c>
    </row>
    <row r="83" spans="1:1" x14ac:dyDescent="0.25">
      <c r="A83" s="27" t="s">
        <v>304</v>
      </c>
    </row>
    <row r="84" spans="1:1" x14ac:dyDescent="0.25">
      <c r="A84" s="127" t="s">
        <v>305</v>
      </c>
    </row>
    <row r="85" spans="1:1" x14ac:dyDescent="0.25">
      <c r="A85" s="27" t="s">
        <v>306</v>
      </c>
    </row>
    <row r="86" spans="1:1" x14ac:dyDescent="0.25">
      <c r="A86" t="s">
        <v>307</v>
      </c>
    </row>
    <row r="87" spans="1:1" x14ac:dyDescent="0.25">
      <c r="A87" s="127" t="s">
        <v>308</v>
      </c>
    </row>
    <row r="88" spans="1:1" x14ac:dyDescent="0.25">
      <c r="A88" s="127" t="s">
        <v>309</v>
      </c>
    </row>
    <row r="89" spans="1:1" x14ac:dyDescent="0.25">
      <c r="A89" s="27" t="s">
        <v>310</v>
      </c>
    </row>
    <row r="90" spans="1:1" x14ac:dyDescent="0.25">
      <c r="A90" s="27" t="s">
        <v>311</v>
      </c>
    </row>
    <row r="91" spans="1:1" x14ac:dyDescent="0.25">
      <c r="A91" s="27" t="s">
        <v>312</v>
      </c>
    </row>
    <row r="92" spans="1:1" x14ac:dyDescent="0.25">
      <c r="A92" s="27" t="s">
        <v>313</v>
      </c>
    </row>
    <row r="93" spans="1:1" x14ac:dyDescent="0.25">
      <c r="A93" s="127" t="s">
        <v>314</v>
      </c>
    </row>
    <row r="94" spans="1:1" x14ac:dyDescent="0.25">
      <c r="A94" s="27" t="s">
        <v>315</v>
      </c>
    </row>
    <row r="95" spans="1:1" x14ac:dyDescent="0.25">
      <c r="A95" s="27" t="s">
        <v>316</v>
      </c>
    </row>
    <row r="96" spans="1:1" x14ac:dyDescent="0.25">
      <c r="A96" s="27" t="s">
        <v>317</v>
      </c>
    </row>
    <row r="97" spans="1:1" x14ac:dyDescent="0.25">
      <c r="A97" t="s">
        <v>318</v>
      </c>
    </row>
    <row r="98" spans="1:1" x14ac:dyDescent="0.25">
      <c r="A98" s="27" t="s">
        <v>319</v>
      </c>
    </row>
    <row r="99" spans="1:1" x14ac:dyDescent="0.25">
      <c r="A99" s="27" t="s">
        <v>320</v>
      </c>
    </row>
    <row r="100" spans="1:1" x14ac:dyDescent="0.25">
      <c r="A100" s="27" t="s">
        <v>321</v>
      </c>
    </row>
    <row r="101" spans="1:1" x14ac:dyDescent="0.25">
      <c r="A101" s="27" t="s">
        <v>322</v>
      </c>
    </row>
    <row r="102" spans="1:1" x14ac:dyDescent="0.25">
      <c r="A102" s="27" t="s">
        <v>323</v>
      </c>
    </row>
    <row r="103" spans="1:1" x14ac:dyDescent="0.25">
      <c r="A103" s="127" t="s">
        <v>324</v>
      </c>
    </row>
    <row r="104" spans="1:1" x14ac:dyDescent="0.25">
      <c r="A104" s="27" t="s">
        <v>325</v>
      </c>
    </row>
    <row r="105" spans="1:1" x14ac:dyDescent="0.25">
      <c r="A105" t="s">
        <v>326</v>
      </c>
    </row>
    <row r="106" spans="1:1" x14ac:dyDescent="0.25">
      <c r="A106" s="127" t="s">
        <v>327</v>
      </c>
    </row>
    <row r="107" spans="1:1" x14ac:dyDescent="0.25">
      <c r="A107" s="127" t="s">
        <v>328</v>
      </c>
    </row>
    <row r="108" spans="1:1" x14ac:dyDescent="0.25">
      <c r="A108" s="27" t="s">
        <v>329</v>
      </c>
    </row>
    <row r="109" spans="1:1" x14ac:dyDescent="0.25">
      <c r="A109" s="27" t="s">
        <v>330</v>
      </c>
    </row>
    <row r="110" spans="1:1" x14ac:dyDescent="0.25">
      <c r="A110" s="27" t="s">
        <v>331</v>
      </c>
    </row>
    <row r="111" spans="1:1" x14ac:dyDescent="0.25">
      <c r="A111" s="27" t="s">
        <v>332</v>
      </c>
    </row>
    <row r="112" spans="1:1" x14ac:dyDescent="0.25">
      <c r="A112" s="127" t="s">
        <v>333</v>
      </c>
    </row>
    <row r="113" spans="1:1" x14ac:dyDescent="0.25">
      <c r="A113" s="27" t="s">
        <v>334</v>
      </c>
    </row>
    <row r="114" spans="1:1" x14ac:dyDescent="0.25">
      <c r="A114" s="27" t="s">
        <v>335</v>
      </c>
    </row>
    <row r="115" spans="1:1" x14ac:dyDescent="0.25">
      <c r="A115" s="27" t="s">
        <v>336</v>
      </c>
    </row>
    <row r="116" spans="1:1" x14ac:dyDescent="0.25">
      <c r="A116" t="s">
        <v>337</v>
      </c>
    </row>
    <row r="117" spans="1:1" x14ac:dyDescent="0.25">
      <c r="A117" s="27" t="s">
        <v>338</v>
      </c>
    </row>
    <row r="118" spans="1:1" x14ac:dyDescent="0.25">
      <c r="A118" t="s">
        <v>339</v>
      </c>
    </row>
    <row r="119" spans="1:1" x14ac:dyDescent="0.25">
      <c r="A119" t="s">
        <v>340</v>
      </c>
    </row>
    <row r="120" spans="1:1" x14ac:dyDescent="0.25">
      <c r="A120" t="s">
        <v>341</v>
      </c>
    </row>
    <row r="121" spans="1:1" x14ac:dyDescent="0.25">
      <c r="A121" t="s">
        <v>342</v>
      </c>
    </row>
    <row r="122" spans="1:1" x14ac:dyDescent="0.25">
      <c r="A122" t="s">
        <v>343</v>
      </c>
    </row>
    <row r="123" spans="1:1" x14ac:dyDescent="0.25">
      <c r="A123" t="s">
        <v>344</v>
      </c>
    </row>
    <row r="124" spans="1:1" x14ac:dyDescent="0.25">
      <c r="A124" t="s">
        <v>345</v>
      </c>
    </row>
    <row r="125" spans="1:1" x14ac:dyDescent="0.25">
      <c r="A125" t="s">
        <v>346</v>
      </c>
    </row>
    <row r="126" spans="1:1" x14ac:dyDescent="0.25">
      <c r="A126" t="s">
        <v>347</v>
      </c>
    </row>
    <row r="127" spans="1:1" x14ac:dyDescent="0.25">
      <c r="A127" s="27" t="s">
        <v>348</v>
      </c>
    </row>
    <row r="128" spans="1:1" x14ac:dyDescent="0.25">
      <c r="A128" s="27" t="s">
        <v>349</v>
      </c>
    </row>
    <row r="129" spans="1:1" x14ac:dyDescent="0.25">
      <c r="A129" s="27" t="s">
        <v>350</v>
      </c>
    </row>
    <row r="130" spans="1:1" x14ac:dyDescent="0.25">
      <c r="A130" s="27" t="s">
        <v>351</v>
      </c>
    </row>
    <row r="131" spans="1:1" x14ac:dyDescent="0.25">
      <c r="A131" s="27" t="s">
        <v>352</v>
      </c>
    </row>
    <row r="132" spans="1:1" x14ac:dyDescent="0.25">
      <c r="A132" s="27" t="s">
        <v>353</v>
      </c>
    </row>
    <row r="133" spans="1:1" x14ac:dyDescent="0.25">
      <c r="A133" s="27" t="s">
        <v>354</v>
      </c>
    </row>
    <row r="134" spans="1:1" x14ac:dyDescent="0.25">
      <c r="A134" s="27" t="s">
        <v>355</v>
      </c>
    </row>
    <row r="135" spans="1:1" x14ac:dyDescent="0.25">
      <c r="A135" s="27" t="s">
        <v>356</v>
      </c>
    </row>
    <row r="136" spans="1:1" x14ac:dyDescent="0.25">
      <c r="A136" s="27" t="s">
        <v>357</v>
      </c>
    </row>
    <row r="137" spans="1:1" x14ac:dyDescent="0.25">
      <c r="A137" s="27" t="s">
        <v>358</v>
      </c>
    </row>
    <row r="138" spans="1:1" x14ac:dyDescent="0.25">
      <c r="A138" s="27" t="s">
        <v>359</v>
      </c>
    </row>
    <row r="139" spans="1:1" x14ac:dyDescent="0.25">
      <c r="A139" s="27" t="s">
        <v>360</v>
      </c>
    </row>
    <row r="140" spans="1:1" x14ac:dyDescent="0.25">
      <c r="A140" s="27" t="s">
        <v>361</v>
      </c>
    </row>
    <row r="141" spans="1:1" x14ac:dyDescent="0.25">
      <c r="A141" s="27" t="s">
        <v>362</v>
      </c>
    </row>
    <row r="142" spans="1:1" x14ac:dyDescent="0.25">
      <c r="A142" s="27" t="s">
        <v>363</v>
      </c>
    </row>
    <row r="143" spans="1:1" x14ac:dyDescent="0.25">
      <c r="A143" s="27" t="s">
        <v>364</v>
      </c>
    </row>
    <row r="144" spans="1:1" x14ac:dyDescent="0.25">
      <c r="A144" s="27" t="s">
        <v>365</v>
      </c>
    </row>
    <row r="145" spans="1:1" x14ac:dyDescent="0.25">
      <c r="A145" s="27" t="s">
        <v>366</v>
      </c>
    </row>
    <row r="146" spans="1:1" x14ac:dyDescent="0.25">
      <c r="A146" s="27" t="s">
        <v>367</v>
      </c>
    </row>
    <row r="147" spans="1:1" x14ac:dyDescent="0.25">
      <c r="A147" s="27" t="s">
        <v>368</v>
      </c>
    </row>
    <row r="148" spans="1:1" x14ac:dyDescent="0.25">
      <c r="A148" s="27" t="s">
        <v>369</v>
      </c>
    </row>
    <row r="149" spans="1:1" x14ac:dyDescent="0.25">
      <c r="A149" s="127" t="s">
        <v>370</v>
      </c>
    </row>
    <row r="150" spans="1:1" x14ac:dyDescent="0.25">
      <c r="A150" s="27" t="s">
        <v>371</v>
      </c>
    </row>
    <row r="151" spans="1:1" x14ac:dyDescent="0.25">
      <c r="A151" t="s">
        <v>372</v>
      </c>
    </row>
    <row r="152" spans="1:1" x14ac:dyDescent="0.25">
      <c r="A152" s="127" t="s">
        <v>373</v>
      </c>
    </row>
    <row r="153" spans="1:1" x14ac:dyDescent="0.25">
      <c r="A153" s="127" t="s">
        <v>374</v>
      </c>
    </row>
    <row r="154" spans="1:1" x14ac:dyDescent="0.25">
      <c r="A154" s="27" t="s">
        <v>375</v>
      </c>
    </row>
    <row r="155" spans="1:1" x14ac:dyDescent="0.25">
      <c r="A155" s="127" t="s">
        <v>376</v>
      </c>
    </row>
    <row r="156" spans="1:1" x14ac:dyDescent="0.25">
      <c r="A156" t="s">
        <v>377</v>
      </c>
    </row>
    <row r="157" spans="1:1" x14ac:dyDescent="0.25">
      <c r="A157" s="126" t="s">
        <v>378</v>
      </c>
    </row>
    <row r="158" spans="1:1" x14ac:dyDescent="0.25">
      <c r="A158" s="127" t="s">
        <v>379</v>
      </c>
    </row>
    <row r="159" spans="1:1" x14ac:dyDescent="0.25">
      <c r="A159" s="27" t="s">
        <v>380</v>
      </c>
    </row>
    <row r="160" spans="1:1" x14ac:dyDescent="0.25">
      <c r="A160" t="s">
        <v>381</v>
      </c>
    </row>
    <row r="161" spans="1:1" x14ac:dyDescent="0.25">
      <c r="A161" t="s">
        <v>382</v>
      </c>
    </row>
    <row r="162" spans="1:1" x14ac:dyDescent="0.25">
      <c r="A162" s="126" t="s">
        <v>383</v>
      </c>
    </row>
    <row r="163" spans="1:1" x14ac:dyDescent="0.25">
      <c r="A163" s="126" t="s">
        <v>384</v>
      </c>
    </row>
    <row r="164" spans="1:1" x14ac:dyDescent="0.25">
      <c r="A164" s="127" t="s">
        <v>385</v>
      </c>
    </row>
    <row r="165" spans="1:1" x14ac:dyDescent="0.25">
      <c r="A165" t="s">
        <v>386</v>
      </c>
    </row>
    <row r="166" spans="1:1" x14ac:dyDescent="0.25">
      <c r="A166" s="127" t="s">
        <v>387</v>
      </c>
    </row>
    <row r="167" spans="1:1" x14ac:dyDescent="0.25">
      <c r="A167" s="127" t="s">
        <v>388</v>
      </c>
    </row>
    <row r="168" spans="1:1" x14ac:dyDescent="0.25">
      <c r="A168" s="27" t="s">
        <v>389</v>
      </c>
    </row>
    <row r="169" spans="1:1" x14ac:dyDescent="0.25">
      <c r="A169" s="127" t="s">
        <v>390</v>
      </c>
    </row>
    <row r="170" spans="1:1" x14ac:dyDescent="0.25">
      <c r="A170" t="s">
        <v>391</v>
      </c>
    </row>
    <row r="171" spans="1:1" x14ac:dyDescent="0.25">
      <c r="A171" s="126" t="s">
        <v>392</v>
      </c>
    </row>
    <row r="172" spans="1:1" x14ac:dyDescent="0.25">
      <c r="A172" s="127" t="s">
        <v>393</v>
      </c>
    </row>
    <row r="173" spans="1:1" x14ac:dyDescent="0.25">
      <c r="A173" t="s">
        <v>394</v>
      </c>
    </row>
    <row r="174" spans="1:1" x14ac:dyDescent="0.25">
      <c r="A174" s="126" t="s">
        <v>395</v>
      </c>
    </row>
    <row r="175" spans="1:1" x14ac:dyDescent="0.25">
      <c r="A175" s="126" t="s">
        <v>396</v>
      </c>
    </row>
    <row r="176" spans="1:1" x14ac:dyDescent="0.25">
      <c r="A176" s="127" t="s">
        <v>397</v>
      </c>
    </row>
    <row r="177" spans="1:1" x14ac:dyDescent="0.25">
      <c r="A177" t="s">
        <v>398</v>
      </c>
    </row>
    <row r="178" spans="1:1" x14ac:dyDescent="0.25">
      <c r="A178" s="27" t="s">
        <v>399</v>
      </c>
    </row>
    <row r="179" spans="1:1" x14ac:dyDescent="0.25">
      <c r="A179" s="127" t="s">
        <v>400</v>
      </c>
    </row>
    <row r="180" spans="1:1" x14ac:dyDescent="0.25">
      <c r="A180" s="27" t="s">
        <v>401</v>
      </c>
    </row>
    <row r="181" spans="1:1" x14ac:dyDescent="0.25">
      <c r="A181" s="127" t="s">
        <v>402</v>
      </c>
    </row>
    <row r="182" spans="1:1" x14ac:dyDescent="0.25">
      <c r="A182" t="s">
        <v>403</v>
      </c>
    </row>
    <row r="183" spans="1:1" x14ac:dyDescent="0.25">
      <c r="A183" s="126" t="s">
        <v>404</v>
      </c>
    </row>
    <row r="184" spans="1:1" x14ac:dyDescent="0.25">
      <c r="A184" s="127" t="s">
        <v>405</v>
      </c>
    </row>
    <row r="185" spans="1:1" x14ac:dyDescent="0.25">
      <c r="A185" t="s">
        <v>406</v>
      </c>
    </row>
    <row r="186" spans="1:1" x14ac:dyDescent="0.25">
      <c r="A186" s="126" t="s">
        <v>407</v>
      </c>
    </row>
    <row r="187" spans="1:1" x14ac:dyDescent="0.25">
      <c r="A187" s="126" t="s">
        <v>408</v>
      </c>
    </row>
    <row r="188" spans="1:1" x14ac:dyDescent="0.25">
      <c r="A188" t="s">
        <v>409</v>
      </c>
    </row>
    <row r="189" spans="1:1" x14ac:dyDescent="0.25">
      <c r="A189" t="s">
        <v>410</v>
      </c>
    </row>
    <row r="190" spans="1:1" x14ac:dyDescent="0.25">
      <c r="A190" t="s">
        <v>411</v>
      </c>
    </row>
    <row r="191" spans="1:1" x14ac:dyDescent="0.25">
      <c r="A191" t="s">
        <v>412</v>
      </c>
    </row>
    <row r="192" spans="1:1" x14ac:dyDescent="0.25">
      <c r="A192" t="s">
        <v>413</v>
      </c>
    </row>
    <row r="193" spans="1:1" x14ac:dyDescent="0.25">
      <c r="A193" t="s">
        <v>414</v>
      </c>
    </row>
    <row r="194" spans="1:1" x14ac:dyDescent="0.25">
      <c r="A194" t="s">
        <v>415</v>
      </c>
    </row>
    <row r="195" spans="1:1" x14ac:dyDescent="0.25">
      <c r="A195" t="s">
        <v>416</v>
      </c>
    </row>
    <row r="196" spans="1:1" x14ac:dyDescent="0.25">
      <c r="A196" t="s">
        <v>417</v>
      </c>
    </row>
    <row r="197" spans="1:1" x14ac:dyDescent="0.25">
      <c r="A197" t="s">
        <v>418</v>
      </c>
    </row>
    <row r="198" spans="1:1" x14ac:dyDescent="0.25">
      <c r="A198" t="s">
        <v>419</v>
      </c>
    </row>
    <row r="199" spans="1:1" x14ac:dyDescent="0.25">
      <c r="A199" t="s">
        <v>420</v>
      </c>
    </row>
    <row r="200" spans="1:1" x14ac:dyDescent="0.25">
      <c r="A200" t="s">
        <v>421</v>
      </c>
    </row>
    <row r="201" spans="1:1" x14ac:dyDescent="0.25">
      <c r="A201" t="s">
        <v>422</v>
      </c>
    </row>
    <row r="202" spans="1:1" x14ac:dyDescent="0.25">
      <c r="A202" t="s">
        <v>423</v>
      </c>
    </row>
    <row r="203" spans="1:1" x14ac:dyDescent="0.25">
      <c r="A203" s="126" t="s">
        <v>424</v>
      </c>
    </row>
    <row r="204" spans="1:1" x14ac:dyDescent="0.25">
      <c r="A204" s="126" t="s">
        <v>425</v>
      </c>
    </row>
    <row r="205" spans="1:1" x14ac:dyDescent="0.25">
      <c r="A205" s="126" t="s">
        <v>426</v>
      </c>
    </row>
    <row r="206" spans="1:1" x14ac:dyDescent="0.25">
      <c r="A206" s="127" t="s">
        <v>427</v>
      </c>
    </row>
    <row r="207" spans="1:1" x14ac:dyDescent="0.25">
      <c r="A207" s="127" t="s">
        <v>428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8" t="s">
        <v>57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1" t="s">
        <v>26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22"/>
      <c r="M2" s="123" t="s">
        <v>27</v>
      </c>
      <c r="N2" s="123"/>
      <c r="O2" s="123"/>
      <c r="P2" s="123"/>
      <c r="Q2" s="123"/>
      <c r="R2" s="123" t="s">
        <v>28</v>
      </c>
      <c r="S2" s="123"/>
      <c r="T2" s="123"/>
      <c r="U2" s="123"/>
      <c r="V2" s="123"/>
      <c r="W2" s="123"/>
      <c r="X2" s="123"/>
      <c r="Y2" s="100" t="s">
        <v>41</v>
      </c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24"/>
      <c r="AM2" s="124"/>
      <c r="AN2" s="124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8619</v>
      </c>
      <c r="S4" s="2" t="s">
        <v>207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8619</v>
      </c>
      <c r="S5" s="2" t="s">
        <v>284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8619</v>
      </c>
      <c r="S6" s="2" t="s">
        <v>207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8619</v>
      </c>
      <c r="S7" s="2" t="s">
        <v>284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8619</v>
      </c>
      <c r="S8" s="2" t="s">
        <v>207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8619</v>
      </c>
      <c r="S9" s="2" t="s">
        <v>284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180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8619</v>
      </c>
      <c r="S10" s="2" t="s">
        <v>207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180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8619</v>
      </c>
      <c r="S11" s="2" t="s">
        <v>284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180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8619</v>
      </c>
      <c r="S12" s="2" t="s">
        <v>207</v>
      </c>
      <c r="T12" s="2">
        <v>0</v>
      </c>
      <c r="U12" s="2">
        <v>33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180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8619</v>
      </c>
      <c r="S13" s="2" t="s">
        <v>284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180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8619</v>
      </c>
      <c r="S14" s="2" t="s">
        <v>193</v>
      </c>
      <c r="T14" s="2">
        <v>0</v>
      </c>
      <c r="U14" s="2">
        <v>33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180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8619</v>
      </c>
      <c r="S15" s="2" t="s">
        <v>193</v>
      </c>
      <c r="T15" s="2">
        <v>0</v>
      </c>
      <c r="U15" s="2">
        <v>33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180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8620</v>
      </c>
      <c r="S16" s="2" t="s">
        <v>207</v>
      </c>
      <c r="T16" s="2">
        <v>0</v>
      </c>
      <c r="U16" s="2">
        <v>34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180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8620</v>
      </c>
      <c r="S17" s="2" t="s">
        <v>207</v>
      </c>
      <c r="T17" s="2">
        <v>0</v>
      </c>
      <c r="U17" s="2">
        <v>34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180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8620</v>
      </c>
      <c r="S18" s="2" t="s">
        <v>193</v>
      </c>
      <c r="T18" s="2">
        <v>0</v>
      </c>
      <c r="U18" s="2">
        <v>34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180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8621</v>
      </c>
      <c r="S19" s="2" t="s">
        <v>207</v>
      </c>
      <c r="T19" s="2">
        <v>0</v>
      </c>
      <c r="U19" s="2">
        <v>-33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180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8621</v>
      </c>
      <c r="S20" s="2" t="s">
        <v>207</v>
      </c>
      <c r="T20" s="2">
        <v>0</v>
      </c>
      <c r="U20" s="2">
        <v>-33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180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8621</v>
      </c>
      <c r="S21" s="2" t="s">
        <v>193</v>
      </c>
      <c r="T21" s="2">
        <v>0</v>
      </c>
      <c r="U21" s="2">
        <v>33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2015-02-04T17:29:41Z</dcterms:modified>
</cp:coreProperties>
</file>