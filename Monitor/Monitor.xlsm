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M61" i="15" l="1"/>
  <c r="AL61" i="15"/>
  <c r="AG61" i="15"/>
  <c r="AE61" i="15"/>
  <c r="AM60" i="15"/>
  <c r="AL60" i="15"/>
  <c r="AG60" i="15"/>
  <c r="AE60" i="15"/>
  <c r="AM59" i="15"/>
  <c r="AL59" i="15"/>
  <c r="AG59" i="15"/>
  <c r="AE59" i="15"/>
  <c r="AM58" i="15"/>
  <c r="AL58" i="15"/>
  <c r="AG58" i="15"/>
  <c r="AE58" i="15"/>
  <c r="AM57" i="15"/>
  <c r="AL57" i="15"/>
  <c r="AG57" i="15"/>
  <c r="AE57" i="15"/>
  <c r="AM56" i="15"/>
  <c r="AL56" i="15"/>
  <c r="AG56" i="15"/>
  <c r="AE56" i="15"/>
  <c r="AM55" i="15"/>
  <c r="AL55" i="15"/>
  <c r="AG55" i="15"/>
  <c r="AE55" i="15"/>
  <c r="AM54" i="15"/>
  <c r="AL54" i="15"/>
  <c r="AG54" i="15"/>
  <c r="AE54" i="15"/>
  <c r="AM53" i="15"/>
  <c r="AL53" i="15"/>
  <c r="AG53" i="15"/>
  <c r="AE53" i="15"/>
  <c r="AM52" i="15"/>
  <c r="AL52" i="15"/>
  <c r="AG52" i="15"/>
  <c r="AE52" i="15"/>
  <c r="AM51" i="15"/>
  <c r="AN51" i="15" s="1"/>
  <c r="AO51" i="15" s="1"/>
  <c r="AP51" i="15" s="1"/>
  <c r="AG51" i="15"/>
  <c r="AE51" i="15"/>
  <c r="AM50" i="15"/>
  <c r="AL50" i="15"/>
  <c r="AG50" i="15"/>
  <c r="AE50" i="15"/>
  <c r="AM49" i="15"/>
  <c r="AL49" i="15"/>
  <c r="AG49" i="15"/>
  <c r="AE49" i="15"/>
  <c r="AM48" i="15"/>
  <c r="AL48" i="15"/>
  <c r="AG48" i="15"/>
  <c r="AE48" i="15"/>
  <c r="AM47" i="15"/>
  <c r="AL47" i="15"/>
  <c r="AG47" i="15"/>
  <c r="AE47" i="15"/>
  <c r="AH47" i="15" s="1"/>
  <c r="AM46" i="15"/>
  <c r="AL46" i="15"/>
  <c r="AG46" i="15"/>
  <c r="AE46" i="15"/>
  <c r="AH46" i="15" s="1"/>
  <c r="AM45" i="15"/>
  <c r="AL45" i="15"/>
  <c r="AG45" i="15"/>
  <c r="AE45" i="15"/>
  <c r="AH45" i="15" s="1"/>
  <c r="AM44" i="15"/>
  <c r="AL44" i="15"/>
  <c r="AG44" i="15"/>
  <c r="AE44" i="15"/>
  <c r="AH44" i="15" s="1"/>
  <c r="AM43" i="15"/>
  <c r="AL43" i="15"/>
  <c r="AG43" i="15"/>
  <c r="AE43" i="15"/>
  <c r="AH43" i="15" s="1"/>
  <c r="AM42" i="15"/>
  <c r="AL42" i="15"/>
  <c r="AG42" i="15"/>
  <c r="AE42" i="15"/>
  <c r="AM41" i="15"/>
  <c r="AL41" i="15"/>
  <c r="AG41" i="15"/>
  <c r="AE41" i="15"/>
  <c r="X27" i="15"/>
  <c r="AI53" i="15"/>
  <c r="AI51" i="15"/>
  <c r="AI44" i="15"/>
  <c r="AI61" i="15"/>
  <c r="AI49" i="15"/>
  <c r="AI43" i="15"/>
  <c r="AI48" i="15"/>
  <c r="AI55" i="15"/>
  <c r="AI50" i="15"/>
  <c r="AI46" i="15"/>
  <c r="AI57" i="15"/>
  <c r="AI47" i="15"/>
  <c r="AI54" i="15"/>
  <c r="AI58" i="15"/>
  <c r="AI56" i="15"/>
  <c r="AI41" i="15"/>
  <c r="AI45" i="15"/>
  <c r="AI52" i="15"/>
  <c r="AI59" i="15"/>
  <c r="AI60" i="15"/>
  <c r="AI42" i="15"/>
  <c r="Y2" i="15" l="1"/>
  <c r="AN50" i="15"/>
  <c r="AO50" i="15" s="1"/>
  <c r="AP50" i="15" s="1"/>
  <c r="AN41" i="15"/>
  <c r="AO41" i="15" s="1"/>
  <c r="AP41" i="15" s="1"/>
  <c r="AN43" i="15"/>
  <c r="AO43" i="15" s="1"/>
  <c r="AP43" i="15" s="1"/>
  <c r="AN44" i="15"/>
  <c r="AO44" i="15" s="1"/>
  <c r="AP44" i="15" s="1"/>
  <c r="AN47" i="15"/>
  <c r="AO47" i="15" s="1"/>
  <c r="AP47" i="15" s="1"/>
  <c r="AN49" i="15"/>
  <c r="AO49" i="15" s="1"/>
  <c r="AP49" i="15" s="1"/>
  <c r="AN48" i="15"/>
  <c r="AO48" i="15" s="1"/>
  <c r="AP48" i="15" s="1"/>
  <c r="AA2" i="15"/>
  <c r="AB2" i="15" s="1"/>
  <c r="AN42" i="15"/>
  <c r="AO42" i="15" s="1"/>
  <c r="AP42" i="15" s="1"/>
  <c r="AN45" i="15"/>
  <c r="AO45" i="15" s="1"/>
  <c r="AP45" i="15" s="1"/>
  <c r="AN52" i="15"/>
  <c r="AO52" i="15" s="1"/>
  <c r="AP52" i="15" s="1"/>
  <c r="AN53" i="15"/>
  <c r="AO53" i="15" s="1"/>
  <c r="AP53" i="15" s="1"/>
  <c r="AN54" i="15"/>
  <c r="AO54" i="15" s="1"/>
  <c r="AP54" i="15" s="1"/>
  <c r="AN55" i="15"/>
  <c r="AO55" i="15" s="1"/>
  <c r="AP55" i="15" s="1"/>
  <c r="AN56" i="15"/>
  <c r="AO56" i="15" s="1"/>
  <c r="AP56" i="15" s="1"/>
  <c r="AN57" i="15"/>
  <c r="AO57" i="15" s="1"/>
  <c r="AP57" i="15" s="1"/>
  <c r="AN58" i="15"/>
  <c r="AO58" i="15" s="1"/>
  <c r="AP58" i="15" s="1"/>
  <c r="AN59" i="15"/>
  <c r="AO59" i="15" s="1"/>
  <c r="AP59" i="15" s="1"/>
  <c r="AN60" i="15"/>
  <c r="AO60" i="15" s="1"/>
  <c r="AP60" i="15" s="1"/>
  <c r="AN61" i="15"/>
  <c r="AO61" i="15" s="1"/>
  <c r="AP61" i="15" s="1"/>
  <c r="AN46" i="15"/>
  <c r="AO46" i="15" s="1"/>
  <c r="AP46" i="15" s="1"/>
  <c r="AJ46" i="15"/>
  <c r="AK46" i="15" s="1"/>
  <c r="AJ52" i="15"/>
  <c r="AK52" i="15" s="1"/>
  <c r="AJ43" i="15"/>
  <c r="AK43" i="15" s="1"/>
  <c r="AJ47" i="15"/>
  <c r="AK47" i="15" s="1"/>
  <c r="AJ49" i="15"/>
  <c r="AK49" i="15" s="1"/>
  <c r="AJ51" i="15"/>
  <c r="AK51" i="15" s="1"/>
  <c r="AJ56" i="15"/>
  <c r="AK56" i="15" s="1"/>
  <c r="AJ58" i="15"/>
  <c r="AK58" i="15" s="1"/>
  <c r="AJ60" i="15"/>
  <c r="AK60" i="15" s="1"/>
  <c r="AJ45" i="15"/>
  <c r="AK45" i="15" s="1"/>
  <c r="AJ48" i="15"/>
  <c r="AK48" i="15" s="1"/>
  <c r="AJ50" i="15"/>
  <c r="AK50" i="15" s="1"/>
  <c r="AJ42" i="15"/>
  <c r="AK42" i="15" s="1"/>
  <c r="AJ54" i="15"/>
  <c r="AK54" i="15" s="1"/>
  <c r="AJ41" i="15"/>
  <c r="AJ44" i="15"/>
  <c r="AK44" i="15" s="1"/>
  <c r="AJ53" i="15"/>
  <c r="AK53" i="15" s="1"/>
  <c r="AJ55" i="15"/>
  <c r="AK55" i="15" s="1"/>
  <c r="AJ57" i="15"/>
  <c r="AK57" i="15" s="1"/>
  <c r="AJ59" i="15"/>
  <c r="AK59" i="15" s="1"/>
  <c r="AJ61" i="15"/>
  <c r="AK61" i="15" s="1"/>
  <c r="AB7" i="13"/>
  <c r="AD7" i="13"/>
  <c r="AB8" i="13"/>
  <c r="AD8" i="13"/>
  <c r="AB9" i="13"/>
  <c r="AD9" i="13"/>
  <c r="AB10" i="13"/>
  <c r="AD10" i="13"/>
  <c r="AB11" i="13"/>
  <c r="AD11" i="13"/>
  <c r="AB12" i="13"/>
  <c r="AD12" i="13"/>
  <c r="AB13" i="13"/>
  <c r="AD13" i="13"/>
  <c r="AB14" i="13"/>
  <c r="AD14" i="13"/>
  <c r="AB15" i="13"/>
  <c r="AD15" i="13"/>
  <c r="AB16" i="13"/>
  <c r="AD16" i="13"/>
  <c r="AB17" i="13"/>
  <c r="AD17" i="13"/>
  <c r="AB18" i="13"/>
  <c r="AD18" i="13"/>
  <c r="AB19" i="13"/>
  <c r="AD19" i="13"/>
  <c r="AB20" i="13"/>
  <c r="AD20" i="13"/>
  <c r="AB21" i="13"/>
  <c r="AD21" i="13"/>
  <c r="AB22" i="13"/>
  <c r="AD22" i="13"/>
  <c r="AB23" i="13"/>
  <c r="AD23" i="13"/>
  <c r="AB24" i="13"/>
  <c r="AD24" i="13"/>
  <c r="AB25" i="13"/>
  <c r="AD25" i="13"/>
  <c r="AB26" i="13"/>
  <c r="AD26" i="13"/>
  <c r="AB27" i="13"/>
  <c r="AD27" i="13"/>
  <c r="AB28" i="13"/>
  <c r="AD28" i="13"/>
  <c r="AB29" i="13"/>
  <c r="AD29" i="13"/>
  <c r="AB30" i="13"/>
  <c r="AD30" i="13"/>
  <c r="AB31" i="13"/>
  <c r="AD31" i="13"/>
  <c r="AB32" i="13"/>
  <c r="AD32" i="13"/>
  <c r="AB33" i="13"/>
  <c r="AD33" i="13"/>
  <c r="AB34" i="13"/>
  <c r="AD34" i="13"/>
  <c r="AB35" i="13"/>
  <c r="AD35" i="13"/>
  <c r="AB36" i="13"/>
  <c r="AD36" i="13"/>
  <c r="AB37" i="13"/>
  <c r="AD37" i="13"/>
  <c r="AB38" i="13"/>
  <c r="AD38" i="13"/>
  <c r="AB39" i="13"/>
  <c r="AD39" i="13"/>
  <c r="AB40" i="13"/>
  <c r="AD40" i="13"/>
  <c r="AB41" i="13"/>
  <c r="AD41" i="13"/>
  <c r="AB42" i="13"/>
  <c r="AD42" i="13"/>
  <c r="AB43" i="13"/>
  <c r="AD43" i="13"/>
  <c r="AB44" i="13"/>
  <c r="AD44" i="13"/>
  <c r="AB45" i="13"/>
  <c r="AD45" i="13"/>
  <c r="AB46" i="13"/>
  <c r="AD46" i="13"/>
  <c r="AB47" i="13"/>
  <c r="AD47" i="13"/>
  <c r="AB48" i="13"/>
  <c r="AD48" i="13"/>
  <c r="AB49" i="13"/>
  <c r="AD49" i="13"/>
  <c r="AB50" i="13"/>
  <c r="AD50" i="13"/>
  <c r="AB51" i="13"/>
  <c r="AD51" i="13"/>
  <c r="AB52" i="13"/>
  <c r="AD52" i="13"/>
  <c r="AB53" i="13"/>
  <c r="AD53" i="13"/>
  <c r="AB54" i="13"/>
  <c r="AD54" i="13"/>
  <c r="AB55" i="13"/>
  <c r="AD55" i="13"/>
  <c r="AB56" i="13"/>
  <c r="AD56" i="13"/>
  <c r="AB57" i="13"/>
  <c r="AD57" i="13"/>
  <c r="AB58" i="13"/>
  <c r="AD58" i="13"/>
  <c r="AB59" i="13"/>
  <c r="AD59" i="13"/>
  <c r="AB60" i="13"/>
  <c r="AD60" i="13"/>
  <c r="AB61" i="13"/>
  <c r="AD61" i="13"/>
  <c r="AB62" i="13"/>
  <c r="AD62" i="13"/>
  <c r="AB63" i="13"/>
  <c r="AD63" i="13"/>
  <c r="AB64" i="13"/>
  <c r="AD64" i="13"/>
  <c r="AB65" i="13"/>
  <c r="AD65" i="13"/>
  <c r="AB66" i="13"/>
  <c r="AD66" i="13"/>
  <c r="AB67" i="13"/>
  <c r="AD67" i="13"/>
  <c r="AB68" i="13"/>
  <c r="AD68" i="13"/>
  <c r="AB69" i="13"/>
  <c r="AD69" i="13"/>
  <c r="AB70" i="13"/>
  <c r="AD70" i="13"/>
  <c r="AB71" i="13"/>
  <c r="AD71" i="13"/>
  <c r="AB72" i="13"/>
  <c r="AD72" i="13"/>
  <c r="AB73" i="13"/>
  <c r="AD73" i="13"/>
  <c r="AB74" i="13"/>
  <c r="AD74" i="13"/>
  <c r="AB75" i="13"/>
  <c r="AD75" i="13"/>
  <c r="AB76" i="13"/>
  <c r="AD76" i="13"/>
  <c r="AB77" i="13"/>
  <c r="AD77" i="13"/>
  <c r="AB78" i="13"/>
  <c r="AD78" i="13"/>
  <c r="AB79" i="13"/>
  <c r="AD79" i="13"/>
  <c r="AB80" i="13"/>
  <c r="AD80" i="13"/>
  <c r="AB81" i="13"/>
  <c r="AD81" i="13"/>
  <c r="AB82" i="13"/>
  <c r="AD82" i="13"/>
  <c r="AB83" i="13"/>
  <c r="AD83" i="13"/>
  <c r="AB84" i="13"/>
  <c r="AD84" i="13"/>
  <c r="AB85" i="13"/>
  <c r="AD85" i="13"/>
  <c r="AB86" i="13"/>
  <c r="AD86" i="13"/>
  <c r="AB87" i="13"/>
  <c r="AD87" i="13"/>
  <c r="AB88" i="13"/>
  <c r="AD88" i="13"/>
  <c r="AB89" i="13"/>
  <c r="AD89" i="13"/>
  <c r="AB90" i="13"/>
  <c r="AD90" i="13"/>
  <c r="AB91" i="13"/>
  <c r="AD91" i="13"/>
  <c r="AB92" i="13"/>
  <c r="AD92" i="13"/>
  <c r="AB93" i="13"/>
  <c r="AD93" i="13"/>
  <c r="AB94" i="13"/>
  <c r="AD94" i="13"/>
  <c r="AB95" i="13"/>
  <c r="AD95" i="13"/>
  <c r="AB96" i="13"/>
  <c r="AD96" i="13"/>
  <c r="AB97" i="13"/>
  <c r="AD97" i="13"/>
  <c r="AB98" i="13"/>
  <c r="AD98" i="13"/>
  <c r="AB99" i="13"/>
  <c r="AD99" i="13"/>
  <c r="AB100" i="13"/>
  <c r="AD100" i="13"/>
  <c r="AB101" i="13"/>
  <c r="AD101" i="13"/>
  <c r="AB102" i="13"/>
  <c r="AD102" i="13"/>
  <c r="AB103" i="13"/>
  <c r="AD103" i="13"/>
  <c r="AB104" i="13"/>
  <c r="AD104" i="13"/>
  <c r="AB105" i="13"/>
  <c r="AD105" i="13"/>
  <c r="AB106" i="13"/>
  <c r="AD106" i="13"/>
  <c r="AB107" i="13"/>
  <c r="AD107" i="13"/>
  <c r="AB108" i="13"/>
  <c r="AD108" i="13"/>
  <c r="AB109" i="13"/>
  <c r="AD109" i="13"/>
  <c r="AB110" i="13"/>
  <c r="AD110" i="13"/>
  <c r="AB111" i="13"/>
  <c r="AD111" i="13"/>
  <c r="AB112" i="13"/>
  <c r="AD112" i="13"/>
  <c r="AB113" i="13"/>
  <c r="AD113" i="13"/>
  <c r="AB114" i="13"/>
  <c r="AD114" i="13"/>
  <c r="AB115" i="13"/>
  <c r="AD115" i="13"/>
  <c r="AB116" i="13"/>
  <c r="AD116" i="13"/>
  <c r="AB117" i="13"/>
  <c r="AD117" i="13"/>
  <c r="AB118" i="13"/>
  <c r="AD118" i="13"/>
  <c r="AB119" i="13"/>
  <c r="AD119" i="13"/>
  <c r="AB120" i="13"/>
  <c r="AD120" i="13"/>
  <c r="AB121" i="13"/>
  <c r="AD121" i="13"/>
  <c r="AB122" i="13"/>
  <c r="AD122" i="13"/>
  <c r="AB123" i="13"/>
  <c r="AD123" i="13"/>
  <c r="AB124" i="13"/>
  <c r="AD124" i="13"/>
  <c r="AB125" i="13"/>
  <c r="AD125" i="13"/>
  <c r="AD6" i="13"/>
  <c r="AB6" i="13"/>
  <c r="AQ39" i="15" l="1"/>
  <c r="AE2" i="15" s="1"/>
  <c r="AD2" i="15" s="1"/>
  <c r="AK41" i="15"/>
  <c r="Z2" i="15"/>
  <c r="AH125" i="13"/>
  <c r="AI125" i="13" s="1"/>
  <c r="AJ125" i="13" s="1"/>
  <c r="AK125" i="13" s="1"/>
  <c r="K125" i="13"/>
  <c r="H125" i="13"/>
  <c r="AH124" i="13"/>
  <c r="AI124" i="13" s="1"/>
  <c r="AJ124" i="13" s="1"/>
  <c r="AK124" i="13" s="1"/>
  <c r="K124" i="13"/>
  <c r="H124" i="13"/>
  <c r="AH123" i="13"/>
  <c r="AI123" i="13" s="1"/>
  <c r="AJ123" i="13" s="1"/>
  <c r="AK123" i="13" s="1"/>
  <c r="K123" i="13"/>
  <c r="H123" i="13"/>
  <c r="AH122" i="13"/>
  <c r="AI122" i="13" s="1"/>
  <c r="AJ122" i="13" s="1"/>
  <c r="AK122" i="13" s="1"/>
  <c r="K122" i="13"/>
  <c r="H122" i="13"/>
  <c r="AH121" i="13"/>
  <c r="AI121" i="13" s="1"/>
  <c r="AJ121" i="13" s="1"/>
  <c r="AK121" i="13" s="1"/>
  <c r="K121" i="13"/>
  <c r="H121" i="13"/>
  <c r="AH120" i="13"/>
  <c r="AI120" i="13" s="1"/>
  <c r="AJ120" i="13" s="1"/>
  <c r="AK120" i="13" s="1"/>
  <c r="K120" i="13"/>
  <c r="H120" i="13"/>
  <c r="AH119" i="13"/>
  <c r="AI119" i="13" s="1"/>
  <c r="AJ119" i="13" s="1"/>
  <c r="AK119" i="13" s="1"/>
  <c r="K119" i="13"/>
  <c r="H119" i="13"/>
  <c r="AH118" i="13"/>
  <c r="AI118" i="13" s="1"/>
  <c r="AJ118" i="13" s="1"/>
  <c r="AK118" i="13" s="1"/>
  <c r="K118" i="13"/>
  <c r="H118" i="13"/>
  <c r="AH117" i="13"/>
  <c r="AI117" i="13" s="1"/>
  <c r="AJ117" i="13" s="1"/>
  <c r="AK117" i="13" s="1"/>
  <c r="K117" i="13"/>
  <c r="H117" i="13"/>
  <c r="AH116" i="13"/>
  <c r="AI116" i="13" s="1"/>
  <c r="AJ116" i="13" s="1"/>
  <c r="AK116" i="13" s="1"/>
  <c r="K116" i="13"/>
  <c r="H116" i="13"/>
  <c r="AH115" i="13"/>
  <c r="AI115" i="13" s="1"/>
  <c r="AJ115" i="13" s="1"/>
  <c r="AK115" i="13" s="1"/>
  <c r="K115" i="13"/>
  <c r="H115" i="13"/>
  <c r="AH114" i="13"/>
  <c r="AI114" i="13" s="1"/>
  <c r="AJ114" i="13" s="1"/>
  <c r="AK114" i="13" s="1"/>
  <c r="K114" i="13"/>
  <c r="H114" i="13"/>
  <c r="AH113" i="13"/>
  <c r="AI113" i="13" s="1"/>
  <c r="AJ113" i="13" s="1"/>
  <c r="AK113" i="13" s="1"/>
  <c r="K113" i="13"/>
  <c r="H113" i="13"/>
  <c r="AH112" i="13"/>
  <c r="AI112" i="13" s="1"/>
  <c r="AJ112" i="13" s="1"/>
  <c r="AK112" i="13" s="1"/>
  <c r="K112" i="13"/>
  <c r="H112" i="13"/>
  <c r="AH111" i="13"/>
  <c r="AI111" i="13" s="1"/>
  <c r="AJ111" i="13" s="1"/>
  <c r="AK111" i="13" s="1"/>
  <c r="K111" i="13"/>
  <c r="H111" i="13"/>
  <c r="AH110" i="13"/>
  <c r="AI110" i="13" s="1"/>
  <c r="AJ110" i="13" s="1"/>
  <c r="AK110" i="13" s="1"/>
  <c r="K110" i="13"/>
  <c r="H110" i="13"/>
  <c r="AH109" i="13"/>
  <c r="AI109" i="13" s="1"/>
  <c r="AJ109" i="13" s="1"/>
  <c r="AK109" i="13" s="1"/>
  <c r="K109" i="13"/>
  <c r="H109" i="13"/>
  <c r="AH108" i="13"/>
  <c r="AI108" i="13" s="1"/>
  <c r="AJ108" i="13" s="1"/>
  <c r="AK108" i="13" s="1"/>
  <c r="K108" i="13"/>
  <c r="H108" i="13"/>
  <c r="AH107" i="13"/>
  <c r="AI107" i="13" s="1"/>
  <c r="AJ107" i="13" s="1"/>
  <c r="AK107" i="13" s="1"/>
  <c r="K107" i="13"/>
  <c r="H107" i="13"/>
  <c r="AH106" i="13"/>
  <c r="AI106" i="13" s="1"/>
  <c r="AJ106" i="13" s="1"/>
  <c r="AK106" i="13" s="1"/>
  <c r="K106" i="13"/>
  <c r="H106" i="13"/>
  <c r="AH105" i="13"/>
  <c r="AI105" i="13" s="1"/>
  <c r="AJ105" i="13" s="1"/>
  <c r="AK105" i="13" s="1"/>
  <c r="K105" i="13"/>
  <c r="H105" i="13"/>
  <c r="AH104" i="13"/>
  <c r="AI104" i="13" s="1"/>
  <c r="AJ104" i="13" s="1"/>
  <c r="AK104" i="13" s="1"/>
  <c r="K104" i="13"/>
  <c r="H104" i="13"/>
  <c r="AH103" i="13"/>
  <c r="AI103" i="13" s="1"/>
  <c r="AJ103" i="13" s="1"/>
  <c r="AK103" i="13" s="1"/>
  <c r="K103" i="13"/>
  <c r="H103" i="13"/>
  <c r="AH102" i="13"/>
  <c r="AI102" i="13" s="1"/>
  <c r="AJ102" i="13" s="1"/>
  <c r="AK102" i="13" s="1"/>
  <c r="K102" i="13"/>
  <c r="H102" i="13"/>
  <c r="AH101" i="13"/>
  <c r="AI101" i="13" s="1"/>
  <c r="AJ101" i="13" s="1"/>
  <c r="AK101" i="13" s="1"/>
  <c r="K101" i="13"/>
  <c r="H101" i="13"/>
  <c r="AH100" i="13"/>
  <c r="AI100" i="13" s="1"/>
  <c r="AJ100" i="13" s="1"/>
  <c r="AK100" i="13" s="1"/>
  <c r="K100" i="13"/>
  <c r="H100" i="13"/>
  <c r="AH99" i="13"/>
  <c r="AI99" i="13" s="1"/>
  <c r="AJ99" i="13" s="1"/>
  <c r="AK99" i="13" s="1"/>
  <c r="K99" i="13"/>
  <c r="H99" i="13"/>
  <c r="AH98" i="13"/>
  <c r="AI98" i="13" s="1"/>
  <c r="AJ98" i="13" s="1"/>
  <c r="AK98" i="13" s="1"/>
  <c r="K98" i="13"/>
  <c r="H98" i="13"/>
  <c r="AH97" i="13"/>
  <c r="AI97" i="13" s="1"/>
  <c r="AJ97" i="13" s="1"/>
  <c r="AK97" i="13" s="1"/>
  <c r="K97" i="13"/>
  <c r="H97" i="13"/>
  <c r="AH96" i="13"/>
  <c r="AI96" i="13" s="1"/>
  <c r="AJ96" i="13" s="1"/>
  <c r="AK96" i="13" s="1"/>
  <c r="K96" i="13"/>
  <c r="H96" i="13"/>
  <c r="AH95" i="13"/>
  <c r="AI95" i="13" s="1"/>
  <c r="AJ95" i="13" s="1"/>
  <c r="AK95" i="13" s="1"/>
  <c r="K95" i="13"/>
  <c r="H95" i="13"/>
  <c r="AH94" i="13"/>
  <c r="AI94" i="13" s="1"/>
  <c r="AJ94" i="13" s="1"/>
  <c r="AK94" i="13" s="1"/>
  <c r="K94" i="13"/>
  <c r="H94" i="13"/>
  <c r="AH93" i="13"/>
  <c r="AI93" i="13" s="1"/>
  <c r="AJ93" i="13" s="1"/>
  <c r="AK93" i="13" s="1"/>
  <c r="K93" i="13"/>
  <c r="H93" i="13"/>
  <c r="AH92" i="13"/>
  <c r="AI92" i="13" s="1"/>
  <c r="AJ92" i="13" s="1"/>
  <c r="AK92" i="13" s="1"/>
  <c r="K92" i="13"/>
  <c r="H92" i="13"/>
  <c r="AH91" i="13"/>
  <c r="AI91" i="13" s="1"/>
  <c r="AJ91" i="13" s="1"/>
  <c r="AK91" i="13" s="1"/>
  <c r="K91" i="13"/>
  <c r="H91" i="13"/>
  <c r="AH90" i="13"/>
  <c r="AI90" i="13" s="1"/>
  <c r="AJ90" i="13" s="1"/>
  <c r="AK90" i="13" s="1"/>
  <c r="K90" i="13"/>
  <c r="H90" i="13"/>
  <c r="AH89" i="13"/>
  <c r="AI89" i="13" s="1"/>
  <c r="AJ89" i="13" s="1"/>
  <c r="AK89" i="13" s="1"/>
  <c r="K89" i="13"/>
  <c r="H89" i="13"/>
  <c r="AH88" i="13"/>
  <c r="AI88" i="13" s="1"/>
  <c r="AJ88" i="13" s="1"/>
  <c r="AK88" i="13" s="1"/>
  <c r="K88" i="13"/>
  <c r="H88" i="13"/>
  <c r="AH87" i="13"/>
  <c r="AI87" i="13" s="1"/>
  <c r="AJ87" i="13" s="1"/>
  <c r="AK87" i="13" s="1"/>
  <c r="K87" i="13"/>
  <c r="H87" i="13"/>
  <c r="AH86" i="13"/>
  <c r="AI86" i="13" s="1"/>
  <c r="AJ86" i="13" s="1"/>
  <c r="AK86" i="13" s="1"/>
  <c r="K86" i="13"/>
  <c r="H86" i="13"/>
  <c r="AH85" i="13"/>
  <c r="AI85" i="13" s="1"/>
  <c r="AJ85" i="13" s="1"/>
  <c r="AK85" i="13" s="1"/>
  <c r="K85" i="13"/>
  <c r="H85" i="13"/>
  <c r="AH84" i="13"/>
  <c r="AI84" i="13" s="1"/>
  <c r="AJ84" i="13" s="1"/>
  <c r="AK84" i="13" s="1"/>
  <c r="K84" i="13"/>
  <c r="H84" i="13"/>
  <c r="AH83" i="13"/>
  <c r="AI83" i="13" s="1"/>
  <c r="AJ83" i="13" s="1"/>
  <c r="AK83" i="13" s="1"/>
  <c r="K83" i="13"/>
  <c r="H83" i="13"/>
  <c r="AH82" i="13"/>
  <c r="AI82" i="13" s="1"/>
  <c r="AJ82" i="13" s="1"/>
  <c r="AK82" i="13" s="1"/>
  <c r="K82" i="13"/>
  <c r="H82" i="13"/>
  <c r="AH81" i="13"/>
  <c r="AI81" i="13" s="1"/>
  <c r="AJ81" i="13" s="1"/>
  <c r="AK81" i="13" s="1"/>
  <c r="K81" i="13"/>
  <c r="H81" i="13"/>
  <c r="AH80" i="13"/>
  <c r="AI80" i="13" s="1"/>
  <c r="AJ80" i="13" s="1"/>
  <c r="AK80" i="13" s="1"/>
  <c r="K80" i="13"/>
  <c r="H80" i="13"/>
  <c r="AH79" i="13"/>
  <c r="AI79" i="13" s="1"/>
  <c r="AJ79" i="13" s="1"/>
  <c r="AK79" i="13" s="1"/>
  <c r="K79" i="13"/>
  <c r="H79" i="13"/>
  <c r="AH78" i="13"/>
  <c r="AI78" i="13" s="1"/>
  <c r="AJ78" i="13" s="1"/>
  <c r="AK78" i="13" s="1"/>
  <c r="K78" i="13"/>
  <c r="H78" i="13"/>
  <c r="AH77" i="13"/>
  <c r="AI77" i="13" s="1"/>
  <c r="AJ77" i="13" s="1"/>
  <c r="AK77" i="13" s="1"/>
  <c r="K77" i="13"/>
  <c r="H77" i="13"/>
  <c r="AH76" i="13"/>
  <c r="AI76" i="13" s="1"/>
  <c r="AJ76" i="13" s="1"/>
  <c r="AK76" i="13" s="1"/>
  <c r="K76" i="13"/>
  <c r="H76" i="13"/>
  <c r="AH75" i="13"/>
  <c r="AI75" i="13" s="1"/>
  <c r="AJ75" i="13" s="1"/>
  <c r="AK75" i="13" s="1"/>
  <c r="K75" i="13"/>
  <c r="H75" i="13"/>
  <c r="AH74" i="13"/>
  <c r="AI74" i="13" s="1"/>
  <c r="AJ74" i="13" s="1"/>
  <c r="AK74" i="13" s="1"/>
  <c r="K74" i="13"/>
  <c r="H74" i="13"/>
  <c r="AH73" i="13"/>
  <c r="AI73" i="13" s="1"/>
  <c r="AJ73" i="13" s="1"/>
  <c r="AK73" i="13" s="1"/>
  <c r="K73" i="13"/>
  <c r="H73" i="13"/>
  <c r="AH72" i="13"/>
  <c r="AI72" i="13" s="1"/>
  <c r="AJ72" i="13" s="1"/>
  <c r="AK72" i="13" s="1"/>
  <c r="K72" i="13"/>
  <c r="H72" i="13"/>
  <c r="AH71" i="13"/>
  <c r="AI71" i="13" s="1"/>
  <c r="AJ71" i="13" s="1"/>
  <c r="AK71" i="13" s="1"/>
  <c r="K71" i="13"/>
  <c r="H71" i="13"/>
  <c r="AH70" i="13"/>
  <c r="AI70" i="13" s="1"/>
  <c r="AJ70" i="13" s="1"/>
  <c r="AK70" i="13" s="1"/>
  <c r="K70" i="13"/>
  <c r="H70" i="13"/>
  <c r="AH69" i="13"/>
  <c r="AI69" i="13" s="1"/>
  <c r="AJ69" i="13" s="1"/>
  <c r="AK69" i="13" s="1"/>
  <c r="K69" i="13"/>
  <c r="H69" i="13"/>
  <c r="AH68" i="13"/>
  <c r="AI68" i="13" s="1"/>
  <c r="AJ68" i="13" s="1"/>
  <c r="AK68" i="13" s="1"/>
  <c r="K68" i="13"/>
  <c r="H68" i="13"/>
  <c r="AH67" i="13"/>
  <c r="AI67" i="13" s="1"/>
  <c r="AJ67" i="13" s="1"/>
  <c r="AK67" i="13" s="1"/>
  <c r="K67" i="13"/>
  <c r="H67" i="13"/>
  <c r="AH66" i="13"/>
  <c r="AI66" i="13" s="1"/>
  <c r="AJ66" i="13" s="1"/>
  <c r="AK66" i="13" s="1"/>
  <c r="K66" i="13"/>
  <c r="H66" i="13"/>
  <c r="AH65" i="13"/>
  <c r="AI65" i="13" s="1"/>
  <c r="AJ65" i="13" s="1"/>
  <c r="AK65" i="13" s="1"/>
  <c r="K65" i="13"/>
  <c r="H65" i="13"/>
  <c r="AH64" i="13"/>
  <c r="AI64" i="13" s="1"/>
  <c r="AJ64" i="13" s="1"/>
  <c r="AK64" i="13" s="1"/>
  <c r="K64" i="13"/>
  <c r="H64" i="13"/>
  <c r="AH63" i="13"/>
  <c r="AI63" i="13" s="1"/>
  <c r="AJ63" i="13" s="1"/>
  <c r="AK63" i="13" s="1"/>
  <c r="K63" i="13"/>
  <c r="H63" i="13"/>
  <c r="AH62" i="13"/>
  <c r="AI62" i="13" s="1"/>
  <c r="AJ62" i="13" s="1"/>
  <c r="AK62" i="13" s="1"/>
  <c r="K62" i="13"/>
  <c r="H62" i="13"/>
  <c r="AH61" i="13"/>
  <c r="AI61" i="13" s="1"/>
  <c r="AJ61" i="13" s="1"/>
  <c r="AK61" i="13" s="1"/>
  <c r="K61" i="13"/>
  <c r="H61" i="13"/>
  <c r="AH60" i="13"/>
  <c r="AI60" i="13" s="1"/>
  <c r="AJ60" i="13" s="1"/>
  <c r="AK60" i="13" s="1"/>
  <c r="K60" i="13"/>
  <c r="H60" i="13"/>
  <c r="AH59" i="13"/>
  <c r="AI59" i="13" s="1"/>
  <c r="AJ59" i="13" s="1"/>
  <c r="AK59" i="13" s="1"/>
  <c r="K59" i="13"/>
  <c r="H59" i="13"/>
  <c r="AH58" i="13"/>
  <c r="AI58" i="13" s="1"/>
  <c r="AJ58" i="13" s="1"/>
  <c r="AK58" i="13" s="1"/>
  <c r="K58" i="13"/>
  <c r="H58" i="13"/>
  <c r="AH57" i="13"/>
  <c r="AI57" i="13" s="1"/>
  <c r="AJ57" i="13" s="1"/>
  <c r="AK57" i="13" s="1"/>
  <c r="K57" i="13"/>
  <c r="H57" i="13"/>
  <c r="AH56" i="13"/>
  <c r="AI56" i="13" s="1"/>
  <c r="AJ56" i="13" s="1"/>
  <c r="AK56" i="13" s="1"/>
  <c r="K56" i="13"/>
  <c r="H56" i="13"/>
  <c r="AH55" i="13"/>
  <c r="AI55" i="13" s="1"/>
  <c r="AJ55" i="13" s="1"/>
  <c r="AK55" i="13" s="1"/>
  <c r="K55" i="13"/>
  <c r="H55" i="13"/>
  <c r="AH54" i="13"/>
  <c r="AI54" i="13" s="1"/>
  <c r="AJ54" i="13" s="1"/>
  <c r="AK54" i="13" s="1"/>
  <c r="K54" i="13"/>
  <c r="H54" i="13"/>
  <c r="AH53" i="13"/>
  <c r="AI53" i="13" s="1"/>
  <c r="AJ53" i="13" s="1"/>
  <c r="AK53" i="13" s="1"/>
  <c r="K53" i="13"/>
  <c r="H53" i="13"/>
  <c r="AH52" i="13"/>
  <c r="AI52" i="13" s="1"/>
  <c r="AJ52" i="13" s="1"/>
  <c r="AK52" i="13" s="1"/>
  <c r="K52" i="13"/>
  <c r="H52" i="13"/>
  <c r="AH51" i="13"/>
  <c r="AI51" i="13" s="1"/>
  <c r="AJ51" i="13" s="1"/>
  <c r="AK51" i="13" s="1"/>
  <c r="K51" i="13"/>
  <c r="H51" i="13"/>
  <c r="AH50" i="13"/>
  <c r="AI50" i="13" s="1"/>
  <c r="AJ50" i="13" s="1"/>
  <c r="AK50" i="13" s="1"/>
  <c r="K50" i="13"/>
  <c r="H50" i="13"/>
  <c r="AH49" i="13"/>
  <c r="AI49" i="13" s="1"/>
  <c r="AJ49" i="13" s="1"/>
  <c r="AK49" i="13" s="1"/>
  <c r="K49" i="13"/>
  <c r="H49" i="13"/>
  <c r="AH48" i="13"/>
  <c r="AI48" i="13" s="1"/>
  <c r="AJ48" i="13" s="1"/>
  <c r="AK48" i="13" s="1"/>
  <c r="K48" i="13"/>
  <c r="H48" i="13"/>
  <c r="AH47" i="13"/>
  <c r="AI47" i="13" s="1"/>
  <c r="AJ47" i="13" s="1"/>
  <c r="AK47" i="13" s="1"/>
  <c r="K47" i="13"/>
  <c r="H47" i="13"/>
  <c r="AH46" i="13"/>
  <c r="AI46" i="13" s="1"/>
  <c r="AJ46" i="13" s="1"/>
  <c r="AK46" i="13" s="1"/>
  <c r="K46" i="13"/>
  <c r="H46" i="13"/>
  <c r="AH45" i="13"/>
  <c r="AI45" i="13" s="1"/>
  <c r="AJ45" i="13" s="1"/>
  <c r="AK45" i="13" s="1"/>
  <c r="K45" i="13"/>
  <c r="H45" i="13"/>
  <c r="AH44" i="13"/>
  <c r="AI44" i="13" s="1"/>
  <c r="AJ44" i="13" s="1"/>
  <c r="AK44" i="13" s="1"/>
  <c r="K44" i="13"/>
  <c r="H44" i="13"/>
  <c r="AH43" i="13"/>
  <c r="AI43" i="13" s="1"/>
  <c r="AJ43" i="13" s="1"/>
  <c r="AK43" i="13" s="1"/>
  <c r="K43" i="13"/>
  <c r="H43" i="13"/>
  <c r="AH42" i="13"/>
  <c r="AI42" i="13" s="1"/>
  <c r="AJ42" i="13" s="1"/>
  <c r="AK42" i="13" s="1"/>
  <c r="K42" i="13"/>
  <c r="H42" i="13"/>
  <c r="AH41" i="13"/>
  <c r="AI41" i="13" s="1"/>
  <c r="AJ41" i="13" s="1"/>
  <c r="AK41" i="13" s="1"/>
  <c r="K41" i="13"/>
  <c r="H41" i="13"/>
  <c r="AH40" i="13"/>
  <c r="AI40" i="13" s="1"/>
  <c r="AJ40" i="13" s="1"/>
  <c r="AK40" i="13" s="1"/>
  <c r="K40" i="13"/>
  <c r="H40" i="13"/>
  <c r="AH39" i="13"/>
  <c r="AI39" i="13" s="1"/>
  <c r="AJ39" i="13" s="1"/>
  <c r="AK39" i="13" s="1"/>
  <c r="K39" i="13"/>
  <c r="H39" i="13"/>
  <c r="AH38" i="13"/>
  <c r="AI38" i="13" s="1"/>
  <c r="AJ38" i="13" s="1"/>
  <c r="AK38" i="13" s="1"/>
  <c r="K38" i="13"/>
  <c r="H38" i="13"/>
  <c r="AH37" i="13"/>
  <c r="AI37" i="13" s="1"/>
  <c r="AJ37" i="13" s="1"/>
  <c r="AK37" i="13" s="1"/>
  <c r="K37" i="13"/>
  <c r="H37" i="13"/>
  <c r="AH36" i="13"/>
  <c r="AI36" i="13" s="1"/>
  <c r="AJ36" i="13" s="1"/>
  <c r="AK36" i="13" s="1"/>
  <c r="K36" i="13"/>
  <c r="H36" i="13"/>
  <c r="AH35" i="13"/>
  <c r="AI35" i="13" s="1"/>
  <c r="AJ35" i="13" s="1"/>
  <c r="AK35" i="13" s="1"/>
  <c r="K35" i="13"/>
  <c r="H35" i="13"/>
  <c r="AH34" i="13"/>
  <c r="AI34" i="13" s="1"/>
  <c r="AJ34" i="13" s="1"/>
  <c r="AK34" i="13" s="1"/>
  <c r="K34" i="13"/>
  <c r="H34" i="13"/>
  <c r="AH33" i="13"/>
  <c r="AI33" i="13" s="1"/>
  <c r="AJ33" i="13" s="1"/>
  <c r="AK33" i="13" s="1"/>
  <c r="K33" i="13"/>
  <c r="H33" i="13"/>
  <c r="AH32" i="13"/>
  <c r="AI32" i="13" s="1"/>
  <c r="AJ32" i="13" s="1"/>
  <c r="AK32" i="13" s="1"/>
  <c r="K32" i="13"/>
  <c r="H32" i="13"/>
  <c r="AH31" i="13"/>
  <c r="AI31" i="13" s="1"/>
  <c r="AJ31" i="13" s="1"/>
  <c r="AK31" i="13" s="1"/>
  <c r="K31" i="13"/>
  <c r="H31" i="13"/>
  <c r="AH30" i="13"/>
  <c r="AI30" i="13" s="1"/>
  <c r="AJ30" i="13" s="1"/>
  <c r="AK30" i="13" s="1"/>
  <c r="K30" i="13"/>
  <c r="H30" i="13"/>
  <c r="AH29" i="13"/>
  <c r="AI29" i="13" s="1"/>
  <c r="AJ29" i="13" s="1"/>
  <c r="AK29" i="13" s="1"/>
  <c r="K29" i="13"/>
  <c r="H29" i="13"/>
  <c r="AH28" i="13"/>
  <c r="AI28" i="13" s="1"/>
  <c r="AJ28" i="13" s="1"/>
  <c r="AK28" i="13" s="1"/>
  <c r="K28" i="13"/>
  <c r="H28" i="13"/>
  <c r="AH27" i="13"/>
  <c r="AI27" i="13" s="1"/>
  <c r="AJ27" i="13" s="1"/>
  <c r="AK27" i="13" s="1"/>
  <c r="K27" i="13"/>
  <c r="H27" i="13"/>
  <c r="AH26" i="13"/>
  <c r="AI26" i="13" s="1"/>
  <c r="AJ26" i="13" s="1"/>
  <c r="AK26" i="13" s="1"/>
  <c r="K26" i="13"/>
  <c r="H26" i="13"/>
  <c r="AH25" i="13"/>
  <c r="AI25" i="13" s="1"/>
  <c r="AJ25" i="13" s="1"/>
  <c r="AK25" i="13" s="1"/>
  <c r="K25" i="13"/>
  <c r="H25" i="13"/>
  <c r="AH24" i="13"/>
  <c r="AI24" i="13" s="1"/>
  <c r="AJ24" i="13" s="1"/>
  <c r="AK24" i="13" s="1"/>
  <c r="K24" i="13"/>
  <c r="H24" i="13"/>
  <c r="AH23" i="13"/>
  <c r="AI23" i="13" s="1"/>
  <c r="AJ23" i="13" s="1"/>
  <c r="AK23" i="13" s="1"/>
  <c r="K23" i="13"/>
  <c r="H23" i="13"/>
  <c r="AH22" i="13"/>
  <c r="AI22" i="13" s="1"/>
  <c r="AJ22" i="13" s="1"/>
  <c r="AK22" i="13" s="1"/>
  <c r="K22" i="13"/>
  <c r="H22" i="13"/>
  <c r="AH21" i="13"/>
  <c r="AI21" i="13" s="1"/>
  <c r="AJ21" i="13" s="1"/>
  <c r="AK21" i="13" s="1"/>
  <c r="K21" i="13"/>
  <c r="H21" i="13"/>
  <c r="AH20" i="13"/>
  <c r="AI20" i="13" s="1"/>
  <c r="AJ20" i="13" s="1"/>
  <c r="AK20" i="13" s="1"/>
  <c r="K20" i="13"/>
  <c r="H20" i="13"/>
  <c r="AH19" i="13"/>
  <c r="AI19" i="13" s="1"/>
  <c r="AJ19" i="13" s="1"/>
  <c r="AK19" i="13" s="1"/>
  <c r="K19" i="13"/>
  <c r="H19" i="13"/>
  <c r="AH18" i="13"/>
  <c r="AI18" i="13" s="1"/>
  <c r="AJ18" i="13" s="1"/>
  <c r="AK18" i="13" s="1"/>
  <c r="K18" i="13"/>
  <c r="H18" i="13"/>
  <c r="AH17" i="13"/>
  <c r="AI17" i="13" s="1"/>
  <c r="AJ17" i="13" s="1"/>
  <c r="AK17" i="13" s="1"/>
  <c r="K17" i="13"/>
  <c r="H17" i="13"/>
  <c r="AH16" i="13"/>
  <c r="AI16" i="13" s="1"/>
  <c r="AJ16" i="13" s="1"/>
  <c r="AK16" i="13" s="1"/>
  <c r="K16" i="13"/>
  <c r="H16" i="13"/>
  <c r="AH15" i="13"/>
  <c r="AI15" i="13" s="1"/>
  <c r="AJ15" i="13" s="1"/>
  <c r="AK15" i="13" s="1"/>
  <c r="K15" i="13"/>
  <c r="H15" i="13"/>
  <c r="AH14" i="13"/>
  <c r="AI14" i="13" s="1"/>
  <c r="AJ14" i="13" s="1"/>
  <c r="AK14" i="13" s="1"/>
  <c r="K14" i="13"/>
  <c r="H14" i="13"/>
  <c r="AH13" i="13"/>
  <c r="AI13" i="13" s="1"/>
  <c r="AJ13" i="13" s="1"/>
  <c r="AK13" i="13" s="1"/>
  <c r="K13" i="13"/>
  <c r="H13" i="13"/>
  <c r="AH12" i="13"/>
  <c r="AI12" i="13" s="1"/>
  <c r="AJ12" i="13" s="1"/>
  <c r="AK12" i="13" s="1"/>
  <c r="K12" i="13"/>
  <c r="H12" i="13"/>
  <c r="AH11" i="13"/>
  <c r="AI11" i="13" s="1"/>
  <c r="AJ11" i="13" s="1"/>
  <c r="AK11" i="13" s="1"/>
  <c r="K11" i="13"/>
  <c r="H11" i="13"/>
  <c r="AH10" i="13"/>
  <c r="AI10" i="13" s="1"/>
  <c r="AJ10" i="13" s="1"/>
  <c r="AK10" i="13" s="1"/>
  <c r="K10" i="13"/>
  <c r="H10" i="13"/>
  <c r="AH9" i="13"/>
  <c r="AI9" i="13" s="1"/>
  <c r="AJ9" i="13" s="1"/>
  <c r="AK9" i="13" s="1"/>
  <c r="K9" i="13"/>
  <c r="H9" i="13"/>
  <c r="AH8" i="13"/>
  <c r="AI8" i="13" s="1"/>
  <c r="AJ8" i="13" s="1"/>
  <c r="AK8" i="13" s="1"/>
  <c r="K8" i="13"/>
  <c r="H8" i="13"/>
  <c r="AH7" i="13"/>
  <c r="AI7" i="13" s="1"/>
  <c r="AJ7" i="13" s="1"/>
  <c r="AK7" i="13" s="1"/>
  <c r="K7" i="13"/>
  <c r="H7" i="13"/>
  <c r="AH6" i="13"/>
  <c r="AI6" i="13" s="1"/>
  <c r="AJ6" i="13" s="1"/>
  <c r="AK6" i="13" s="1"/>
  <c r="K6" i="13"/>
  <c r="H6" i="13"/>
  <c r="AE30" i="13"/>
  <c r="AE113" i="13"/>
  <c r="AE75" i="13"/>
  <c r="AE54" i="13"/>
  <c r="AE95" i="13"/>
  <c r="AE38" i="13"/>
  <c r="AE89" i="13"/>
  <c r="AE52" i="13"/>
  <c r="AE62" i="13"/>
  <c r="AE27" i="13"/>
  <c r="AE71" i="13"/>
  <c r="AE56" i="13"/>
  <c r="AE83" i="13"/>
  <c r="AE82" i="13"/>
  <c r="AE20" i="13"/>
  <c r="AE104" i="13"/>
  <c r="AE55" i="13"/>
  <c r="AE58" i="13"/>
  <c r="AE93" i="13"/>
  <c r="AE112" i="13"/>
  <c r="AE76" i="13"/>
  <c r="AE17" i="13"/>
  <c r="AE18" i="13"/>
  <c r="AE49" i="13"/>
  <c r="AE116" i="13"/>
  <c r="AE125" i="13"/>
  <c r="AE45" i="13"/>
  <c r="AE14" i="13"/>
  <c r="AE40" i="13"/>
  <c r="AE36" i="13"/>
  <c r="AE44" i="13"/>
  <c r="AE47" i="13"/>
  <c r="AE37" i="13"/>
  <c r="AE80" i="13"/>
  <c r="AE26" i="13"/>
  <c r="AE118" i="13"/>
  <c r="AE21" i="13"/>
  <c r="AE77" i="13"/>
  <c r="AE99" i="13"/>
  <c r="AE115" i="13"/>
  <c r="AE108" i="13"/>
  <c r="AE103" i="13"/>
  <c r="AE31" i="13"/>
  <c r="AE98" i="13"/>
  <c r="AE16" i="13"/>
  <c r="AE117" i="13"/>
  <c r="AE102" i="13"/>
  <c r="AE29" i="13"/>
  <c r="AE10" i="13"/>
  <c r="AE50" i="13"/>
  <c r="AE74" i="13"/>
  <c r="AE22" i="13"/>
  <c r="AE68" i="13"/>
  <c r="AE28" i="13"/>
  <c r="AE86" i="13"/>
  <c r="AE85" i="13"/>
  <c r="AE120" i="13"/>
  <c r="AE119" i="13"/>
  <c r="AE8" i="13"/>
  <c r="AE57" i="13"/>
  <c r="AE7" i="13"/>
  <c r="AE87" i="13"/>
  <c r="AE97" i="13"/>
  <c r="AE53" i="13"/>
  <c r="AE70" i="13"/>
  <c r="AE105" i="13"/>
  <c r="AE11" i="13"/>
  <c r="AE34" i="13"/>
  <c r="AE13" i="13"/>
  <c r="AE25" i="13"/>
  <c r="AE114" i="13"/>
  <c r="AE24" i="13"/>
  <c r="AE6" i="13"/>
  <c r="AE81" i="13"/>
  <c r="AE23" i="13"/>
  <c r="AE67" i="13"/>
  <c r="AE41" i="13"/>
  <c r="AE79" i="13"/>
  <c r="AE35" i="13"/>
  <c r="AE59" i="13"/>
  <c r="AE12" i="13"/>
  <c r="AE84" i="13"/>
  <c r="AE32" i="13"/>
  <c r="AE42" i="13"/>
  <c r="AE48" i="13"/>
  <c r="AE91" i="13"/>
  <c r="AE69" i="13"/>
  <c r="AE39" i="13"/>
  <c r="AE122" i="13"/>
  <c r="AE46" i="13"/>
  <c r="AE94" i="13"/>
  <c r="AE51" i="13"/>
  <c r="AE111" i="13"/>
  <c r="AE73" i="13"/>
  <c r="AE60" i="13"/>
  <c r="AE100" i="13"/>
  <c r="AE64" i="13"/>
  <c r="AE78" i="13"/>
  <c r="AE19" i="13"/>
  <c r="AE43" i="13"/>
  <c r="AE65" i="13"/>
  <c r="AE109" i="13"/>
  <c r="AE110" i="13"/>
  <c r="AE124" i="13"/>
  <c r="AE96" i="13"/>
  <c r="AE90" i="13"/>
  <c r="AE107" i="13"/>
  <c r="AE9" i="13"/>
  <c r="AE92" i="13"/>
  <c r="AE106" i="13"/>
  <c r="AE66" i="13"/>
  <c r="AE33" i="13"/>
  <c r="AE101" i="13"/>
  <c r="AE72" i="13"/>
  <c r="AE88" i="13"/>
  <c r="AE123" i="13"/>
  <c r="AE63" i="13"/>
  <c r="AE61" i="13"/>
  <c r="AE15" i="13"/>
  <c r="AE121" i="13"/>
  <c r="AA3" i="15"/>
  <c r="Z3" i="15"/>
  <c r="Z7" i="15" l="1"/>
  <c r="Z6" i="15"/>
  <c r="Z4" i="15"/>
  <c r="AA6" i="15" s="1"/>
  <c r="AA4" i="15"/>
  <c r="AA7" i="15" s="1"/>
  <c r="AC7" i="13"/>
  <c r="AC8" i="13"/>
  <c r="AC9" i="13"/>
  <c r="AC10" i="13"/>
  <c r="AC11" i="13"/>
  <c r="AC12" i="13"/>
  <c r="AC13" i="13"/>
  <c r="AC32" i="13"/>
  <c r="AC94" i="13"/>
  <c r="AC43" i="13"/>
  <c r="AC125" i="13"/>
  <c r="AC33" i="13"/>
  <c r="AC60" i="13"/>
  <c r="AC24" i="13"/>
  <c r="AC117" i="13"/>
  <c r="AC26" i="13"/>
  <c r="AC109" i="13"/>
  <c r="AC83" i="13"/>
  <c r="AC74" i="13"/>
  <c r="AC101" i="13"/>
  <c r="AC75" i="13"/>
  <c r="AC58" i="13"/>
  <c r="AC21" i="13"/>
  <c r="AC37" i="13"/>
  <c r="AC89" i="13"/>
  <c r="AC76" i="13"/>
  <c r="AC63" i="13"/>
  <c r="AC118" i="13"/>
  <c r="AC40" i="13"/>
  <c r="AC104" i="13"/>
  <c r="AC42" i="13"/>
  <c r="AC114" i="13"/>
  <c r="AC30" i="13"/>
  <c r="AC61" i="13"/>
  <c r="AC112" i="13"/>
  <c r="AC99" i="13"/>
  <c r="AC54" i="13"/>
  <c r="AC85" i="13"/>
  <c r="AC31" i="13"/>
  <c r="AC65" i="13"/>
  <c r="AC52" i="13"/>
  <c r="AC20" i="13"/>
  <c r="AC56" i="13"/>
  <c r="AC107" i="13"/>
  <c r="AC78" i="13"/>
  <c r="AC25" i="13"/>
  <c r="AC41" i="13"/>
  <c r="AC105" i="13"/>
  <c r="AC92" i="13"/>
  <c r="AC79" i="13"/>
  <c r="AC122" i="13"/>
  <c r="AC69" i="13"/>
  <c r="AC59" i="13"/>
  <c r="AC62" i="13"/>
  <c r="AC18" i="13"/>
  <c r="AC34" i="13"/>
  <c r="AC77" i="13"/>
  <c r="AC64" i="13"/>
  <c r="AC51" i="13"/>
  <c r="AC115" i="13"/>
  <c r="AC106" i="13"/>
  <c r="AC19" i="13"/>
  <c r="AC35" i="13"/>
  <c r="AC81" i="13"/>
  <c r="AC68" i="13"/>
  <c r="AC55" i="13"/>
  <c r="AC116" i="13"/>
  <c r="AC121" i="13"/>
  <c r="AC57" i="13"/>
  <c r="AC108" i="13"/>
  <c r="AC95" i="13"/>
  <c r="AC90" i="13"/>
  <c r="AC70" i="13"/>
  <c r="AC91" i="13"/>
  <c r="AC82" i="13"/>
  <c r="AC22" i="13"/>
  <c r="AC38" i="13"/>
  <c r="AC93" i="13"/>
  <c r="AC80" i="13"/>
  <c r="AC67" i="13"/>
  <c r="AC119" i="13"/>
  <c r="AC28" i="13"/>
  <c r="AC66" i="13"/>
  <c r="AC23" i="13"/>
  <c r="AC39" i="13"/>
  <c r="AC97" i="13"/>
  <c r="AC84" i="13"/>
  <c r="AC71" i="13"/>
  <c r="AC120" i="13"/>
  <c r="AC88" i="13"/>
  <c r="AC29" i="13"/>
  <c r="AC53" i="13"/>
  <c r="AC110" i="13"/>
  <c r="AC73" i="13"/>
  <c r="AC111" i="13"/>
  <c r="AC72" i="13"/>
  <c r="AC98" i="13"/>
  <c r="AC96" i="13"/>
  <c r="AC123" i="13"/>
  <c r="AC36" i="13"/>
  <c r="AC86" i="13"/>
  <c r="AC27" i="13"/>
  <c r="AC113" i="13"/>
  <c r="AC100" i="13"/>
  <c r="AC87" i="13"/>
  <c r="AC124" i="13"/>
  <c r="AC17" i="13"/>
  <c r="AC16" i="13"/>
  <c r="AC15" i="13"/>
  <c r="AC14" i="13"/>
  <c r="AC50" i="13"/>
  <c r="AC49" i="13"/>
  <c r="AC47" i="13"/>
  <c r="AC46" i="13"/>
  <c r="AC45" i="13"/>
  <c r="AC44" i="13"/>
  <c r="AC48" i="13"/>
  <c r="AC103" i="13"/>
  <c r="AC102" i="13"/>
  <c r="AC6" i="13"/>
  <c r="AG42" i="13"/>
  <c r="AF42" i="13"/>
  <c r="AG50" i="13"/>
  <c r="AF50" i="13"/>
  <c r="AG54" i="13"/>
  <c r="AF54" i="13"/>
  <c r="AG58" i="13"/>
  <c r="AF58" i="13"/>
  <c r="AG62" i="13"/>
  <c r="AF62" i="13"/>
  <c r="AG66" i="13"/>
  <c r="AF66" i="13"/>
  <c r="AG74" i="13"/>
  <c r="AF74" i="13"/>
  <c r="AG78" i="13"/>
  <c r="AF78" i="13"/>
  <c r="AG82" i="13"/>
  <c r="AF82" i="13"/>
  <c r="AG86" i="13"/>
  <c r="AF86" i="13"/>
  <c r="AG90" i="13"/>
  <c r="AF90" i="13"/>
  <c r="AG94" i="13"/>
  <c r="AF94" i="13"/>
  <c r="AG98" i="13"/>
  <c r="AF98" i="13"/>
  <c r="AG102" i="13"/>
  <c r="AF102" i="13"/>
  <c r="AG106" i="13"/>
  <c r="AF106" i="13"/>
  <c r="AG110" i="13"/>
  <c r="AF110" i="13"/>
  <c r="AG114" i="13"/>
  <c r="AF114" i="13"/>
  <c r="AG6" i="13"/>
  <c r="AF6" i="13"/>
  <c r="AG7" i="13"/>
  <c r="AF7" i="13"/>
  <c r="AG8" i="13"/>
  <c r="AF8" i="13"/>
  <c r="AG9" i="13"/>
  <c r="AF9" i="13"/>
  <c r="AG10" i="13"/>
  <c r="AF10" i="13"/>
  <c r="AG11" i="13"/>
  <c r="AF11" i="13"/>
  <c r="AG12" i="13"/>
  <c r="AF12" i="13"/>
  <c r="AG13" i="13"/>
  <c r="AF13" i="13"/>
  <c r="AG14" i="13"/>
  <c r="AF14" i="13"/>
  <c r="AG15" i="13"/>
  <c r="AF15" i="13"/>
  <c r="AG16" i="13"/>
  <c r="AF16" i="13"/>
  <c r="AG17" i="13"/>
  <c r="AF17" i="13"/>
  <c r="AG18" i="13"/>
  <c r="AF18" i="13"/>
  <c r="AG19" i="13"/>
  <c r="AF19" i="13"/>
  <c r="AG20" i="13"/>
  <c r="AF20" i="13"/>
  <c r="AG21" i="13"/>
  <c r="AF21" i="13"/>
  <c r="AG22" i="13"/>
  <c r="AF22" i="13"/>
  <c r="AG23" i="13"/>
  <c r="AF23" i="13"/>
  <c r="AG24" i="13"/>
  <c r="AF24" i="13"/>
  <c r="AG25" i="13"/>
  <c r="AF25" i="13"/>
  <c r="AG26" i="13"/>
  <c r="AF26" i="13"/>
  <c r="AG27" i="13"/>
  <c r="AF27" i="13"/>
  <c r="AG28" i="13"/>
  <c r="AF28" i="13"/>
  <c r="AG29" i="13"/>
  <c r="AF29" i="13"/>
  <c r="AG30" i="13"/>
  <c r="AF30" i="13"/>
  <c r="AG31" i="13"/>
  <c r="AF31" i="13"/>
  <c r="AG32" i="13"/>
  <c r="AF32" i="13"/>
  <c r="AG33" i="13"/>
  <c r="AF33" i="13"/>
  <c r="AG34" i="13"/>
  <c r="AF34" i="13"/>
  <c r="AG35" i="13"/>
  <c r="AF35" i="13"/>
  <c r="AG36" i="13"/>
  <c r="AF36" i="13"/>
  <c r="AG37" i="13"/>
  <c r="AF37" i="13"/>
  <c r="AG38" i="13"/>
  <c r="AF38" i="13"/>
  <c r="AG39" i="13"/>
  <c r="AF39" i="13"/>
  <c r="AG40" i="13"/>
  <c r="AF40" i="13"/>
  <c r="AG41" i="13"/>
  <c r="AF41" i="13"/>
  <c r="AG45" i="13"/>
  <c r="AF45" i="13"/>
  <c r="AG49" i="13"/>
  <c r="AF49" i="13"/>
  <c r="AG53" i="13"/>
  <c r="AF53" i="13"/>
  <c r="AG57" i="13"/>
  <c r="AF57" i="13"/>
  <c r="AG61" i="13"/>
  <c r="AF61" i="13"/>
  <c r="AG65" i="13"/>
  <c r="AF65" i="13"/>
  <c r="AG69" i="13"/>
  <c r="AF69" i="13"/>
  <c r="AG73" i="13"/>
  <c r="AF73" i="13"/>
  <c r="AG77" i="13"/>
  <c r="AF77" i="13"/>
  <c r="AG81" i="13"/>
  <c r="AF81" i="13"/>
  <c r="AG85" i="13"/>
  <c r="AF85" i="13"/>
  <c r="AG89" i="13"/>
  <c r="AF89" i="13"/>
  <c r="AG93" i="13"/>
  <c r="AF93" i="13"/>
  <c r="AG97" i="13"/>
  <c r="AF97" i="13"/>
  <c r="AG101" i="13"/>
  <c r="AF101" i="13"/>
  <c r="AG105" i="13"/>
  <c r="AF105" i="13"/>
  <c r="AG109" i="13"/>
  <c r="AF109" i="13"/>
  <c r="AG113" i="13"/>
  <c r="AF113" i="13"/>
  <c r="AG70" i="13"/>
  <c r="AF70" i="13"/>
  <c r="AG44" i="13"/>
  <c r="AF44" i="13"/>
  <c r="AG48" i="13"/>
  <c r="AF48" i="13"/>
  <c r="AG52" i="13"/>
  <c r="AF52" i="13"/>
  <c r="AG56" i="13"/>
  <c r="AF56" i="13"/>
  <c r="AG60" i="13"/>
  <c r="AF60" i="13"/>
  <c r="AG64" i="13"/>
  <c r="AF64" i="13"/>
  <c r="AG68" i="13"/>
  <c r="AF68" i="13"/>
  <c r="AG72" i="13"/>
  <c r="AF72" i="13"/>
  <c r="AG76" i="13"/>
  <c r="AF76" i="13"/>
  <c r="AG80" i="13"/>
  <c r="AF80" i="13"/>
  <c r="AG84" i="13"/>
  <c r="AF84" i="13"/>
  <c r="AG88" i="13"/>
  <c r="AF88" i="13"/>
  <c r="AG92" i="13"/>
  <c r="AF92" i="13"/>
  <c r="AG96" i="13"/>
  <c r="AF96" i="13"/>
  <c r="AG100" i="13"/>
  <c r="AF100" i="13"/>
  <c r="AG104" i="13"/>
  <c r="AF104" i="13"/>
  <c r="AG108" i="13"/>
  <c r="AF108" i="13"/>
  <c r="AG112" i="13"/>
  <c r="AF112" i="13"/>
  <c r="AG46" i="13"/>
  <c r="AF46" i="13"/>
  <c r="AG43" i="13"/>
  <c r="AF43" i="13"/>
  <c r="AG47" i="13"/>
  <c r="AF47" i="13"/>
  <c r="AG51" i="13"/>
  <c r="AF51" i="13"/>
  <c r="AG55" i="13"/>
  <c r="AF55" i="13"/>
  <c r="AG59" i="13"/>
  <c r="AF59" i="13"/>
  <c r="AG63" i="13"/>
  <c r="AF63" i="13"/>
  <c r="AG67" i="13"/>
  <c r="AF67" i="13"/>
  <c r="AG71" i="13"/>
  <c r="AF71" i="13"/>
  <c r="AG75" i="13"/>
  <c r="AF75" i="13"/>
  <c r="AG79" i="13"/>
  <c r="AF79" i="13"/>
  <c r="AG83" i="13"/>
  <c r="AF83" i="13"/>
  <c r="AG87" i="13"/>
  <c r="AF87" i="13"/>
  <c r="AG91" i="13"/>
  <c r="AF91" i="13"/>
  <c r="AG95" i="13"/>
  <c r="AF95" i="13"/>
  <c r="AG99" i="13"/>
  <c r="AF99" i="13"/>
  <c r="AG103" i="13"/>
  <c r="AF103" i="13"/>
  <c r="AG107" i="13"/>
  <c r="AF107" i="13"/>
  <c r="AG111" i="13"/>
  <c r="AF111" i="13"/>
  <c r="AG115" i="13"/>
  <c r="AF115" i="13"/>
  <c r="AG116" i="13"/>
  <c r="AF116" i="13"/>
  <c r="AG117" i="13"/>
  <c r="AF117" i="13"/>
  <c r="AG118" i="13"/>
  <c r="AF118" i="13"/>
  <c r="AG119" i="13"/>
  <c r="AF119" i="13"/>
  <c r="AG120" i="13"/>
  <c r="AF120" i="13"/>
  <c r="AG121" i="13"/>
  <c r="AF121" i="13"/>
  <c r="AG122" i="13"/>
  <c r="AF122" i="13"/>
  <c r="AG123" i="13"/>
  <c r="AF123" i="13"/>
  <c r="AG124" i="13"/>
  <c r="AF124" i="13"/>
  <c r="AG125" i="13"/>
  <c r="AF125" i="13"/>
  <c r="AF4" i="13" l="1"/>
</calcChain>
</file>

<file path=xl/sharedStrings.xml><?xml version="1.0" encoding="utf-8"?>
<sst xmlns="http://schemas.openxmlformats.org/spreadsheetml/2006/main" count="2143" uniqueCount="787">
  <si>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</si>
  <si>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</si>
  <si>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</si>
  <si>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</si>
  <si>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</si>
  <si>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</si>
  <si>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</si>
  <si>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</si>
  <si>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</si>
  <si>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</si>
  <si>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</si>
  <si>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</si>
  <si>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</si>
  <si>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</si>
  <si>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</si>
  <si>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</si>
  <si>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</si>
  <si>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</si>
  <si>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</si>
  <si>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</si>
  <si>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</si>
  <si>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</si>
  <si>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</si>
  <si>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</si>
  <si>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</si>
  <si>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</si>
  <si>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</si>
  <si>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</si>
  <si>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</si>
  <si>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</si>
  <si>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</si>
  <si>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</si>
  <si>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</si>
  <si>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</si>
  <si>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</si>
  <si>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</si>
  <si>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</si>
  <si>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</si>
  <si>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</si>
  <si>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</si>
  <si>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</si>
  <si>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</si>
  <si>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</si>
  <si>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</si>
  <si>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</si>
  <si>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</si>
  <si>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</si>
  <si>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</si>
  <si>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</si>
  <si>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</si>
  <si>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</si>
  <si>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</si>
  <si>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</si>
  <si>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</si>
  <si>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</si>
  <si>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</si>
  <si>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</si>
  <si>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</si>
  <si>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</si>
  <si>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</si>
  <si>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</si>
  <si>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</si>
  <si>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</si>
  <si>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</si>
  <si>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</si>
  <si>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</si>
  <si>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</si>
  <si>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</si>
  <si>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</si>
  <si>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</si>
  <si>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</si>
  <si>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</si>
  <si>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</si>
  <si>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</si>
  <si>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</si>
  <si>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</si>
  <si>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</si>
  <si>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</si>
  <si>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</si>
  <si>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</si>
  <si>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</si>
  <si>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</si>
  <si>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</si>
  <si>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</si>
  <si>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</si>
  <si>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</si>
  <si>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</si>
  <si>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</si>
  <si>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</si>
  <si>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</si>
  <si>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</si>
  <si>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</si>
  <si>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</si>
  <si>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</si>
  <si>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</si>
  <si>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</si>
  <si>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</si>
  <si>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</si>
  <si>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</si>
  <si>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</si>
  <si>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</si>
  <si>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</si>
  <si>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</si>
  <si>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</si>
  <si>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</si>
  <si>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</si>
  <si>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</si>
  <si>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</si>
  <si>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</si>
  <si>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</si>
  <si>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</si>
  <si>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</si>
  <si>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</si>
  <si>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</si>
  <si>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</si>
  <si>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</si>
  <si>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</si>
  <si>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</si>
  <si>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</si>
  <si>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</si>
  <si>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</si>
  <si>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</si>
  <si>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</si>
  <si>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</si>
  <si>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</si>
  <si>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</si>
  <si>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</si>
  <si>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</si>
  <si>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</si>
  <si>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</si>
  <si>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</si>
  <si>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</si>
  <si>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</si>
  <si>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</si>
  <si>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</si>
  <si>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</si>
  <si>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</si>
  <si>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</si>
  <si>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</si>
  <si>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</si>
  <si>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</si>
  <si>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</si>
  <si>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</si>
  <si>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</si>
  <si>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</si>
  <si>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</si>
  <si>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</si>
  <si>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</si>
  <si>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</si>
  <si>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</si>
  <si>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</si>
  <si>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</si>
  <si>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</si>
  <si>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</si>
  <si>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</si>
  <si>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</si>
  <si>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</si>
  <si>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</si>
  <si>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</si>
  <si>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</si>
  <si>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</si>
  <si>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</si>
  <si>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</si>
  <si>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</si>
  <si>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</si>
  <si>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</si>
  <si>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</si>
  <si>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</si>
  <si>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</si>
  <si>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</si>
  <si>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</si>
  <si>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</si>
  <si>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</si>
  <si>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</si>
  <si>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</si>
  <si>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</si>
  <si>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</si>
  <si>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</si>
  <si>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</si>
  <si>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</si>
  <si>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</si>
  <si>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</si>
  <si>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</si>
  <si>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</si>
  <si>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</si>
  <si>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</si>
  <si>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</si>
  <si>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UnrealizedPNL</t>
  </si>
  <si>
    <t>RealizedPNL</t>
  </si>
  <si>
    <t>Ask</t>
  </si>
  <si>
    <t>Executions</t>
  </si>
  <si>
    <t>ROW_EXECUTIONS</t>
  </si>
  <si>
    <t>ROW_EXECUTIONS_LAST</t>
  </si>
  <si>
    <t>TWS Connected OK</t>
  </si>
  <si>
    <t>Subscribed</t>
  </si>
  <si>
    <t>6BZ4 C1570</t>
  </si>
  <si>
    <t>6BZ4 C1565</t>
  </si>
  <si>
    <t>In-Flight</t>
  </si>
  <si>
    <t>DU179595</t>
  </si>
  <si>
    <t>BOT</t>
  </si>
  <si>
    <t>2014-12-5 11:39:4.649: Main - Initialize - initializing...</t>
  </si>
  <si>
    <t>2014-12-5 11:39:4.680: TransitionLogger - openTransitionFile - opening file C:\temp\transitionlog_2014-12-05_113904</t>
  </si>
  <si>
    <t>2014-12-5 11:39:10.873: RTWSControl - nextValidId - entering nextValidId id is 8</t>
  </si>
  <si>
    <t>2014-12-5 11:39:10.889: WatchlistView - initialize - an error occurredSelect method of Range class failed</t>
  </si>
  <si>
    <t>2014-12-5 11:39:10.889: RTWSControl - errMsg - got error message 2104:Market data farm connection is OK:usfuturewith id -1</t>
  </si>
  <si>
    <t>2014-12-5 11:39:10.905: RTWSControl - errMsg - got error message 2104:Market data farm connection is OK:usfuture.uswith id -1</t>
  </si>
  <si>
    <t>2014-12-5 11:39:10.920: RTWSControl - errMsg - got error message 2104:Market data farm connection is OK:cashfarmwith id -1</t>
  </si>
  <si>
    <t>2014-12-5 11:39:10.920: RTWSControl - errMsg - got error message 2104:Market data farm connection is OK:usfarmwith id -1</t>
  </si>
  <si>
    <t>2014-12-5 11:39:10.920: RTWSControl - errMsg - got error message 2106:HMDS data farm connection is OK:ilhmdswith id -1</t>
  </si>
  <si>
    <t>2014-12-5 11:39:11.123: RTWSControl - contractDetailsEx - got contractDetails id 0 British pound 6BZ4</t>
  </si>
  <si>
    <t>2014-12-5 11:39:11.139: RTWSControl - contractDetailsEnd - Got contract details end event</t>
  </si>
  <si>
    <t>2014-12-5 11:39:18.335: Algorithm - updatePortfolio - haveAllDetails is False</t>
  </si>
  <si>
    <t>2014-12-5 11:39:18.366: Algorithm - updatePortfolio - haveAllDetails is False</t>
  </si>
  <si>
    <t>2014-12-5 11:39:18.398: Algorithm - updatePortfolio - haveAllDetails is False</t>
  </si>
  <si>
    <t>2014-12-5 11:39:18.429: Algorithm - updatePortfolio - haveAllDetails is False</t>
  </si>
  <si>
    <t>2014-12-5 11:39:18.460: RTWSControl - contractDetailsEx - got contractDetails id 0 British pound 6BZ4 C1565</t>
  </si>
  <si>
    <t>2014-12-5 11:39:18.476: RTWSControl - contractDetailsEnd - Got contract details end event</t>
  </si>
  <si>
    <t>2014-12-5 11:39:18.632: RTWSControl - contractDetailsEx - got contractDetails id 0 British pound 6BZ4 C1570</t>
  </si>
  <si>
    <t>2014-12-5 11:39:18.647: RTWSControl - contractDetailsEnd - Got contract details end event</t>
  </si>
  <si>
    <t>2014-12-5 11:39:22.908: DirectionIndicator - notify - price/longMA/ShortMA/prevDirection are 1.56904995/1.56904995/1.56904995/0</t>
  </si>
  <si>
    <t>2014-12-5 11:39:22.924: Algorithm - FindNextStrikes - price is 1.56904995 nextStrikeUp/Down 1.57/1.565</t>
  </si>
  <si>
    <t>2014-12-5 11:39:22.924: Algorithm - getPortfolioForwardDelta - required deltas is 32 currentHedgePosition is 32</t>
  </si>
  <si>
    <t>2014-12-5 11:39:22.924: Algorithm - getHedgeShortfall - required deltas is 32 price is 1.56904995 currentHedgePositionDeltas is 32</t>
  </si>
  <si>
    <t>2014-12-5 11:39:22.924: Algorithm - processTransitionPoint - nextUpper/LowerStrikes are 1.57/1.565 requiredDeltas/currentPosition/currentHedgeShortfall/direction/transitionPrice are 32/32/0/0/1.56904995</t>
  </si>
  <si>
    <t>2014-12-5 11:39:22.924: TransitionLogger - processTransitionpoint - checking transition - currentHedgeShortfall is 0</t>
  </si>
  <si>
    <t>2014-12-5 11:39:22.924: Algorithm - updatePortfolio - haveAllDetails is True</t>
  </si>
  <si>
    <t>2014-12-5 11:39:22.924: DirectionIndicator - notify - price/longMA/ShortMA/prevDirection are 1.56904995/1.56904995/1.56904995/0</t>
  </si>
  <si>
    <t>2014-12-5 11:39:23.64: DirectionIndicator - notify - price/longMA/ShortMA/prevDirection are 1.56865/1.56897723181818/1.56891663333333/0</t>
  </si>
  <si>
    <t>2014-12-5 11:39:25.593: DirectionIndicator - notify - price/longMA/ShortMA/prevDirection are 1.5686/1.56890864421488/1.56881108888889/-1</t>
  </si>
  <si>
    <t>2014-12-5 11:39:25.968: DirectionIndicator - notify - price/longMA/ShortMA/prevDirection are 1.56855/1.56884343617581/1.56872405925926/-1</t>
  </si>
  <si>
    <t>2014-12-5 11:39:26.61: DirectionIndicator - notify - price/longMA/ShortMA/prevDirection are 1.5686/1.56879917505293/1.56868270617284/-1</t>
  </si>
  <si>
    <t>2014-12-5 11:39:27.44: DirectionIndicator - notify - price/longMA/ShortMA/prevDirection are 1.56855/1.56875387049785/1.56863847078189/-1</t>
  </si>
  <si>
    <t>2014-12-5 11:39:29.339: Algorithm - FindNextStrikes - price is 1.56855 nextStrikeUp/Down 1.57/1.565</t>
  </si>
  <si>
    <t>2014-12-5 11:39:29.339: Algorithm - getPortfolioForwardDelta - required deltas is 32 currentHedgePosition is 32</t>
  </si>
  <si>
    <t>2014-12-5 11:39:29.339: Algorithm - getHedgeShortfall - required deltas is 32 price is 1.56845 currentHedgePositionDeltas is 32</t>
  </si>
  <si>
    <t>2014-12-5 11:39:29.339: Algorithm - processTransitionPoint - nextUpper/LowerStrikes are 1.57/1.565 requiredDeltas/currentPosition/currentHedgeShortfall/direction/transitionPrice are 32/32/0/-1/1.56845</t>
  </si>
  <si>
    <t>2014-12-5 11:39:29.355: TransitionLogger - processTransitionpoint - checking transition - currentHedgeShortfall is 0</t>
  </si>
  <si>
    <t>2014-12-5 11:39:29.355: Algorithm - updatePortfolio - haveAllDetails is True</t>
  </si>
  <si>
    <t>2014-12-5 11:39:29.402: Algorithm - FindNextStrikes - price is 1.56855 nextStrikeUp/Down 1.57/1.565</t>
  </si>
  <si>
    <t>2014-12-5 11:39:29.402: Algorithm - getPortfolioForwardDelta - required deltas is 32 currentHedgePosition is 32</t>
  </si>
  <si>
    <t>2014-12-5 11:39:29.402: Algorithm - getHedgeShortfall - required deltas is 32 price is 1.56845 currentHedgePositionDeltas is 32</t>
  </si>
  <si>
    <t>2014-12-5 11:39:29.402: Algorithm - processTransitionPoint - nextUpper/LowerStrikes are 1.57/1.565 requiredDeltas/currentPosition/currentHedgeShortfall/direction/transitionPrice are 32/32/0/-1/1.56845</t>
  </si>
  <si>
    <t>2014-12-5 11:39:29.402: TransitionLogger - processTransitionpoint - checking transition - currentHedgeShortfall is 0</t>
  </si>
  <si>
    <t>2014-12-5 11:39:29.402: Algorithm - updatePortfolio - haveAllDetails is True</t>
  </si>
  <si>
    <t>2014-12-5 11:39:29.433: Algorithm - FindNextStrikes - price is 1.56855 nextStrikeUp/Down 1.57/1.565</t>
  </si>
  <si>
    <t>2014-12-5 11:39:29.433: Algorithm - getPortfolioForwardDelta - required deltas is 32 currentHedgePosition is 32</t>
  </si>
  <si>
    <t>2014-12-5 11:39:29.433: Algorithm - getHedgeShortfall - required deltas is 32 price is 1.56845 currentHedgePositionDeltas is 32</t>
  </si>
  <si>
    <t>2014-12-5 11:39:29.433: Algorithm - processTransitionPoint - nextUpper/LowerStrikes are 1.57/1.565 requiredDeltas/currentPosition/currentHedgeShortfall/direction/transitionPrice are 32/32/0/-1/1.56845</t>
  </si>
  <si>
    <t>2014-12-5 11:39:29.433: TransitionLogger - processTransitionpoint - checking transition - currentHedgeShortfall is 0</t>
  </si>
  <si>
    <t>2014-12-5 11:39:29.433: Algorithm - updatePortfolio - haveAllDetails is True</t>
  </si>
  <si>
    <t>2014-12-5 11:39:29.480: Algorithm - FindNextStrikes - price is 1.56855 nextStrikeUp/Down 1.57/1.565</t>
  </si>
  <si>
    <t>2014-12-5 11:39:29.480: Algorithm - getPortfolioForwardDelta - required deltas is 32 currentHedgePosition is 32</t>
  </si>
  <si>
    <t>2014-12-5 11:39:29.480: Algorithm - getHedgeShortfall - required deltas is 32 price is 1.56845 currentHedgePositionDeltas is 32</t>
  </si>
  <si>
    <t>2014-12-5 11:39:29.480: Algorithm - processTransitionPoint - nextUpper/LowerStrikes are 1.57/1.565 requiredDeltas/currentPosition/currentHedgeShortfall/direction/transitionPrice are 32/32/0/-1/1.56845</t>
  </si>
  <si>
    <t>2014-12-5 11:39:29.480: TransitionLogger - processTransitionpoint - checking transition - currentHedgeShortfall is 0</t>
  </si>
  <si>
    <t>2014-12-5 11:39:29.480: Algorithm - updatePortfolio - haveAllDetails is True</t>
  </si>
  <si>
    <t>2014-12-5 11:39:42.950: DirectionIndicator - notify - price/longMA/ShortMA/prevDirection are 1.5686/1.5687258940437/1.56862564718793/-1</t>
  </si>
  <si>
    <t>2014-12-5 11:39:43.153: DirectionIndicator - notify - price/longMA/ShortMA/prevDirection are 1.56855/1.56869391330848/1.56860043145862/-1</t>
  </si>
  <si>
    <t>2014-12-5 11:39:47.942: DirectionIndicator - notify - price/longMA/ShortMA/prevDirection are 1.5685/1.5686586563433/1.56856695430575/-1</t>
  </si>
  <si>
    <t>2014-12-5 11:39:48.425: DirectionIndicator - notify - price/longMA/ShortMA/prevDirection are 1.56855/1.56863890064452/1.5685613028705/-1</t>
  </si>
  <si>
    <t>2014-12-5 11:39:48.550: DirectionIndicator - notify - price/longMA/ShortMA/prevDirection are 1.5685/1.56861364598188/1.56854086858033/-1</t>
  </si>
  <si>
    <t>2014-12-5 11:39:50.175: DirectionIndicator - notify - price/longMA/ShortMA/prevDirection are 1.56855/1.56860207398517/1.56854391238689/-1</t>
  </si>
  <si>
    <t>2014-12-5 11:39:55.309: DirectionIndicator - notify - price/longMA/ShortMA/prevDirection are 1.5685/1.56858351507878/1.56852927492459/-1</t>
  </si>
  <si>
    <t>2014-12-5 11:39:55.465: DirectionIndicator - notify - price/longMA/ShortMA/prevDirection are 1.56845/1.56855923960991/1.56850284994973/-1</t>
  </si>
  <si>
    <t>2014-12-5 11:40:4.14: TransitionLogger - flushFile - flushing file</t>
  </si>
  <si>
    <t>2014-12-5 11:40:4.14: TransitionLogger - openTransitionFile - opening file C:\temp\transitionlog_2014-12-05_113904</t>
  </si>
  <si>
    <t>2014-12-5 11:40:5.75: DirectionIndicator - notify - price/longMA/ShortMA/prevDirection are 1.5685/1.56854846877174/1.56850189996649/-1</t>
  </si>
  <si>
    <t>2014-12-5 11:40:8.320: Algorithm - FindNextStrikes - price is 1.5685 nextStrikeUp/Down 1.57/1.565</t>
  </si>
  <si>
    <t>2014-12-5 11:40:8.320: Algorithm - getPortfolioForwardDelta - required deltas is 32 currentHedgePosition is 32</t>
  </si>
  <si>
    <t>2014-12-5 11:40:8.320: Algorithm - getHedgeShortfall - required deltas is 32 price is 1.5684 currentHedgePositionDeltas is 32</t>
  </si>
  <si>
    <t>2014-12-5 11:40:8.320: Algorithm - processTransitionPoint - nextUpper/LowerStrikes are 1.57/1.565 requiredDeltas/currentPosition/currentHedgeShortfall/direction/transitionPrice are 32/32/0/-1/1.5684</t>
  </si>
  <si>
    <t>2014-12-5 11:40:8.320: TransitionLogger - processTransitionpoint - checking transition - currentHedgeShortfall is 0</t>
  </si>
  <si>
    <t>2014-12-5 11:40:8.320: Algorithm - updatePortfolio - haveAllDetails is True</t>
  </si>
  <si>
    <t>2014-12-5 11:40:8.352: Algorithm - FindNextStrikes - price is 1.5685 nextStrikeUp/Down 1.57/1.565</t>
  </si>
  <si>
    <t>2014-12-5 11:40:8.352: Algorithm - getPortfolioForwardDelta - required deltas is 32 currentHedgePosition is 32</t>
  </si>
  <si>
    <t>2014-12-5 11:40:8.352: Algorithm - getHedgeShortfall - required deltas is 32 price is 1.5684 currentHedgePositionDeltas is 32</t>
  </si>
  <si>
    <t>2014-12-5 11:40:8.352: Algorithm - processTransitionPoint - nextUpper/LowerStrikes are 1.57/1.565 requiredDeltas/currentPosition/currentHedgeShortfall/direction/transitionPrice are 32/32/0/-1/1.5684</t>
  </si>
  <si>
    <t>2014-12-5 11:40:8.352: TransitionLogger - processTransitionpoint - checking transition - currentHedgeShortfall is 0</t>
  </si>
  <si>
    <t>2014-12-5 11:40:8.352: Algorithm - updatePortfolio - haveAllDetails is True</t>
  </si>
  <si>
    <t>2014-12-5 11:40:8.398: Algorithm - FindNextStrikes - price is 1.5685 nextStrikeUp/Down 1.57/1.565</t>
  </si>
  <si>
    <t>2014-12-5 11:40:8.398: Algorithm - getPortfolioForwardDelta - required deltas is 32 currentHedgePosition is 32</t>
  </si>
  <si>
    <t>2014-12-5 11:40:8.398: Algorithm - getHedgeShortfall - required deltas is 32 price is 1.5684 currentHedgePositionDeltas is 32</t>
  </si>
  <si>
    <t>2014-12-5 11:40:8.398: Algorithm - processTransitionPoint - nextUpper/LowerStrikes are 1.57/1.565 requiredDeltas/currentPosition/currentHedgeShortfall/direction/transitionPrice are 32/32/0/-1/1.5684</t>
  </si>
  <si>
    <t>2014-12-5 11:40:8.398: TransitionLogger - processTransitionpoint - checking transition - currentHedgeShortfall is 0</t>
  </si>
  <si>
    <t>2014-12-5 11:40:8.398: Algorithm - updatePortfolio - haveAllDetails is True</t>
  </si>
  <si>
    <t>2014-12-5 11:40:8.445: Algorithm - FindNextStrikes - price is 1.5685 nextStrikeUp/Down 1.57/1.565</t>
  </si>
  <si>
    <t>2014-12-5 11:40:8.445: Algorithm - getPortfolioForwardDelta - required deltas is 32 currentHedgePosition is 32</t>
  </si>
  <si>
    <t>2014-12-5 11:40:8.445: Algorithm - getHedgeShortfall - required deltas is 32 price is 1.5684 currentHedgePositionDeltas is 32</t>
  </si>
  <si>
    <t>2014-12-5 11:40:8.445: Algorithm - processTransitionPoint - nextUpper/LowerStrikes are 1.57/1.565 requiredDeltas/currentPosition/currentHedgeShortfall/direction/transitionPrice are 32/32/0/-1/1.5684</t>
  </si>
  <si>
    <t>2014-12-5 11:40:8.445: TransitionLogger - processTransitionpoint - checking transition - currentHedgeShortfall is 0</t>
  </si>
  <si>
    <t>2014-12-5 11:40:8.445: Algorithm - updatePortfolio - haveAllDetails is True</t>
  </si>
  <si>
    <t>2014-12-5 11:40:8.898: DirectionIndicator - notify - price/longMA/ShortMA/prevDirection are 1.56845/1.5685305653587/1.56848459997766/-1</t>
  </si>
  <si>
    <t>2014-12-5 11:40:9.553: DirectionIndicator - notify - price/longMA/ShortMA/prevDirection are 1.5685/1.56852500802075/1.56848973331844/-1</t>
  </si>
  <si>
    <t>2014-12-5 11:40:9.602: DirectionIndicator - notify - price/longMA/ShortMA/prevDirection are 1.56855/1.56852955201698/1.56850982221229/-1</t>
  </si>
  <si>
    <t>2014-12-5 11:40:11.973: Algorithm - FindNextStrikes - price is 1.56855 nextStrikeUp/Down 1.57/1.565</t>
  </si>
  <si>
    <t>2014-12-5 11:40:11.973: Algorithm - getPortfolioForwardDelta - required deltas is 32 currentHedgePosition is 32</t>
  </si>
  <si>
    <t>2014-12-5 11:40:11.973: Algorithm - getHedgeShortfall - required deltas is 32 price is 1.56845 currentHedgePositionDeltas is 32</t>
  </si>
  <si>
    <t>2014-12-5 11:40:11.973: Algorithm - processTransitionPoint - nextUpper/LowerStrikes are 1.57/1.565 requiredDeltas/currentPosition/currentHedgeShortfall/direction/transitionPrice are 32/32/0/-1/1.56845</t>
  </si>
  <si>
    <t>2014-12-5 11:40:11.973: TransitionLogger - processTransitionpoint - checking transition - currentHedgeShortfall is 0</t>
  </si>
  <si>
    <t>2014-12-5 11:40:11.973: Algorithm - updatePortfolio - haveAllDetails is True</t>
  </si>
  <si>
    <t>2014-12-5 11:40:12.4: Algorithm - FindNextStrikes - price is 1.56855 nextStrikeUp/Down 1.57/1.565</t>
  </si>
  <si>
    <t>2014-12-5 11:40:12.4: Algorithm - getPortfolioForwardDelta - required deltas is 37 currentHedgePosition is 32</t>
  </si>
  <si>
    <t>2014-12-5 11:40:12.4: Algorithm - getHedgeShortfall - required deltas is 37 price is 1.56845 currentHedgePositionDeltas is 32</t>
  </si>
  <si>
    <t>2014-12-5 11:40:12.4: Algorithm - processTransitionPoint - nextUpper/LowerStrikes are 1.57/1.565 requiredDeltas/currentPosition/currentHedgeShortfall/direction/transitionPrice are 37/32/5/-1/1.56845</t>
  </si>
  <si>
    <t>2014-12-5 11:40:12.4: TransitionLogger - processTransitionpoint - checking transition - currentHedgeShortfall is 5</t>
  </si>
  <si>
    <t>2014-12-5 11:40:12.20: TransitionLogger - startTransition - begining a new transition</t>
  </si>
  <si>
    <t>2014-12-5 11:40:12.20: Algorithm - handleTransition - currentHedgeShortfall is NOT ZERO and AUTOHEDGE IS NOT ENABLED!</t>
  </si>
  <si>
    <t>2014-12-5 11:40:12.20: Algorithm - updatePortfolio - haveAllDetails is True</t>
  </si>
  <si>
    <t>2014-12-5 11:40:17.434: Algorithm - FindNextStrikes - price is 1.56855 nextStrikeUp/Down 1.57/1.565</t>
  </si>
  <si>
    <t>2014-12-5 11:40:17.434: Algorithm - getPortfolioForwardDelta - required deltas is 37 currentHedgePosition is 32</t>
  </si>
  <si>
    <t>2014-12-5 11:40:17.434: Algorithm - getHedgeShortfall - required deltas is 37 price is 1.56845 currentHedgePositionDeltas is 32</t>
  </si>
  <si>
    <t>2014-12-5 11:40:17.434: Algorithm - processTransitionPoint - nextUpper/LowerStrikes are 1.57/1.565 requiredDeltas/currentPosition/currentHedgeShortfall/direction/transitionPrice are 37/32/5/-1/1.56845</t>
  </si>
  <si>
    <t>2014-12-5 11:40:17.434: TransitionLogger - processTransitionpoint - checking transition - currentHedgeShortfall is 5</t>
  </si>
  <si>
    <t>2014-12-5 11:40:17.434: Algorithm - handleTransition - currentHedgeShortfall is NOT ZERO and AUTOHEDGE IS NOT ENABLED!</t>
  </si>
  <si>
    <t>2014-12-5 11:40:17.434: Algorithm - updatePortfolio - haveAllDetails is True</t>
  </si>
  <si>
    <t>2014-12-5 11:40:17.465: Algorithm - FindNextStrikes - price is 1.56855 nextStrikeUp/Down 1.57/1.565</t>
  </si>
  <si>
    <t>2014-12-5 11:40:17.481: Algorithm - getPortfolioForwardDelta - required deltas is 37 currentHedgePosition is 32</t>
  </si>
  <si>
    <t>2014-12-5 11:40:17.481: Algorithm - getHedgeShortfall - required deltas is 37 price is 1.56845 currentHedgePositionDeltas is 32</t>
  </si>
  <si>
    <t>2014-12-5 11:40:17.481: Algorithm - processTransitionPoint - nextUpper/LowerStrikes are 1.57/1.565 requiredDeltas/currentPosition/currentHedgeShortfall/direction/transitionPrice are 37/32/5/-1/1.56845</t>
  </si>
  <si>
    <t>2014-12-5 11:40:17.481: TransitionLogger - processTransitionpoint - checking transition - currentHedgeShortfall is 5</t>
  </si>
  <si>
    <t>2014-12-5 11:40:17.481: Algorithm - handleTransition - currentHedgeShortfall is NOT ZERO and AUTOHEDGE IS NOT ENABLED!</t>
  </si>
  <si>
    <t>2014-12-5 11:40:17.481: Algorithm - updatePortfolio - haveAllDetails is True</t>
  </si>
  <si>
    <t>2014-12-5 11:40:17.512: Algorithm - FindNextStrikes - price is 1.56855 nextStrikeUp/Down 1.57/1.565</t>
  </si>
  <si>
    <t>2014-12-5 11:40:17.512: Algorithm - getPortfolioForwardDelta - required deltas is 60 currentHedgePosition is 32</t>
  </si>
  <si>
    <t>2014-12-5 11:40:17.512: Algorithm - getHedgeShortfall - required deltas is 60 price is 1.56845 currentHedgePositionDeltas is 32</t>
  </si>
  <si>
    <t>2014-12-5 11:40:17.512: Algorithm - processTransitionPoint - nextUpper/LowerStrikes are 1.57/1.565 requiredDeltas/currentPosition/currentHedgeShortfall/direction/transitionPrice are 60/32/28/-1/1.56845</t>
  </si>
  <si>
    <t>2014-12-5 11:40:17.512: TransitionLogger - processTransitionpoint - checking transition - currentHedgeShortfall is 28</t>
  </si>
  <si>
    <t>2014-12-5 11:40:17.512: Algorithm - handleTransition - currentHedgeShortfall is NOT ZERO and AUTOHEDGE IS NOT ENABLED!</t>
  </si>
  <si>
    <t>2014-12-5 11:40:17.527: Algorithm - updatePortfolio - haveAllDetails is True</t>
  </si>
  <si>
    <t>2014-12-5 11:40:17.730: DirectionIndicator - notify - price/longMA/ShortMA/prevDirection are 1.5685/1.56852417892298/1.56850654814153/-1</t>
  </si>
  <si>
    <t>2014-12-5 11:40:17.730: Algorithm - handleTransition - currentHedgeShortfall is NOT ZERO and AUTOHEDGE IS NOT ENABLED!</t>
  </si>
  <si>
    <t>2014-12-5 11:40:18.339: DirectionIndicator - notify - price/longMA/ShortMA/prevDirection are 1.56855/1.56852887366426/1.56852103209435/-1</t>
  </si>
  <si>
    <t>2014-12-5 11:40:18.339: Algorithm - handleTransition - currentHedgeShortfall is NOT ZERO and AUTOHEDGE IS NOT ENABLED!</t>
  </si>
  <si>
    <t>2014-12-5 11:40:20.461: DirectionIndicator - notify - price/longMA/ShortMA/prevDirection are 1.5686/1.5685418057253/1.56854735472957/-1</t>
  </si>
  <si>
    <t>2014-12-5 11:40:20.461: Algorithm - handleTransition - currentHedgeShortfall is NOT ZERO and AUTOHEDGE IS NOT ENABLED!</t>
  </si>
  <si>
    <t>2014-12-5 11:40:21.148: DirectionIndicator - notify - price/longMA/ShortMA/prevDirection are 1.56865/1.56856147741161/1.56858156981971/-1</t>
  </si>
  <si>
    <t>2014-12-5 11:40:21.148: Algorithm - handleTransition - currentHedgeShortfall is NOT ZERO and AUTOHEDGE IS NOT ENABLED!</t>
  </si>
  <si>
    <t>2014-12-5 11:40:21.429: DirectionIndicator - notify - price/longMA/ShortMA/prevDirection are 1.5686/1.56856848151859/1.56858771321314/1</t>
  </si>
  <si>
    <t>2014-12-5 11:40:21.429: Algorithm - handleTransition - currentHedgeShortfall is NOT ZERO and AUTOHEDGE IS NOT ENABLED!</t>
  </si>
  <si>
    <t>2014-12-5 11:40:21.460: DirectionIndicator - notify - price/longMA/ShortMA/prevDirection are 1.56855/1.56856512124248/1.56857514214209/1</t>
  </si>
  <si>
    <t>2014-12-5 11:40:21.460: Algorithm - handleTransition - currentHedgeShortfall is NOT ZERO and AUTOHEDGE IS NOT ENABLED!</t>
  </si>
  <si>
    <t>2014-12-5 11:40:21.990: DirectionIndicator - notify - price/longMA/ShortMA/prevDirection are 1.5686/1.56857146283476/1.56858342809473/1</t>
  </si>
  <si>
    <t>2014-12-5 11:40:21.990: Algorithm - rehedge - rehedging 28 contracts</t>
  </si>
  <si>
    <t>2014-12-5 11:40:21.990: OrderManager - PlaceOrder - id 8 workingQty 5</t>
  </si>
  <si>
    <t>2014-12-5 11:40:21.990: OrderManagerView - UpdateMainSheetOpenOrder - entering UpdateMainSheetOpenOrder order.status is In-Flight</t>
  </si>
  <si>
    <t>2014-12-5 11:40:21.990: OrderManager - PlaceOrder - exiting place order id 8 BUY 5 1.5686  - workingQty 5 currentPosition is 32 workingOrderCount is 1</t>
  </si>
  <si>
    <t>2014-12-5 11:40:21.990: TransitionLogger-updateOrder - at begining - singleOrderId is 8</t>
  </si>
  <si>
    <t>2014-12-5 11:40:21.990: Algorithm - rehedge - placing an order - orderSize is 5 workingQty is 5 working order count 1</t>
  </si>
  <si>
    <t>2014-12-5 11:40:22.53: DirectionIndicator - notify - price/longMA/ShortMA/prevDirection are 1.56865/1.56858574231935/1.56860561872982/1</t>
  </si>
  <si>
    <t>2014-12-5 11:40:22.53: Algorithm - rehedge - rehedging 28 contracts</t>
  </si>
  <si>
    <t>2014-12-5 11:40:22.53: Algorithm - rehedge - Need to place order but already have a working order - workingQty is 5 working order count 1</t>
  </si>
  <si>
    <t>2014-12-5 11:40:22.146: DirectionIndicator - notify - price/longMA/ShortMA/prevDirection are 1.5686/1.56858833462492/1.56860374581988/1</t>
  </si>
  <si>
    <t>2014-12-5 11:40:22.146: Algorithm - rehedge - rehedging 28 contracts</t>
  </si>
  <si>
    <t>2014-12-5 11:40:22.146: Algorithm - rehedge - Need to place order but already have a working order - workingQty is 5 working order count 1</t>
  </si>
  <si>
    <t>2014-12-5 11:40:22.209: RTWSControl - nextValidId - entering nextValidId id is 9</t>
  </si>
  <si>
    <t>2014-12-5 11:40:22.224: DirectionIndicator - notify - price/longMA/ShortMA/prevDirection are 1.56865/1.5685995465113/1.56861916387992/1</t>
  </si>
  <si>
    <t>2014-12-5 11:40:22.224: Algorithm - rehedge - rehedging 28 contracts</t>
  </si>
  <si>
    <t>2014-12-5 11:40:22.224: Algorithm - rehedge - Need to place order but already have a working order - workingQty is 5 working order count 1</t>
  </si>
  <si>
    <t>2014-12-5 11:40:22.271: OrderManager - UpdateOrderStatus - id 8 Setting status to Submitted workingOrderCount is now 1 workingQty 5</t>
  </si>
  <si>
    <t>2014-12-5 11:40:22.271: OrderManagerView - UpdateMainSheetOpenOrder - entering UpdateMainSheetOpenOrder order.status is Submitted</t>
  </si>
  <si>
    <t>Submitted</t>
  </si>
  <si>
    <t>2014-12-5 11:40:22.926: TransitionLogger - updateExecution - got execution for localSymbol/avgPrice/cumQty 6BZ4/1.5686/4</t>
  </si>
  <si>
    <t>2014-12-5 11:40:22.926: TransitionLogger - updateExecution - got execution for localSymbol/avgPrice/cumQty 6BZ4/1.5686/4 cost is 9.9999999999989E-05</t>
  </si>
  <si>
    <t>2014-12-5 11:40:22.926: Algorithm - FindNextStrikes - price is 1.56865 nextStrikeUp/Down 1.57/1.565</t>
  </si>
  <si>
    <t>2014-12-5 11:40:22.926: Algorithm - getPortfolioForwardDelta - required deltas is 60 currentHedgePosition is 36</t>
  </si>
  <si>
    <t>2014-12-5 11:40:22.926: Algorithm - getHedgeShortfall - required deltas is 60 price is 1.56875 currentHedgePositionDeltas is 36</t>
  </si>
  <si>
    <t>2014-12-5 11:40:22.926: Algorithm - processTransitionPoint - nextUpper/LowerStrikes are 1.57/1.565 requiredDeltas/currentPosition/currentHedgeShortfall/direction/transitionPrice are 60/36/24/1/1.56875</t>
  </si>
  <si>
    <t>2014-12-5 11:40:22.926: TransitionLogger - processTransitionpoint - checking transition - currentHedgeShortfall is 24</t>
  </si>
  <si>
    <t>2014-12-5 11:40:22.926: OrderManager - updateExecution - got a fill for id 8 qty 4 side BOT price 1.5686 - new working order size is 1 new instrument.qty is 36</t>
  </si>
  <si>
    <t>2014-12-5 11:40:22.926: OrderManagerView - UpdateMainSheetOpenOrder - entering UpdateMainSheetOpenOrder order.status is Submitted</t>
  </si>
  <si>
    <t>0001f4e5.5480ef9c.01.01</t>
  </si>
  <si>
    <t>20141205  11:40:21</t>
  </si>
  <si>
    <t>2014-12-5 11:40:22.926: OrderManagerView - UpdateExecutionView - entering updateExecutionView  executionId is 0001f4e5.5480ef9c.01.01</t>
  </si>
  <si>
    <t>2014-12-5 11:40:22.942: OrderManagerView - updateExecutionView -  exiting UpdateExecutionView</t>
  </si>
  <si>
    <t>2014-12-5 11:40:22.989: OrderManager - UpdateOrderStatus - id 8 Setting status to Submitted workingOrderCount is now 1 workingQty 1</t>
  </si>
  <si>
    <t>2014-12-5 11:40:22.989: OrderManagerView - UpdateMainSheetOpenOrder - entering UpdateMainSheetOpenOrder order.status is Submitted</t>
  </si>
  <si>
    <t>2014-12-5 11:40:23.51: TransitionLogger - updateExecution - got execution for localSymbol/avgPrice/cumQty 6BZ4/1.5686/5</t>
  </si>
  <si>
    <t>2014-12-5 11:40:23.51: TransitionLogger - updateExecution - got execution for localSymbol/avgPrice/cumQty 6BZ4/1.5686/5 cost is 9.9999999999989E-05</t>
  </si>
  <si>
    <t>2014-12-5 11:40:23.51: Algorithm - FindNextStrikes - price is 1.56865 nextStrikeUp/Down 1.57/1.565</t>
  </si>
  <si>
    <t>2014-12-5 11:40:23.51: Algorithm - getPortfolioForwardDelta - required deltas is 60 currentHedgePosition is 37</t>
  </si>
  <si>
    <t>2014-12-5 11:40:23.67: Algorithm - getHedgeShortfall - required deltas is 60 price is 1.56875 currentHedgePositionDeltas is 37</t>
  </si>
  <si>
    <t>2014-12-5 11:40:23.67: Algorithm - processTransitionPoint - nextUpper/LowerStrikes are 1.57/1.565 requiredDeltas/currentPosition/currentHedgeShortfall/direction/transitionPrice are 60/37/23/1/1.56875</t>
  </si>
  <si>
    <t>2014-12-5 11:40:23.67: TransitionLogger - processTransitionpoint - checking transition - currentHedgeShortfall is 23</t>
  </si>
  <si>
    <t>2014-12-5 11:40:23.67: OrderManager - updateExecution - got a fill for id 8 qty 1 side BOT price 1.5686 - new working order size is 0 new instrument.qty is 37</t>
  </si>
  <si>
    <t>2014-12-5 11:40:23.67: OrderManagerView - UpdateMainSheetOpenOrder - entering UpdateMainSheetOpenOrder order.status is Submitted</t>
  </si>
  <si>
    <t>0001f4e5.5480ef9d.01.01</t>
  </si>
  <si>
    <t>2014-12-5 11:40:23.67: OrderManagerView - UpdateExecutionView - entering updateExecutionView  executionId is 0001f4e5.5480ef9d.01.01</t>
  </si>
  <si>
    <t>2014-12-5 11:40:23.67: OrderManagerView - updateExecutionView -  exiting UpdateExecutionView</t>
  </si>
  <si>
    <t>2014-12-5 11:40:23.98: OrderManager - UpdateOrderStatus - id 8 Setting status to Filled workingOrderCount is now 0 workingQty 0</t>
  </si>
  <si>
    <t>2014-12-5 11:40:23.98: OrderManagerView - UpdateMainSheetOpenOrder - entering UpdateMainSheetOpenOrder order.status is Filled</t>
  </si>
  <si>
    <t>2014-12-5 11:40:23.113: OrderManager - UpdateOrderStatus - id 8 Setting status to Filled workingOrderCount is now 0 workingQty 0</t>
  </si>
  <si>
    <t>2014-12-5 11:40:23.113: OrderManagerView - UpdateMainSheetOpenOrder - entering UpdateMainSheetOpenOrder order.status is Filled</t>
  </si>
  <si>
    <t>2014-12-5 11:40:23.145: OrderManager - UpdateOrderStatus - id 8 Setting status to Filled workingOrderCount is now 0 workingQty 0</t>
  </si>
  <si>
    <t>2014-12-5 11:40:23.145: OrderManagerView - UpdateMainSheetOpenOrder - entering UpdateMainSheetOpenOrder order.status is Filled</t>
  </si>
  <si>
    <t>2014-12-5 11:40:23.630: DirectionIndicator - notify - price/longMA/ShortMA/prevDirection are 1.5686/1.56859962896379/1.56861277591995/1</t>
  </si>
  <si>
    <t>2014-12-5 11:40:23.630: Algorithm - rehedge - rehedging 23 contracts</t>
  </si>
  <si>
    <t>2014-12-5 11:40:23.630: OrderManager - PlaceOrder - id 9 workingQty 5</t>
  </si>
  <si>
    <t>2014-12-5 11:40:23.630: OrderManagerView - UpdateMainSheetOpenOrder - entering UpdateMainSheetOpenOrder order.status is In-Flight</t>
  </si>
  <si>
    <t>2014-12-5 11:40:23.630: OrderManager - PlaceOrder - exiting place order id 9 BUY 5 1.5687  - workingQty 5 currentPosition is 37 workingOrderCount is 1</t>
  </si>
  <si>
    <t>2014-12-5 11:40:23.630: TransitionLogger-updateOrder - at begining - singleOrderId is 9</t>
  </si>
  <si>
    <t>2014-12-5 11:40:23.630: Algorithm - rehedge - placing an order - orderSize is 5 workingQty is 5 working order count 1</t>
  </si>
  <si>
    <t>2014-12-5 11:40:23.880: RTWSControl - nextValidId - entering nextValidId id is 10</t>
  </si>
  <si>
    <t>2014-12-5 11:40:25.223: TransitionLogger - updateExecution - got execution for localSymbol/avgPrice/cumQty 6BZ4/1.5687/5</t>
  </si>
  <si>
    <t>2014-12-5 11:40:25.223: TransitionLogger - updateExecution - got execution for localSymbol/avgPrice/cumQty 6BZ4/1.5687/5 cost is 1.99999999999978E-04</t>
  </si>
  <si>
    <t>2014-12-5 11:40:25.223: Algorithm - FindNextStrikes - price is 1.5686 nextStrikeUp/Down 1.57/1.565</t>
  </si>
  <si>
    <t>2014-12-5 11:40:25.223: Algorithm - getPortfolioForwardDelta - required deltas is 60 currentHedgePosition is 42</t>
  </si>
  <si>
    <t>2014-12-5 11:40:25.223: Algorithm - getHedgeShortfall - required deltas is 60 price is 1.5687 currentHedgePositionDeltas is 42</t>
  </si>
  <si>
    <t>2014-12-5 11:40:25.223: Algorithm - processTransitionPoint - nextUpper/LowerStrikes are 1.57/1.565 requiredDeltas/currentPosition/currentHedgeShortfall/direction/transitionPrice are 60/42/18/1/1.5687</t>
  </si>
  <si>
    <t>2014-12-5 11:40:25.223: TransitionLogger - processTransitionpoint - checking transition - currentHedgeShortfall is 18</t>
  </si>
  <si>
    <t>2014-12-5 11:40:25.239: OrderManager - updateExecution - got a fill for id 9 qty 5 side BOT price 1.5687 - new working order size is 0 new instrument.qty is 42</t>
  </si>
  <si>
    <t>2014-12-5 11:40:25.239: OrderManagerView - UpdateMainSheetOpenOrder - entering UpdateMainSheetOpenOrder order.status is In-Flight</t>
  </si>
  <si>
    <t>0001f4e5.5480ef9f.01.01</t>
  </si>
  <si>
    <t>20141205  11:40:22</t>
  </si>
  <si>
    <t>2014-12-5 11:40:25.239: OrderManagerView - UpdateExecutionView - entering updateExecutionView  executionId is 0001f4e5.5480ef9f.01.01</t>
  </si>
  <si>
    <t>2014-12-5 11:40:25.239: OrderManagerView - updateExecutionView -  exiting UpdateExecutionView</t>
  </si>
  <si>
    <t>2014-12-5 11:40:25.255: OrderManager - UpdateOrderStatus - id 9 Setting status to Filled workingOrderCount is now 0 workingQty 0</t>
  </si>
  <si>
    <t>2014-12-5 11:40:25.255: OrderManagerView - UpdateMainSheetOpenOrder - entering UpdateMainSheetOpenOrder order.status is Filled</t>
  </si>
  <si>
    <t>2014-12-5 11:40:25.270: OrderManager - UpdateOrderStatus - id 9 Setting status to Filled workingOrderCount is now 0 workingQty 0</t>
  </si>
  <si>
    <t>2014-12-5 11:40:25.270: OrderManagerView - UpdateMainSheetOpenOrder - entering UpdateMainSheetOpenOrder order.status is Filled</t>
  </si>
  <si>
    <t>2014-12-5 11:40:25.301: OrderManager - UpdateOrderStatus - id 9 Setting status to Filled workingOrderCount is now 0 workingQty 0</t>
  </si>
  <si>
    <t>2014-12-5 11:40:25.301: OrderManagerView - UpdateMainSheetOpenOrder - entering UpdateMainSheetOpenOrder order.status is Filled</t>
  </si>
  <si>
    <t>2014-12-5 11:40:25.348: Algorithm - FindNextStrikes - price is 1.5686 nextStrikeUp/Down 1.57/1.565</t>
  </si>
  <si>
    <t>2014-12-5 11:40:25.348: Algorithm - getPortfolioForwardDelta - required deltas is 60 currentHedgePosition is 37</t>
  </si>
  <si>
    <t>2014-12-5 11:40:25.348: Algorithm - getHedgeShortfall - required deltas is 60 price is 1.5687 currentHedgePositionDeltas is 37</t>
  </si>
  <si>
    <t>2014-12-5 11:40:25.348: Algorithm - processTransitionPoint - nextUpper/LowerStrikes are 1.57/1.565 requiredDeltas/currentPosition/currentHedgeShortfall/direction/transitionPrice are 60/37/23/1/1.5687</t>
  </si>
  <si>
    <t>2014-12-5 11:40:25.348: TransitionLogger - processTransitionpoint - checking transition - currentHedgeShortfall is 23</t>
  </si>
  <si>
    <t>2014-12-5 11:40:25.348: Algorithm - rehedge - rehedging 23 contracts</t>
  </si>
  <si>
    <t>2014-12-5 11:40:25.348: OrderManager - PlaceOrder - id 10 workingQty 5</t>
  </si>
  <si>
    <t>2014-12-5 11:40:25.348: OrderManagerView - UpdateMainSheetOpenOrder - entering UpdateMainSheetOpenOrder order.status is In-Flight</t>
  </si>
  <si>
    <t>2014-12-5 11:40:25.348: OrderManager - PlaceOrder - exiting place order id 10 BUY 5 1.5687  - workingQty 5 currentPosition is 37 workingOrderCount is 1</t>
  </si>
  <si>
    <t>2014-12-5 11:40:25.348: TransitionLogger-updateOrder - at begining - singleOrderId is 10</t>
  </si>
  <si>
    <t>2014-12-5 11:40:25.348: Algorithm - rehedge - placing an order - orderSize is 5 workingQty is 5 working order count 1</t>
  </si>
  <si>
    <t>2014-12-5 11:40:25.348: Algorithm - updatePortfolio - haveAllDetails is True</t>
  </si>
  <si>
    <t>2014-12-5 11:40:25.379: Algorithm - FindNextStrikes - price is 1.5686 nextStrikeUp/Down 1.57/1.565</t>
  </si>
  <si>
    <t>2014-12-5 11:40:25.379: Algorithm - getPortfolioForwardDelta - required deltas is 60 currentHedgePosition is 37</t>
  </si>
  <si>
    <t>2014-12-5 11:40:25.379: Algorithm - getHedgeShortfall - required deltas is 60 price is 1.5687 currentHedgePositionDeltas is 37</t>
  </si>
  <si>
    <t>2014-12-5 11:40:25.379: Algorithm - processTransitionPoint - nextUpper/LowerStrikes are 1.57/1.565 requiredDeltas/currentPosition/currentHedgeShortfall/direction/transitionPrice are 60/37/23/1/1.5687</t>
  </si>
  <si>
    <t>2014-12-5 11:40:25.379: TransitionLogger - processTransitionpoint - checking transition - currentHedgeShortfall is 23</t>
  </si>
  <si>
    <t>2014-12-5 11:40:25.379: Algorithm - rehedge - rehedging 23 contracts</t>
  </si>
  <si>
    <t>2014-12-5 11:40:25.379: Algorithm - rehedge - Need to place order but already have a working order - workingQty is 5 working order count 1</t>
  </si>
  <si>
    <t>2014-12-5 11:40:25.379: Algorithm - updatePortfolio - haveAllDetails is True</t>
  </si>
  <si>
    <t>2014-12-5 11:40:25.426: Algorithm - FindNextStrikes - price is 1.5686 nextStrikeUp/Down 1.57/1.565</t>
  </si>
  <si>
    <t>2014-12-5 11:40:25.426: Algorithm - getPortfolioForwardDelta - required deltas is 60 currentHedgePosition is 37</t>
  </si>
  <si>
    <t>2014-12-5 11:40:25.426: Algorithm - getHedgeShortfall - required deltas is 60 price is 1.5687 currentHedgePositionDeltas is 37</t>
  </si>
  <si>
    <t>2014-12-5 11:40:25.426: Algorithm - processTransitionPoint - nextUpper/LowerStrikes are 1.57/1.565 requiredDeltas/currentPosition/currentHedgeShortfall/direction/transitionPrice are 60/37/23/1/1.5687</t>
  </si>
  <si>
    <t>2014-12-5 11:40:25.426: TransitionLogger - processTransitionpoint - checking transition - currentHedgeShortfall is 23</t>
  </si>
  <si>
    <t>2014-12-5 11:40:25.426: Algorithm - rehedge - rehedging 23 contracts</t>
  </si>
  <si>
    <t>2014-12-5 11:40:25.426: Algorithm - rehedge - Need to place order but already have a working order - workingQty is 5 working order count 1</t>
  </si>
  <si>
    <t>2014-12-5 11:40:25.426: Algorithm - updatePortfolio - haveAllDetails is True</t>
  </si>
  <si>
    <t>2014-12-5 11:40:25.676: DirectionIndicator - notify - price/longMA/ShortMA/prevDirection are 1.56865/1.56860878733401/1.56862518394663/1</t>
  </si>
  <si>
    <t>2014-12-5 11:40:25.691: Algorithm - rehedge - rehedging 23 contracts</t>
  </si>
  <si>
    <t>2014-12-5 11:40:25.691: Algorithm - rehedge - Need to place order but already have a working order - workingQty is 5 working order count 1</t>
  </si>
  <si>
    <t>2014-12-5 11:40:25.894: DirectionIndicator - notify - price/longMA/ShortMA/prevDirection are 1.5686/1.56860718963692/1.56861678929775/1</t>
  </si>
  <si>
    <t>2014-12-5 11:40:25.894: Algorithm - rehedge - rehedging 23 contracts</t>
  </si>
  <si>
    <t>2014-12-5 11:40:25.894: Algorithm - rehedge - Need to place order but already have a working order - workingQty is 5 working order count 1</t>
  </si>
  <si>
    <t>2014-12-5 11:40:27.641: Algorithm - FindNextStrikes - price is 1.5686 nextStrikeUp/Down 1.57/1.565</t>
  </si>
  <si>
    <t>2014-12-5 11:40:27.641: Algorithm - getPortfolioForwardDelta - required deltas is 60 currentHedgePosition is 42</t>
  </si>
  <si>
    <t>2014-12-5 11:40:27.641: Algorithm - getHedgeShortfall - required deltas is 60 price is 1.5687 currentHedgePositionDeltas is 42</t>
  </si>
  <si>
    <t>2014-12-5 11:40:27.641: Algorithm - processTransitionPoint - nextUpper/LowerStrikes are 1.57/1.565 requiredDeltas/currentPosition/currentHedgeShortfall/direction/transitionPrice are 60/42/18/1/1.5687</t>
  </si>
  <si>
    <t>2014-12-5 11:40:27.641: TransitionLogger - processTransitionpoint - checking transition - currentHedgeShortfall is 18</t>
  </si>
  <si>
    <t>2014-12-5 11:40:27.641: Algorithm - rehedge - rehedging 18 contracts</t>
  </si>
  <si>
    <t>2014-12-5 11:40:27.641: Algorithm - rehedge - Need to place order but already have a working order - workingQty is 5 working order count 1</t>
  </si>
  <si>
    <t>2014-12-5 11:40:27.641: Algorithm - updatePortfolio - haveAllDetails is True</t>
  </si>
  <si>
    <t>2014-12-5 11:40:27.766: DirectionIndicator - notify - price/longMA/ShortMA/prevDirection are 1.56855/1.56859679152111/1.5685945261985/1</t>
  </si>
  <si>
    <t>2014-12-5 11:40:27.766: Algorithm - rehedge - rehedging 18 contracts</t>
  </si>
  <si>
    <t>2014-12-5 11:40:27.766: Algorithm - rehedge - Need to place order but already have a working order - workingQty is 5 working order count 1</t>
  </si>
  <si>
    <t>2014-12-5 11:40:28.16: RTWSControl - nextValidId - entering nextValidId id is 11</t>
  </si>
  <si>
    <t>2014-12-5 11:40:28.47: TransitionLogger - updateExecution - got execution for localSymbol/avgPrice/cumQty 6BZ4/1.5686/5</t>
  </si>
  <si>
    <t>2014-12-5 11:40:28.47: TransitionLogger - updateExecution - got execution for localSymbol/avgPrice/cumQty 6BZ4/1.5686/5 cost is 9.9999999999989E-05</t>
  </si>
  <si>
    <t>2014-12-5 11:40:28.47: Algorithm - FindNextStrikes - price is 1.56855 nextStrikeUp/Down 1.57/1.565</t>
  </si>
  <si>
    <t>2014-12-5 11:40:28.47: Algorithm - getPortfolioForwardDelta - required deltas is 60 currentHedgePosition is 47</t>
  </si>
  <si>
    <t>2014-12-5 11:40:28.47: Algorithm - getHedgeShortfall - required deltas is 60 price is 1.56865 currentHedgePositionDeltas is 47</t>
  </si>
  <si>
    <t>2014-12-5 11:40:28.47: Algorithm - processTransitionPoint - nextUpper/LowerStrikes are 1.57/1.565 requiredDeltas/currentPosition/currentHedgeShortfall/direction/transitionPrice are 60/47/13/1/1.56865</t>
  </si>
  <si>
    <t>2014-12-5 11:40:28.47: TransitionLogger - processTransitionpoint - checking transition - currentHedgeShortfall is 13</t>
  </si>
  <si>
    <t>2014-12-5 11:40:28.47: OrderManager - updateExecution - got a fill for id 10 qty 5 side BOT price 1.5686 - new working order size is 0 new instrument.qty is 47</t>
  </si>
  <si>
    <t>2014-12-5 11:40:28.47: OrderManagerView - UpdateMainSheetOpenOrder - entering UpdateMainSheetOpenOrder order.status is In-Flight</t>
  </si>
  <si>
    <t>0001f4e5.5480efa0.01.01</t>
  </si>
  <si>
    <t>20141205  11:40:23</t>
  </si>
  <si>
    <t>2014-12-5 11:40:28.47: OrderManagerView - UpdateExecutionView - entering updateExecutionView  executionId is 0001f4e5.5480efa0.01.01</t>
  </si>
  <si>
    <t>2014-12-5 11:40:28.47: OrderManagerView - updateExecutionView -  exiting UpdateExecutionView</t>
  </si>
  <si>
    <t>2014-12-5 11:40:28.63: OrderManager - UpdateOrderStatus - id 10 Setting status to Filled workingOrderCount is now 0 workingQty 0</t>
  </si>
  <si>
    <t>2014-12-5 11:40:28.63: OrderManagerView - UpdateMainSheetOpenOrder - entering UpdateMainSheetOpenOrder order.status is Filled</t>
  </si>
  <si>
    <t>2014-12-5 11:40:28.94: OrderManager - UpdateOrderStatus - id 10 Setting status to Filled workingOrderCount is now 0 workingQty 0</t>
  </si>
  <si>
    <t>2014-12-5 11:40:28.94: OrderManagerView - UpdateMainSheetOpenOrder - entering UpdateMainSheetOpenOrder order.status is Filled</t>
  </si>
  <si>
    <t>2014-12-5 11:40:28.141: OrderManager - UpdateOrderStatus - id 10 Setting status to Filled workingOrderCount is now 0 workingQty 0</t>
  </si>
  <si>
    <t>2014-12-5 11:40:28.141: OrderManagerView - UpdateMainSheetOpenOrder - entering UpdateMainSheetOpenOrder order.status is Filled</t>
  </si>
  <si>
    <t>2014-12-5 11:40:29.763: Algorithm - FindNextStrikes - price is 1.56855 nextStrikeUp/Down 1.57/1.565</t>
  </si>
  <si>
    <t>2014-12-5 11:40:29.763: Algorithm - getPortfolioForwardDelta - required deltas is 60 currentHedgePosition is 47</t>
  </si>
  <si>
    <t>2014-12-5 11:40:29.779: Algorithm - getHedgeShortfall - required deltas is 60 price is 1.56865 currentHedgePositionDeltas is 47</t>
  </si>
  <si>
    <t>2014-12-5 11:40:29.779: Algorithm - processTransitionPoint - nextUpper/LowerStrikes are 1.57/1.565 requiredDeltas/currentPosition/currentHedgeShortfall/direction/transitionPrice are 60/47/13/1/1.56865</t>
  </si>
  <si>
    <t>2014-12-5 11:40:29.779: TransitionLogger - processTransitionpoint - checking transition - currentHedgeShortfall is 13</t>
  </si>
  <si>
    <t>2014-12-5 11:40:29.779: Algorithm - rehedge - rehedging 13 contracts</t>
  </si>
  <si>
    <t>2014-12-5 11:40:29.779: OrderManager - PlaceOrder - id 11 workingQty 5</t>
  </si>
  <si>
    <t>2014-12-5 11:40:29.779: OrderManagerView - UpdateMainSheetOpenOrder - entering UpdateMainSheetOpenOrder order.status is In-Flight</t>
  </si>
  <si>
    <t>2014-12-5 11:40:29.779: OrderManager - PlaceOrder - exiting place order id 11 BUY 5 1.5686  - workingQty 5 currentPosition is 47 workingOrderCount is 1</t>
  </si>
  <si>
    <t>2014-12-5 11:40:29.779: TransitionLogger-updateOrder - at begining - singleOrderId is 11</t>
  </si>
  <si>
    <t>2014-12-5 11:40:29.779: Algorithm - rehedge - placing an order - orderSize is 5 workingQty is 5 working order count 1</t>
  </si>
  <si>
    <t>2014-12-5 11:40:29.779: Algorithm - updatePortfolio - haveAllDetails is True</t>
  </si>
  <si>
    <t>2014-12-5 11:40:29.825: Algorithm - FindNextStrikes - price is 1.56855 nextStrikeUp/Down 1.57/1.565</t>
  </si>
  <si>
    <t>2014-12-5 11:40:29.825: Algorithm - getPortfolioForwardDelta - required deltas is 60 currentHedgePosition is 47</t>
  </si>
  <si>
    <t>2014-12-5 11:40:29.825: Algorithm - getHedgeShortfall - required deltas is 60 price is 1.56865 currentHedgePositionDeltas is 47</t>
  </si>
  <si>
    <t>2014-12-5 11:40:29.825: Algorithm - processTransitionPoint - nextUpper/LowerStrikes are 1.57/1.565 requiredDeltas/currentPosition/currentHedgeShortfall/direction/transitionPrice are 60/47/13/1/1.56865</t>
  </si>
  <si>
    <t>2014-12-5 11:40:29.825: TransitionLogger - processTransitionpoint - checking transition - currentHedgeShortfall is 13</t>
  </si>
  <si>
    <t>2014-12-5 11:40:29.825: Algorithm - rehedge - rehedging 13 contracts</t>
  </si>
  <si>
    <t>2014-12-5 11:40:29.825: Algorithm - rehedge - Need to place order but already have a working order - workingQty is 5 working order count 1</t>
  </si>
  <si>
    <t>2014-12-5 11:40:29.825: Algorithm - updatePortfolio - haveAllDetails is True</t>
  </si>
  <si>
    <t>2014-12-5 11:40:29.841: Algorithm - FindNextStrikes - price is 1.56855 nextStrikeUp/Down 1.57/1.565</t>
  </si>
  <si>
    <t>2014-12-5 11:40:29.857: Algorithm - getPortfolioForwardDelta - required deltas is 60 currentHedgePosition is 47</t>
  </si>
  <si>
    <t>2014-12-5 11:40:29.857: Algorithm - getHedgeShortfall - required deltas is 60 price is 1.56865 currentHedgePositionDeltas is 47</t>
  </si>
  <si>
    <t>2014-12-5 11:40:29.857: Algorithm - processTransitionPoint - nextUpper/LowerStrikes are 1.57/1.565 requiredDeltas/currentPosition/currentHedgeShortfall/direction/transitionPrice are 60/47/13/1/1.56865</t>
  </si>
  <si>
    <t>2014-12-5 11:40:29.857: TransitionLogger - processTransitionpoint - checking transition - currentHedgeShortfall is 13</t>
  </si>
  <si>
    <t>2014-12-5 11:40:29.857: Algorithm - rehedge - rehedging 13 contracts</t>
  </si>
  <si>
    <t>2014-12-5 11:40:29.857: Algorithm - rehedge - Need to place order but already have a working order - workingQty is 5 working order count 1</t>
  </si>
  <si>
    <t>2014-12-5 11:40:29.857: Algorithm - updatePortfolio - haveAllDetails is True</t>
  </si>
  <si>
    <t>2014-12-5 11:40:30.699: DirectionIndicator - notify - price/longMA/ShortMA/prevDirection are 1.5686/1.56859737488091/1.568596350799/1</t>
  </si>
  <si>
    <t>2014-12-5 11:40:30.699: Algorithm - rehedge - rehedging 13 contracts</t>
  </si>
  <si>
    <t>2014-12-5 11:40:30.699: Algorithm - rehedge - Need to place order but already have a working order - workingQty is 5 working order count 1</t>
  </si>
  <si>
    <t>2014-12-5 11:40:30.808: DirectionIndicator - notify - price/longMA/ShortMA/prevDirection are 1.56865/1.56860694308438/1.568614233866/1</t>
  </si>
  <si>
    <t>2014-12-5 11:40:30.808: Algorithm - rehedge - rehedging 13 contracts</t>
  </si>
  <si>
    <t>2014-12-5 11:40:30.808: Algorithm - rehedge - Need to place order but already have a working order - workingQty is 5 working order count 1</t>
  </si>
  <si>
    <t>2014-12-5 11:40:30.964: DirectionIndicator - notify - price/longMA/ShortMA/prevDirection are 1.5686/1.5686056807054/1.568609489244/1</t>
  </si>
  <si>
    <t>2014-12-5 11:40:30.964: Algorithm - rehedge - rehedging 13 contracts</t>
  </si>
  <si>
    <t>2014-12-5 11:40:30.964: Algorithm - rehedge - Need to place order but already have a working order - workingQty is 5 working order count 1</t>
  </si>
  <si>
    <t>2014-12-5 11:40:31.89: DirectionIndicator - notify - price/longMA/ShortMA/prevDirection are 1.56865/1.56861373875897/1.56862299282933/1</t>
  </si>
  <si>
    <t>2014-12-5 11:40:31.89: Algorithm - rehedge - rehedging 13 contracts</t>
  </si>
  <si>
    <t>2014-12-5 11:40:31.89: Algorithm - rehedge - Need to place order but already have a working order - workingQty is 5 working order count 1</t>
  </si>
  <si>
    <t>2014-12-5 11:40:31.214: RTWSControl - nextValidId - entering nextValidId id is 12</t>
  </si>
  <si>
    <t>2014-12-5 11:40:31.276: OrderManager - UpdateOrderStatus - id 11 Setting status to Submitted workingOrderCount is now 1 workingQty 5</t>
  </si>
  <si>
    <t>2014-12-5 11:40:31.276: OrderManagerView - UpdateMainSheetOpenOrder - entering UpdateMainSheetOpenOrder order.status is Submitted</t>
  </si>
  <si>
    <t>2014-12-5 11:40:33.960: TransitionLogger - updateExecution - got execution for localSymbol/avgPrice/cumQty 6BZ4/1.5686/1</t>
  </si>
  <si>
    <t>2014-12-5 11:40:33.960: TransitionLogger - updateExecution - got execution for localSymbol/avgPrice/cumQty 6BZ4/1.5686/1 cost is 9.9999999999989E-05</t>
  </si>
  <si>
    <t>2014-12-5 11:40:33.960: Algorithm - FindNextStrikes - price is 1.56865 nextStrikeUp/Down 1.57/1.565</t>
  </si>
  <si>
    <t>2014-12-5 11:40:33.960: Algorithm - getPortfolioForwardDelta - required deltas is 60 currentHedgePosition is 48</t>
  </si>
  <si>
    <t>2014-12-5 11:40:33.976: Algorithm - getHedgeShortfall - required deltas is 60 price is 1.56875 currentHedgePositionDeltas is 48</t>
  </si>
  <si>
    <t>2014-12-5 11:40:33.976: Algorithm - processTransitionPoint - nextUpper/LowerStrikes are 1.57/1.565 requiredDeltas/currentPosition/currentHedgeShortfall/direction/transitionPrice are 60/48/12/1/1.56875</t>
  </si>
  <si>
    <t>2014-12-5 11:40:33.976: TransitionLogger - processTransitionpoint - checking transition - currentHedgeShortfall is 12</t>
  </si>
  <si>
    <t>2014-12-5 11:40:33.976: OrderManager - updateExecution - got a fill for id 11 qty 1 side BOT price 1.5686 - new working order size is 4 new instrument.qty is 48</t>
  </si>
  <si>
    <t>2014-12-5 11:40:33.976: OrderManagerView - UpdateMainSheetOpenOrder - entering UpdateMainSheetOpenOrder order.status is Submitted</t>
  </si>
  <si>
    <t>0001f4e5.5480efa1.01.01</t>
  </si>
  <si>
    <t>20141205  11:40:32</t>
  </si>
  <si>
    <t>2014-12-5 11:40:33.992: OrderManagerView - UpdateExecutionView - entering updateExecutionView  executionId is 0001f4e5.5480efa1.01.01</t>
  </si>
  <si>
    <t>2014-12-5 11:40:34.7: OrderManagerView - updateExecutionView -  exiting UpdateExecutionView</t>
  </si>
  <si>
    <t>2014-12-5 11:40:34.38: OrderManager - UpdateOrderStatus - id 11 Setting status to Submitted workingOrderCount is now 1 workingQty 4</t>
  </si>
  <si>
    <t>2014-12-5 11:40:34.38: OrderManagerView - UpdateMainSheetOpenOrder - entering UpdateMainSheetOpenOrder order.status is Submitted</t>
  </si>
  <si>
    <t>2014-12-5 11:40:34.132: OrderManager - UpdateOrderStatus - id 11 Setting status to Submitted workingOrderCount is now 1 workingQty 4</t>
  </si>
  <si>
    <t>2014-12-5 11:40:34.132: OrderManagerView - UpdateMainSheetOpenOrder - entering UpdateMainSheetOpenOrder order.status is Submitted</t>
  </si>
  <si>
    <t>2014-12-5 11:40:34.148: DirectionIndicator - notify - price/longMA/ShortMA/prevDirection are 1.5686/1.56861124080279/1.56861532855289/1</t>
  </si>
  <si>
    <t>2014-12-5 11:40:34.148: Algorithm - rehedge - rehedging 12 contracts</t>
  </si>
  <si>
    <t>2014-12-5 11:40:34.148: Algorithm - rehedge - Need to place order but already have a working order - workingQty is 4 working order count 1</t>
  </si>
  <si>
    <t>2014-12-5 11:40:34.241: DirectionIndicator - notify - price/longMA/ShortMA/prevDirection are 1.56855/1.56860010611137/1.56859355236859/1</t>
  </si>
  <si>
    <t>2014-12-5 11:40:34.241: Algorithm - rehedge - rehedging 12 contracts</t>
  </si>
  <si>
    <t>2014-12-5 11:40:34.241: Algorithm - rehedge - Need to place order but already have a working order - workingQty is 4 working order count 1</t>
  </si>
  <si>
    <t>2014-12-5 11:40:34.382: TransitionLogger - updateExecution - got execution for localSymbol/avgPrice/cumQty 6BZ4/1.5686/5</t>
  </si>
  <si>
    <t>2014-12-5 11:40:34.382: TransitionLogger - updateExecution - got execution for localSymbol/avgPrice/cumQty 6BZ4/1.5686/5 cost is 9.9999999999989E-05</t>
  </si>
  <si>
    <t>2014-12-5 11:40:34.397: Algorithm - FindNextStrikes - price is 1.56855 nextStrikeUp/Down 1.57/1.565</t>
  </si>
  <si>
    <t>2014-12-5 11:40:34.397: Algorithm - getPortfolioForwardDelta - required deltas is 60 currentHedgePosition is 52</t>
  </si>
  <si>
    <t>2014-12-5 11:40:34.397: Algorithm - getHedgeShortfall - required deltas is 60 price is 1.56865 currentHedgePositionDeltas is 52</t>
  </si>
  <si>
    <t>2014-12-5 11:40:34.397: Algorithm - processTransitionPoint - nextUpper/LowerStrikes are 1.57/1.565 requiredDeltas/currentPosition/currentHedgeShortfall/direction/transitionPrice are 60/52/8/1/1.56865</t>
  </si>
  <si>
    <t>2014-12-5 11:40:34.397: TransitionLogger - processTransitionpoint - checking transition - currentHedgeShortfall is 8</t>
  </si>
  <si>
    <t>2014-12-5 11:40:34.397: OrderManager - updateExecution - got a fill for id 11 qty 4 side BOT price 1.5686 - new working order size is 0 new instrument.qty is 52</t>
  </si>
  <si>
    <t>2014-12-5 11:40:34.397: OrderManagerView - UpdateMainSheetOpenOrder - entering UpdateMainSheetOpenOrder order.status is Submitted</t>
  </si>
  <si>
    <t>0001f4e5.5480efa2.01.01</t>
  </si>
  <si>
    <t>2014-12-5 11:40:34.397: OrderManagerView - UpdateExecutionView - entering updateExecutionView  executionId is 0001f4e5.5480efa2.01.01</t>
  </si>
  <si>
    <t>2014-12-5 11:40:34.397: OrderManagerView - updateExecutionView -  exiting UpdateExecutionView</t>
  </si>
  <si>
    <t>2014-12-5 11:40:34.428: OrderManager - UpdateOrderStatus - id 11 Setting status to Filled workingOrderCount is now 0 workingQty 0</t>
  </si>
  <si>
    <t>2014-12-5 11:40:34.428: OrderManagerView - UpdateMainSheetOpenOrder - entering UpdateMainSheetOpenOrder order.status is Filled</t>
  </si>
  <si>
    <t>2014-12-5 11:40:34.444: OrderManager - UpdateOrderStatus - id 11 Setting status to Filled workingOrderCount is now 0 workingQty 0</t>
  </si>
  <si>
    <t>2014-12-5 11:40:34.444: OrderManagerView - UpdateMainSheetOpenOrder - entering UpdateMainSheetOpenOrder order.status is Filled</t>
  </si>
  <si>
    <t>2014-12-5 11:40:36.51: Algorithm - FindNextStrikes - price is 1.56855 nextStrikeUp/Down 1.57/1.565</t>
  </si>
  <si>
    <t>2014-12-5 11:40:36.66: Algorithm - getPortfolioForwardDelta - required deltas is 60 currentHedgePosition is 52</t>
  </si>
  <si>
    <t>2014-12-5 11:40:36.66: Algorithm - getHedgeShortfall - required deltas is 60 price is 1.56865 currentHedgePositionDeltas is 52</t>
  </si>
  <si>
    <t>2014-12-5 11:40:36.66: Algorithm - processTransitionPoint - nextUpper/LowerStrikes are 1.57/1.565 requiredDeltas/currentPosition/currentHedgeShortfall/direction/transitionPrice are 60/52/8/1/1.56865</t>
  </si>
  <si>
    <t>2014-12-5 11:40:36.66: TransitionLogger - processTransitionpoint - checking transition - currentHedgeShortfall is 8</t>
  </si>
  <si>
    <t>2014-12-5 11:40:36.66: Algorithm - rehedge - rehedging 8 contracts</t>
  </si>
  <si>
    <t>2014-12-5 11:40:36.66: OrderManager - PlaceOrder - id 12 workingQty 5</t>
  </si>
  <si>
    <t>2014-12-5 11:40:36.66: OrderManagerView - UpdateMainSheetOpenOrder - entering UpdateMainSheetOpenOrder order.status is In-Flight</t>
  </si>
  <si>
    <t>2014-12-5 11:40:36.66: OrderManager - PlaceOrder - exiting place order id 12 BUY 5 1.5686  - workingQty 5 currentPosition is 52 workingOrderCount is 1</t>
  </si>
  <si>
    <t>2014-12-5 11:40:36.66: TransitionLogger-updateOrder - at begining - singleOrderId is 12</t>
  </si>
  <si>
    <t>2014-12-5 11:40:36.66: Algorithm - rehedge - placing an order - orderSize is 5 workingQty is 5 working order count 1</t>
  </si>
  <si>
    <t>2014-12-5 11:40:36.66: Algorithm - updatePortfolio - haveAllDetails is True</t>
  </si>
  <si>
    <t>2014-12-5 11:40:36.222: RTWSControl - nextValidId - entering nextValidId id is 13</t>
  </si>
  <si>
    <t>2014-12-5 11:40:36.363: DirectionIndicator - notify - price/longMA/ShortMA/prevDirection are 1.5686/1.5686000868184/1.56859570157906/1</t>
  </si>
  <si>
    <t>2014-12-5 11:40:36.363: Algorithm - rehedge - rehedging 8 contracts</t>
  </si>
  <si>
    <t>2014-12-5 11:40:36.363: Algorithm - rehedge - Need to place order but already have a working order - workingQty is 5 working order count 1</t>
  </si>
  <si>
    <t>2014-12-5 11:40:36.519: TransitionLogger - updateExecution - got execution for localSymbol/avgPrice/cumQty 6BZ4/1.5686/3</t>
  </si>
  <si>
    <t>2014-12-5 11:40:36.519: TransitionLogger - updateExecution - got execution for localSymbol/avgPrice/cumQty 6BZ4/1.5686/3 cost is 9.9999999999989E-05</t>
  </si>
  <si>
    <t>2014-12-5 11:40:36.519: Algorithm - FindNextStrikes - price is 1.5686 nextStrikeUp/Down 1.57/1.565</t>
  </si>
  <si>
    <t>2014-12-5 11:40:36.519: Algorithm - getPortfolioForwardDelta - required deltas is 60 currentHedgePosition is 55</t>
  </si>
  <si>
    <t>2014-12-5 11:40:36.519: Algorithm - getHedgeShortfall - required deltas is 60 price is 1.5687 currentHedgePositionDeltas is 55</t>
  </si>
  <si>
    <t>2014-12-5 11:40:36.519: Algorithm - processTransitionPoint - nextUpper/LowerStrikes are 1.57/1.565 requiredDeltas/currentPosition/currentHedgeShortfall/direction/transitionPrice are 60/55/5/1/1.5687</t>
  </si>
  <si>
    <t>2014-12-5 11:40:36.519: TransitionLogger - processTransitionpoint - checking transition - currentHedgeShortfall is 5</t>
  </si>
  <si>
    <t>2014-12-5 11:40:36.519: OrderManager - updateExecution - got a fill for id 12 qty 3 side BOT price 1.5686 - new working order size is 2 new instrument.qty is 55</t>
  </si>
  <si>
    <t>2014-12-5 11:40:36.519: OrderManagerView - UpdateMainSheetOpenOrder - entering UpdateMainSheetOpenOrder order.status is In-Flight</t>
  </si>
  <si>
    <t>0001f4e5.5480efa3.01.01</t>
  </si>
  <si>
    <t>20141205  11:40:34</t>
  </si>
  <si>
    <t>2014-12-5 11:40:36.534: OrderManagerView - UpdateExecutionView - entering updateExecutionView  executionId is 0001f4e5.5480efa3.01.01</t>
  </si>
  <si>
    <t>2014-12-5 11:40:36.534: OrderManagerView - updateExecutionView -  exiting UpdateExecutionView</t>
  </si>
  <si>
    <t>2014-12-5 11:40:36.550: OrderManager - UpdateOrderStatus - id 12 Setting status to PendingSubmit workingOrderCount is now 1 workingQty 2</t>
  </si>
  <si>
    <t>2014-12-5 11:40:36.550: OrderManagerView - UpdateMainSheetOpenOrder - entering UpdateMainSheetOpenOrder order.status is PendingSubmit</t>
  </si>
  <si>
    <t>PendingSubmit</t>
  </si>
  <si>
    <t>2014-12-5 11:40:36.566: OrderManager - UpdateOrderStatus - id 12 Setting status to Submitted workingOrderCount is now 1 workingQty 2</t>
  </si>
  <si>
    <t>2014-12-5 11:40:36.566: OrderManagerView - UpdateMainSheetOpenOrder - entering UpdateMainSheetOpenOrder order.status is Submitted</t>
  </si>
  <si>
    <t>2014-12-5 11:40:36.597: OrderManager - UpdateOrderStatus - id 12 Setting status to Submitted workingOrderCount is now 1 workingQty 2</t>
  </si>
  <si>
    <t>2014-12-5 11:40:36.597: OrderManagerView - UpdateMainSheetOpenOrder - entering UpdateMainSheetOpenOrder order.status is Submitted</t>
  </si>
  <si>
    <t>2014-12-5 11:40:38.219: Algorithm - FindNextStrikes - price is 1.5686 nextStrikeUp/Down 1.57/1.565</t>
  </si>
  <si>
    <t>2014-12-5 11:40:38.219: Algorithm - getPortfolioForwardDelta - required deltas is 60 currentHedgePosition is 55</t>
  </si>
  <si>
    <t>2014-12-5 11:40:38.219: Algorithm - getHedgeShortfall - required deltas is 60 price is 1.5687 currentHedgePositionDeltas is 55</t>
  </si>
  <si>
    <t>2014-12-5 11:40:38.219: Algorithm - processTransitionPoint - nextUpper/LowerStrikes are 1.57/1.565 requiredDeltas/currentPosition/currentHedgeShortfall/direction/transitionPrice are 60/55/5/1/1.5687</t>
  </si>
  <si>
    <t>2014-12-5 11:40:38.219: TransitionLogger - processTransitionpoint - checking transition - currentHedgeShortfall is 5</t>
  </si>
  <si>
    <t>2014-12-5 11:40:38.219: Algorithm - rehedge - rehedging 5 contracts</t>
  </si>
  <si>
    <t>2014-12-5 11:40:38.219: Algorithm - rehedge - Need to place order but already have a working order - workingQty is 2 working order count 1</t>
  </si>
  <si>
    <t>2014-12-5 11:40:38.219: Algorithm - updatePortfolio - haveAllDetails is True</t>
  </si>
  <si>
    <t>2014-12-5 11:40:39.327: DirectionIndicator - notify - price/longMA/ShortMA/prevDirection are 1.56855/1.56859098012414/1.56858046771937/1</t>
  </si>
  <si>
    <t>2014-12-5 11:40:39.327: Algorithm - rehedge - rehedging 5 contracts</t>
  </si>
  <si>
    <t>2014-12-5 11:40:39.327: Algorithm - rehedge - Need to place order but already have a working order - workingQty is 2 working order count 1</t>
  </si>
  <si>
    <t>2014-12-5 11:40:39.420: TransitionLogger - updateExecution - got execution for localSymbol/avgPrice/cumQty 6BZ4/1.5686/5</t>
  </si>
  <si>
    <t>2014-12-5 11:40:39.420: TransitionLogger - updateExecution - got execution for localSymbol/avgPrice/cumQty 6BZ4/1.5686/5 cost is 9.9999999999989E-05</t>
  </si>
  <si>
    <t>2014-12-5 11:40:39.420: Algorithm - FindNextStrikes - price is 1.56855 nextStrikeUp/Down 1.57/1.565</t>
  </si>
  <si>
    <t>2014-12-5 11:40:39.436: Algorithm - getPortfolioForwardDelta - required deltas is 60 currentHedgePosition is 57</t>
  </si>
  <si>
    <t>2014-12-5 11:40:39.436: Algorithm - getHedgeShortfall - required deltas is 60 price is 1.56865 currentHedgePositionDeltas is 57</t>
  </si>
  <si>
    <t>2014-12-5 11:40:39.436: Algorithm - processTransitionPoint - nextUpper/LowerStrikes are 1.57/1.565 requiredDeltas/currentPosition/currentHedgeShortfall/direction/transitionPrice are 60/57/3/1/1.56865</t>
  </si>
  <si>
    <t>2014-12-5 11:40:39.436: TransitionLogger - processTransitionpoint - checking transition - currentHedgeShortfall is 3</t>
  </si>
  <si>
    <t>2014-12-5 11:40:39.436: OrderManager - updateExecution - got a fill for id 12 qty 2 side BOT price 1.5686 - new working order size is 0 new instrument.qty is 57</t>
  </si>
  <si>
    <t>2014-12-5 11:40:39.436: OrderManagerView - UpdateMainSheetOpenOrder - entering UpdateMainSheetOpenOrder order.status is Submitted</t>
  </si>
  <si>
    <t>0001f4e5.5480efa5.01.01</t>
  </si>
  <si>
    <t>20141205  11:40:37</t>
  </si>
  <si>
    <t>2014-12-5 11:40:39.436: OrderManagerView - UpdateExecutionView - entering updateExecutionView  executionId is 0001f4e5.5480efa5.01.01</t>
  </si>
  <si>
    <t>2014-12-5 11:40:39.436: OrderManagerView - updateExecutionView -  exiting UpdateExecutionView</t>
  </si>
  <si>
    <t>2014-12-5 11:40:39.467: OrderManager - UpdateOrderStatus - id 12 Setting status to Filled workingOrderCount is now 0 workingQty 0</t>
  </si>
  <si>
    <t>2014-12-5 11:40:39.467: OrderManagerView - UpdateMainSheetOpenOrder - entering UpdateMainSheetOpenOrder order.status is Filled</t>
  </si>
  <si>
    <t>2014-12-5 11:40:39.561: OrderManager - UpdateOrderStatus - id 12 Setting status to Filled workingOrderCount is now 0 workingQty 0</t>
  </si>
  <si>
    <t>2014-12-5 11:40:39.561: OrderManagerView - UpdateMainSheetOpenOrder - entering UpdateMainSheetOpenOrder order.status is Filled</t>
  </si>
  <si>
    <t>2014-12-5 11:40:42.322: Algorithm - FindNextStrikes - price is 1.56855 nextStrikeUp/Down 1.57/1.565</t>
  </si>
  <si>
    <t>2014-12-5 11:40:42.322: Algorithm - getPortfolioForwardDelta - required deltas is 60 currentHedgePosition is 57</t>
  </si>
  <si>
    <t>2014-12-5 11:40:42.322: Algorithm - getHedgeShortfall - required deltas is 60 price is 1.56865 currentHedgePositionDeltas is 57</t>
  </si>
  <si>
    <t>2014-12-5 11:40:42.322: Algorithm - processTransitionPoint - nextUpper/LowerStrikes are 1.57/1.565 requiredDeltas/currentPosition/currentHedgeShortfall/direction/transitionPrice are 60/57/3/1/1.56865</t>
  </si>
  <si>
    <t>2014-12-5 11:40:42.322: TransitionLogger - processTransitionpoint - checking transition - currentHedgeShortfall is 3</t>
  </si>
  <si>
    <t>2014-12-5 11:40:42.322: Algorithm - rehedge - rehedging 3 contracts</t>
  </si>
  <si>
    <t>2014-12-5 11:40:42.322: OrderManager - PlaceOrder - id 13 workingQty 3</t>
  </si>
  <si>
    <t>2014-12-5 11:40:42.322: OrderManagerView - UpdateMainSheetOpenOrder - entering UpdateMainSheetOpenOrder order.status is In-Flight</t>
  </si>
  <si>
    <t>2014-12-5 11:40:42.322: OrderManager - PlaceOrder - exiting place order id 13 BUY 3 1.5686  - workingQty 3 currentPosition is 57 workingOrderCount is 1</t>
  </si>
  <si>
    <t>2014-12-5 11:40:42.322: TransitionLogger-updateOrder - at begining - singleOrderId is 13</t>
  </si>
  <si>
    <t>2014-12-5 11:40:42.322: Algorithm - rehedge - placing an order - orderSize is 3 workingQty is 3 working order count 1</t>
  </si>
  <si>
    <t>2014-12-5 11:40:42.322: Algorithm - updatePortfolio - haveAllDetails is True</t>
  </si>
  <si>
    <t>2014-12-5 11:40:42.353: Algorithm - FindNextStrikes - price is 1.56855 nextStrikeUp/Down 1.57/1.565</t>
  </si>
  <si>
    <t>2014-12-5 11:40:42.353: Algorithm - getPortfolioForwardDelta - required deltas is 60 currentHedgePosition is 57</t>
  </si>
  <si>
    <t>2014-12-5 11:40:42.353: Algorithm - getHedgeShortfall - required deltas is 60 price is 1.56865 currentHedgePositionDeltas is 57</t>
  </si>
  <si>
    <t>2014-12-5 11:40:42.353: Algorithm - processTransitionPoint - nextUpper/LowerStrikes are 1.57/1.565 requiredDeltas/currentPosition/currentHedgeShortfall/direction/transitionPrice are 60/57/3/1/1.56865</t>
  </si>
  <si>
    <t>2014-12-5 11:40:42.353: TransitionLogger - processTransitionpoint - checking transition - currentHedgeShortfall is 3</t>
  </si>
  <si>
    <t>2014-12-5 11:40:42.353: Algorithm - rehedge - rehedging 3 contracts</t>
  </si>
  <si>
    <t>2014-12-5 11:40:42.353: Algorithm - rehedge - Need to place order but already have a working order - workingQty is 3 working order count 1</t>
  </si>
  <si>
    <t>2014-12-5 11:40:42.353: Algorithm - updatePortfolio - haveAllDetails is True</t>
  </si>
  <si>
    <t>2014-12-5 11:40:42.400: Algorithm - FindNextStrikes - price is 1.56855 nextStrikeUp/Down 1.57/1.565</t>
  </si>
  <si>
    <t>2014-12-5 11:40:42.400: Algorithm - getPortfolioForwardDelta - required deltas is 60 currentHedgePosition is 57</t>
  </si>
  <si>
    <t>2014-12-5 11:40:42.400: Algorithm - getHedgeShortfall - required deltas is 60 price is 1.56865 currentHedgePositionDeltas is 57</t>
  </si>
  <si>
    <t>2014-12-5 11:40:42.400: Algorithm - processTransitionPoint - nextUpper/LowerStrikes are 1.57/1.565 requiredDeltas/currentPosition/currentHedgeShortfall/direction/transitionPrice are 60/57/3/1/1.56865</t>
  </si>
  <si>
    <t>2014-12-5 11:40:42.400: TransitionLogger - processTransitionpoint - checking transition - currentHedgeShortfall is 3</t>
  </si>
  <si>
    <t>2014-12-5 11:40:42.400: Algorithm - rehedge - rehedging 3 contracts</t>
  </si>
  <si>
    <t>2014-12-5 11:40:42.400: Algorithm - rehedge - Need to place order but already have a working order - workingQty is 3 working order count 1</t>
  </si>
  <si>
    <t>2014-12-5 11:40:42.400: Algorithm - updatePortfolio - haveAllDetails is True</t>
  </si>
  <si>
    <t>2014-12-5 11:40:42.447: Algorithm - FindNextStrikes - price is 1.56855 nextStrikeUp/Down 1.57/1.565</t>
  </si>
  <si>
    <t>2014-12-5 11:40:42.447: Algorithm - getPortfolioForwardDelta - required deltas is 60 currentHedgePosition is 57</t>
  </si>
  <si>
    <t>2014-12-5 11:40:42.447: Algorithm - getHedgeShortfall - required deltas is 60 price is 1.56865 currentHedgePositionDeltas is 57</t>
  </si>
  <si>
    <t>2014-12-5 11:40:42.447: Algorithm - processTransitionPoint - nextUpper/LowerStrikes are 1.57/1.565 requiredDeltas/currentPosition/currentHedgeShortfall/direction/transitionPrice are 60/57/3/1/1.56865</t>
  </si>
  <si>
    <t>2014-12-5 11:40:42.447: TransitionLogger - processTransitionpoint - checking transition - currentHedgeShortfall is 3</t>
  </si>
  <si>
    <t>2014-12-5 11:40:42.447: Algorithm - rehedge - rehedging 3 contracts</t>
  </si>
  <si>
    <t>2014-12-5 11:40:42.447: Algorithm - rehedge - Need to place order but already have a working order - workingQty is 3 working order count 1</t>
  </si>
  <si>
    <t>2014-12-5 11:40:42.447: Algorithm - updatePortfolio - haveAllDetails is True</t>
  </si>
  <si>
    <t>2014-12-5 11:40:42.650: DirectionIndicator - notify - price/longMA/ShortMA/prevDirection are 1.5685/1.56857443828339/1.56855364514625/1</t>
  </si>
  <si>
    <t>2014-12-5 11:40:42.650: Algorithm - rehedge - rehedging 3 contracts</t>
  </si>
  <si>
    <t>2014-12-5 11:40:42.650: Algorithm - rehedge - Need to place order but already have a working order - workingQty is 3 working order count 1</t>
  </si>
  <si>
    <t>2014-12-5 11:40:42.696: DirectionIndicator - notify - price/longMA/ShortMA/prevDirection are 1.56845/1.56855181314096/1.56851909676417/-1</t>
  </si>
  <si>
    <t>2014-12-5 11:40:42.696: Algorithm - rehedge - rehedging 3 contracts</t>
  </si>
  <si>
    <t>2014-12-5 11:40:42.696: Algorithm - rehedge - Need to place order but already have a working order - workingQty is 3 working order count 1</t>
  </si>
  <si>
    <t>2014-12-5 11:40:42.915: RTWSControl - nextValidId - entering nextValidId id is 14</t>
  </si>
  <si>
    <t>2014-12-5 11:40:42.930: TransitionLogger - updateExecution - got execution for localSymbol/avgPrice/cumQty 6BZ4/1.5685/2</t>
  </si>
  <si>
    <t>2014-12-5 11:40:42.930: TransitionLogger - updateExecution - got execution for localSymbol/avgPrice/cumQty 6BZ4/1.5685/2 cost is 0</t>
  </si>
  <si>
    <t>2014-12-5 11:40:42.930: Algorithm - FindNextStrikes - price is 1.56845 nextStrikeUp/Down 1.57/1.565</t>
  </si>
  <si>
    <t>2014-12-5 11:40:42.930: Algorithm - getPortfolioForwardDelta - required deltas is 60 currentHedgePosition is 59</t>
  </si>
  <si>
    <t>2014-12-5 11:40:42.930: Algorithm - getHedgeShortfall - required deltas is 60 price is 1.56835 currentHedgePositionDeltas is 59</t>
  </si>
  <si>
    <t>2014-12-5 11:40:42.930: Algorithm - processTransitionPoint - nextUpper/LowerStrikes are 1.57/1.565 requiredDeltas/currentPosition/currentHedgeShortfall/direction/transitionPrice are 60/59/1/-1/1.56835</t>
  </si>
  <si>
    <t>2014-12-5 11:40:42.946: TransitionLogger - processTransitionpoint - checking transition - currentHedgeShortfall is 1</t>
  </si>
  <si>
    <t>2014-12-5 11:40:42.946: OrderManager - updateExecution - got a fill for id 13 qty 2 side BOT price 1.5685 - new working order size is 1 new instrument.qty is 59</t>
  </si>
  <si>
    <t>2014-12-5 11:40:42.946: OrderManagerView - UpdateMainSheetOpenOrder - entering UpdateMainSheetOpenOrder order.status is In-Flight</t>
  </si>
  <si>
    <t>0001f4e5.5480efa7.01.01</t>
  </si>
  <si>
    <t>20141205  11:40:40</t>
  </si>
  <si>
    <t>2014-12-5 11:40:42.946: OrderManagerView - UpdateExecutionView - entering updateExecutionView  executionId is 0001f4e5.5480efa7.01.01</t>
  </si>
  <si>
    <t>2014-12-5 11:40:42.946: OrderManagerView - updateExecutionView -  exiting UpdateExecutionView</t>
  </si>
  <si>
    <t>2014-12-5 11:40:42.962: OrderManager - UpdateOrderStatus - id 13 Setting status to PendingSubmit workingOrderCount is now 1 workingQty 1</t>
  </si>
  <si>
    <t>2014-12-5 11:40:42.962: OrderManagerView - UpdateMainSheetOpenOrder - entering UpdateMainSheetOpenOrder order.status is PendingSubmit</t>
  </si>
  <si>
    <t>2014-12-5 11:40:42.977: DirectionIndicator - notify - price/longMA/ShortMA/prevDirection are 1.56855/1.56855148347896/1.56852939784278/-1</t>
  </si>
  <si>
    <t>2014-12-5 11:40:42.977: Algorithm - rehedge - rehedging 1 contracts</t>
  </si>
  <si>
    <t>2014-12-5 11:40:42.977: Algorithm - rehedge - Need to place order but already have a working order - workingQty is 1 working order count 1</t>
  </si>
  <si>
    <t>2014-12-5 11:40:43.102: OrderManager - UpdateOrderStatus - id 13 Setting status to Submitted workingOrderCount is now 1 workingQty 1</t>
  </si>
  <si>
    <t>2014-12-5 11:40:43.102: OrderManagerView - UpdateMainSheetOpenOrder - entering UpdateMainSheetOpenOrder order.status is Submitted</t>
  </si>
  <si>
    <t>2014-12-5 11:40:43.133: OrderManager - UpdateOrderStatus - id 13 Setting status to Submitted workingOrderCount is now 1 workingQty 1</t>
  </si>
  <si>
    <t>2014-12-5 11:40:43.133: OrderManagerView - UpdateMainSheetOpenOrder - entering UpdateMainSheetOpenOrder order.status is Submitted</t>
  </si>
  <si>
    <t>2014-12-5 11:40:43.149: DirectionIndicator - notify - price/longMA/ShortMA/prevDirection are 1.56845/1.56853303193733/1.56850293189519/-1</t>
  </si>
  <si>
    <t>2014-12-5 11:40:43.149: Algorithm - rehedge - rehedging 1 contracts</t>
  </si>
  <si>
    <t>2014-12-5 11:40:43.149: Algorithm - rehedge - Need to place order but already have a working order - workingQty is 1 working order count 1</t>
  </si>
  <si>
    <t>2014-12-5 11:40:43.211: TransitionLogger - updateExecution - got execution for localSymbol/avgPrice/cumQty 6BZ4/1.568533/3</t>
  </si>
  <si>
    <t>2014-12-5 11:40:43.227: TransitionLogger - updateExecution - got execution for localSymbol/avgPrice/cumQty 6BZ4/1.568533/3 cost is 3.29999999999497E-05</t>
  </si>
  <si>
    <t>2014-12-5 11:40:43.227: Algorithm - FindNextStrikes - price is 1.56845 nextStrikeUp/Down 1.57/1.565</t>
  </si>
  <si>
    <t>2014-12-5 11:40:43.227: Algorithm - getPortfolioForwardDelta - required deltas is 60 currentHedgePosition is 60</t>
  </si>
  <si>
    <t>2014-12-5 11:40:43.227: Algorithm - getHedgeShortfall - required deltas is 60 price is 1.56835 currentHedgePositionDeltas is 60</t>
  </si>
  <si>
    <t>2014-12-5 11:40:43.227: Algorithm - processTransitionPoint - nextUpper/LowerStrikes are 1.57/1.565 requiredDeltas/currentPosition/currentHedgeShortfall/direction/transitionPrice are 60/60/0/-1/1.56835</t>
  </si>
  <si>
    <t>2014-12-5 11:40:43.227: TransitionLogger - processTransitionpoint - checking transition - currentHedgeShortfall is 0</t>
  </si>
  <si>
    <t>2014-12-5 11:40:43.227: TransitionLogger - endingTransition - currentCost is 3.29999999999497E-05 multiplier is 62500</t>
  </si>
  <si>
    <t>2014-12-5 11:40:43.227: TransitionLogger - endTransition - ending a transition</t>
  </si>
  <si>
    <t>2014-12-5 11:40:43.227: OrderManager - updateExecution - got a fill for id 13 qty 1 side BOT price 1.5686 - new working order size is 0 new instrument.qty is 60</t>
  </si>
  <si>
    <t>2014-12-5 11:40:43.227: OrderManagerView - UpdateMainSheetOpenOrder - entering UpdateMainSheetOpenOrder order.status is Submitted</t>
  </si>
  <si>
    <t>0001f4e5.5480efa8.01.01</t>
  </si>
  <si>
    <t>20141205  11:40:41</t>
  </si>
  <si>
    <t>2014-12-5 11:40:43.227: OrderManagerView - UpdateExecutionView - entering updateExecutionView  executionId is 0001f4e5.5480efa8.01.01</t>
  </si>
  <si>
    <t>2014-12-5 11:40:43.227: OrderManagerView - updateExecutionView -  exiting UpdateExecutionView</t>
  </si>
  <si>
    <t>2014-12-5 11:40:43.258: OrderManager - UpdateOrderStatus - id 13 Setting status to Filled workingOrderCount is now 0 workingQty 0</t>
  </si>
  <si>
    <t>2014-12-5 11:40:43.258: OrderManagerView - UpdateMainSheetOpenOrder - entering UpdateMainSheetOpenOrder order.status is Filled</t>
  </si>
  <si>
    <t>2014-12-5 11:40:43.305: DirectionIndicator - notify - price/longMA/ShortMA/prevDirection are 1.5685/1.56852702613055/1.56850195459679/-1</t>
  </si>
  <si>
    <t>2014-12-5 11:40:43.398: OrderManager - UpdateOrderStatus - id 13 Setting status to Filled workingOrderCount is now 0 workingQty 0</t>
  </si>
  <si>
    <t>2014-12-5 11:40:43.398: OrderManagerView - UpdateMainSheetOpenOrder - entering UpdateMainSheetOpenOrder order.status is Filled</t>
  </si>
  <si>
    <t>2014-12-5 11:40:43.445: DirectionIndicator - notify - price/longMA/ShortMA/prevDirection are 1.56845/1.56851302137954/1.56848463639786/-1</t>
  </si>
  <si>
    <t>2014-12-5 11:40:44.802: Algorithm - FindNextStrikes - price is 1.56845 nextStrikeUp/Down 1.57/1.565</t>
  </si>
  <si>
    <t>2014-12-5 11:40:44.802: Algorithm - getPortfolioForwardDelta - required deltas is 60 currentHedgePosition is 60</t>
  </si>
  <si>
    <t>2014-12-5 11:40:44.802: Algorithm - getHedgeShortfall - required deltas is 60 price is 1.56835 currentHedgePositionDeltas is 60</t>
  </si>
  <si>
    <t>2014-12-5 11:40:44.802: Algorithm - processTransitionPoint - nextUpper/LowerStrikes are 1.57/1.565 requiredDeltas/currentPosition/currentHedgeShortfall/direction/transitionPrice are 60/60/0/-1/1.56835</t>
  </si>
  <si>
    <t>2014-12-5 11:40:44.802: TransitionLogger - processTransitionpoint - checking transition - currentHedgeShortfall is 0</t>
  </si>
  <si>
    <t>2014-12-5 11:40:44.802: Algorithm - updatePortfolio - haveAllDetails is True</t>
  </si>
  <si>
    <t>2014-12-5 11:40:49.30: DirectionIndicator - notify - price/longMA/ShortMA/prevDirection are 1.5685/1.56851065385598/1.56848975759857/-1</t>
  </si>
  <si>
    <t>2014-12-5 11:40:49.233: DirectionIndicator - notify - price/longMA/ShortMA/prevDirection are 1.56845/1.56849962588217/1.56847650506572/-1</t>
  </si>
  <si>
    <t>2014-12-5 11:40:49.467: DirectionIndicator - notify - price/longMA/ShortMA/prevDirection are 1.5685/1.56849969390359/1.56848433671048/-1</t>
  </si>
  <si>
    <t>2014-12-5 11:40:50.481: DirectionIndicator - notify - price/longMA/ShortMA/prevDirection are 1.56855/1.56850884046658/1.56850622447365/-1</t>
  </si>
  <si>
    <t>2014-12-5 11:40:59.799: Algorithm - FindNextStrikes - price is 1.56855 nextStrikeUp/Down 1.57/1.565</t>
  </si>
  <si>
    <t>2014-12-5 11:40:59.799: Algorithm - getPortfolioForwardDelta - required deltas is 60 currentHedgePosition is 60</t>
  </si>
  <si>
    <t>2014-12-5 11:40:59.799: Algorithm - getHedgeShortfall - required deltas is 60 price is 1.56845 currentHedgePositionDeltas is 60</t>
  </si>
  <si>
    <t>2014-12-5 11:40:59.799: Algorithm - processTransitionPoint - nextUpper/LowerStrikes are 1.57/1.565 requiredDeltas/currentPosition/currentHedgeShortfall/direction/transitionPrice are 60/60/0/-1/1.56845</t>
  </si>
  <si>
    <t>2014-12-5 11:40:59.799: TransitionLogger - processTransitionpoint - checking transition - currentHedgeShortfall is 0</t>
  </si>
  <si>
    <t>2014-12-5 11:40:59.799: Algorithm - updatePortfolio - haveAllDetails is True</t>
  </si>
  <si>
    <t>2014-12-5 11:40:59.924: DirectionIndicator - notify - price/longMA/ShortMA/prevDirection are 1.5686/1.5685254149272/1.56853748298243/-1</t>
  </si>
  <si>
    <t>2014-12-5 11:41:2.30: DirectionIndicator - notify - price/longMA/ShortMA/prevDirection are 1.56855/1.56852988494044/1.56854165532162/-1</t>
  </si>
  <si>
    <t>2014-12-5 11:41:2.732: DirectionIndicator - notify - price/longMA/ShortMA/prevDirection are 1.5686/1.56854263313308/1.56856110354775/-1</t>
  </si>
  <si>
    <t>2014-12-5 11:41:2.935: DirectionIndicator - notify - price/longMA/ShortMA/prevDirection are 1.56855/1.56854397256343/1.56855740236517/-1</t>
  </si>
  <si>
    <t>2014-12-5 11:41:4.12: TransitionLogger - flushFile - flushing file</t>
  </si>
  <si>
    <t>2014-12-5 11:41:4.12: TransitionLogger - openTransitionFile - opening file C:\temp\transitionlog_2014-12-05_113904</t>
  </si>
  <si>
    <t>2014-12-5 11:41:5.962: DirectionIndicator - notify - price/longMA/ShortMA/prevDirection are 1.5685/1.5685359775519/1.56853826824344/-1</t>
  </si>
  <si>
    <t>2014-12-5 11:41:6.695: DirectionIndicator - notify - price/longMA/ShortMA/prevDirection are 1.56845/1.56852034526974/1.56850884549563/-1</t>
  </si>
  <si>
    <t>2014-12-5 11:41:11.17: DirectionIndicator - notify - price/longMA/ShortMA/prevDirection are 1.5685/1.56851664612978/1.56850589699709/-1</t>
  </si>
  <si>
    <t>2014-12-5 11:41:11.329: DirectionIndicator - notify - price/longMA/ShortMA/prevDirection are 1.56845/1.56850452865164/1.56848726466472/-1</t>
  </si>
  <si>
    <t>2014-12-5 11:41:11.626: DirectionIndicator - notify - price/longMA/ShortMA/prevDirection are 1.5685/1.56850370526043/1.56849150977648/-1</t>
  </si>
  <si>
    <t>2014-12-5 11:41:13.123: DirectionIndicator - notify - price/longMA/ShortMA/prevDirection are 1.56845/1.56849394066763/1.56847767318432/-1</t>
  </si>
  <si>
    <t>2014-12-5 11:41:13.326: DirectionIndicator - notify - price/longMA/ShortMA/prevDirection are 1.5685/1.56849504236442/1.56848511545621/-1</t>
  </si>
  <si>
    <t>2014-12-5 11:41:13.576: DirectionIndicator - notify - price/longMA/ShortMA/prevDirection are 1.56845/1.56848685284362/1.56847341030414/-1</t>
  </si>
  <si>
    <t>2014-12-5 11:41:17.663: DirectionIndicator - notify - price/longMA/ShortMA/prevDirection are 1.5685/1.56848924323569/1.5684822735361/-1</t>
  </si>
  <si>
    <t>2014-12-5 11:41:22.218: DirectionIndicator - notify - price/longMA/ShortMA/prevDirection are 1.56845/1.56848210810193/1.56847151569073/-1</t>
  </si>
  <si>
    <t>2014-12-5 11:41:24.355: DirectionIndicator - notify - price/longMA/ShortMA/prevDirection are 1.5684/1.56846717935612/1.56844767712715/-1</t>
  </si>
  <si>
    <t>2014-12-5 11:41:25.73: DirectionIndicator - notify - price/longMA/ShortMA/prevDirection are 1.56845/1.56846405583683/1.5684484514181/-1</t>
  </si>
  <si>
    <t>2014-12-5 11:41:37.496: DirectionIndicator - notify - price/longMA/ShortMA/prevDirection are 1.5684/1.56845240932104/1.5684323009454/-1</t>
  </si>
  <si>
    <t>2014-12-5 11:41:37.527: DirectionIndicator - notify - price/longMA/ShortMA/prevDirection are 1.56835/1.56843378944449/1.56840486729693/-1</t>
  </si>
  <si>
    <t>2014-12-5 11:41:42.441: DirectionIndicator - notify - price/longMA/ShortMA/prevDirection are 1.5683/1.56840946409094/1.56836991153129/-1</t>
  </si>
  <si>
    <t>2014-12-5 11:41:42.503: DirectionIndicator - notify - price/longMA/ShortMA/prevDirection are 1.56825/1.56838047061986/1.56832994102086/-1</t>
  </si>
  <si>
    <t>2014-12-5 11:41:42.784: DirectionIndicator - notify - price/longMA/ShortMA/prevDirection are 1.5683/1.56836583959807/1.56831996068057/-1</t>
  </si>
  <si>
    <t>2014-12-5 11:41:42.909: DirectionIndicator - notify - price/longMA/ShortMA/prevDirection are 1.56825/1.56834477785297/1.56829664045372/-1</t>
  </si>
  <si>
    <t>2014-12-5 11:41:43.268: DirectionIndicator - notify - price/longMA/ShortMA/prevDirection are 1.5683/1.56833663642515/1.56829776030248/-1</t>
  </si>
  <si>
    <t>2014-12-5 11:41:45.389: DirectionIndicator - notify - price/longMA/ShortMA/prevDirection are 1.56825/1.56832088434785/1.56828184020165/-1</t>
  </si>
  <si>
    <t>2014-12-5 11:41:48.603: DirectionIndicator - notify - price/longMA/ShortMA/prevDirection are 1.5682/1.56829890537552/1.56825456013443/-1</t>
  </si>
  <si>
    <t>2014-12-5 11:41:49.882: DirectionIndicator - notify - price/longMA/ShortMA/prevDirection are 1.56815/1.56827183167088/1.56821970675629/-1</t>
  </si>
  <si>
    <t>2014-12-5 11:41:50.303: DirectionIndicator - notify - price/longMA/ShortMA/prevDirection are 1.5682/1.56825877136708/1.56821313783753/-1</t>
  </si>
  <si>
    <t>2014-12-5 11:41:54.362: DirectionIndicator - notify - price/longMA/ShortMA/prevDirection are 1.56825/1.56825717657307/1.56822542522502/-1</t>
  </si>
  <si>
    <t>2014-12-5 11:41:55.17: DirectionIndicator - notify - price/longMA/ShortMA/prevDirection are 1.5683/1.56826496265069/1.56825028348335/-1</t>
  </si>
  <si>
    <t>2014-12-5 11:41:55.267: DirectionIndicator - notify - price/longMA/ShortMA/prevDirection are 1.56835/1.56828042398693/1.56828352232223/-1</t>
  </si>
  <si>
    <t>2014-12-5 11:41:56.359: DirectionIndicator - notify - price/longMA/ShortMA/prevDirection are 1.5683/1.56828398326203/1.56828901488149/-1</t>
  </si>
  <si>
    <t>2014-12-5 11:41:56.468: DirectionIndicator - notify - price/longMA/ShortMA/prevDirection are 1.56835/1.5682959863053/1.56830934325432/-1</t>
  </si>
  <si>
    <t>2014-12-5 11:41:56.655: DirectionIndicator - notify - price/longMA/ShortMA/prevDirection are 1.5683/1.56829671606797/1.56830622883622/-1</t>
  </si>
  <si>
    <t>2014-12-5 11:41:59.870: DirectionIndicator - notify - price/longMA/ShortMA/prevDirection are 1.56825/1.56828822223743/1.56828748589081/-1</t>
  </si>
  <si>
    <t>2014-12-5 11:42:0.307: DirectionIndicator - notify - price/longMA/ShortMA/prevDirection are 1.5683/1.56829036364881/1.56829165726054/-1</t>
  </si>
  <si>
    <t>2014-12-5 11:42:0.510: DirectionIndicator - notify - price/longMA/ShortMA/prevDirection are 1.56835/1.56830120662175/1.56831110484036/-1</t>
  </si>
  <si>
    <t>2014-12-5 11:42:2.740: DirectionIndicator - notify - price/longMA/ShortMA/prevDirection are 1.5684/1.56831916905416/1.56834073656024/-1</t>
  </si>
  <si>
    <t>2014-12-5 11:42:2.834: DirectionIndicator - notify - price/longMA/ShortMA/prevDirection are 1.56845/1.56834295649886/1.56837715770683/1</t>
  </si>
  <si>
    <t>2014-12-5 11:42:4.37: TransitionLogger - flushFile - flushing file</t>
  </si>
  <si>
    <t>2014-12-5 11:42:4.37: TransitionLogger - openTransitionFile - opening file C:\temp\transitionlog_2014-12-05_113904</t>
  </si>
  <si>
    <t>2014-12-5 11:42:5.519: DirectionIndicator - notify - price/longMA/ShortMA/prevDirection are 1.5685/1.5683715098627/1.56841810513788/1</t>
  </si>
  <si>
    <t>2014-12-5 11:42:5.613: DirectionIndicator - notify - price/longMA/ShortMA/prevDirection are 1.56845/1.56838578079676/1.56842873675859/1</t>
  </si>
  <si>
    <t>2014-12-5 11:42:6.613: DirectionIndicator - notify - price/longMA/ShortMA/prevDirection are 1.5684/1.56838836610644/1.56841915783906/1</t>
  </si>
  <si>
    <t>2014-12-5 11:42:6.785: DirectionIndicator - notify - price/longMA/ShortMA/prevDirection are 1.56845/1.5683995722689/1.56842943855937/1</t>
  </si>
  <si>
    <t>2014-12-5 11:42:6.972: DirectionIndicator - notify - price/longMA/ShortMA/prevDirection are 1.5684/1.56839965003819/1.56841962570625/1</t>
  </si>
  <si>
    <t>2014-12-5 11:42:7.66: DirectionIndicator - notify - price/longMA/ShortMA/prevDirection are 1.56845/1.5684088045767/1.56842975047083/1</t>
  </si>
  <si>
    <t>2014-12-5 11:42:7.690: DirectionIndicator - notify - price/longMA/ShortMA/prevDirection are 1.5684/1.56840720374458/1.56841983364722/1</t>
  </si>
  <si>
    <t>2014-12-5 11:42:7.721: DirectionIndicator - notify - price/longMA/ShortMA/prevDirection are 1.56835/1.56839680306374/1.56839655576481/1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</si>
</sst>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171" fontId="12" fillId="0" borderId="0" xfId="0" applyNumberFormat="1" applyFont="1"/>
    <xf numFmtId="0" fontId="12" fillId="0" borderId="0" xfId="0" applyFont="1" applyAlignment="1">
      <alignment wrapText="1"/>
    </xf>
    <xf numFmtId="165" fontId="13" fillId="0" borderId="0" xfId="0" applyNumberFormat="1" applyFont="1"/>
    <xf numFmtId="173" fontId="13" fillId="0" borderId="0" xfId="0" applyNumberFormat="1" applyFont="1"/>
    <xf numFmtId="0" fontId="13" fillId="0" borderId="0" xfId="0" quotePrefix="1" applyFont="1" applyAlignment="1">
      <alignment horizontal="left"/>
    </xf>
    <xf numFmtId="171" fontId="13" fillId="0" borderId="0" xfId="0" quotePrefix="1" applyNumberFormat="1" applyFont="1" applyAlignment="1">
      <alignment horizontal="left"/>
    </xf>
    <xf numFmtId="0" fontId="17" fillId="0" borderId="0" xfId="0" applyFont="1" applyAlignment="1">
      <alignment wrapText="1"/>
    </xf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173" fontId="17" fillId="0" borderId="0" xfId="0" applyNumberFormat="1" applyFont="1" applyAlignment="1">
      <alignment wrapText="1"/>
    </xf>
    <xf numFmtId="1" fontId="17" fillId="10" borderId="0" xfId="0" applyNumberFormat="1" applyFont="1" applyFill="1" applyAlignment="1">
      <alignment wrapText="1"/>
    </xf>
    <xf numFmtId="165" fontId="12" fillId="0" borderId="0" xfId="0" applyNumberFormat="1" applyFont="1"/>
    <xf numFmtId="169" fontId="12" fillId="0" borderId="0" xfId="0" applyNumberFormat="1" applyFont="1"/>
    <xf numFmtId="2" fontId="12" fillId="0" borderId="0" xfId="0" applyNumberFormat="1" applyFont="1"/>
    <xf numFmtId="0" fontId="18" fillId="11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171" fontId="13" fillId="0" borderId="0" xfId="0" applyNumberFormat="1" applyFont="1"/>
    <xf numFmtId="1" fontId="12" fillId="0" borderId="0" xfId="0" applyNumberFormat="1" applyFont="1"/>
    <xf numFmtId="0" fontId="3" fillId="12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11" fillId="9" borderId="0" xfId="0" applyFont="1" applyFill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0</xdr:row>
          <xdr:rowOff>257175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904875</xdr:colOff>
          <xdr:row>0</xdr:row>
          <xdr:rowOff>352425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4</xdr:col>
          <xdr:colOff>666750</xdr:colOff>
          <xdr:row>0</xdr:row>
          <xdr:rowOff>352425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9525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257175</xdr:colOff>
          <xdr:row>0</xdr:row>
          <xdr:rowOff>352425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0</xdr:row>
          <xdr:rowOff>342900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Q1003"/>
  <sheetViews>
    <sheetView tabSelected="1" topLeftCell="A37" zoomScaleNormal="100" workbookViewId="0">
      <selection activeCell="C63" sqref="C63"/>
    </sheetView>
  </sheetViews>
  <sheetFormatPr defaultRowHeight="15" x14ac:dyDescent="0.25"/>
  <cols>
    <col min="1" max="1" width="17.7109375" customWidth="1"/>
    <col min="2" max="2" width="7.7109375" customWidth="1"/>
    <col min="3" max="3" width="25.42578125" customWidth="1"/>
    <col min="4" max="4" width="20.425781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ht="93" x14ac:dyDescent="0.35">
      <c r="Y1" s="36" t="s">
        <v>108</v>
      </c>
      <c r="Z1" s="36" t="s">
        <v>109</v>
      </c>
      <c r="AA1" s="36" t="s">
        <v>110</v>
      </c>
      <c r="AB1" s="36" t="s">
        <v>112</v>
      </c>
      <c r="AC1" s="52" t="s">
        <v>113</v>
      </c>
      <c r="AD1" s="52" t="s">
        <v>114</v>
      </c>
      <c r="AE1" s="52" t="s">
        <v>123</v>
      </c>
    </row>
    <row r="2" spans="1:32" ht="23.25" x14ac:dyDescent="0.35">
      <c r="Y2" s="63">
        <f>SUM(AE41:AE61)+J27</f>
        <v>16.220636946368337</v>
      </c>
      <c r="Z2" s="64">
        <f>SUM(AJ41:AJ61)</f>
        <v>-2696.3828330209121</v>
      </c>
      <c r="AA2" s="62">
        <f>SUM(AG41:AG61)</f>
        <v>0.31007767239103606</v>
      </c>
      <c r="AB2" s="51">
        <f>AA2*62500</f>
        <v>19379.854524439754</v>
      </c>
      <c r="AC2" s="65">
        <v>1</v>
      </c>
      <c r="AD2" s="51">
        <f>-1*AC2*AE2</f>
        <v>-8124.999999999699</v>
      </c>
      <c r="AE2" s="71">
        <f>AQ39</f>
        <v>8124.999999999699</v>
      </c>
    </row>
    <row r="3" spans="1:32" ht="21" x14ac:dyDescent="0.35">
      <c r="Y3" s="57" t="s">
        <v>135</v>
      </c>
      <c r="Z3" s="61">
        <f>ticksUpToLoss(AD2,Y2,Z2)</f>
        <v>175.31524364385052</v>
      </c>
      <c r="AA3" s="61">
        <f>ticksDownToLoss(AD2,Y2,Z2)</f>
        <v>-55.001193667531489</v>
      </c>
      <c r="AD3" s="53"/>
      <c r="AE3" s="55"/>
    </row>
    <row r="4" spans="1:32" ht="63" x14ac:dyDescent="0.35">
      <c r="Y4" s="57" t="s">
        <v>136</v>
      </c>
      <c r="Z4" s="60">
        <f>Y2+Z2*(Z3*0.0001)</f>
        <v>-31.051064386447379</v>
      </c>
      <c r="AA4" s="60">
        <f>Y2+Z2*(AA3*0.0001)</f>
        <v>31.051064386447379</v>
      </c>
      <c r="AD4" s="54"/>
      <c r="AE4" s="56"/>
    </row>
    <row r="5" spans="1:32" ht="23.25" x14ac:dyDescent="0.35">
      <c r="A5" s="82" t="s">
        <v>14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Y5" s="36" t="s">
        <v>137</v>
      </c>
      <c r="Z5" s="36"/>
      <c r="AA5" s="36"/>
      <c r="AF5" s="40"/>
    </row>
    <row r="6" spans="1:32" ht="23.25" x14ac:dyDescent="0.35">
      <c r="A6" s="93" t="s">
        <v>127</v>
      </c>
      <c r="B6" s="93"/>
      <c r="C6" s="93" t="s">
        <v>128</v>
      </c>
      <c r="D6" s="93"/>
      <c r="E6" s="93" t="s">
        <v>129</v>
      </c>
      <c r="F6" s="93"/>
      <c r="G6" s="93" t="s">
        <v>130</v>
      </c>
      <c r="H6" s="93"/>
      <c r="I6" s="93" t="s">
        <v>131</v>
      </c>
      <c r="J6" s="93"/>
      <c r="K6" s="93" t="s">
        <v>132</v>
      </c>
      <c r="L6" s="93"/>
      <c r="M6" s="93" t="s">
        <v>133</v>
      </c>
      <c r="N6" s="93"/>
      <c r="O6" s="93"/>
      <c r="P6" s="93"/>
      <c r="Q6" s="93"/>
      <c r="R6" s="93"/>
      <c r="S6" s="93"/>
      <c r="T6" s="93"/>
      <c r="U6" s="83"/>
      <c r="V6" s="83"/>
      <c r="W6" s="83"/>
      <c r="Y6" s="36" t="s">
        <v>139</v>
      </c>
      <c r="Z6" s="62">
        <f>$X$27+Z3/10000</f>
        <v>1.5858815243643851</v>
      </c>
      <c r="AA6" s="72">
        <f>ROUND(-Z4,0)</f>
        <v>31</v>
      </c>
      <c r="AF6" s="40"/>
    </row>
    <row r="7" spans="1:32" ht="23.25" x14ac:dyDescent="0.35">
      <c r="A7" s="94" t="s">
        <v>134</v>
      </c>
      <c r="B7" s="94"/>
      <c r="C7" s="94">
        <v>7497</v>
      </c>
      <c r="D7" s="94"/>
      <c r="E7" s="94">
        <v>6</v>
      </c>
      <c r="F7" s="94"/>
      <c r="G7" s="94">
        <v>5</v>
      </c>
      <c r="H7" s="94"/>
      <c r="I7" s="95">
        <v>0.96388888888888891</v>
      </c>
      <c r="J7" s="96"/>
      <c r="K7" s="97" t="s">
        <v>193</v>
      </c>
      <c r="L7" s="98"/>
      <c r="M7" s="99"/>
      <c r="N7" s="100"/>
      <c r="O7" s="99"/>
      <c r="P7" s="100"/>
      <c r="Q7" s="99"/>
      <c r="R7" s="100"/>
      <c r="S7" s="99"/>
      <c r="T7" s="100"/>
      <c r="U7" s="84"/>
      <c r="V7" s="85"/>
      <c r="W7" s="85"/>
      <c r="Y7" s="36" t="s">
        <v>149</v>
      </c>
      <c r="Z7" s="62">
        <f>$X$27+AA3/10000</f>
        <v>1.5628498806332469</v>
      </c>
      <c r="AA7" s="72">
        <f>ROUND(-AA4,0)</f>
        <v>-31</v>
      </c>
      <c r="AB7" s="43"/>
      <c r="AF7" s="40"/>
    </row>
    <row r="11" spans="1:32" ht="23.25" x14ac:dyDescent="0.35">
      <c r="A11" s="17" t="s">
        <v>138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3"/>
    </row>
    <row r="12" spans="1:32" ht="23.25" x14ac:dyDescent="0.35">
      <c r="A12" s="101" t="s">
        <v>140</v>
      </c>
      <c r="B12" s="101"/>
      <c r="C12" s="101" t="s">
        <v>141</v>
      </c>
      <c r="D12" s="101"/>
      <c r="E12" s="87" t="s">
        <v>142</v>
      </c>
      <c r="F12" s="87"/>
      <c r="G12" s="101" t="s">
        <v>143</v>
      </c>
      <c r="H12" s="101"/>
      <c r="I12" s="101" t="s">
        <v>144</v>
      </c>
      <c r="J12" s="101"/>
      <c r="K12" s="93" t="s">
        <v>145</v>
      </c>
      <c r="L12" s="93"/>
      <c r="M12" s="93" t="s">
        <v>146</v>
      </c>
      <c r="N12" s="93"/>
      <c r="O12" s="83" t="s">
        <v>147</v>
      </c>
      <c r="P12" s="83"/>
      <c r="Q12" s="83" t="s">
        <v>148</v>
      </c>
      <c r="R12" s="83"/>
      <c r="S12" s="83"/>
      <c r="T12" s="83"/>
      <c r="U12" s="83"/>
      <c r="V12" s="83"/>
      <c r="W12" s="83"/>
      <c r="AB12" s="43"/>
    </row>
    <row r="13" spans="1:32" ht="23.25" x14ac:dyDescent="0.35">
      <c r="A13" s="5">
        <v>1197586.6100000001</v>
      </c>
      <c r="B13" s="3"/>
      <c r="C13" s="5">
        <v>150960.87</v>
      </c>
      <c r="D13" s="3"/>
      <c r="E13" s="5">
        <v>132140.87</v>
      </c>
      <c r="F13" s="5"/>
      <c r="G13" s="5">
        <v>1046625.74</v>
      </c>
      <c r="H13" s="5"/>
      <c r="I13" s="5">
        <v>-1528</v>
      </c>
      <c r="J13" s="5"/>
      <c r="K13" s="6">
        <v>0</v>
      </c>
      <c r="L13" s="4"/>
      <c r="M13" s="84" t="s">
        <v>194</v>
      </c>
      <c r="N13" s="85"/>
      <c r="O13" s="84" t="b">
        <v>1</v>
      </c>
      <c r="P13" s="85"/>
      <c r="Q13" s="88"/>
      <c r="R13" s="89"/>
      <c r="S13" s="84"/>
      <c r="T13" s="85"/>
      <c r="U13" s="84"/>
      <c r="V13" s="85"/>
      <c r="W13" s="85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102" t="s">
        <v>150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Y19" s="43"/>
      <c r="Z19" s="43"/>
      <c r="AA19" s="43"/>
      <c r="AB19" s="43"/>
    </row>
    <row r="20" spans="1:37" s="11" customFormat="1" ht="46.5" x14ac:dyDescent="0.35">
      <c r="A20" s="10" t="s">
        <v>151</v>
      </c>
      <c r="B20" s="10" t="s">
        <v>152</v>
      </c>
      <c r="C20" s="10"/>
      <c r="D20" s="10"/>
      <c r="E20" s="10" t="s">
        <v>153</v>
      </c>
      <c r="F20" s="10"/>
      <c r="G20" s="10" t="s">
        <v>154</v>
      </c>
      <c r="H20" s="10" t="s">
        <v>155</v>
      </c>
      <c r="I20" s="10" t="s">
        <v>156</v>
      </c>
      <c r="J20" s="10"/>
      <c r="K20" s="10" t="s">
        <v>157</v>
      </c>
      <c r="L20" s="10"/>
      <c r="M20" s="10" t="s">
        <v>158</v>
      </c>
      <c r="N20" s="10" t="s">
        <v>159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94">
        <v>5</v>
      </c>
      <c r="F21" s="94"/>
      <c r="G21" s="86">
        <v>5</v>
      </c>
      <c r="H21" s="86">
        <v>10</v>
      </c>
      <c r="I21" s="86">
        <v>0.2</v>
      </c>
      <c r="J21" s="86"/>
      <c r="K21" s="99">
        <v>8</v>
      </c>
      <c r="L21" s="100"/>
      <c r="M21" s="84">
        <v>1</v>
      </c>
      <c r="N21" s="85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160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50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 t="s">
        <v>2</v>
      </c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161</v>
      </c>
      <c r="Q26" s="10"/>
      <c r="R26" s="10" t="s">
        <v>162</v>
      </c>
      <c r="S26" s="10" t="s">
        <v>163</v>
      </c>
      <c r="T26" s="10" t="s">
        <v>164</v>
      </c>
      <c r="U26" s="10" t="s">
        <v>165</v>
      </c>
      <c r="V26" s="10" t="s">
        <v>166</v>
      </c>
      <c r="W26" s="10"/>
      <c r="X26" s="11" t="s">
        <v>167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86" t="s">
        <v>15</v>
      </c>
      <c r="B27" s="86" t="s">
        <v>24</v>
      </c>
      <c r="C27" s="86">
        <v>20141215</v>
      </c>
      <c r="D27" s="86">
        <v>62500</v>
      </c>
      <c r="E27" s="86"/>
      <c r="F27" s="86" t="s">
        <v>17</v>
      </c>
      <c r="G27" s="86" t="s">
        <v>16</v>
      </c>
      <c r="H27" s="86" t="s">
        <v>168</v>
      </c>
      <c r="I27" s="86" t="s">
        <v>25</v>
      </c>
      <c r="J27" s="86">
        <v>60</v>
      </c>
      <c r="K27" s="86">
        <v>1.5684</v>
      </c>
      <c r="L27" s="86"/>
      <c r="M27" s="86">
        <v>5</v>
      </c>
      <c r="N27" s="86">
        <v>1.5683</v>
      </c>
      <c r="O27" s="86">
        <v>1.5684</v>
      </c>
      <c r="P27" s="86">
        <v>9</v>
      </c>
      <c r="Q27" s="86"/>
      <c r="R27" s="86">
        <v>1.5685500000000001</v>
      </c>
      <c r="S27" s="86">
        <v>5882062.46</v>
      </c>
      <c r="T27" s="86">
        <v>98046.21</v>
      </c>
      <c r="U27" s="86">
        <v>-710.14</v>
      </c>
      <c r="V27" s="86">
        <v>0</v>
      </c>
      <c r="W27" s="86"/>
      <c r="X27">
        <f>(N27+O27)/2</f>
        <v>1.5683500000000001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104" t="s">
        <v>169</v>
      </c>
      <c r="D29" s="105"/>
      <c r="E29" s="12">
        <v>1.5649999999999999</v>
      </c>
      <c r="F29" s="12"/>
      <c r="G29" s="105" t="s">
        <v>170</v>
      </c>
      <c r="H29" s="105"/>
      <c r="I29" s="12">
        <v>1.57</v>
      </c>
      <c r="J29" s="12"/>
      <c r="K29" s="105" t="s">
        <v>171</v>
      </c>
      <c r="L29" s="105"/>
      <c r="M29" s="12">
        <v>60</v>
      </c>
      <c r="N29" s="13"/>
      <c r="O29" s="105" t="s">
        <v>172</v>
      </c>
      <c r="P29" s="105"/>
      <c r="Q29" s="34">
        <v>1.5683965557648145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104" t="s">
        <v>173</v>
      </c>
      <c r="D30" s="105"/>
      <c r="E30" s="12">
        <v>34</v>
      </c>
      <c r="F30" s="12"/>
      <c r="G30" s="105" t="s">
        <v>174</v>
      </c>
      <c r="H30" s="105"/>
      <c r="I30" s="12">
        <v>16</v>
      </c>
      <c r="J30" s="12"/>
      <c r="K30" s="105" t="s">
        <v>175</v>
      </c>
      <c r="L30" s="105"/>
      <c r="M30" s="12">
        <v>60</v>
      </c>
      <c r="N30" s="13"/>
      <c r="O30" s="105" t="s">
        <v>176</v>
      </c>
      <c r="P30" s="105"/>
      <c r="Q30" s="34">
        <v>1.5683968030637438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104" t="s">
        <v>177</v>
      </c>
      <c r="D31" s="105"/>
      <c r="E31" s="12">
        <v>33</v>
      </c>
      <c r="F31" s="12"/>
      <c r="G31" s="105" t="s">
        <v>178</v>
      </c>
      <c r="H31" s="105"/>
      <c r="I31" s="12">
        <v>15</v>
      </c>
      <c r="J31" s="12"/>
      <c r="K31" s="105" t="s">
        <v>179</v>
      </c>
      <c r="L31" s="105"/>
      <c r="M31" s="12">
        <v>0</v>
      </c>
      <c r="N31" s="13"/>
      <c r="O31" s="105" t="s">
        <v>99</v>
      </c>
      <c r="P31" s="105"/>
      <c r="Q31" s="12">
        <v>1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117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3"/>
      <c r="O32" s="112"/>
      <c r="P32" s="112"/>
      <c r="Q32" s="112"/>
      <c r="R32" s="113"/>
      <c r="S32" s="112"/>
      <c r="T32" s="113"/>
      <c r="U32" s="112"/>
      <c r="V32" s="113"/>
      <c r="W32" s="28"/>
      <c r="Y32" s="41"/>
      <c r="Z32" s="41"/>
      <c r="AA32" s="41"/>
      <c r="AB32" s="41"/>
      <c r="AC32" s="41"/>
      <c r="AD32" s="41"/>
      <c r="AE32" s="41"/>
      <c r="AI32" s="49"/>
    </row>
    <row r="33" spans="1:43" ht="18.75" x14ac:dyDescent="0.3">
      <c r="Y33" s="41"/>
      <c r="Z33" s="41"/>
      <c r="AA33" s="41"/>
      <c r="AB33" s="41"/>
      <c r="AC33" s="41"/>
      <c r="AD33" s="41"/>
      <c r="AE33" s="41"/>
    </row>
    <row r="34" spans="1:43" ht="3" customHeight="1" x14ac:dyDescent="0.3">
      <c r="A34" s="17" t="s">
        <v>180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47"/>
      <c r="Z34" s="47"/>
      <c r="AA34" s="47"/>
      <c r="AB34" s="41"/>
      <c r="AC34" s="41"/>
      <c r="AD34" s="41"/>
      <c r="AE34" s="41"/>
    </row>
    <row r="35" spans="1:43" s="11" customFormat="1" ht="39" customHeight="1" x14ac:dyDescent="0.3">
      <c r="A35" s="114" t="s">
        <v>26</v>
      </c>
      <c r="B35" s="115"/>
      <c r="C35" s="115"/>
      <c r="D35" s="115" t="s">
        <v>27</v>
      </c>
      <c r="E35" s="115"/>
      <c r="F35" s="115"/>
      <c r="G35" s="115"/>
      <c r="H35" s="20"/>
      <c r="I35" s="115" t="s">
        <v>28</v>
      </c>
      <c r="J35" s="115"/>
      <c r="K35" s="115"/>
      <c r="L35" s="115"/>
      <c r="M35" s="115"/>
      <c r="N35" s="20"/>
      <c r="O35" s="115" t="s">
        <v>181</v>
      </c>
      <c r="P35" s="115"/>
      <c r="Q35" s="116"/>
      <c r="Y35" s="48"/>
      <c r="Z35" s="42"/>
      <c r="AA35" s="42"/>
      <c r="AE35" s="42"/>
    </row>
    <row r="36" spans="1:4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182</v>
      </c>
      <c r="O36" s="1" t="s">
        <v>183</v>
      </c>
      <c r="P36" s="1" t="s">
        <v>184</v>
      </c>
      <c r="Q36" s="1" t="s">
        <v>185</v>
      </c>
      <c r="Y36" s="58"/>
      <c r="Z36" s="59"/>
      <c r="AA36" s="59"/>
      <c r="AE36" s="42"/>
    </row>
    <row r="37" spans="1:4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41"/>
      <c r="Z37" s="41"/>
      <c r="AA37" s="41"/>
      <c r="AB37" s="41"/>
      <c r="AC37" s="41"/>
      <c r="AD37" s="41"/>
      <c r="AE37" s="41"/>
    </row>
    <row r="39" spans="1:43" x14ac:dyDescent="0.25">
      <c r="A39" s="102" t="s">
        <v>13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2"/>
      <c r="V39" s="103"/>
      <c r="W39" s="103"/>
      <c r="X39" s="118" t="s">
        <v>101</v>
      </c>
      <c r="Y39" s="118"/>
      <c r="Z39" s="118"/>
      <c r="AA39" s="118"/>
      <c r="AB39" s="118"/>
      <c r="AC39" s="118"/>
      <c r="AD39" s="118"/>
      <c r="AE39" s="118" t="s">
        <v>111</v>
      </c>
      <c r="AF39" s="118"/>
      <c r="AG39" s="118"/>
      <c r="AQ39" s="67">
        <f>SUM(AP41:AP61)</f>
        <v>8124.999999999699</v>
      </c>
    </row>
    <row r="40" spans="1:43" ht="45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1" t="s">
        <v>8</v>
      </c>
      <c r="J40" s="1" t="s">
        <v>9</v>
      </c>
      <c r="K40" s="1" t="s">
        <v>10</v>
      </c>
      <c r="L40" s="1" t="s">
        <v>11</v>
      </c>
      <c r="M40" s="1" t="s">
        <v>186</v>
      </c>
      <c r="N40" s="1" t="s">
        <v>163</v>
      </c>
      <c r="O40" s="1" t="s">
        <v>164</v>
      </c>
      <c r="P40" s="1" t="s">
        <v>187</v>
      </c>
      <c r="Q40" s="1" t="s">
        <v>188</v>
      </c>
      <c r="R40" s="83" t="s">
        <v>19</v>
      </c>
      <c r="S40" s="83" t="s">
        <v>21</v>
      </c>
      <c r="T40" s="83" t="s">
        <v>22</v>
      </c>
      <c r="U40" s="83" t="s">
        <v>18</v>
      </c>
      <c r="V40" s="83" t="s">
        <v>20</v>
      </c>
      <c r="W40" s="83" t="s">
        <v>23</v>
      </c>
      <c r="X40" s="35" t="s">
        <v>45</v>
      </c>
      <c r="Y40" s="35" t="s">
        <v>102</v>
      </c>
      <c r="Z40" s="35" t="s">
        <v>103</v>
      </c>
      <c r="AA40" s="35" t="s">
        <v>104</v>
      </c>
      <c r="AB40" s="35" t="s">
        <v>105</v>
      </c>
      <c r="AC40" s="35" t="s">
        <v>106</v>
      </c>
      <c r="AD40" s="35" t="s">
        <v>107</v>
      </c>
      <c r="AE40" s="35" t="s">
        <v>103</v>
      </c>
      <c r="AF40" s="35" t="s">
        <v>104</v>
      </c>
      <c r="AG40" s="35" t="s">
        <v>105</v>
      </c>
      <c r="AI40" s="39" t="s">
        <v>115</v>
      </c>
      <c r="AJ40" s="39" t="s">
        <v>116</v>
      </c>
      <c r="AK40" s="39" t="s">
        <v>117</v>
      </c>
      <c r="AL40" s="39" t="s">
        <v>122</v>
      </c>
      <c r="AM40" s="69" t="s">
        <v>121</v>
      </c>
      <c r="AN40" s="69" t="s">
        <v>118</v>
      </c>
      <c r="AO40" s="69" t="s">
        <v>119</v>
      </c>
      <c r="AP40" s="69" t="s">
        <v>120</v>
      </c>
    </row>
    <row r="41" spans="1:43" x14ac:dyDescent="0.25">
      <c r="A41" s="2" t="s">
        <v>15</v>
      </c>
      <c r="B41" s="2" t="s">
        <v>58</v>
      </c>
      <c r="C41" s="2">
        <v>20141205</v>
      </c>
      <c r="D41" s="2">
        <v>1.5649999999999999</v>
      </c>
      <c r="E41" s="2" t="s">
        <v>60</v>
      </c>
      <c r="F41" s="2">
        <v>62500</v>
      </c>
      <c r="G41" s="2"/>
      <c r="H41" s="2" t="s">
        <v>17</v>
      </c>
      <c r="I41" s="2" t="s">
        <v>16</v>
      </c>
      <c r="J41" s="2" t="s">
        <v>196</v>
      </c>
      <c r="K41" s="2" t="s">
        <v>25</v>
      </c>
      <c r="L41" s="2">
        <v>-60</v>
      </c>
      <c r="M41" s="2">
        <v>5.4003000000000002E-3</v>
      </c>
      <c r="N41" s="2">
        <v>-20251.099999999999</v>
      </c>
      <c r="O41" s="2">
        <v>310.85666665000002</v>
      </c>
      <c r="P41" s="30">
        <v>-1599.7</v>
      </c>
      <c r="Q41" s="2">
        <v>0</v>
      </c>
      <c r="R41" s="2">
        <v>4.1000000000000003E-3</v>
      </c>
      <c r="S41" s="2"/>
      <c r="T41" s="2">
        <v>5</v>
      </c>
      <c r="U41" s="2">
        <v>4.8999999999999998E-3</v>
      </c>
      <c r="V41" s="2">
        <v>5.3E-3</v>
      </c>
      <c r="W41" s="2">
        <v>5</v>
      </c>
      <c r="X41" s="2" t="s">
        <v>189</v>
      </c>
      <c r="Y41" s="2">
        <v>0.1721413159159198</v>
      </c>
      <c r="Z41" s="2">
        <v>0.65966990913995549</v>
      </c>
      <c r="AA41" s="2">
        <v>0</v>
      </c>
      <c r="AB41" s="37">
        <v>-4.425440718427355E-3</v>
      </c>
      <c r="AC41" s="2">
        <v>1.7671903279690895E-4</v>
      </c>
      <c r="AD41" s="2">
        <v>1.5684</v>
      </c>
      <c r="AE41" s="2">
        <f t="shared" ref="AE41:AE61" si="0">Z41*L41</f>
        <v>-39.58019454839733</v>
      </c>
      <c r="AF41" s="2">
        <v>1.5804</v>
      </c>
      <c r="AG41" s="2">
        <f t="shared" ref="AG41:AG61" si="1">AB41*L41</f>
        <v>0.26552644310564133</v>
      </c>
      <c r="AH41">
        <v>-0.79190495422144758</v>
      </c>
      <c r="AI41">
        <f>BSGamma($X$27,D41,C41,0.001,Y41)</f>
        <v>37.933222097241902</v>
      </c>
      <c r="AJ41">
        <f>IF(ISERR(AI41),0,AI41*L41)</f>
        <v>-2275.9933258345141</v>
      </c>
      <c r="AK41">
        <f>IF(AJ41 = 0,0,(AG41*-10000)/AJ41)</f>
        <v>1.1666398143249546</v>
      </c>
      <c r="AL41" s="70">
        <f t="shared" ref="AL41:AL50" si="2">IF(U41=-1,V30/2,(U41+V41)/2)* 10000</f>
        <v>51.000000000000007</v>
      </c>
      <c r="AM41">
        <f t="shared" ref="AM41:AM61" si="3">IF(E41="C",MAX(0,$N$27-D41),MAX(0,D41-$N$27))*10000</f>
        <v>33.00000000000081</v>
      </c>
      <c r="AN41" s="68">
        <f>MAX(0,AL41-AM41)</f>
        <v>17.999999999999197</v>
      </c>
      <c r="AO41" s="68">
        <f t="shared" ref="AO41:AO61" si="4">-AN41*L41</f>
        <v>1079.9999999999518</v>
      </c>
      <c r="AP41" s="67">
        <f t="shared" ref="AP41:AP49" si="5">MAX(0,AO41*6.25)</f>
        <v>6749.999999999699</v>
      </c>
    </row>
    <row r="42" spans="1:43" x14ac:dyDescent="0.25">
      <c r="A42" s="2" t="s">
        <v>15</v>
      </c>
      <c r="B42" s="2" t="s">
        <v>58</v>
      </c>
      <c r="C42" s="2">
        <v>20141205</v>
      </c>
      <c r="D42" s="2">
        <v>1.57</v>
      </c>
      <c r="E42" s="2" t="s">
        <v>60</v>
      </c>
      <c r="F42" s="2">
        <v>62500</v>
      </c>
      <c r="G42" s="2"/>
      <c r="H42" s="2" t="s">
        <v>17</v>
      </c>
      <c r="I42" s="2" t="s">
        <v>16</v>
      </c>
      <c r="J42" s="2" t="s">
        <v>195</v>
      </c>
      <c r="K42" s="2" t="s">
        <v>25</v>
      </c>
      <c r="L42" s="2">
        <v>-10</v>
      </c>
      <c r="M42" s="2">
        <v>2.4160000000000002E-3</v>
      </c>
      <c r="N42" s="2">
        <v>-1510</v>
      </c>
      <c r="O42" s="2">
        <v>229.19</v>
      </c>
      <c r="P42" s="30">
        <v>781.9</v>
      </c>
      <c r="Q42" s="2">
        <v>0</v>
      </c>
      <c r="R42" s="2">
        <v>2E-3</v>
      </c>
      <c r="S42" s="2"/>
      <c r="T42" s="2">
        <v>90</v>
      </c>
      <c r="U42" s="2">
        <v>2E-3</v>
      </c>
      <c r="V42" s="2">
        <v>2.3999999999999998E-3</v>
      </c>
      <c r="W42" s="2">
        <v>13</v>
      </c>
      <c r="X42" s="2" t="s">
        <v>189</v>
      </c>
      <c r="Y42" s="2">
        <v>0.16219819350955086</v>
      </c>
      <c r="Z42" s="2">
        <v>0.41991685052343358</v>
      </c>
      <c r="AA42" s="2">
        <v>0</v>
      </c>
      <c r="AB42" s="37">
        <v>-4.4551229285394751E-3</v>
      </c>
      <c r="AC42" s="2">
        <v>1.9175127949625729E-4</v>
      </c>
      <c r="AD42" s="2">
        <v>1.5684</v>
      </c>
      <c r="AE42" s="2">
        <f t="shared" si="0"/>
        <v>-4.1991685052343355</v>
      </c>
      <c r="AF42" s="2">
        <v>1.5804</v>
      </c>
      <c r="AG42" s="2">
        <f t="shared" si="1"/>
        <v>4.4551229285394747E-2</v>
      </c>
      <c r="AH42">
        <v>-0.88722889607959154</v>
      </c>
      <c r="AI42">
        <f t="shared" ref="AI42:AI61" si="6">BSGamma($X$27,D42,C42,0.001,Y42)</f>
        <v>42.038950718639796</v>
      </c>
      <c r="AJ42">
        <f t="shared" ref="AJ42:AJ61" si="7">IF(ISERR(AI42),0,AI42*L42)</f>
        <v>-420.38950718639796</v>
      </c>
      <c r="AK42">
        <f t="shared" ref="AK42:AK61" si="8">IF(AJ42 = 0,0,(AG42*-10000)/AJ42)</f>
        <v>1.0597607343620263</v>
      </c>
      <c r="AL42" s="70">
        <f t="shared" si="2"/>
        <v>21.999999999999996</v>
      </c>
      <c r="AM42">
        <f t="shared" si="3"/>
        <v>0</v>
      </c>
      <c r="AN42" s="68">
        <f t="shared" ref="AN42:AN61" si="9">MAX(0,AL42-AM42)</f>
        <v>21.999999999999996</v>
      </c>
      <c r="AO42" s="68">
        <f t="shared" si="4"/>
        <v>219.99999999999997</v>
      </c>
      <c r="AP42" s="67">
        <f t="shared" si="5"/>
        <v>1374.9999999999998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0"/>
      <c r="Q43" s="2"/>
      <c r="R43" s="2"/>
      <c r="S43" s="2"/>
      <c r="T43" s="2"/>
      <c r="U43" s="2"/>
      <c r="V43" s="2"/>
      <c r="W43" s="2"/>
      <c r="X43" s="2" t="s">
        <v>189</v>
      </c>
      <c r="Y43" s="2">
        <v>8.8427618140017775E-2</v>
      </c>
      <c r="Z43" s="2">
        <v>-0.63786549589250396</v>
      </c>
      <c r="AA43" s="2">
        <v>-1.6893020183501414E-4</v>
      </c>
      <c r="AB43" s="37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70">
        <f t="shared" si="2"/>
        <v>0</v>
      </c>
      <c r="AM43">
        <f t="shared" si="3"/>
        <v>0</v>
      </c>
      <c r="AN43" s="68">
        <f t="shared" si="9"/>
        <v>0</v>
      </c>
      <c r="AO43" s="68">
        <f t="shared" si="4"/>
        <v>0</v>
      </c>
      <c r="AP43" s="67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30"/>
      <c r="Q44" s="2"/>
      <c r="R44" s="2"/>
      <c r="S44" s="2"/>
      <c r="T44" s="2"/>
      <c r="U44" s="2"/>
      <c r="V44" s="2"/>
      <c r="W44" s="2"/>
      <c r="X44" s="2" t="s">
        <v>189</v>
      </c>
      <c r="Y44" s="2">
        <v>9.390886991850067E-2</v>
      </c>
      <c r="Z44" s="2">
        <v>0.14904527231408574</v>
      </c>
      <c r="AA44" s="2">
        <v>0.66747618785449725</v>
      </c>
      <c r="AB44" s="37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70">
        <f t="shared" si="2"/>
        <v>0</v>
      </c>
      <c r="AM44">
        <f t="shared" si="3"/>
        <v>0</v>
      </c>
      <c r="AN44" s="68">
        <f t="shared" si="9"/>
        <v>0</v>
      </c>
      <c r="AO44" s="68">
        <f t="shared" si="4"/>
        <v>0</v>
      </c>
      <c r="AP44" s="67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30"/>
      <c r="Q45" s="2"/>
      <c r="R45" s="2"/>
      <c r="S45" s="2"/>
      <c r="T45" s="2"/>
      <c r="U45" s="2"/>
      <c r="V45" s="2"/>
      <c r="W45" s="2"/>
      <c r="X45" s="2" t="s">
        <v>189</v>
      </c>
      <c r="Y45" s="2">
        <v>1.7976931348623157E+308</v>
      </c>
      <c r="Z45" s="2">
        <v>-0.87324756883735222</v>
      </c>
      <c r="AA45" s="38">
        <v>4.5700722158584935E-10</v>
      </c>
      <c r="AB45" s="37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70">
        <f t="shared" si="2"/>
        <v>0</v>
      </c>
      <c r="AM45">
        <f t="shared" si="3"/>
        <v>0</v>
      </c>
      <c r="AN45" s="68">
        <f t="shared" si="9"/>
        <v>0</v>
      </c>
      <c r="AO45" s="68">
        <f t="shared" si="4"/>
        <v>0</v>
      </c>
      <c r="AP45" s="67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30"/>
      <c r="Q46" s="2"/>
      <c r="R46" s="2"/>
      <c r="S46" s="2"/>
      <c r="T46" s="2"/>
      <c r="U46" s="2"/>
      <c r="V46" s="2"/>
      <c r="W46" s="2"/>
      <c r="X46" s="2" t="s">
        <v>189</v>
      </c>
      <c r="Y46" s="2">
        <v>0.10432842731400171</v>
      </c>
      <c r="Z46" s="2">
        <v>1.2525812224111747E-2</v>
      </c>
      <c r="AA46" s="2">
        <v>0.38767860671239407</v>
      </c>
      <c r="AB46" s="37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70">
        <f t="shared" si="2"/>
        <v>0</v>
      </c>
      <c r="AM46">
        <f t="shared" si="3"/>
        <v>0</v>
      </c>
      <c r="AN46" s="68">
        <f t="shared" si="9"/>
        <v>0</v>
      </c>
      <c r="AO46" s="68">
        <f t="shared" si="4"/>
        <v>0</v>
      </c>
      <c r="AP46" s="67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30"/>
      <c r="Q47" s="2"/>
      <c r="R47" s="2"/>
      <c r="S47" s="2"/>
      <c r="T47" s="2"/>
      <c r="U47" s="2"/>
      <c r="V47" s="2"/>
      <c r="W47" s="2"/>
      <c r="X47" s="2" t="s">
        <v>189</v>
      </c>
      <c r="Y47" s="2">
        <v>0.14576257659892633</v>
      </c>
      <c r="Z47" s="2">
        <v>1.4432496469498413E-3</v>
      </c>
      <c r="AA47" s="2">
        <v>0.21747402951077852</v>
      </c>
      <c r="AB47" s="37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70">
        <f t="shared" si="2"/>
        <v>0</v>
      </c>
      <c r="AM47">
        <f t="shared" si="3"/>
        <v>0</v>
      </c>
      <c r="AN47" s="68">
        <f t="shared" si="9"/>
        <v>0</v>
      </c>
      <c r="AO47" s="68">
        <f t="shared" si="4"/>
        <v>0</v>
      </c>
      <c r="AP47" s="67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30"/>
      <c r="Q48" s="2"/>
      <c r="R48" s="2"/>
      <c r="S48" s="2"/>
      <c r="T48" s="2"/>
      <c r="U48" s="2"/>
      <c r="V48" s="2"/>
      <c r="W48" s="2"/>
      <c r="X48" s="2" t="s">
        <v>189</v>
      </c>
      <c r="Y48" s="2">
        <v>1.7976931348623157E+308</v>
      </c>
      <c r="Z48" s="2">
        <v>-0.10751296438420363</v>
      </c>
      <c r="AA48" s="2">
        <v>1.8909955414217726E-46</v>
      </c>
      <c r="AB48" s="37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70">
        <f t="shared" si="2"/>
        <v>0</v>
      </c>
      <c r="AM48">
        <f t="shared" si="3"/>
        <v>0</v>
      </c>
      <c r="AN48" s="68">
        <f t="shared" si="9"/>
        <v>0</v>
      </c>
      <c r="AO48" s="68">
        <f t="shared" si="4"/>
        <v>0</v>
      </c>
      <c r="AP48" s="67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30"/>
      <c r="Q49" s="2"/>
      <c r="R49" s="2"/>
      <c r="S49" s="2"/>
      <c r="T49" s="2"/>
      <c r="U49" s="2"/>
      <c r="V49" s="2"/>
      <c r="W49" s="2"/>
      <c r="X49" s="2" t="s">
        <v>189</v>
      </c>
      <c r="Y49" s="2">
        <v>1.7976931348623157E+308</v>
      </c>
      <c r="Z49" s="2">
        <v>-0.83030473539323357</v>
      </c>
      <c r="AA49" s="2">
        <v>0</v>
      </c>
      <c r="AB49" s="37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70">
        <f t="shared" si="2"/>
        <v>0</v>
      </c>
      <c r="AM49">
        <f t="shared" si="3"/>
        <v>0</v>
      </c>
      <c r="AN49" s="68">
        <f t="shared" si="9"/>
        <v>0</v>
      </c>
      <c r="AO49" s="68">
        <f t="shared" si="4"/>
        <v>0</v>
      </c>
      <c r="AP49" s="67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30"/>
      <c r="Q50" s="2"/>
      <c r="R50" s="2"/>
      <c r="S50" s="2"/>
      <c r="T50" s="2"/>
      <c r="U50" s="2"/>
      <c r="V50" s="2"/>
      <c r="W50" s="2"/>
      <c r="X50" s="2" t="s">
        <v>189</v>
      </c>
      <c r="Y50" s="2">
        <v>1.7976931348623157E+308</v>
      </c>
      <c r="Z50" s="2">
        <v>0.11262825764367648</v>
      </c>
      <c r="AA50" s="2">
        <v>0.83477596299898282</v>
      </c>
      <c r="AB50" s="37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70">
        <f t="shared" si="2"/>
        <v>0</v>
      </c>
      <c r="AM50">
        <f t="shared" si="3"/>
        <v>0</v>
      </c>
      <c r="AN50" s="68">
        <f t="shared" si="9"/>
        <v>0</v>
      </c>
      <c r="AO50" s="68">
        <f t="shared" si="4"/>
        <v>0</v>
      </c>
      <c r="AP50" s="67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30"/>
      <c r="Q51" s="2"/>
      <c r="R51" s="2"/>
      <c r="S51" s="2"/>
      <c r="T51" s="2"/>
      <c r="U51" s="2"/>
      <c r="V51" s="2"/>
      <c r="W51" s="2"/>
      <c r="X51" s="2" t="s">
        <v>18</v>
      </c>
      <c r="Y51" s="2">
        <v>1.7976931348623157E+308</v>
      </c>
      <c r="Z51" s="2">
        <v>-0.98109928962372683</v>
      </c>
      <c r="AA51" s="2">
        <v>0.41558095040316739</v>
      </c>
      <c r="AB51" s="37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70">
        <v>0</v>
      </c>
      <c r="AM51">
        <f t="shared" si="3"/>
        <v>0</v>
      </c>
      <c r="AN51" s="68">
        <f t="shared" si="9"/>
        <v>0</v>
      </c>
      <c r="AO51" s="68">
        <f t="shared" si="4"/>
        <v>0</v>
      </c>
      <c r="AP51" s="67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30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37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70">
        <f t="shared" ref="AL52:AL61" si="11">IF(U52=-1,V41/2,(U52+V52)/2)* 10000</f>
        <v>0</v>
      </c>
      <c r="AM52">
        <f t="shared" si="3"/>
        <v>0</v>
      </c>
      <c r="AN52" s="68">
        <f t="shared" si="9"/>
        <v>0</v>
      </c>
      <c r="AO52" s="68">
        <f t="shared" si="4"/>
        <v>0</v>
      </c>
      <c r="AP52" s="67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37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70">
        <f t="shared" si="11"/>
        <v>0</v>
      </c>
      <c r="AM53">
        <f t="shared" si="3"/>
        <v>0</v>
      </c>
      <c r="AN53" s="68">
        <f t="shared" si="9"/>
        <v>0</v>
      </c>
      <c r="AO53" s="68">
        <f t="shared" si="4"/>
        <v>0</v>
      </c>
      <c r="AP53" s="67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37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70">
        <f t="shared" si="11"/>
        <v>0</v>
      </c>
      <c r="AM54">
        <f t="shared" si="3"/>
        <v>0</v>
      </c>
      <c r="AN54" s="68">
        <f t="shared" si="9"/>
        <v>0</v>
      </c>
      <c r="AO54" s="68">
        <f t="shared" si="4"/>
        <v>0</v>
      </c>
      <c r="AP54" s="67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30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37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70">
        <f t="shared" si="11"/>
        <v>0</v>
      </c>
      <c r="AM55">
        <f t="shared" si="3"/>
        <v>0</v>
      </c>
      <c r="AN55" s="68">
        <f t="shared" si="9"/>
        <v>0</v>
      </c>
      <c r="AO55" s="68">
        <f t="shared" si="4"/>
        <v>0</v>
      </c>
      <c r="AP55" s="67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30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37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70">
        <f t="shared" si="11"/>
        <v>0</v>
      </c>
      <c r="AM56">
        <f t="shared" si="3"/>
        <v>0</v>
      </c>
      <c r="AN56" s="68">
        <f t="shared" si="9"/>
        <v>0</v>
      </c>
      <c r="AO56" s="68">
        <f t="shared" si="4"/>
        <v>0</v>
      </c>
      <c r="AP56" s="67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30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37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70">
        <f t="shared" si="11"/>
        <v>0</v>
      </c>
      <c r="AM57">
        <f t="shared" si="3"/>
        <v>0</v>
      </c>
      <c r="AN57" s="68">
        <f t="shared" si="9"/>
        <v>0</v>
      </c>
      <c r="AO57" s="68">
        <f t="shared" si="4"/>
        <v>0</v>
      </c>
      <c r="AP57" s="67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30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70">
        <f t="shared" si="11"/>
        <v>0</v>
      </c>
      <c r="AM58">
        <f t="shared" si="3"/>
        <v>0</v>
      </c>
      <c r="AN58" s="68">
        <f t="shared" si="9"/>
        <v>0</v>
      </c>
      <c r="AO58" s="68">
        <f t="shared" si="4"/>
        <v>0</v>
      </c>
      <c r="AP58" s="67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30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70">
        <f t="shared" si="11"/>
        <v>0</v>
      </c>
      <c r="AM59">
        <f t="shared" si="3"/>
        <v>0</v>
      </c>
      <c r="AN59" s="68">
        <f t="shared" si="9"/>
        <v>0</v>
      </c>
      <c r="AO59" s="68">
        <f t="shared" si="4"/>
        <v>0</v>
      </c>
      <c r="AP59" s="67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30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70">
        <f t="shared" si="11"/>
        <v>0</v>
      </c>
      <c r="AM60">
        <f t="shared" si="3"/>
        <v>0</v>
      </c>
      <c r="AN60" s="68">
        <f t="shared" si="9"/>
        <v>0</v>
      </c>
      <c r="AO60" s="68">
        <f t="shared" si="4"/>
        <v>0</v>
      </c>
      <c r="AP60" s="67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70">
        <f t="shared" si="11"/>
        <v>0</v>
      </c>
      <c r="AM61">
        <f t="shared" si="3"/>
        <v>0</v>
      </c>
      <c r="AN61" s="68">
        <f t="shared" si="9"/>
        <v>0</v>
      </c>
      <c r="AO61" s="68">
        <f t="shared" si="4"/>
        <v>0</v>
      </c>
      <c r="AP61" s="67">
        <f t="shared" si="10"/>
        <v>0</v>
      </c>
    </row>
    <row r="67" spans="1:13" x14ac:dyDescent="0.25">
      <c r="A67" s="119" t="s">
        <v>190</v>
      </c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</row>
    <row r="68" spans="1:13" x14ac:dyDescent="0.25">
      <c r="A68" s="109" t="s">
        <v>41</v>
      </c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1:13" x14ac:dyDescent="0.25">
      <c r="A69" s="92" t="s">
        <v>9</v>
      </c>
      <c r="B69" s="91" t="s">
        <v>42</v>
      </c>
      <c r="C69" s="91" t="s">
        <v>43</v>
      </c>
      <c r="D69" s="91" t="s">
        <v>44</v>
      </c>
      <c r="E69" s="91" t="s">
        <v>45</v>
      </c>
      <c r="F69" s="91" t="s">
        <v>33</v>
      </c>
      <c r="G69" s="91" t="s">
        <v>46</v>
      </c>
      <c r="H69" s="91" t="s">
        <v>47</v>
      </c>
      <c r="I69" s="91" t="s">
        <v>48</v>
      </c>
      <c r="J69" s="91" t="s">
        <v>49</v>
      </c>
      <c r="K69" s="91" t="s">
        <v>50</v>
      </c>
      <c r="L69" s="91" t="s">
        <v>51</v>
      </c>
      <c r="M69" s="91" t="s">
        <v>52</v>
      </c>
    </row>
    <row r="70" spans="1:13" x14ac:dyDescent="0.25">
      <c r="A70" s="2" t="s">
        <v>168</v>
      </c>
      <c r="B70" s="16">
        <v>8</v>
      </c>
      <c r="C70" s="22" t="s">
        <v>370</v>
      </c>
      <c r="D70" s="16" t="s">
        <v>371</v>
      </c>
      <c r="E70" s="16" t="s">
        <v>199</v>
      </c>
      <c r="F70" s="16">
        <v>4</v>
      </c>
      <c r="G70" s="16">
        <v>4</v>
      </c>
      <c r="H70" s="16">
        <v>1.5686</v>
      </c>
      <c r="I70" s="16">
        <v>1.5686</v>
      </c>
      <c r="J70" s="16">
        <v>135369119</v>
      </c>
      <c r="K70" s="16">
        <v>0</v>
      </c>
      <c r="L70" s="16">
        <v>6</v>
      </c>
      <c r="M70" s="16"/>
    </row>
    <row r="71" spans="1:13" x14ac:dyDescent="0.25">
      <c r="A71" s="2" t="s">
        <v>168</v>
      </c>
      <c r="B71" s="16">
        <v>8</v>
      </c>
      <c r="C71" s="22" t="s">
        <v>385</v>
      </c>
      <c r="D71" s="16" t="s">
        <v>371</v>
      </c>
      <c r="E71" s="16" t="s">
        <v>199</v>
      </c>
      <c r="F71" s="16">
        <v>1</v>
      </c>
      <c r="G71" s="16">
        <v>5</v>
      </c>
      <c r="H71" s="16">
        <v>1.5686</v>
      </c>
      <c r="I71" s="16">
        <v>1.5686</v>
      </c>
      <c r="J71" s="16">
        <v>135369119</v>
      </c>
      <c r="K71" s="16">
        <v>0</v>
      </c>
      <c r="L71" s="16">
        <v>6</v>
      </c>
      <c r="M71" s="16"/>
    </row>
    <row r="72" spans="1:13" x14ac:dyDescent="0.25">
      <c r="A72" s="2" t="s">
        <v>168</v>
      </c>
      <c r="B72" s="16">
        <v>9</v>
      </c>
      <c r="C72" s="22" t="s">
        <v>411</v>
      </c>
      <c r="D72" s="16" t="s">
        <v>412</v>
      </c>
      <c r="E72" s="16" t="s">
        <v>199</v>
      </c>
      <c r="F72" s="16">
        <v>5</v>
      </c>
      <c r="G72" s="16">
        <v>5</v>
      </c>
      <c r="H72" s="16">
        <v>1.5687</v>
      </c>
      <c r="I72" s="16">
        <v>1.5687</v>
      </c>
      <c r="J72" s="16">
        <v>135369120</v>
      </c>
      <c r="K72" s="16">
        <v>0</v>
      </c>
      <c r="L72" s="16">
        <v>6</v>
      </c>
      <c r="M72" s="16"/>
    </row>
    <row r="73" spans="1:13" x14ac:dyDescent="0.25">
      <c r="A73" s="2" t="s">
        <v>168</v>
      </c>
      <c r="B73" s="16">
        <v>10</v>
      </c>
      <c r="C73" s="22" t="s">
        <v>476</v>
      </c>
      <c r="D73" s="16" t="s">
        <v>477</v>
      </c>
      <c r="E73" s="16" t="s">
        <v>199</v>
      </c>
      <c r="F73" s="16">
        <v>5</v>
      </c>
      <c r="G73" s="16">
        <v>5</v>
      </c>
      <c r="H73" s="16">
        <v>1.5686</v>
      </c>
      <c r="I73" s="16">
        <v>1.5686</v>
      </c>
      <c r="J73" s="16">
        <v>135369121</v>
      </c>
      <c r="K73" s="16">
        <v>0</v>
      </c>
      <c r="L73" s="16">
        <v>6</v>
      </c>
      <c r="M73" s="16"/>
    </row>
    <row r="74" spans="1:13" x14ac:dyDescent="0.25">
      <c r="A74" s="2" t="s">
        <v>168</v>
      </c>
      <c r="B74" s="16">
        <v>11</v>
      </c>
      <c r="C74" s="24" t="s">
        <v>538</v>
      </c>
      <c r="D74" s="16" t="s">
        <v>539</v>
      </c>
      <c r="E74" s="16" t="s">
        <v>199</v>
      </c>
      <c r="F74" s="16">
        <v>1</v>
      </c>
      <c r="G74" s="16">
        <v>1</v>
      </c>
      <c r="H74" s="16">
        <v>1.5686</v>
      </c>
      <c r="I74" s="16">
        <v>1.5686</v>
      </c>
      <c r="J74" s="16">
        <v>135369122</v>
      </c>
      <c r="K74" s="16">
        <v>0</v>
      </c>
      <c r="L74" s="16">
        <v>6</v>
      </c>
      <c r="M74" s="16"/>
    </row>
    <row r="75" spans="1:13" x14ac:dyDescent="0.25">
      <c r="A75" s="2" t="s">
        <v>168</v>
      </c>
      <c r="B75" s="16">
        <v>11</v>
      </c>
      <c r="C75" s="24" t="s">
        <v>561</v>
      </c>
      <c r="D75" s="16" t="s">
        <v>539</v>
      </c>
      <c r="E75" s="16" t="s">
        <v>199</v>
      </c>
      <c r="F75" s="16">
        <v>4</v>
      </c>
      <c r="G75" s="16">
        <v>5</v>
      </c>
      <c r="H75" s="16">
        <v>1.5686</v>
      </c>
      <c r="I75" s="16">
        <v>1.5686</v>
      </c>
      <c r="J75" s="16">
        <v>135369122</v>
      </c>
      <c r="K75" s="16">
        <v>0</v>
      </c>
      <c r="L75" s="16">
        <v>6</v>
      </c>
      <c r="M75" s="16"/>
    </row>
    <row r="76" spans="1:13" x14ac:dyDescent="0.25">
      <c r="A76" s="2" t="s">
        <v>168</v>
      </c>
      <c r="B76" s="16">
        <v>12</v>
      </c>
      <c r="C76" s="24" t="s">
        <v>593</v>
      </c>
      <c r="D76" s="16" t="s">
        <v>594</v>
      </c>
      <c r="E76" s="16" t="s">
        <v>199</v>
      </c>
      <c r="F76" s="16">
        <v>3</v>
      </c>
      <c r="G76" s="16">
        <v>3</v>
      </c>
      <c r="H76" s="16">
        <v>1.5686</v>
      </c>
      <c r="I76" s="16">
        <v>1.5686</v>
      </c>
      <c r="J76" s="16">
        <v>135369123</v>
      </c>
      <c r="K76" s="16">
        <v>0</v>
      </c>
      <c r="L76" s="16">
        <v>6</v>
      </c>
      <c r="M76" s="16"/>
    </row>
    <row r="77" spans="1:13" x14ac:dyDescent="0.25">
      <c r="A77" s="2" t="s">
        <v>168</v>
      </c>
      <c r="B77" s="16">
        <v>12</v>
      </c>
      <c r="C77" s="22" t="s">
        <v>624</v>
      </c>
      <c r="D77" s="16" t="s">
        <v>625</v>
      </c>
      <c r="E77" s="16" t="s">
        <v>199</v>
      </c>
      <c r="F77" s="16">
        <v>2</v>
      </c>
      <c r="G77" s="16">
        <v>5</v>
      </c>
      <c r="H77" s="16">
        <v>1.5686</v>
      </c>
      <c r="I77" s="16">
        <v>1.5686</v>
      </c>
      <c r="J77" s="16">
        <v>135369123</v>
      </c>
      <c r="K77" s="16">
        <v>0</v>
      </c>
      <c r="L77" s="16">
        <v>6</v>
      </c>
      <c r="M77" s="16"/>
    </row>
    <row r="78" spans="1:13" x14ac:dyDescent="0.25">
      <c r="A78" s="2" t="s">
        <v>168</v>
      </c>
      <c r="B78" s="16">
        <v>13</v>
      </c>
      <c r="C78" s="24" t="s">
        <v>684</v>
      </c>
      <c r="D78" s="16" t="s">
        <v>685</v>
      </c>
      <c r="E78" s="16" t="s">
        <v>199</v>
      </c>
      <c r="F78" s="16">
        <v>2</v>
      </c>
      <c r="G78" s="16">
        <v>2</v>
      </c>
      <c r="H78" s="16">
        <v>1.5685</v>
      </c>
      <c r="I78" s="16">
        <v>1.5685</v>
      </c>
      <c r="J78" s="16">
        <v>135369124</v>
      </c>
      <c r="K78" s="16">
        <v>0</v>
      </c>
      <c r="L78" s="16">
        <v>6</v>
      </c>
      <c r="M78" s="16"/>
    </row>
    <row r="79" spans="1:13" x14ac:dyDescent="0.25">
      <c r="A79" s="2" t="s">
        <v>168</v>
      </c>
      <c r="B79" s="16">
        <v>13</v>
      </c>
      <c r="C79" s="22" t="s">
        <v>711</v>
      </c>
      <c r="D79" s="16" t="s">
        <v>712</v>
      </c>
      <c r="E79" s="16" t="s">
        <v>199</v>
      </c>
      <c r="F79" s="16">
        <v>1</v>
      </c>
      <c r="G79" s="16">
        <v>3</v>
      </c>
      <c r="H79" s="16">
        <v>1.5686</v>
      </c>
      <c r="I79" s="16">
        <v>1.568533</v>
      </c>
      <c r="J79" s="16">
        <v>135369124</v>
      </c>
      <c r="K79" s="16">
        <v>0</v>
      </c>
      <c r="L79" s="16">
        <v>6</v>
      </c>
      <c r="M79" s="16"/>
    </row>
    <row r="80" spans="1:13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4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4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4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4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4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4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4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4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23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23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23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23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</sheetData>
  <dataConsolidate link="1"/>
  <mergeCells count="61">
    <mergeCell ref="A67:M67"/>
    <mergeCell ref="A68:M68"/>
    <mergeCell ref="A39:T39"/>
    <mergeCell ref="U39:W39"/>
    <mergeCell ref="X39:AD39"/>
    <mergeCell ref="AE39:AG39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2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0</xdr:row>
                <xdr:rowOff>342900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0</xdr:row>
                <xdr:rowOff>352425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r:id="rId17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4</xdr:col>
                <xdr:colOff>666750</xdr:colOff>
                <xdr:row>0</xdr:row>
                <xdr:rowOff>352425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904875</xdr:colOff>
                <xdr:row>0</xdr:row>
                <xdr:rowOff>352425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r:id="rId2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0</xdr:row>
                <xdr:rowOff>257175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78" customWidth="1"/>
    <col min="24" max="24" width="12.140625" customWidth="1"/>
    <col min="26" max="26" width="16.28515625" customWidth="1"/>
    <col min="31" max="31" width="10.42578125" customWidth="1"/>
    <col min="32" max="32" width="9.140625" style="80"/>
    <col min="33" max="33" width="9.5703125" bestFit="1" customWidth="1"/>
    <col min="34" max="34" width="9.85546875" customWidth="1"/>
  </cols>
  <sheetData>
    <row r="1" spans="2:37" x14ac:dyDescent="0.25">
      <c r="AE1" s="121" t="s">
        <v>126</v>
      </c>
      <c r="AF1" s="121"/>
      <c r="AG1" s="121"/>
      <c r="AH1" s="121"/>
      <c r="AI1" s="121"/>
      <c r="AJ1" s="121"/>
      <c r="AK1" s="121"/>
    </row>
    <row r="4" spans="2:37" x14ac:dyDescent="0.25">
      <c r="B4" s="102" t="s">
        <v>13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2"/>
      <c r="R4" s="103"/>
      <c r="S4" s="103"/>
      <c r="T4" s="118" t="s">
        <v>101</v>
      </c>
      <c r="U4" s="118"/>
      <c r="V4" s="118"/>
      <c r="W4" s="118"/>
      <c r="X4" s="118"/>
      <c r="Y4" s="118"/>
      <c r="Z4" s="118"/>
      <c r="AA4" s="118"/>
      <c r="AB4" s="118" t="s">
        <v>111</v>
      </c>
      <c r="AC4" s="118"/>
      <c r="AD4" s="118"/>
      <c r="AF4" s="80">
        <f>SUM(AF6:AF125)</f>
        <v>0.32800856213844592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66" t="s">
        <v>19</v>
      </c>
      <c r="O5" s="66" t="s">
        <v>21</v>
      </c>
      <c r="P5" s="66" t="s">
        <v>22</v>
      </c>
      <c r="Q5" s="66" t="s">
        <v>18</v>
      </c>
      <c r="R5" s="66" t="s">
        <v>20</v>
      </c>
      <c r="S5" s="66" t="s">
        <v>23</v>
      </c>
      <c r="T5" s="35" t="s">
        <v>45</v>
      </c>
      <c r="U5" s="35" t="s">
        <v>124</v>
      </c>
      <c r="V5" s="77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115</v>
      </c>
      <c r="AF5" s="81" t="s">
        <v>116</v>
      </c>
      <c r="AG5" s="39" t="s">
        <v>117</v>
      </c>
      <c r="AH5" s="69" t="s">
        <v>121</v>
      </c>
      <c r="AI5" s="69" t="s">
        <v>118</v>
      </c>
      <c r="AJ5" s="69" t="s">
        <v>119</v>
      </c>
      <c r="AK5" s="69" t="s">
        <v>120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7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75">
        <v>8.1199351145806584E-5</v>
      </c>
      <c r="V6" s="74">
        <v>0.26420497997470704</v>
      </c>
      <c r="W6" s="2">
        <v>-9.6878701869559432E-3</v>
      </c>
      <c r="X6" s="75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>
        <f>AE6*M6</f>
        <v>0.32800856213844592</v>
      </c>
      <c r="AD6" s="2">
        <f>Y6*M6</f>
        <v>-2.4950003905054767E-3</v>
      </c>
      <c r="AE6" s="79">
        <f>BSGamma($AA$17,E6,D6,0.001,V6)</f>
        <v>3.2800856213844591E-2</v>
      </c>
      <c r="AF6" s="80">
        <f t="shared" ref="AF6:AF37" si="0">IF(ISERR(AE6),0,AE6*M6)</f>
        <v>0.32800856213844592</v>
      </c>
      <c r="AG6" s="31">
        <f>IF(AE6 = 0,0,(Y6*-10000)/AE6)</f>
        <v>76.065099466897053</v>
      </c>
      <c r="AH6">
        <f>IF(F6="C",MAX(0,$AA$14-E6),MAX(0,E6-$AA$14))*10000</f>
        <v>0</v>
      </c>
      <c r="AI6" s="68">
        <f>MAX(0,(U6*10000)-AH6)</f>
        <v>0.81199351145806586</v>
      </c>
      <c r="AJ6" s="68">
        <f>AI6*M6</f>
        <v>8.1199351145806595</v>
      </c>
      <c r="AK6" s="67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7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75">
        <v>7.4421382497728584E-5</v>
      </c>
      <c r="V7" s="74">
        <v>0.24014391877688013</v>
      </c>
      <c r="W7" s="2">
        <v>-9.7672371887170713E-3</v>
      </c>
      <c r="X7" s="75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79">
        <f t="shared" ref="AE7:AE70" si="7">BSGamma($AA$17,E7,D7,0.001,V7)</f>
        <v>3.676813231140711E-2</v>
      </c>
      <c r="AF7" s="80">
        <f t="shared" si="0"/>
        <v>0</v>
      </c>
      <c r="AG7" s="31">
        <f t="shared" ref="AG7:AG70" si="8">IF(AE7 = 0,0,(Y7*-10000)/AE7)</f>
        <v>62.135872289792253</v>
      </c>
      <c r="AH7">
        <f t="shared" ref="AH7:AH70" si="9">IF(F7="C",MAX(0,$AA$14-E7),MAX(0,E7-$AA$14))*10000</f>
        <v>0</v>
      </c>
      <c r="AI7" s="68">
        <f t="shared" ref="AI7:AI70" si="10">MAX(0,(U7*10000)-AH7)</f>
        <v>0.74421382497728583</v>
      </c>
      <c r="AJ7" s="68">
        <f t="shared" ref="AJ7:AJ70" si="11">AI7*M7</f>
        <v>0</v>
      </c>
      <c r="AK7" s="67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7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75">
        <v>7.1611499573167992E-5</v>
      </c>
      <c r="V8" s="74">
        <v>0.21823570997051434</v>
      </c>
      <c r="W8" s="2">
        <v>-1.0310207742769443E-2</v>
      </c>
      <c r="X8" s="75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79">
        <f t="shared" si="7"/>
        <v>4.6890956590922656E-2</v>
      </c>
      <c r="AF8" s="80">
        <f t="shared" si="0"/>
        <v>0</v>
      </c>
      <c r="AG8" s="31">
        <f t="shared" si="8"/>
        <v>46.531659734440623</v>
      </c>
      <c r="AH8">
        <f t="shared" si="9"/>
        <v>0</v>
      </c>
      <c r="AI8" s="68">
        <f t="shared" si="10"/>
        <v>0.71611499573167992</v>
      </c>
      <c r="AJ8" s="68">
        <f t="shared" si="11"/>
        <v>0</v>
      </c>
      <c r="AK8" s="67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7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75">
        <v>8.0178960996781138E-5</v>
      </c>
      <c r="V9" s="74">
        <v>0.1984803535556523</v>
      </c>
      <c r="W9" s="2">
        <v>-1.2365932135729427E-2</v>
      </c>
      <c r="X9" s="75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79">
        <f t="shared" si="7"/>
        <v>7.022550901437126E-2</v>
      </c>
      <c r="AF9" s="80">
        <f t="shared" si="0"/>
        <v>0</v>
      </c>
      <c r="AG9" s="31">
        <f t="shared" si="8"/>
        <v>32.8888674863475</v>
      </c>
      <c r="AH9">
        <f t="shared" si="9"/>
        <v>0</v>
      </c>
      <c r="AI9" s="68">
        <f t="shared" si="10"/>
        <v>0.80178960996781135</v>
      </c>
      <c r="AJ9" s="68">
        <f t="shared" si="11"/>
        <v>0</v>
      </c>
      <c r="AK9" s="67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7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75">
        <v>9.787043407957923E-5</v>
      </c>
      <c r="V10" s="74">
        <v>0.18087784953227981</v>
      </c>
      <c r="W10" s="2">
        <v>-1.6053871129648158E-2</v>
      </c>
      <c r="X10" s="76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79">
        <f t="shared" si="7"/>
        <v>0.12694368140890638</v>
      </c>
      <c r="AF10" s="80">
        <f t="shared" si="0"/>
        <v>0</v>
      </c>
      <c r="AG10" s="31">
        <f t="shared" si="8"/>
        <v>20.723697708624158</v>
      </c>
      <c r="AH10">
        <f t="shared" si="9"/>
        <v>0</v>
      </c>
      <c r="AI10" s="68">
        <f t="shared" si="10"/>
        <v>0.97870434079579227</v>
      </c>
      <c r="AJ10" s="68">
        <f t="shared" si="11"/>
        <v>0</v>
      </c>
      <c r="AK10" s="67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7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75">
        <v>1.2338459576258055E-4</v>
      </c>
      <c r="V11" s="74">
        <v>0.16542819790035423</v>
      </c>
      <c r="W11" s="2">
        <v>-2.1560138228549582E-2</v>
      </c>
      <c r="X11" s="75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79">
        <f t="shared" si="7"/>
        <v>0.28091492414006253</v>
      </c>
      <c r="AF11" s="80">
        <f t="shared" si="0"/>
        <v>0</v>
      </c>
      <c r="AG11" s="31">
        <f t="shared" si="8"/>
        <v>11.120539145648657</v>
      </c>
      <c r="AH11">
        <f t="shared" si="9"/>
        <v>0</v>
      </c>
      <c r="AI11" s="68">
        <f t="shared" si="10"/>
        <v>1.2338459576258056</v>
      </c>
      <c r="AJ11" s="68">
        <f t="shared" si="11"/>
        <v>0</v>
      </c>
      <c r="AK11" s="67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7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75">
        <v>1.9676249128862636E-4</v>
      </c>
      <c r="V12" s="74">
        <v>0.15213139865993242</v>
      </c>
      <c r="W12" s="2">
        <v>-3.4836869172406915E-2</v>
      </c>
      <c r="X12" s="75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79">
        <f t="shared" si="7"/>
        <v>0.75193006058920608</v>
      </c>
      <c r="AF12" s="80">
        <f t="shared" si="0"/>
        <v>0</v>
      </c>
      <c r="AG12" s="31">
        <f t="shared" si="8"/>
        <v>5.6639888149914626</v>
      </c>
      <c r="AH12">
        <f t="shared" si="9"/>
        <v>0</v>
      </c>
      <c r="AI12" s="68">
        <f t="shared" si="10"/>
        <v>1.9676249128862635</v>
      </c>
      <c r="AJ12" s="68">
        <f t="shared" si="11"/>
        <v>0</v>
      </c>
      <c r="AK12" s="67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7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75">
        <v>3.3657321716550412E-4</v>
      </c>
      <c r="V13" s="74">
        <v>0.14098745181098593</v>
      </c>
      <c r="W13" s="2">
        <v>-5.9208535931378342E-2</v>
      </c>
      <c r="X13" s="75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79">
        <f t="shared" si="7"/>
        <v>2.3099311394282047</v>
      </c>
      <c r="AF13" s="80">
        <f t="shared" si="0"/>
        <v>0</v>
      </c>
      <c r="AG13" s="31">
        <f t="shared" si="8"/>
        <v>2.6167913219392291</v>
      </c>
      <c r="AH13">
        <f t="shared" si="9"/>
        <v>0</v>
      </c>
      <c r="AI13" s="68">
        <f t="shared" si="10"/>
        <v>3.3657321716550412</v>
      </c>
      <c r="AJ13" s="68">
        <f t="shared" si="11"/>
        <v>0</v>
      </c>
      <c r="AK13" s="67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7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75">
        <v>6.2461154282803021E-4</v>
      </c>
      <c r="V14" s="74">
        <v>0.13199635735350057</v>
      </c>
      <c r="W14" s="2">
        <v>-0.10560974891081049</v>
      </c>
      <c r="X14" s="75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79">
        <f t="shared" si="7"/>
        <v>7.3424786113457516</v>
      </c>
      <c r="AF14" s="80">
        <f t="shared" si="0"/>
        <v>0</v>
      </c>
      <c r="AG14" s="31">
        <f t="shared" si="8"/>
        <v>1.1964988496070021</v>
      </c>
      <c r="AH14">
        <f t="shared" si="9"/>
        <v>0</v>
      </c>
      <c r="AI14" s="68">
        <f t="shared" si="10"/>
        <v>6.2461154282803024</v>
      </c>
      <c r="AJ14" s="68">
        <f t="shared" si="11"/>
        <v>0</v>
      </c>
      <c r="AK14" s="67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7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75">
        <v>1.1984139041402108E-3</v>
      </c>
      <c r="V15" s="74">
        <v>0.12515811528751897</v>
      </c>
      <c r="W15" s="2">
        <v>-0.18793765586023906</v>
      </c>
      <c r="X15" s="75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79">
        <f t="shared" si="7"/>
        <v>20.735625254611129</v>
      </c>
      <c r="AF15" s="80">
        <f t="shared" si="0"/>
        <v>0</v>
      </c>
      <c r="AG15" s="31">
        <f t="shared" si="8"/>
        <v>0.59745797626783659</v>
      </c>
      <c r="AH15">
        <f t="shared" si="9"/>
        <v>0</v>
      </c>
      <c r="AI15" s="68">
        <f t="shared" si="10"/>
        <v>11.984139041402107</v>
      </c>
      <c r="AJ15" s="68">
        <f t="shared" si="11"/>
        <v>0</v>
      </c>
      <c r="AK15" s="67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7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75">
        <v>2.3571633551261869E-3</v>
      </c>
      <c r="V16" s="74">
        <v>0.1204727256130127</v>
      </c>
      <c r="W16" s="2">
        <v>-0.32187740475039894</v>
      </c>
      <c r="X16" s="75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79">
        <f t="shared" si="7"/>
        <v>43.5558248639651</v>
      </c>
      <c r="AF16" s="80">
        <f t="shared" si="0"/>
        <v>0</v>
      </c>
      <c r="AG16" s="31">
        <f t="shared" si="8"/>
        <v>0.36206748875576145</v>
      </c>
      <c r="AH16">
        <f t="shared" si="9"/>
        <v>0</v>
      </c>
      <c r="AI16" s="68">
        <f t="shared" si="10"/>
        <v>23.571633551261868</v>
      </c>
      <c r="AJ16" s="68">
        <f t="shared" si="11"/>
        <v>0</v>
      </c>
      <c r="AK16" s="67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7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75">
        <v>7.1000000461935997E-3</v>
      </c>
      <c r="V17" s="74">
        <v>0.19486266952716297</v>
      </c>
      <c r="W17" s="2">
        <v>-0.49550698962638023</v>
      </c>
      <c r="X17" s="75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79">
        <f t="shared" si="7"/>
        <v>35.177323205904017</v>
      </c>
      <c r="AF17" s="80">
        <f t="shared" si="0"/>
        <v>0</v>
      </c>
      <c r="AG17" s="31">
        <f t="shared" si="8"/>
        <v>0.81451241596355217</v>
      </c>
      <c r="AH17">
        <f t="shared" si="9"/>
        <v>0</v>
      </c>
      <c r="AI17" s="68">
        <f t="shared" si="10"/>
        <v>71.000000461935997</v>
      </c>
      <c r="AJ17" s="68">
        <f t="shared" si="11"/>
        <v>0</v>
      </c>
      <c r="AK17" s="67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7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75">
        <v>7.2386292668941759E-3</v>
      </c>
      <c r="V18" s="74">
        <v>0.11756050343842617</v>
      </c>
      <c r="W18" s="2">
        <v>-0.67253122920548303</v>
      </c>
      <c r="X18" s="75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79">
        <f t="shared" si="7"/>
        <v>45.237190706751498</v>
      </c>
      <c r="AF18" s="80">
        <f t="shared" si="0"/>
        <v>0</v>
      </c>
      <c r="AG18" s="31">
        <f t="shared" si="8"/>
        <v>0.34254347704180765</v>
      </c>
      <c r="AH18">
        <f t="shared" si="9"/>
        <v>49.000000000001265</v>
      </c>
      <c r="AI18" s="68">
        <f t="shared" si="10"/>
        <v>23.386292668940499</v>
      </c>
      <c r="AJ18" s="68">
        <f t="shared" si="11"/>
        <v>0</v>
      </c>
      <c r="AK18" s="67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7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75">
        <v>1.1016346548179045E-2</v>
      </c>
      <c r="V19" s="74">
        <v>0.11933367093836011</v>
      </c>
      <c r="W19" s="2">
        <v>-0.81481940558608035</v>
      </c>
      <c r="X19" s="75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79">
        <f t="shared" si="7"/>
        <v>21.003988940697266</v>
      </c>
      <c r="AF19" s="80">
        <f t="shared" si="0"/>
        <v>0</v>
      </c>
      <c r="AG19" s="31">
        <f t="shared" si="8"/>
        <v>0.55628967604391621</v>
      </c>
      <c r="AH19">
        <f t="shared" si="9"/>
        <v>99.000000000000199</v>
      </c>
      <c r="AI19" s="68">
        <f t="shared" si="10"/>
        <v>11.163465481790254</v>
      </c>
      <c r="AJ19" s="68">
        <f t="shared" si="11"/>
        <v>0</v>
      </c>
      <c r="AK19" s="67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7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75">
        <v>1.5421554579886813E-2</v>
      </c>
      <c r="V20" s="74">
        <v>0.1232596908297694</v>
      </c>
      <c r="W20" s="2">
        <v>-0.9034281906599263</v>
      </c>
      <c r="X20" s="75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79">
        <f t="shared" si="7"/>
        <v>6.5981764785781678</v>
      </c>
      <c r="AF20" s="80">
        <f t="shared" si="0"/>
        <v>0</v>
      </c>
      <c r="AG20" s="31">
        <f t="shared" si="8"/>
        <v>1.1639252289306665</v>
      </c>
      <c r="AH20">
        <f t="shared" si="9"/>
        <v>149.00000000000136</v>
      </c>
      <c r="AI20" s="68">
        <f t="shared" si="10"/>
        <v>5.2155457988667706</v>
      </c>
      <c r="AJ20" s="68">
        <f t="shared" si="11"/>
        <v>0</v>
      </c>
      <c r="AK20" s="67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7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75">
        <v>2.0139865568373858E-2</v>
      </c>
      <c r="V21" s="74">
        <v>0.1293385631126398</v>
      </c>
      <c r="W21" s="2">
        <v>-0.95204286396793458</v>
      </c>
      <c r="X21" s="75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79">
        <f t="shared" si="7"/>
        <v>1.6926561126463477</v>
      </c>
      <c r="AF21" s="80">
        <f t="shared" si="0"/>
        <v>0</v>
      </c>
      <c r="AG21" s="31">
        <f t="shared" si="8"/>
        <v>2.7830654236068177</v>
      </c>
      <c r="AH21">
        <f t="shared" si="9"/>
        <v>199.00000000000028</v>
      </c>
      <c r="AI21" s="68">
        <f t="shared" si="10"/>
        <v>2.3986556837382977</v>
      </c>
      <c r="AJ21" s="68">
        <f t="shared" si="11"/>
        <v>0</v>
      </c>
      <c r="AK21" s="67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7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75">
        <v>2.5021042245330444E-2</v>
      </c>
      <c r="V22" s="74">
        <v>0.13757028778701397</v>
      </c>
      <c r="W22" s="2">
        <v>-0.97506282275406442</v>
      </c>
      <c r="X22" s="75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79">
        <f t="shared" si="7"/>
        <v>0.43019437563323037</v>
      </c>
      <c r="AF22" s="80">
        <f t="shared" si="0"/>
        <v>0</v>
      </c>
      <c r="AG22" s="31">
        <f t="shared" si="8"/>
        <v>6.8067068557041539</v>
      </c>
      <c r="AH22">
        <f t="shared" si="9"/>
        <v>249.00000000000145</v>
      </c>
      <c r="AI22" s="68">
        <f t="shared" si="10"/>
        <v>1.2104224533029821</v>
      </c>
      <c r="AJ22" s="68">
        <f t="shared" si="11"/>
        <v>0</v>
      </c>
      <c r="AK22" s="67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7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75">
        <v>2.9971969328718363E-2</v>
      </c>
      <c r="V23" s="74">
        <v>0.14795486485286347</v>
      </c>
      <c r="W23" s="2">
        <v>-0.98537525388845271</v>
      </c>
      <c r="X23" s="75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79">
        <f t="shared" si="7"/>
        <v>0.12616486804391788</v>
      </c>
      <c r="AF23" s="80">
        <f t="shared" si="0"/>
        <v>0</v>
      </c>
      <c r="AG23" s="31">
        <f t="shared" si="8"/>
        <v>15.788436558050789</v>
      </c>
      <c r="AH23">
        <f t="shared" si="9"/>
        <v>299.0000000000004</v>
      </c>
      <c r="AI23" s="68">
        <f t="shared" si="10"/>
        <v>0.71969328718324732</v>
      </c>
      <c r="AJ23" s="68">
        <f t="shared" si="11"/>
        <v>0</v>
      </c>
      <c r="AK23" s="67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7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75">
        <v>3.4947170242700727E-2</v>
      </c>
      <c r="V24" s="74">
        <v>0.16049229431017409</v>
      </c>
      <c r="W24" s="2">
        <v>-0.99069384771629254</v>
      </c>
      <c r="X24" s="75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79">
        <f t="shared" si="7"/>
        <v>4.6772283820803874E-2</v>
      </c>
      <c r="AF24" s="80">
        <f t="shared" si="0"/>
        <v>0</v>
      </c>
      <c r="AG24" s="31">
        <f t="shared" si="8"/>
        <v>31.372455865521733</v>
      </c>
      <c r="AH24">
        <f t="shared" si="9"/>
        <v>349.00000000000153</v>
      </c>
      <c r="AI24" s="68">
        <f t="shared" si="10"/>
        <v>0.47170242700570952</v>
      </c>
      <c r="AJ24" s="68">
        <f t="shared" si="11"/>
        <v>0</v>
      </c>
      <c r="AK24" s="67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7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75">
        <v>3.9938167651417097E-2</v>
      </c>
      <c r="V25" s="74">
        <v>0.17518257615898847</v>
      </c>
      <c r="W25" s="2">
        <v>-0.99295163726063207</v>
      </c>
      <c r="X25" s="75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79">
        <f t="shared" si="7"/>
        <v>2.2646471320615008E-2</v>
      </c>
      <c r="AF25" s="80">
        <f t="shared" si="0"/>
        <v>0</v>
      </c>
      <c r="AG25" s="31">
        <f t="shared" si="8"/>
        <v>55.188383076612759</v>
      </c>
      <c r="AH25">
        <f t="shared" si="9"/>
        <v>399.00000000000045</v>
      </c>
      <c r="AI25" s="68">
        <f t="shared" si="10"/>
        <v>0.38167651417052184</v>
      </c>
      <c r="AJ25" s="68">
        <f t="shared" si="11"/>
        <v>0</v>
      </c>
      <c r="AK25" s="67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7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75">
        <v>4.4933497038128635E-2</v>
      </c>
      <c r="V26" s="74">
        <v>0.19202571039927818</v>
      </c>
      <c r="W26" s="2">
        <v>-0.99424128479175922</v>
      </c>
      <c r="X26" s="75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79">
        <f t="shared" si="7"/>
        <v>1.4175781923720973E-2</v>
      </c>
      <c r="AF26" s="80">
        <f t="shared" si="0"/>
        <v>0</v>
      </c>
      <c r="AG26" s="31">
        <f t="shared" si="8"/>
        <v>81.109049616459032</v>
      </c>
      <c r="AH26">
        <f t="shared" si="9"/>
        <v>449.00000000000159</v>
      </c>
      <c r="AI26" s="68">
        <f t="shared" si="10"/>
        <v>0.33497038128473378</v>
      </c>
      <c r="AJ26" s="68">
        <f t="shared" si="11"/>
        <v>0</v>
      </c>
      <c r="AK26" s="67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7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75">
        <v>4.9933175905381037E-2</v>
      </c>
      <c r="V27" s="74">
        <v>0.21102169703104323</v>
      </c>
      <c r="W27" s="2">
        <v>-0.99475196361446627</v>
      </c>
      <c r="X27" s="75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79">
        <f t="shared" si="7"/>
        <v>1.1079445380543156E-2</v>
      </c>
      <c r="AF27" s="80">
        <f t="shared" si="0"/>
        <v>0</v>
      </c>
      <c r="AG27" s="31">
        <f t="shared" si="8"/>
        <v>105.40070099707694</v>
      </c>
      <c r="AH27">
        <f t="shared" si="9"/>
        <v>499.00000000000057</v>
      </c>
      <c r="AI27" s="68">
        <f t="shared" si="10"/>
        <v>0.33175905380977611</v>
      </c>
      <c r="AJ27" s="68">
        <f t="shared" si="11"/>
        <v>0</v>
      </c>
      <c r="AK27" s="67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7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75">
        <v>5.4937219892936658E-2</v>
      </c>
      <c r="V28" s="74">
        <v>0.23217053605428362</v>
      </c>
      <c r="W28" s="2">
        <v>-0.99465768629688212</v>
      </c>
      <c r="X28" s="75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79">
        <f t="shared" si="7"/>
        <v>1.0341721713080104E-2</v>
      </c>
      <c r="AF28" s="80">
        <f t="shared" si="0"/>
        <v>0</v>
      </c>
      <c r="AG28" s="31">
        <f t="shared" si="8"/>
        <v>126.12416863922918</v>
      </c>
      <c r="AH28">
        <f t="shared" si="9"/>
        <v>549.00000000000171</v>
      </c>
      <c r="AI28" s="68">
        <f t="shared" si="10"/>
        <v>0.37219892936491306</v>
      </c>
      <c r="AJ28" s="68">
        <f t="shared" si="11"/>
        <v>0</v>
      </c>
      <c r="AK28" s="67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7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75">
        <v>5.9945648867460698E-2</v>
      </c>
      <c r="V29" s="74">
        <v>0.25547222746899934</v>
      </c>
      <c r="W29" s="2">
        <v>-0.99410840163359981</v>
      </c>
      <c r="X29" s="75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79">
        <f t="shared" si="7"/>
        <v>1.1027310175067948E-2</v>
      </c>
      <c r="AF29" s="80">
        <f t="shared" si="0"/>
        <v>0</v>
      </c>
      <c r="AG29" s="31">
        <f t="shared" si="8"/>
        <v>141.46580317148411</v>
      </c>
      <c r="AH29">
        <f t="shared" si="9"/>
        <v>599.00000000000068</v>
      </c>
      <c r="AI29" s="68">
        <f t="shared" si="10"/>
        <v>0.45648867460624842</v>
      </c>
      <c r="AJ29" s="68">
        <f t="shared" si="11"/>
        <v>0</v>
      </c>
      <c r="AK29" s="67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7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75">
        <v>6.4958485315866926E-2</v>
      </c>
      <c r="V30" s="74">
        <v>0.2809267712752046</v>
      </c>
      <c r="W30" s="2">
        <v>-0.99322759936178417</v>
      </c>
      <c r="X30" s="75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79">
        <f t="shared" si="7"/>
        <v>1.2915268299203968E-2</v>
      </c>
      <c r="AF30" s="80">
        <f t="shared" si="0"/>
        <v>0</v>
      </c>
      <c r="AG30" s="31">
        <f t="shared" si="8"/>
        <v>149.84245209160071</v>
      </c>
      <c r="AH30">
        <f t="shared" si="9"/>
        <v>648.99999999999955</v>
      </c>
      <c r="AI30" s="68">
        <f t="shared" si="10"/>
        <v>0.58485315866971632</v>
      </c>
      <c r="AJ30" s="68">
        <f t="shared" si="11"/>
        <v>0</v>
      </c>
      <c r="AK30" s="67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7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75">
        <v>6.9975749618210112E-2</v>
      </c>
      <c r="V31" s="74">
        <v>0.30853416747289941</v>
      </c>
      <c r="W31" s="2">
        <v>-0.99211342707809069</v>
      </c>
      <c r="X31" s="75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79">
        <f t="shared" si="7"/>
        <v>1.6089991007160562E-2</v>
      </c>
      <c r="AF31" s="80">
        <f t="shared" si="0"/>
        <v>0</v>
      </c>
      <c r="AG31" s="31">
        <f t="shared" si="8"/>
        <v>151.06578986246024</v>
      </c>
      <c r="AH31">
        <f t="shared" si="9"/>
        <v>699.00000000000068</v>
      </c>
      <c r="AI31" s="68">
        <f t="shared" si="10"/>
        <v>0.75749618210045355</v>
      </c>
      <c r="AJ31" s="68">
        <f t="shared" si="11"/>
        <v>0</v>
      </c>
      <c r="AK31" s="67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7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75">
        <v>7.4997461117907296E-2</v>
      </c>
      <c r="V32" s="74">
        <v>0.33829441606204114</v>
      </c>
      <c r="W32" s="2">
        <v>-0.99084222167956415</v>
      </c>
      <c r="X32" s="75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79">
        <f t="shared" si="7"/>
        <v>2.0798390317679268E-2</v>
      </c>
      <c r="AF32" s="80">
        <f t="shared" si="0"/>
        <v>0</v>
      </c>
      <c r="AG32" s="31">
        <f t="shared" si="8"/>
        <v>146.48789196445952</v>
      </c>
      <c r="AH32">
        <f t="shared" si="9"/>
        <v>749.00000000000193</v>
      </c>
      <c r="AI32" s="68">
        <f t="shared" si="10"/>
        <v>0.97461117907107564</v>
      </c>
      <c r="AJ32" s="68">
        <f t="shared" si="11"/>
        <v>0</v>
      </c>
      <c r="AK32" s="67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7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75">
        <v>8.0023639217036438E-2</v>
      </c>
      <c r="V33" s="74">
        <v>0.37020751704270083</v>
      </c>
      <c r="W33" s="2">
        <v>-0.98947196305720375</v>
      </c>
      <c r="X33" s="75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79">
        <f t="shared" si="7"/>
        <v>2.7384781625684872E-2</v>
      </c>
      <c r="AF33" s="80">
        <f t="shared" si="0"/>
        <v>0</v>
      </c>
      <c r="AG33" s="31">
        <f t="shared" si="8"/>
        <v>138.17692372576585</v>
      </c>
      <c r="AH33">
        <f t="shared" si="9"/>
        <v>799.0000000000008</v>
      </c>
      <c r="AI33" s="68">
        <f t="shared" si="10"/>
        <v>1.2363921703636152</v>
      </c>
      <c r="AJ33" s="68">
        <f t="shared" si="11"/>
        <v>0</v>
      </c>
      <c r="AK33" s="67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7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75">
        <v>8.5070516615054173E-2</v>
      </c>
      <c r="V34" s="74">
        <v>0.40427347041482165</v>
      </c>
      <c r="W34" s="2">
        <v>-0.98705691075711555</v>
      </c>
      <c r="X34" s="75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79">
        <f t="shared" si="7"/>
        <v>3.6246040357020379E-2</v>
      </c>
      <c r="AF34" s="80">
        <f t="shared" si="0"/>
        <v>0</v>
      </c>
      <c r="AG34" s="31">
        <f t="shared" si="8"/>
        <v>135.5007674587649</v>
      </c>
      <c r="AH34">
        <f t="shared" si="9"/>
        <v>848.99999999999977</v>
      </c>
      <c r="AI34" s="68">
        <f t="shared" si="10"/>
        <v>1.7051661505419133</v>
      </c>
      <c r="AJ34" s="68">
        <f t="shared" si="11"/>
        <v>0</v>
      </c>
      <c r="AK34" s="67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7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75">
        <v>9.0131182289735531E-2</v>
      </c>
      <c r="V35" s="74">
        <v>0.44049227617840359</v>
      </c>
      <c r="W35" s="2">
        <v>-0.98426134336016369</v>
      </c>
      <c r="X35" s="75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79">
        <f t="shared" si="7"/>
        <v>4.7789434207149921E-2</v>
      </c>
      <c r="AF35" s="80">
        <f t="shared" si="0"/>
        <v>0</v>
      </c>
      <c r="AG35" s="31">
        <f t="shared" si="8"/>
        <v>132.1274726100751</v>
      </c>
      <c r="AH35">
        <f t="shared" si="9"/>
        <v>899.00000000000091</v>
      </c>
      <c r="AI35" s="68">
        <f t="shared" si="10"/>
        <v>2.3118228973544319</v>
      </c>
      <c r="AJ35" s="68">
        <f t="shared" si="11"/>
        <v>0</v>
      </c>
      <c r="AK35" s="67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7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75">
        <v>5.5180738412799829E-2</v>
      </c>
      <c r="V36" s="74">
        <v>0.26420497997470704</v>
      </c>
      <c r="W36" s="2">
        <v>0.9903783911365891</v>
      </c>
      <c r="X36" s="75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79">
        <f t="shared" si="7"/>
        <v>3.2800856213844591E-2</v>
      </c>
      <c r="AF36" s="80">
        <f t="shared" si="0"/>
        <v>0</v>
      </c>
      <c r="AG36" s="31">
        <f t="shared" si="8"/>
        <v>75.954507610947516</v>
      </c>
      <c r="AH36">
        <f t="shared" si="9"/>
        <v>550.99999999999932</v>
      </c>
      <c r="AI36" s="68">
        <f t="shared" si="10"/>
        <v>0.80738412799894377</v>
      </c>
      <c r="AJ36" s="68">
        <f t="shared" si="11"/>
        <v>0</v>
      </c>
      <c r="AK36" s="67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7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75">
        <v>5.0174002271439908E-2</v>
      </c>
      <c r="V37" s="74">
        <v>0.24014391877688013</v>
      </c>
      <c r="W37" s="2">
        <v>0.99029902415853122</v>
      </c>
      <c r="X37" s="75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79">
        <f t="shared" si="7"/>
        <v>3.676813231140711E-2</v>
      </c>
      <c r="AF37" s="80">
        <f t="shared" si="0"/>
        <v>0</v>
      </c>
      <c r="AG37" s="31">
        <f t="shared" si="8"/>
        <v>62.04616585162745</v>
      </c>
      <c r="AH37">
        <f t="shared" si="9"/>
        <v>501.00000000000034</v>
      </c>
      <c r="AI37" s="68">
        <f t="shared" si="10"/>
        <v>0.74002271439871947</v>
      </c>
      <c r="AJ37" s="68">
        <f t="shared" si="11"/>
        <v>0</v>
      </c>
      <c r="AK37" s="67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7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75">
        <v>4.5171234214798316E-2</v>
      </c>
      <c r="V38" s="74">
        <v>0.21823570997051434</v>
      </c>
      <c r="W38" s="2">
        <v>0.98975605375086417</v>
      </c>
      <c r="X38" s="75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79">
        <f t="shared" si="7"/>
        <v>4.6890956590922656E-2</v>
      </c>
      <c r="AF38" s="80">
        <f t="shared" ref="AF38:AF69" si="13">IF(ISERR(AE38),0,AE38*M38)</f>
        <v>0</v>
      </c>
      <c r="AG38" s="31">
        <f t="shared" si="8"/>
        <v>46.468338225281492</v>
      </c>
      <c r="AH38">
        <f t="shared" si="9"/>
        <v>450.9999999999992</v>
      </c>
      <c r="AI38" s="68">
        <f t="shared" si="10"/>
        <v>0.71234214798397488</v>
      </c>
      <c r="AJ38" s="68">
        <f t="shared" si="11"/>
        <v>0</v>
      </c>
      <c r="AK38" s="67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7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75">
        <v>4.017984348371216E-2</v>
      </c>
      <c r="V39" s="74">
        <v>0.1984803535556523</v>
      </c>
      <c r="W39" s="2">
        <v>0.98770033251658362</v>
      </c>
      <c r="X39" s="75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79">
        <f t="shared" si="7"/>
        <v>7.022550901437126E-2</v>
      </c>
      <c r="AF39" s="80">
        <f t="shared" si="13"/>
        <v>0</v>
      </c>
      <c r="AG39" s="31">
        <f t="shared" si="8"/>
        <v>32.851264774431868</v>
      </c>
      <c r="AH39">
        <f t="shared" si="9"/>
        <v>401.00000000000023</v>
      </c>
      <c r="AI39" s="68">
        <f t="shared" si="10"/>
        <v>0.79843483712136276</v>
      </c>
      <c r="AJ39" s="68">
        <f t="shared" si="11"/>
        <v>0</v>
      </c>
      <c r="AK39" s="67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7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75">
        <v>3.5197576778754069E-2</v>
      </c>
      <c r="V40" s="74">
        <v>0.18087784953227981</v>
      </c>
      <c r="W40" s="2">
        <v>0.98401239466735069</v>
      </c>
      <c r="X40" s="75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79">
        <f t="shared" si="7"/>
        <v>0.12694368140890638</v>
      </c>
      <c r="AF40" s="80">
        <f t="shared" si="13"/>
        <v>0</v>
      </c>
      <c r="AG40" s="31">
        <f t="shared" si="8"/>
        <v>20.705487539410434</v>
      </c>
      <c r="AH40">
        <f t="shared" si="9"/>
        <v>350.99999999999909</v>
      </c>
      <c r="AI40" s="68">
        <f t="shared" si="10"/>
        <v>0.97576778754159932</v>
      </c>
      <c r="AJ40" s="68">
        <f t="shared" si="11"/>
        <v>0</v>
      </c>
      <c r="AK40" s="67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7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75">
        <v>3.0223132760095989E-2</v>
      </c>
      <c r="V41" s="74">
        <v>0.16542819790035423</v>
      </c>
      <c r="W41" s="2">
        <v>0.97850612927498648</v>
      </c>
      <c r="X41" s="75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79">
        <f t="shared" si="7"/>
        <v>0.28091492414006253</v>
      </c>
      <c r="AF41" s="80">
        <f t="shared" si="13"/>
        <v>0</v>
      </c>
      <c r="AG41" s="31">
        <f t="shared" si="8"/>
        <v>11.113481012024039</v>
      </c>
      <c r="AH41">
        <f t="shared" si="9"/>
        <v>301.00000000000017</v>
      </c>
      <c r="AI41" s="68">
        <f t="shared" si="10"/>
        <v>1.2313276009597303</v>
      </c>
      <c r="AJ41" s="68">
        <f t="shared" si="11"/>
        <v>0</v>
      </c>
      <c r="AK41" s="67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7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75">
        <v>2.52965524313538E-2</v>
      </c>
      <c r="V42" s="74">
        <v>0.15213139865993242</v>
      </c>
      <c r="W42" s="2">
        <v>0.96522940856043193</v>
      </c>
      <c r="X42" s="75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79">
        <f t="shared" si="7"/>
        <v>0.75193006058920608</v>
      </c>
      <c r="AF42" s="80">
        <f t="shared" si="13"/>
        <v>0</v>
      </c>
      <c r="AG42" s="31">
        <f t="shared" si="8"/>
        <v>5.661787924610306</v>
      </c>
      <c r="AH42">
        <f t="shared" si="9"/>
        <v>250.99999999999901</v>
      </c>
      <c r="AI42" s="68">
        <f t="shared" si="10"/>
        <v>1.9655243135389924</v>
      </c>
      <c r="AJ42" s="68">
        <f t="shared" si="11"/>
        <v>0</v>
      </c>
      <c r="AK42" s="67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7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75">
        <v>2.0436404881690615E-2</v>
      </c>
      <c r="V43" s="74">
        <v>0.14098745181098593</v>
      </c>
      <c r="W43" s="2">
        <v>0.9408577625029193</v>
      </c>
      <c r="X43" s="75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79">
        <f t="shared" si="7"/>
        <v>2.3099311394282047</v>
      </c>
      <c r="AF43" s="80">
        <f t="shared" si="13"/>
        <v>0</v>
      </c>
      <c r="AG43" s="31">
        <f t="shared" si="8"/>
        <v>2.6162164145267552</v>
      </c>
      <c r="AH43">
        <f t="shared" si="9"/>
        <v>201.00000000000006</v>
      </c>
      <c r="AI43" s="68">
        <f t="shared" si="10"/>
        <v>3.3640488169060916</v>
      </c>
      <c r="AJ43" s="68">
        <f t="shared" si="11"/>
        <v>0</v>
      </c>
      <c r="AK43" s="67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7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75">
        <v>1.5724484820930949E-2</v>
      </c>
      <c r="V44" s="74">
        <v>0.13199635735350057</v>
      </c>
      <c r="W44" s="2">
        <v>0.89445659155028767</v>
      </c>
      <c r="X44" s="75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79">
        <f t="shared" si="7"/>
        <v>7.3424786113457516</v>
      </c>
      <c r="AF44" s="80">
        <f t="shared" si="13"/>
        <v>0</v>
      </c>
      <c r="AG44" s="31">
        <f t="shared" si="8"/>
        <v>1.1963623000262436</v>
      </c>
      <c r="AH44">
        <f t="shared" si="9"/>
        <v>150.99999999999892</v>
      </c>
      <c r="AI44" s="68">
        <f t="shared" si="10"/>
        <v>6.2448482093105611</v>
      </c>
      <c r="AJ44" s="68">
        <f t="shared" si="11"/>
        <v>0</v>
      </c>
      <c r="AK44" s="67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7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75">
        <v>1.1298328568095721E-2</v>
      </c>
      <c r="V45" s="74">
        <v>0.12515811528751897</v>
      </c>
      <c r="W45" s="2">
        <v>0.81212876673398537</v>
      </c>
      <c r="X45" s="75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79">
        <f t="shared" si="7"/>
        <v>20.735625254611129</v>
      </c>
      <c r="AF45" s="80">
        <f t="shared" si="13"/>
        <v>0</v>
      </c>
      <c r="AG45" s="31">
        <f t="shared" si="8"/>
        <v>0.59742520241647146</v>
      </c>
      <c r="AH45">
        <f t="shared" si="9"/>
        <v>100.99999999999997</v>
      </c>
      <c r="AI45" s="68">
        <f t="shared" si="10"/>
        <v>11.983285680957238</v>
      </c>
      <c r="AJ45" s="68">
        <f t="shared" si="11"/>
        <v>0</v>
      </c>
      <c r="AK45" s="67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7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75">
        <v>7.4571183521020025E-3</v>
      </c>
      <c r="V46" s="74">
        <v>0.1204727256130127</v>
      </c>
      <c r="W46" s="2">
        <v>0.67818925711837008</v>
      </c>
      <c r="X46" s="75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79">
        <f t="shared" si="7"/>
        <v>43.5558248639651</v>
      </c>
      <c r="AF46" s="80">
        <f t="shared" si="13"/>
        <v>0</v>
      </c>
      <c r="AG46" s="31">
        <f t="shared" si="8"/>
        <v>0.36205912101811444</v>
      </c>
      <c r="AH46">
        <f t="shared" si="9"/>
        <v>50.99999999999882</v>
      </c>
      <c r="AI46" s="68">
        <f t="shared" si="10"/>
        <v>23.571183521021212</v>
      </c>
      <c r="AJ46" s="68">
        <f t="shared" si="11"/>
        <v>0</v>
      </c>
      <c r="AK46" s="67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7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75">
        <v>7.4000000022351742E-3</v>
      </c>
      <c r="V47" s="74">
        <v>0.20033945498258379</v>
      </c>
      <c r="W47" s="2">
        <v>0.50448938338421789</v>
      </c>
      <c r="X47" s="75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79">
        <f t="shared" si="7"/>
        <v>34.215724236502076</v>
      </c>
      <c r="AF47" s="80">
        <f t="shared" si="13"/>
        <v>0</v>
      </c>
      <c r="AG47" s="31">
        <f t="shared" si="8"/>
        <v>0.86095472924081462</v>
      </c>
      <c r="AH47">
        <f t="shared" si="9"/>
        <v>0.99999999999988987</v>
      </c>
      <c r="AI47" s="68">
        <f t="shared" si="10"/>
        <v>73.000000022351855</v>
      </c>
      <c r="AJ47" s="68">
        <f t="shared" si="11"/>
        <v>0</v>
      </c>
      <c r="AK47" s="67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7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75">
        <v>2.3386601062499526E-3</v>
      </c>
      <c r="V48" s="74">
        <v>0.11756050343842617</v>
      </c>
      <c r="W48" s="2">
        <v>0.32753638011934455</v>
      </c>
      <c r="X48" s="75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79">
        <f t="shared" si="7"/>
        <v>45.237190706751498</v>
      </c>
      <c r="AF48" s="80">
        <f t="shared" si="13"/>
        <v>0</v>
      </c>
      <c r="AG48" s="31">
        <f t="shared" si="8"/>
        <v>0.34254915207718151</v>
      </c>
      <c r="AH48">
        <f t="shared" si="9"/>
        <v>0</v>
      </c>
      <c r="AI48" s="68">
        <f t="shared" si="10"/>
        <v>23.386601062499526</v>
      </c>
      <c r="AJ48" s="68">
        <f t="shared" si="11"/>
        <v>0</v>
      </c>
      <c r="AK48" s="67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7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75">
        <v>1.1164091165729115E-3</v>
      </c>
      <c r="V49" s="74">
        <v>0.11933367093836011</v>
      </c>
      <c r="W49" s="2">
        <v>0.18524911076303147</v>
      </c>
      <c r="X49" s="75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79">
        <f t="shared" si="7"/>
        <v>21.003988940697266</v>
      </c>
      <c r="AF49" s="80">
        <f t="shared" si="13"/>
        <v>0</v>
      </c>
      <c r="AG49" s="31">
        <f t="shared" si="8"/>
        <v>0.5563163134847553</v>
      </c>
      <c r="AH49">
        <f t="shared" si="9"/>
        <v>0</v>
      </c>
      <c r="AI49" s="68">
        <f t="shared" si="10"/>
        <v>11.164091165729115</v>
      </c>
      <c r="AJ49" s="68">
        <f t="shared" si="11"/>
        <v>0</v>
      </c>
      <c r="AK49" s="67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7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75">
        <v>5.216474251880307E-4</v>
      </c>
      <c r="V50" s="74">
        <v>0.1232596908297694</v>
      </c>
      <c r="W50" s="2">
        <v>9.6641212812860214E-2</v>
      </c>
      <c r="X50" s="75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79">
        <f t="shared" si="7"/>
        <v>6.5981764785781678</v>
      </c>
      <c r="AF50" s="80">
        <f t="shared" si="13"/>
        <v>0</v>
      </c>
      <c r="AG50" s="31">
        <f t="shared" si="8"/>
        <v>1.1640550916612065</v>
      </c>
      <c r="AH50">
        <f t="shared" si="9"/>
        <v>0</v>
      </c>
      <c r="AI50" s="68">
        <f t="shared" si="10"/>
        <v>5.2164742518803067</v>
      </c>
      <c r="AJ50" s="68">
        <f t="shared" si="11"/>
        <v>0</v>
      </c>
      <c r="AK50" s="67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7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75">
        <v>2.3998364970128798E-4</v>
      </c>
      <c r="V51" s="74">
        <v>0.1293385631126398</v>
      </c>
      <c r="W51" s="2">
        <v>4.8027688265695208E-2</v>
      </c>
      <c r="X51" s="75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79">
        <f t="shared" si="7"/>
        <v>1.6926561126463477</v>
      </c>
      <c r="AF51" s="80">
        <f t="shared" si="13"/>
        <v>0</v>
      </c>
      <c r="AG51" s="31">
        <f t="shared" si="8"/>
        <v>2.7837386698892392</v>
      </c>
      <c r="AH51">
        <f t="shared" si="9"/>
        <v>0</v>
      </c>
      <c r="AI51" s="68">
        <f t="shared" si="10"/>
        <v>2.3998364970128798</v>
      </c>
      <c r="AJ51" s="68">
        <f t="shared" si="11"/>
        <v>0</v>
      </c>
      <c r="AK51" s="67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7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75">
        <v>1.2118092944529462E-4</v>
      </c>
      <c r="V52" s="74">
        <v>0.13757028778701397</v>
      </c>
      <c r="W52" s="2">
        <v>2.5008897404942047E-2</v>
      </c>
      <c r="X52" s="75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79">
        <f t="shared" si="7"/>
        <v>0.43019437563323037</v>
      </c>
      <c r="AF52" s="80">
        <f t="shared" si="13"/>
        <v>0</v>
      </c>
      <c r="AG52" s="31">
        <f t="shared" si="8"/>
        <v>6.8100114362019317</v>
      </c>
      <c r="AH52">
        <f t="shared" si="9"/>
        <v>0</v>
      </c>
      <c r="AI52" s="68">
        <f t="shared" si="10"/>
        <v>1.2118092944529462</v>
      </c>
      <c r="AJ52" s="68">
        <f t="shared" si="11"/>
        <v>0</v>
      </c>
      <c r="AK52" s="67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7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75">
        <v>7.2126364204528251E-5</v>
      </c>
      <c r="V53" s="74">
        <v>0.14795486485286347</v>
      </c>
      <c r="W53" s="2">
        <v>1.469739074729449E-2</v>
      </c>
      <c r="X53" s="75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79">
        <f t="shared" si="7"/>
        <v>0.12616486804391788</v>
      </c>
      <c r="AF53" s="80">
        <f t="shared" si="13"/>
        <v>0</v>
      </c>
      <c r="AG53" s="31">
        <f t="shared" si="8"/>
        <v>15.801960587990376</v>
      </c>
      <c r="AH53">
        <f t="shared" si="9"/>
        <v>0</v>
      </c>
      <c r="AI53" s="68">
        <f t="shared" si="10"/>
        <v>0.72126364204528248</v>
      </c>
      <c r="AJ53" s="68">
        <f t="shared" si="11"/>
        <v>0</v>
      </c>
      <c r="AK53" s="67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7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75">
        <v>4.7341293692565039E-5</v>
      </c>
      <c r="V54" s="74">
        <v>0.16049229431017409</v>
      </c>
      <c r="W54" s="2">
        <v>9.3796575175678007E-3</v>
      </c>
      <c r="X54" s="75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79">
        <f t="shared" si="7"/>
        <v>4.6772283820803874E-2</v>
      </c>
      <c r="AF54" s="80">
        <f t="shared" si="13"/>
        <v>0</v>
      </c>
      <c r="AG54" s="31">
        <f t="shared" si="8"/>
        <v>31.414975302260803</v>
      </c>
      <c r="AH54">
        <f t="shared" si="9"/>
        <v>0</v>
      </c>
      <c r="AI54" s="68">
        <f t="shared" si="10"/>
        <v>0.4734129369256504</v>
      </c>
      <c r="AJ54" s="68">
        <f t="shared" si="11"/>
        <v>0</v>
      </c>
      <c r="AK54" s="67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7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75">
        <v>3.8359639553938722E-5</v>
      </c>
      <c r="V55" s="74">
        <v>0.17518257615898847</v>
      </c>
      <c r="W55" s="2">
        <v>7.1224100425666325E-3</v>
      </c>
      <c r="X55" s="75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79">
        <f t="shared" si="7"/>
        <v>2.2646471320615008E-2</v>
      </c>
      <c r="AF55" s="80">
        <f t="shared" si="13"/>
        <v>0</v>
      </c>
      <c r="AG55" s="31">
        <f t="shared" si="8"/>
        <v>55.288484410975386</v>
      </c>
      <c r="AH55">
        <f t="shared" si="9"/>
        <v>0</v>
      </c>
      <c r="AI55" s="68">
        <f t="shared" si="10"/>
        <v>0.38359639553938724</v>
      </c>
      <c r="AJ55" s="68">
        <f t="shared" si="11"/>
        <v>0</v>
      </c>
      <c r="AK55" s="67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7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75">
        <v>3.3708268785229029E-5</v>
      </c>
      <c r="V56" s="74">
        <v>0.19202571039927818</v>
      </c>
      <c r="W56" s="2">
        <v>5.8332014101459308E-3</v>
      </c>
      <c r="X56" s="75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79">
        <f t="shared" si="7"/>
        <v>1.4175781923720973E-2</v>
      </c>
      <c r="AF56" s="80">
        <f t="shared" si="13"/>
        <v>0</v>
      </c>
      <c r="AG56" s="31">
        <f t="shared" si="8"/>
        <v>81.288790217800468</v>
      </c>
      <c r="AH56">
        <f t="shared" si="9"/>
        <v>0</v>
      </c>
      <c r="AI56" s="68">
        <f t="shared" si="10"/>
        <v>0.33708268785229029</v>
      </c>
      <c r="AJ56" s="68">
        <f t="shared" si="11"/>
        <v>0</v>
      </c>
      <c r="AK56" s="67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7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75">
        <v>3.3406769725283334E-5</v>
      </c>
      <c r="V57" s="74">
        <v>0.21102169703104323</v>
      </c>
      <c r="W57" s="2">
        <v>5.3227665009588747E-3</v>
      </c>
      <c r="X57" s="75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79">
        <f t="shared" si="7"/>
        <v>1.1079445380543156E-2</v>
      </c>
      <c r="AF57" s="80">
        <f t="shared" si="13"/>
        <v>0</v>
      </c>
      <c r="AG57" s="31">
        <f t="shared" si="8"/>
        <v>105.65606928360833</v>
      </c>
      <c r="AH57">
        <f t="shared" si="9"/>
        <v>0</v>
      </c>
      <c r="AI57" s="68">
        <f t="shared" si="10"/>
        <v>0.33406769725283336</v>
      </c>
      <c r="AJ57" s="68">
        <f t="shared" si="11"/>
        <v>0</v>
      </c>
      <c r="AK57" s="67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7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75">
        <v>3.7474658669514331E-5</v>
      </c>
      <c r="V58" s="74">
        <v>0.23217053605428362</v>
      </c>
      <c r="W58" s="2">
        <v>5.4170141095194035E-3</v>
      </c>
      <c r="X58" s="75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79">
        <f t="shared" si="7"/>
        <v>1.0341721713080104E-2</v>
      </c>
      <c r="AF58" s="80">
        <f t="shared" si="13"/>
        <v>0</v>
      </c>
      <c r="AG58" s="31">
        <f t="shared" si="8"/>
        <v>126.42515261377221</v>
      </c>
      <c r="AH58">
        <f t="shared" si="9"/>
        <v>0</v>
      </c>
      <c r="AI58" s="68">
        <f t="shared" si="10"/>
        <v>0.37474658669514332</v>
      </c>
      <c r="AJ58" s="68">
        <f t="shared" si="11"/>
        <v>0</v>
      </c>
      <c r="AK58" s="67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7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75">
        <v>4.5931375836816548E-5</v>
      </c>
      <c r="V59" s="74">
        <v>0.25547222746899934</v>
      </c>
      <c r="W59" s="2">
        <v>5.9660562201696056E-3</v>
      </c>
      <c r="X59" s="75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79">
        <f t="shared" si="7"/>
        <v>1.1027310175067948E-2</v>
      </c>
      <c r="AF59" s="80">
        <f t="shared" si="13"/>
        <v>0</v>
      </c>
      <c r="AG59" s="31">
        <f t="shared" si="8"/>
        <v>141.77423863341897</v>
      </c>
      <c r="AH59">
        <f t="shared" si="9"/>
        <v>0</v>
      </c>
      <c r="AI59" s="68">
        <f t="shared" si="10"/>
        <v>0.45931375836816546</v>
      </c>
      <c r="AJ59" s="68">
        <f t="shared" si="11"/>
        <v>0</v>
      </c>
      <c r="AK59" s="67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7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75">
        <v>5.879628266652186E-5</v>
      </c>
      <c r="V60" s="74">
        <v>0.2809267712752046</v>
      </c>
      <c r="W60" s="2">
        <v>6.8465843625261889E-3</v>
      </c>
      <c r="X60" s="75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79">
        <f t="shared" si="7"/>
        <v>1.2915268299203968E-2</v>
      </c>
      <c r="AF60" s="80">
        <f t="shared" si="13"/>
        <v>0</v>
      </c>
      <c r="AG60" s="31">
        <f t="shared" si="8"/>
        <v>150.127715166759</v>
      </c>
      <c r="AH60">
        <f t="shared" si="9"/>
        <v>0</v>
      </c>
      <c r="AI60" s="68">
        <f t="shared" si="10"/>
        <v>0.5879628266652186</v>
      </c>
      <c r="AJ60" s="68">
        <f t="shared" si="11"/>
        <v>0</v>
      </c>
      <c r="AK60" s="67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7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75">
        <v>7.6088660456964788E-5</v>
      </c>
      <c r="V61" s="74">
        <v>0.30853416747289941</v>
      </c>
      <c r="W61" s="2">
        <v>7.9604370634031359E-3</v>
      </c>
      <c r="X61" s="75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79">
        <f t="shared" si="7"/>
        <v>1.6089991007160562E-2</v>
      </c>
      <c r="AF61" s="80">
        <f t="shared" si="13"/>
        <v>0</v>
      </c>
      <c r="AG61" s="31">
        <f t="shared" si="8"/>
        <v>151.3133152274431</v>
      </c>
      <c r="AH61">
        <f t="shared" si="9"/>
        <v>0</v>
      </c>
      <c r="AI61" s="68">
        <f t="shared" si="10"/>
        <v>0.76088660456964785</v>
      </c>
      <c r="AJ61" s="68">
        <f t="shared" si="11"/>
        <v>0</v>
      </c>
      <c r="AK61" s="67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7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75">
        <v>9.782771035915851E-5</v>
      </c>
      <c r="V62" s="74">
        <v>0.33829441606204114</v>
      </c>
      <c r="W62" s="2">
        <v>9.231386342049331E-3</v>
      </c>
      <c r="X62" s="75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79">
        <f t="shared" si="7"/>
        <v>2.0798390317679268E-2</v>
      </c>
      <c r="AF62" s="80">
        <f t="shared" si="13"/>
        <v>0</v>
      </c>
      <c r="AG62" s="31">
        <f t="shared" si="8"/>
        <v>146.69304183922975</v>
      </c>
      <c r="AH62">
        <f t="shared" si="9"/>
        <v>0</v>
      </c>
      <c r="AI62" s="68">
        <f t="shared" si="10"/>
        <v>0.97827710359158515</v>
      </c>
      <c r="AJ62" s="68">
        <f t="shared" si="11"/>
        <v>0</v>
      </c>
      <c r="AK62" s="67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7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75">
        <v>1.2403255473835201E-4</v>
      </c>
      <c r="V63" s="74">
        <v>0.37020751704270083</v>
      </c>
      <c r="W63" s="2">
        <v>1.0601392863491977E-2</v>
      </c>
      <c r="X63" s="75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79">
        <f t="shared" si="7"/>
        <v>2.7384781625684872E-2</v>
      </c>
      <c r="AF63" s="80">
        <f t="shared" si="13"/>
        <v>0</v>
      </c>
      <c r="AG63" s="31">
        <f t="shared" si="8"/>
        <v>138.34345613898896</v>
      </c>
      <c r="AH63">
        <f t="shared" si="9"/>
        <v>0</v>
      </c>
      <c r="AI63" s="68">
        <f t="shared" si="10"/>
        <v>1.2403255473835202</v>
      </c>
      <c r="AJ63" s="68">
        <f t="shared" si="11"/>
        <v>0</v>
      </c>
      <c r="AK63" s="67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7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75">
        <v>1.7095647955773504E-4</v>
      </c>
      <c r="V64" s="74">
        <v>0.40427347041482165</v>
      </c>
      <c r="W64" s="2">
        <v>1.3016096373638784E-2</v>
      </c>
      <c r="X64" s="75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79">
        <f t="shared" si="7"/>
        <v>3.6246040357020379E-2</v>
      </c>
      <c r="AF64" s="80">
        <f t="shared" si="13"/>
        <v>0</v>
      </c>
      <c r="AG64" s="31">
        <f t="shared" si="8"/>
        <v>135.63417955315705</v>
      </c>
      <c r="AH64">
        <f t="shared" si="9"/>
        <v>0</v>
      </c>
      <c r="AI64" s="68">
        <f t="shared" si="10"/>
        <v>1.7095647955773505</v>
      </c>
      <c r="AJ64" s="68">
        <f t="shared" si="11"/>
        <v>0</v>
      </c>
      <c r="AK64" s="67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7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75">
        <v>2.3165590829105819E-4</v>
      </c>
      <c r="V65" s="74">
        <v>0.44049227617840359</v>
      </c>
      <c r="W65" s="2">
        <v>1.5811261977233655E-2</v>
      </c>
      <c r="X65" s="75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79">
        <f t="shared" si="7"/>
        <v>4.7789434207149921E-2</v>
      </c>
      <c r="AF65" s="80">
        <f t="shared" si="13"/>
        <v>0</v>
      </c>
      <c r="AG65" s="31">
        <f t="shared" si="8"/>
        <v>132.23494844380835</v>
      </c>
      <c r="AH65">
        <f t="shared" si="9"/>
        <v>0</v>
      </c>
      <c r="AI65" s="68">
        <f t="shared" si="10"/>
        <v>2.3165590829105818</v>
      </c>
      <c r="AJ65" s="68">
        <f t="shared" si="11"/>
        <v>0</v>
      </c>
      <c r="AK65" s="67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125</v>
      </c>
      <c r="M66" s="7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75">
        <v>1.4024361866305218E-4</v>
      </c>
      <c r="V66" s="74">
        <v>0.10908946559042221</v>
      </c>
      <c r="W66" s="2">
        <v>-1.5048388587889306E-2</v>
      </c>
      <c r="X66" s="75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79">
        <f t="shared" si="7"/>
        <v>2.0625827912747132</v>
      </c>
      <c r="AF66" s="80">
        <f t="shared" si="13"/>
        <v>0</v>
      </c>
      <c r="AG66" s="31">
        <f t="shared" si="8"/>
        <v>0.28480987706847444</v>
      </c>
      <c r="AH66">
        <f t="shared" si="9"/>
        <v>0</v>
      </c>
      <c r="AI66" s="68">
        <f t="shared" si="10"/>
        <v>1.4024361866305217</v>
      </c>
      <c r="AJ66" s="68">
        <f t="shared" si="11"/>
        <v>0</v>
      </c>
      <c r="AK66" s="67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125</v>
      </c>
      <c r="M67" s="7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75">
        <v>1.7091252918472518E-4</v>
      </c>
      <c r="V67" s="74">
        <v>0.10347358242750815</v>
      </c>
      <c r="W67" s="2">
        <v>-1.8909580693521087E-2</v>
      </c>
      <c r="X67" s="75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79">
        <f t="shared" si="7"/>
        <v>2.5508538457004701</v>
      </c>
      <c r="AF67" s="80">
        <f t="shared" si="13"/>
        <v>0</v>
      </c>
      <c r="AG67" s="31">
        <f t="shared" si="8"/>
        <v>0.26683482475524611</v>
      </c>
      <c r="AH67">
        <f t="shared" si="9"/>
        <v>0</v>
      </c>
      <c r="AI67" s="68">
        <f t="shared" si="10"/>
        <v>1.7091252918472517</v>
      </c>
      <c r="AJ67" s="68">
        <f t="shared" si="11"/>
        <v>0</v>
      </c>
      <c r="AK67" s="67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125</v>
      </c>
      <c r="M68" s="7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75">
        <v>2.2087118979903026E-4</v>
      </c>
      <c r="V68" s="74">
        <v>9.8277391541415682E-2</v>
      </c>
      <c r="W68" s="2">
        <v>-2.485039263321118E-2</v>
      </c>
      <c r="X68" s="75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79">
        <f t="shared" si="7"/>
        <v>3.2208385529844907</v>
      </c>
      <c r="AF68" s="80">
        <f t="shared" si="13"/>
        <v>0</v>
      </c>
      <c r="AG68" s="31">
        <f t="shared" si="8"/>
        <v>0.25292010887649569</v>
      </c>
      <c r="AH68">
        <f t="shared" si="9"/>
        <v>0</v>
      </c>
      <c r="AI68" s="68">
        <f t="shared" si="10"/>
        <v>2.2087118979903027</v>
      </c>
      <c r="AJ68" s="68">
        <f t="shared" si="11"/>
        <v>0</v>
      </c>
      <c r="AK68" s="67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125</v>
      </c>
      <c r="M69" s="7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75">
        <v>3.0525823040291824E-4</v>
      </c>
      <c r="V69" s="74">
        <v>9.3500892932148361E-2</v>
      </c>
      <c r="W69" s="2">
        <v>-3.4496333851781462E-2</v>
      </c>
      <c r="X69" s="75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79">
        <f t="shared" si="7"/>
        <v>4.1396815468591228</v>
      </c>
      <c r="AF69" s="80">
        <f t="shared" si="13"/>
        <v>0</v>
      </c>
      <c r="AG69" s="31">
        <f t="shared" si="8"/>
        <v>0.24557817734905291</v>
      </c>
      <c r="AH69">
        <f t="shared" si="9"/>
        <v>0</v>
      </c>
      <c r="AI69" s="68">
        <f t="shared" si="10"/>
        <v>3.0525823040291824</v>
      </c>
      <c r="AJ69" s="68">
        <f t="shared" si="11"/>
        <v>0</v>
      </c>
      <c r="AK69" s="67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125</v>
      </c>
      <c r="M70" s="7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75">
        <v>4.2430784877228365E-4</v>
      </c>
      <c r="V70" s="74">
        <v>8.9144086599702632E-2</v>
      </c>
      <c r="W70" s="2">
        <v>-4.7955376057874304E-2</v>
      </c>
      <c r="X70" s="75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79">
        <f t="shared" si="7"/>
        <v>5.3897078905659122</v>
      </c>
      <c r="AF70" s="80">
        <f t="shared" ref="AF70:AF101" si="17">IF(ISERR(AE70),0,AE70*M70)</f>
        <v>0</v>
      </c>
      <c r="AG70" s="31">
        <f t="shared" si="8"/>
        <v>0.2354963522502419</v>
      </c>
      <c r="AH70">
        <f t="shared" si="9"/>
        <v>0</v>
      </c>
      <c r="AI70" s="68">
        <f t="shared" si="10"/>
        <v>4.243078487722836</v>
      </c>
      <c r="AJ70" s="68">
        <f t="shared" si="11"/>
        <v>0</v>
      </c>
      <c r="AK70" s="67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125</v>
      </c>
      <c r="M71" s="7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75">
        <v>6.1686464319775445E-4</v>
      </c>
      <c r="V71" s="74">
        <v>8.5206972544082049E-2</v>
      </c>
      <c r="W71" s="2">
        <v>-6.889121112523823E-2</v>
      </c>
      <c r="X71" s="75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79">
        <f t="shared" ref="AE71:AE125" si="21">BSGamma($AA$17,E71,D71,0.001,V71)</f>
        <v>7.0585798618520474</v>
      </c>
      <c r="AF71" s="80">
        <f t="shared" si="17"/>
        <v>0</v>
      </c>
      <c r="AG71" s="31">
        <f t="shared" ref="AG71:AG125" si="22">IF(AE71 = 0,0,(Y71*-10000)/AE71)</f>
        <v>0.22917271759170371</v>
      </c>
      <c r="AH71">
        <f t="shared" ref="AH71:AH125" si="23">IF(F71="C",MAX(0,$AA$14-E71),MAX(0,E71-$AA$14))*10000</f>
        <v>0</v>
      </c>
      <c r="AI71" s="68">
        <f t="shared" ref="AI71:AI125" si="24">MAX(0,(U71*10000)-AH71)</f>
        <v>6.1686464319775443</v>
      </c>
      <c r="AJ71" s="68">
        <f t="shared" ref="AJ71:AJ125" si="25">AI71*M71</f>
        <v>0</v>
      </c>
      <c r="AK71" s="67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125</v>
      </c>
      <c r="M72" s="7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75">
        <v>9.375124077932583E-4</v>
      </c>
      <c r="V72" s="74">
        <v>8.1689550765279506E-2</v>
      </c>
      <c r="W72" s="2">
        <v>-0.1011482523224258</v>
      </c>
      <c r="X72" s="75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79">
        <f t="shared" si="21"/>
        <v>9.2128913662044347</v>
      </c>
      <c r="AF72" s="80">
        <f t="shared" si="17"/>
        <v>0</v>
      </c>
      <c r="AG72" s="31">
        <f t="shared" si="22"/>
        <v>0.22378184295936682</v>
      </c>
      <c r="AH72">
        <f t="shared" si="23"/>
        <v>0</v>
      </c>
      <c r="AI72" s="68">
        <f t="shared" si="24"/>
        <v>9.3751240779325826</v>
      </c>
      <c r="AJ72" s="68">
        <f t="shared" si="25"/>
        <v>0</v>
      </c>
      <c r="AK72" s="67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125</v>
      </c>
      <c r="M73" s="7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75">
        <v>1.416978241784104E-3</v>
      </c>
      <c r="V73" s="74">
        <v>7.8591821263305661E-2</v>
      </c>
      <c r="W73" s="2">
        <v>-0.14660509614944628</v>
      </c>
      <c r="X73" s="75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79">
        <f t="shared" si="21"/>
        <v>11.848012684558357</v>
      </c>
      <c r="AF73" s="80">
        <f t="shared" si="17"/>
        <v>0</v>
      </c>
      <c r="AG73" s="31">
        <f t="shared" si="22"/>
        <v>0.21756578207753657</v>
      </c>
      <c r="AH73">
        <f t="shared" si="23"/>
        <v>0</v>
      </c>
      <c r="AI73" s="68">
        <f t="shared" si="24"/>
        <v>14.16978241784104</v>
      </c>
      <c r="AJ73" s="68">
        <f t="shared" si="25"/>
        <v>0</v>
      </c>
      <c r="AK73" s="67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125</v>
      </c>
      <c r="M74" s="7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75">
        <v>2.6000000070780516E-3</v>
      </c>
      <c r="V74" s="74">
        <v>8.2106750773082798E-2</v>
      </c>
      <c r="W74" s="2">
        <v>-0.22845899713945739</v>
      </c>
      <c r="X74" s="75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79">
        <f t="shared" si="21"/>
        <v>14.27950708796053</v>
      </c>
      <c r="AF74" s="80">
        <f t="shared" si="17"/>
        <v>0</v>
      </c>
      <c r="AG74" s="31">
        <f t="shared" si="22"/>
        <v>0.24864260014442793</v>
      </c>
      <c r="AH74">
        <f t="shared" si="23"/>
        <v>0</v>
      </c>
      <c r="AI74" s="68">
        <f t="shared" si="24"/>
        <v>26.000000070780516</v>
      </c>
      <c r="AJ74" s="68">
        <f t="shared" si="25"/>
        <v>0</v>
      </c>
      <c r="AK74" s="67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125</v>
      </c>
      <c r="M75" s="7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75">
        <v>3.7000000011175871E-3</v>
      </c>
      <c r="V75" s="74">
        <v>7.8934224134678738E-2</v>
      </c>
      <c r="W75" s="2">
        <v>-0.30734476741151529</v>
      </c>
      <c r="X75" s="75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79">
        <f t="shared" si="21"/>
        <v>16.874701936160449</v>
      </c>
      <c r="AF75" s="80">
        <f t="shared" si="17"/>
        <v>0</v>
      </c>
      <c r="AG75" s="31">
        <f t="shared" si="22"/>
        <v>0.23562459352676601</v>
      </c>
      <c r="AH75">
        <f t="shared" si="23"/>
        <v>0</v>
      </c>
      <c r="AI75" s="68">
        <f t="shared" si="24"/>
        <v>37.000000011175871</v>
      </c>
      <c r="AJ75" s="68">
        <f t="shared" si="25"/>
        <v>0</v>
      </c>
      <c r="AK75" s="67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125</v>
      </c>
      <c r="M76" s="7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75">
        <v>5.2999998442828655E-3</v>
      </c>
      <c r="V76" s="74">
        <v>7.6751744999702859E-2</v>
      </c>
      <c r="W76" s="2">
        <v>-0.40536358511188464</v>
      </c>
      <c r="X76" s="75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79">
        <f t="shared" si="21"/>
        <v>18.945403404816481</v>
      </c>
      <c r="AF76" s="80">
        <f t="shared" si="17"/>
        <v>0</v>
      </c>
      <c r="AG76" s="31">
        <f t="shared" si="22"/>
        <v>0.22555768755375621</v>
      </c>
      <c r="AH76">
        <f t="shared" si="23"/>
        <v>0</v>
      </c>
      <c r="AI76" s="68">
        <f t="shared" si="24"/>
        <v>52.999998442828655</v>
      </c>
      <c r="AJ76" s="68">
        <f t="shared" si="25"/>
        <v>0</v>
      </c>
      <c r="AK76" s="67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125</v>
      </c>
      <c r="M77" s="7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75">
        <v>7.4000000022351742E-3</v>
      </c>
      <c r="V77" s="74">
        <v>7.4396303419425852E-2</v>
      </c>
      <c r="W77" s="2">
        <v>-0.5158690329125325</v>
      </c>
      <c r="X77" s="75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79">
        <f t="shared" si="21"/>
        <v>20.21325433709297</v>
      </c>
      <c r="AF77" s="80">
        <f t="shared" si="17"/>
        <v>0</v>
      </c>
      <c r="AG77" s="31">
        <f t="shared" si="22"/>
        <v>0.21085869059553361</v>
      </c>
      <c r="AH77">
        <f t="shared" si="23"/>
        <v>0</v>
      </c>
      <c r="AI77" s="68">
        <f t="shared" si="24"/>
        <v>74.000000022351742</v>
      </c>
      <c r="AJ77" s="68">
        <f t="shared" si="25"/>
        <v>0</v>
      </c>
      <c r="AK77" s="67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125</v>
      </c>
      <c r="M78" s="7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75">
        <v>9.849963790279654E-3</v>
      </c>
      <c r="V78" s="74">
        <v>6.9398557905767433E-2</v>
      </c>
      <c r="W78" s="2">
        <v>-0.63690171392061634</v>
      </c>
      <c r="X78" s="75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79">
        <f t="shared" si="21"/>
        <v>20.964611424025698</v>
      </c>
      <c r="AF78" s="80">
        <f t="shared" si="17"/>
        <v>0</v>
      </c>
      <c r="AG78" s="31">
        <f t="shared" si="22"/>
        <v>0.17817665744761582</v>
      </c>
      <c r="AH78">
        <f t="shared" si="23"/>
        <v>49.000000000001265</v>
      </c>
      <c r="AI78" s="68">
        <f t="shared" si="24"/>
        <v>49.499637902795271</v>
      </c>
      <c r="AJ78" s="68">
        <f t="shared" si="25"/>
        <v>0</v>
      </c>
      <c r="AK78" s="67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125</v>
      </c>
      <c r="M79" s="7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75">
        <v>1.3283389033889077E-2</v>
      </c>
      <c r="V79" s="74">
        <v>6.881898206473025E-2</v>
      </c>
      <c r="W79" s="2">
        <v>-0.74548194298778125</v>
      </c>
      <c r="X79" s="75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79">
        <f t="shared" si="21"/>
        <v>18.966696983020402</v>
      </c>
      <c r="AF79" s="80">
        <f t="shared" si="17"/>
        <v>0</v>
      </c>
      <c r="AG79" s="31">
        <f t="shared" si="22"/>
        <v>0.16672478502391211</v>
      </c>
      <c r="AH79">
        <f t="shared" si="23"/>
        <v>99.000000000000199</v>
      </c>
      <c r="AI79" s="68">
        <f t="shared" si="24"/>
        <v>33.833890338890569</v>
      </c>
      <c r="AJ79" s="68">
        <f t="shared" si="25"/>
        <v>0</v>
      </c>
      <c r="AK79" s="67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125</v>
      </c>
      <c r="M80" s="7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75">
        <v>1.7238446061206374E-2</v>
      </c>
      <c r="V80" s="74">
        <v>6.8659098500514659E-2</v>
      </c>
      <c r="W80" s="2">
        <v>-0.83383467431171088</v>
      </c>
      <c r="X80" s="75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79">
        <f t="shared" si="21"/>
        <v>15.830086546313025</v>
      </c>
      <c r="AF80" s="80">
        <f t="shared" si="17"/>
        <v>0</v>
      </c>
      <c r="AG80" s="31">
        <f t="shared" si="22"/>
        <v>0.15479822304310259</v>
      </c>
      <c r="AH80">
        <f t="shared" si="23"/>
        <v>149.00000000000136</v>
      </c>
      <c r="AI80" s="68">
        <f t="shared" si="24"/>
        <v>23.384460612062384</v>
      </c>
      <c r="AJ80" s="68">
        <f t="shared" si="25"/>
        <v>0</v>
      </c>
      <c r="AK80" s="67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125</v>
      </c>
      <c r="M81" s="7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75">
        <v>2.1592768441763846E-2</v>
      </c>
      <c r="V81" s="74">
        <v>6.8918907213120661E-2</v>
      </c>
      <c r="W81" s="2">
        <v>-0.89843898729750027</v>
      </c>
      <c r="X81" s="75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79">
        <f t="shared" si="21"/>
        <v>12.266456863590509</v>
      </c>
      <c r="AF81" s="80">
        <f t="shared" si="17"/>
        <v>0</v>
      </c>
      <c r="AG81" s="31">
        <f t="shared" si="22"/>
        <v>0.14277095450182731</v>
      </c>
      <c r="AH81">
        <f t="shared" si="23"/>
        <v>199.00000000000028</v>
      </c>
      <c r="AI81" s="68">
        <f t="shared" si="24"/>
        <v>16.927684417638176</v>
      </c>
      <c r="AJ81" s="68">
        <f t="shared" si="25"/>
        <v>0</v>
      </c>
      <c r="AK81" s="67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125</v>
      </c>
      <c r="M82" s="7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75">
        <v>2.6221137682861727E-2</v>
      </c>
      <c r="V82" s="74">
        <v>6.9598408202555362E-2</v>
      </c>
      <c r="W82" s="2">
        <v>-0.941242699965532</v>
      </c>
      <c r="X82" s="75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79">
        <f t="shared" si="21"/>
        <v>8.925988003472197</v>
      </c>
      <c r="AF82" s="80">
        <f t="shared" si="17"/>
        <v>0</v>
      </c>
      <c r="AG82" s="31">
        <f t="shared" si="22"/>
        <v>0.13108209667228526</v>
      </c>
      <c r="AH82">
        <f t="shared" si="23"/>
        <v>249.00000000000145</v>
      </c>
      <c r="AI82" s="68">
        <f t="shared" si="24"/>
        <v>13.21137682861584</v>
      </c>
      <c r="AJ82" s="68">
        <f t="shared" si="25"/>
        <v>0</v>
      </c>
      <c r="AK82" s="67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125</v>
      </c>
      <c r="M83" s="7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75">
        <v>3.101912880198604E-2</v>
      </c>
      <c r="V83" s="74">
        <v>7.0697601468808102E-2</v>
      </c>
      <c r="W83" s="2">
        <v>-0.96735155062787792</v>
      </c>
      <c r="X83" s="75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79">
        <f t="shared" si="21"/>
        <v>6.1936317504085476</v>
      </c>
      <c r="AF83" s="80">
        <f t="shared" si="17"/>
        <v>0</v>
      </c>
      <c r="AG83" s="31">
        <f t="shared" si="22"/>
        <v>0.12016706344522893</v>
      </c>
      <c r="AH83">
        <f t="shared" si="23"/>
        <v>299.0000000000004</v>
      </c>
      <c r="AI83" s="68">
        <f t="shared" si="24"/>
        <v>11.191288019859996</v>
      </c>
      <c r="AJ83" s="68">
        <f t="shared" si="25"/>
        <v>0</v>
      </c>
      <c r="AK83" s="67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125</v>
      </c>
      <c r="M84" s="7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75">
        <v>3.5913001313962231E-2</v>
      </c>
      <c r="V84" s="74">
        <v>7.2216487011885988E-2</v>
      </c>
      <c r="W84" s="2">
        <v>-0.98238765674169393</v>
      </c>
      <c r="X84" s="75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79">
        <f t="shared" si="21"/>
        <v>4.1708815707512468</v>
      </c>
      <c r="AF84" s="80">
        <f t="shared" si="17"/>
        <v>0</v>
      </c>
      <c r="AG84" s="31">
        <f t="shared" si="22"/>
        <v>0.11000741309514529</v>
      </c>
      <c r="AH84">
        <f t="shared" si="23"/>
        <v>349.00000000000153</v>
      </c>
      <c r="AI84" s="68">
        <f t="shared" si="24"/>
        <v>10.130013139620758</v>
      </c>
      <c r="AJ84" s="68">
        <f t="shared" si="25"/>
        <v>0</v>
      </c>
      <c r="AK84" s="67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125</v>
      </c>
      <c r="M85" s="7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75">
        <v>4.0857647090208234E-2</v>
      </c>
      <c r="V85" s="74">
        <v>7.4155064831785467E-2</v>
      </c>
      <c r="W85" s="2">
        <v>-0.99081709690255992</v>
      </c>
      <c r="X85" s="75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79">
        <f t="shared" si="21"/>
        <v>2.7756496411278038</v>
      </c>
      <c r="AF85" s="80">
        <f t="shared" si="17"/>
        <v>0</v>
      </c>
      <c r="AG85" s="31">
        <f t="shared" si="22"/>
        <v>9.9551234455510548E-2</v>
      </c>
      <c r="AH85">
        <f t="shared" si="23"/>
        <v>399.00000000000045</v>
      </c>
      <c r="AI85" s="68">
        <f t="shared" si="24"/>
        <v>9.5764709020818941</v>
      </c>
      <c r="AJ85" s="68">
        <f t="shared" si="25"/>
        <v>0</v>
      </c>
      <c r="AK85" s="67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125</v>
      </c>
      <c r="M86" s="7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75">
        <v>4.5831666032853526E-2</v>
      </c>
      <c r="V86" s="74">
        <v>7.6513334928510091E-2</v>
      </c>
      <c r="W86" s="2">
        <v>-0.99506620802919665</v>
      </c>
      <c r="X86" s="75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79">
        <f t="shared" si="21"/>
        <v>1.8566282870363515</v>
      </c>
      <c r="AF86" s="80">
        <f t="shared" si="17"/>
        <v>0</v>
      </c>
      <c r="AG86" s="31">
        <f t="shared" si="22"/>
        <v>9.2624073176160476E-2</v>
      </c>
      <c r="AH86">
        <f t="shared" si="23"/>
        <v>449.00000000000159</v>
      </c>
      <c r="AI86" s="68">
        <f t="shared" si="24"/>
        <v>9.3166603285336578</v>
      </c>
      <c r="AJ86" s="68">
        <f t="shared" si="25"/>
        <v>0</v>
      </c>
      <c r="AK86" s="67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125</v>
      </c>
      <c r="M87" s="7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75">
        <v>5.0818822908783166E-2</v>
      </c>
      <c r="V87" s="74">
        <v>7.9291297302056307E-2</v>
      </c>
      <c r="W87" s="2">
        <v>-0.99725158365350686</v>
      </c>
      <c r="X87" s="75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79">
        <f t="shared" si="21"/>
        <v>1.2665855923741034</v>
      </c>
      <c r="AF87" s="80">
        <f t="shared" si="17"/>
        <v>0</v>
      </c>
      <c r="AG87" s="31">
        <f t="shared" si="22"/>
        <v>8.9697182728202832E-2</v>
      </c>
      <c r="AH87">
        <f t="shared" si="23"/>
        <v>499.00000000000057</v>
      </c>
      <c r="AI87" s="68">
        <f t="shared" si="24"/>
        <v>9.1882290878310755</v>
      </c>
      <c r="AJ87" s="68">
        <f t="shared" si="25"/>
        <v>0</v>
      </c>
      <c r="AK87" s="67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125</v>
      </c>
      <c r="M88" s="7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75">
        <v>5.5810241044231573E-2</v>
      </c>
      <c r="V88" s="74">
        <v>8.2488951952424117E-2</v>
      </c>
      <c r="W88" s="2">
        <v>-0.99872032790875331</v>
      </c>
      <c r="X88" s="75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79">
        <f t="shared" si="21"/>
        <v>0.89132207788010698</v>
      </c>
      <c r="AF88" s="80">
        <f t="shared" si="17"/>
        <v>0</v>
      </c>
      <c r="AG88" s="31">
        <f t="shared" si="22"/>
        <v>7.9847961329256797E-2</v>
      </c>
      <c r="AH88">
        <f t="shared" si="23"/>
        <v>549.00000000000171</v>
      </c>
      <c r="AI88" s="68">
        <f t="shared" si="24"/>
        <v>9.102410442314067</v>
      </c>
      <c r="AJ88" s="68">
        <f t="shared" si="25"/>
        <v>0</v>
      </c>
      <c r="AK88" s="67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125</v>
      </c>
      <c r="M89" s="7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75">
        <v>6.080730140755982E-2</v>
      </c>
      <c r="V89" s="74">
        <v>8.6106298879613519E-2</v>
      </c>
      <c r="W89" s="2">
        <v>-0.99927152965490784</v>
      </c>
      <c r="X89" s="75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79">
        <f t="shared" si="21"/>
        <v>0.65216122545434729</v>
      </c>
      <c r="AF89" s="80">
        <f t="shared" si="17"/>
        <v>0</v>
      </c>
      <c r="AG89" s="31">
        <f t="shared" si="22"/>
        <v>8.3007291537410682E-2</v>
      </c>
      <c r="AH89">
        <f t="shared" si="23"/>
        <v>599.00000000000068</v>
      </c>
      <c r="AI89" s="68">
        <f t="shared" si="24"/>
        <v>9.0730140755974844</v>
      </c>
      <c r="AJ89" s="68">
        <f t="shared" si="25"/>
        <v>0</v>
      </c>
      <c r="AK89" s="67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125</v>
      </c>
      <c r="M90" s="7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75">
        <v>6.5805048176177078E-2</v>
      </c>
      <c r="V90" s="74">
        <v>9.0143338083628066E-2</v>
      </c>
      <c r="W90" s="2">
        <v>-0.99968592676117185</v>
      </c>
      <c r="X90" s="75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79">
        <f t="shared" si="21"/>
        <v>0.49838651179699572</v>
      </c>
      <c r="AF90" s="80">
        <f t="shared" si="17"/>
        <v>0</v>
      </c>
      <c r="AG90" s="31">
        <f t="shared" si="22"/>
        <v>8.1751712431278004E-2</v>
      </c>
      <c r="AH90">
        <f t="shared" si="23"/>
        <v>648.99999999999955</v>
      </c>
      <c r="AI90" s="68">
        <f t="shared" si="24"/>
        <v>9.0504817617712661</v>
      </c>
      <c r="AJ90" s="68">
        <f t="shared" si="25"/>
        <v>0</v>
      </c>
      <c r="AK90" s="67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125</v>
      </c>
      <c r="M91" s="7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75">
        <v>7.0803294364885874E-2</v>
      </c>
      <c r="V91" s="74">
        <v>9.4600069564467759E-2</v>
      </c>
      <c r="W91" s="2">
        <v>-0.999999999999999</v>
      </c>
      <c r="X91" s="75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79">
        <f t="shared" si="21"/>
        <v>0.39843716284847924</v>
      </c>
      <c r="AF91" s="80">
        <f t="shared" si="17"/>
        <v>0</v>
      </c>
      <c r="AG91" s="31">
        <f t="shared" si="22"/>
        <v>7.5287670028811676E-2</v>
      </c>
      <c r="AH91">
        <f t="shared" si="23"/>
        <v>699.00000000000068</v>
      </c>
      <c r="AI91" s="68">
        <f t="shared" si="24"/>
        <v>9.0329436488580086</v>
      </c>
      <c r="AJ91" s="68">
        <f t="shared" si="25"/>
        <v>0</v>
      </c>
      <c r="AK91" s="67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125</v>
      </c>
      <c r="M92" s="7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75">
        <v>7.5802867299009688E-2</v>
      </c>
      <c r="V92" s="74">
        <v>9.9476493322129045E-2</v>
      </c>
      <c r="W92" s="2">
        <v>-0.999999999999999</v>
      </c>
      <c r="X92" s="75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79">
        <f t="shared" si="21"/>
        <v>0.33296329167207256</v>
      </c>
      <c r="AF92" s="80">
        <f t="shared" si="17"/>
        <v>0</v>
      </c>
      <c r="AG92" s="31">
        <f t="shared" si="22"/>
        <v>8.1677514573649149E-2</v>
      </c>
      <c r="AH92">
        <f t="shared" si="23"/>
        <v>749.00000000000193</v>
      </c>
      <c r="AI92" s="68">
        <f t="shared" si="24"/>
        <v>9.0286729900949467</v>
      </c>
      <c r="AJ92" s="68">
        <f t="shared" si="25"/>
        <v>0</v>
      </c>
      <c r="AK92" s="67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125</v>
      </c>
      <c r="M93" s="7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75">
        <v>8.0802648662578025E-2</v>
      </c>
      <c r="V93" s="74">
        <v>0.10477260935661192</v>
      </c>
      <c r="W93" s="2">
        <v>-0.999999999999999</v>
      </c>
      <c r="X93" s="75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79">
        <f t="shared" si="21"/>
        <v>0.29011879166991733</v>
      </c>
      <c r="AF93" s="80">
        <f t="shared" si="17"/>
        <v>0</v>
      </c>
      <c r="AG93" s="31">
        <f t="shared" si="22"/>
        <v>8.9127839495605349E-2</v>
      </c>
      <c r="AH93">
        <f t="shared" si="23"/>
        <v>799.0000000000008</v>
      </c>
      <c r="AI93" s="68">
        <f t="shared" si="24"/>
        <v>9.0264866257793983</v>
      </c>
      <c r="AJ93" s="68">
        <f t="shared" si="25"/>
        <v>0</v>
      </c>
      <c r="AK93" s="67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125</v>
      </c>
      <c r="M94" s="7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75">
        <v>8.5802592579225401E-2</v>
      </c>
      <c r="V94" s="74">
        <v>0.11048841766791995</v>
      </c>
      <c r="W94" s="2">
        <v>-0.999999999999999</v>
      </c>
      <c r="X94" s="75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79">
        <f t="shared" si="21"/>
        <v>0.26259900085871601</v>
      </c>
      <c r="AF94" s="80">
        <f t="shared" si="17"/>
        <v>0</v>
      </c>
      <c r="AG94" s="31">
        <f t="shared" si="22"/>
        <v>9.8079373998648037E-2</v>
      </c>
      <c r="AH94">
        <f t="shared" si="23"/>
        <v>848.99999999999977</v>
      </c>
      <c r="AI94" s="68">
        <f t="shared" si="24"/>
        <v>9.0259257922542702</v>
      </c>
      <c r="AJ94" s="68">
        <f t="shared" si="25"/>
        <v>0</v>
      </c>
      <c r="AK94" s="67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125</v>
      </c>
      <c r="M95" s="7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75">
        <v>9.0802697769349655E-2</v>
      </c>
      <c r="V95" s="74">
        <v>0.11662391825604956</v>
      </c>
      <c r="W95" s="2">
        <v>-0.999999999999999</v>
      </c>
      <c r="X95" s="75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79">
        <f t="shared" si="21"/>
        <v>0.24584255551427811</v>
      </c>
      <c r="AF95" s="80">
        <f t="shared" si="17"/>
        <v>0</v>
      </c>
      <c r="AG95" s="31">
        <f t="shared" si="22"/>
        <v>0.10941775570604141</v>
      </c>
      <c r="AH95">
        <f t="shared" si="23"/>
        <v>899.00000000000091</v>
      </c>
      <c r="AI95" s="68">
        <f t="shared" si="24"/>
        <v>9.0269776934956099</v>
      </c>
      <c r="AJ95" s="68">
        <f t="shared" si="25"/>
        <v>0</v>
      </c>
      <c r="AK95" s="67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125</v>
      </c>
      <c r="M96" s="7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75">
        <v>5.4319785196485774E-2</v>
      </c>
      <c r="V96" s="74">
        <v>0.10723529180589253</v>
      </c>
      <c r="W96" s="2">
        <v>0.98707203057288928</v>
      </c>
      <c r="X96" s="75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79">
        <f t="shared" si="21"/>
        <v>1.9649518959424341</v>
      </c>
      <c r="AF96" s="80">
        <f t="shared" si="17"/>
        <v>0</v>
      </c>
      <c r="AG96" s="31">
        <f t="shared" si="22"/>
        <v>0.26702613150370935</v>
      </c>
      <c r="AH96">
        <f t="shared" si="23"/>
        <v>550.99999999999932</v>
      </c>
      <c r="AI96" s="68">
        <f t="shared" si="24"/>
        <v>0</v>
      </c>
      <c r="AJ96" s="68">
        <f t="shared" si="25"/>
        <v>0</v>
      </c>
      <c r="AK96" s="67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125</v>
      </c>
      <c r="M97" s="7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75">
        <v>4.9356611380239168E-2</v>
      </c>
      <c r="V97" s="74">
        <v>0.10224471891346454</v>
      </c>
      <c r="W97" s="2">
        <v>0.98271392014671832</v>
      </c>
      <c r="X97" s="75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79">
        <f t="shared" si="21"/>
        <v>2.4761172419445256</v>
      </c>
      <c r="AF97" s="80">
        <f t="shared" si="17"/>
        <v>0</v>
      </c>
      <c r="AG97" s="31">
        <f t="shared" si="22"/>
        <v>0.25771337394301985</v>
      </c>
      <c r="AH97">
        <f t="shared" si="23"/>
        <v>501.00000000000034</v>
      </c>
      <c r="AI97" s="68">
        <f t="shared" si="24"/>
        <v>0</v>
      </c>
      <c r="AJ97" s="68">
        <f t="shared" si="25"/>
        <v>0</v>
      </c>
      <c r="AK97" s="67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125</v>
      </c>
      <c r="M98" s="7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75">
        <v>4.440670335962453E-2</v>
      </c>
      <c r="V98" s="74">
        <v>9.7579074379925856E-2</v>
      </c>
      <c r="W98" s="2">
        <v>0.9767743652221681</v>
      </c>
      <c r="X98" s="75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79">
        <f t="shared" si="21"/>
        <v>3.1727505491118304</v>
      </c>
      <c r="AF98" s="80">
        <f t="shared" si="17"/>
        <v>0</v>
      </c>
      <c r="AG98" s="31">
        <f t="shared" si="22"/>
        <v>0.24586604723694991</v>
      </c>
      <c r="AH98">
        <f t="shared" si="23"/>
        <v>450.9999999999992</v>
      </c>
      <c r="AI98" s="68">
        <f t="shared" si="24"/>
        <v>0</v>
      </c>
      <c r="AJ98" s="68">
        <f t="shared" si="25"/>
        <v>0</v>
      </c>
      <c r="AK98" s="67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125</v>
      </c>
      <c r="M99" s="7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75">
        <v>3.9498694572012154E-2</v>
      </c>
      <c r="V99" s="74">
        <v>9.3238358205276484E-2</v>
      </c>
      <c r="W99" s="2">
        <v>0.96650233880327663</v>
      </c>
      <c r="X99" s="75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79">
        <f t="shared" si="21"/>
        <v>4.1199877726103047</v>
      </c>
      <c r="AF99" s="80">
        <f t="shared" si="17"/>
        <v>0</v>
      </c>
      <c r="AG99" s="31">
        <f t="shared" si="22"/>
        <v>0.24323371549089515</v>
      </c>
      <c r="AH99">
        <f t="shared" si="23"/>
        <v>401.00000000000023</v>
      </c>
      <c r="AI99" s="68">
        <f t="shared" si="24"/>
        <v>0</v>
      </c>
      <c r="AJ99" s="68">
        <f t="shared" si="25"/>
        <v>0</v>
      </c>
      <c r="AK99" s="67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125</v>
      </c>
      <c r="M100" s="7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75">
        <v>3.4624608160590938E-2</v>
      </c>
      <c r="V100" s="74">
        <v>8.9222570389523526E-2</v>
      </c>
      <c r="W100" s="2">
        <v>0.95251170745195557</v>
      </c>
      <c r="X100" s="75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79">
        <f t="shared" si="21"/>
        <v>5.3956750292189231</v>
      </c>
      <c r="AF100" s="80">
        <f t="shared" si="17"/>
        <v>0</v>
      </c>
      <c r="AG100" s="31">
        <f t="shared" si="22"/>
        <v>0.2356584255101376</v>
      </c>
      <c r="AH100">
        <f t="shared" si="23"/>
        <v>350.99999999999909</v>
      </c>
      <c r="AI100" s="68">
        <f t="shared" si="24"/>
        <v>0</v>
      </c>
      <c r="AJ100" s="68">
        <f t="shared" si="25"/>
        <v>0</v>
      </c>
      <c r="AK100" s="67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125</v>
      </c>
      <c r="M101" s="7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75">
        <v>2.9824240434176308E-2</v>
      </c>
      <c r="V101" s="74">
        <v>8.5531710932656324E-2</v>
      </c>
      <c r="W101" s="2">
        <v>0.93109328133273772</v>
      </c>
      <c r="X101" s="75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79">
        <f t="shared" si="21"/>
        <v>7.080270271758863</v>
      </c>
      <c r="AF101" s="80">
        <f t="shared" si="17"/>
        <v>0</v>
      </c>
      <c r="AG101" s="31">
        <f t="shared" si="22"/>
        <v>0.23085425012475844</v>
      </c>
      <c r="AH101">
        <f t="shared" si="23"/>
        <v>301.00000000000017</v>
      </c>
      <c r="AI101" s="68">
        <f t="shared" si="24"/>
        <v>0</v>
      </c>
      <c r="AJ101" s="68">
        <f t="shared" si="25"/>
        <v>0</v>
      </c>
      <c r="AK101" s="67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125</v>
      </c>
      <c r="M102" s="7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75">
        <v>2.5155949349616805E-2</v>
      </c>
      <c r="V102" s="74">
        <v>8.2165779834681985E-2</v>
      </c>
      <c r="W102" s="2">
        <v>0.89819873517080717</v>
      </c>
      <c r="X102" s="75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79">
        <f t="shared" si="21"/>
        <v>9.2322120796435261</v>
      </c>
      <c r="AF102" s="80">
        <f t="shared" ref="AF102:AF125" si="26">IF(ISERR(AE102),0,AE102*M102)</f>
        <v>0</v>
      </c>
      <c r="AG102" s="31">
        <f t="shared" si="22"/>
        <v>0.22657180221879122</v>
      </c>
      <c r="AH102">
        <f t="shared" si="23"/>
        <v>250.99999999999901</v>
      </c>
      <c r="AI102" s="68">
        <f t="shared" si="24"/>
        <v>0.55949349616903987</v>
      </c>
      <c r="AJ102" s="68">
        <f t="shared" si="25"/>
        <v>0</v>
      </c>
      <c r="AK102" s="67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125</v>
      </c>
      <c r="M103" s="7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75">
        <v>2.0646510785923843E-2</v>
      </c>
      <c r="V103" s="74">
        <v>7.9124777095596954E-2</v>
      </c>
      <c r="W103" s="2">
        <v>0.85232660263713667</v>
      </c>
      <c r="X103" s="75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79">
        <f t="shared" si="21"/>
        <v>11.843162259747137</v>
      </c>
      <c r="AF103" s="80">
        <f t="shared" si="26"/>
        <v>0</v>
      </c>
      <c r="AG103" s="31">
        <f t="shared" si="22"/>
        <v>0.22066858490003663</v>
      </c>
      <c r="AH103">
        <f t="shared" si="23"/>
        <v>201.00000000000006</v>
      </c>
      <c r="AI103" s="68">
        <f t="shared" si="24"/>
        <v>5.4651078592383726</v>
      </c>
      <c r="AJ103" s="68">
        <f t="shared" si="25"/>
        <v>0</v>
      </c>
      <c r="AK103" s="67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125</v>
      </c>
      <c r="M104" s="7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75">
        <v>1.7200000584125519E-2</v>
      </c>
      <c r="V104" s="74">
        <v>8.7588735445913224E-2</v>
      </c>
      <c r="W104" s="2">
        <v>0.75726981248408365</v>
      </c>
      <c r="X104" s="75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79">
        <f t="shared" si="21"/>
        <v>13.787878882230746</v>
      </c>
      <c r="AF104" s="80">
        <f t="shared" si="26"/>
        <v>0</v>
      </c>
      <c r="AG104" s="31">
        <f t="shared" si="22"/>
        <v>0.28399013447792826</v>
      </c>
      <c r="AH104">
        <f t="shared" si="23"/>
        <v>150.99999999999892</v>
      </c>
      <c r="AI104" s="68">
        <f t="shared" si="24"/>
        <v>21.000005841256268</v>
      </c>
      <c r="AJ104" s="68">
        <f t="shared" si="25"/>
        <v>0</v>
      </c>
      <c r="AK104" s="67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125</v>
      </c>
      <c r="M105" s="73"/>
      <c r="N105" s="2"/>
      <c r="O105" s="2"/>
      <c r="P105" s="2"/>
      <c r="Q105" s="2"/>
      <c r="R105" s="2"/>
      <c r="S105" s="2"/>
      <c r="T105" s="2"/>
      <c r="U105" s="75"/>
      <c r="V105" s="74"/>
      <c r="W105" s="2"/>
      <c r="X105" s="75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79" t="e">
        <f t="shared" si="21"/>
        <v>#VALUE!</v>
      </c>
      <c r="AF105" s="8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68">
        <f t="shared" si="24"/>
        <v>0</v>
      </c>
      <c r="AJ105" s="68">
        <f t="shared" si="25"/>
        <v>0</v>
      </c>
      <c r="AK105" s="67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125</v>
      </c>
      <c r="M106" s="73"/>
      <c r="N106" s="2"/>
      <c r="O106" s="2"/>
      <c r="P106" s="2"/>
      <c r="Q106" s="2"/>
      <c r="R106" s="2"/>
      <c r="S106" s="2"/>
      <c r="T106" s="2"/>
      <c r="U106" s="75"/>
      <c r="V106" s="74"/>
      <c r="W106" s="2"/>
      <c r="X106" s="75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79" t="e">
        <f t="shared" si="21"/>
        <v>#VALUE!</v>
      </c>
      <c r="AF106" s="8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68">
        <f t="shared" si="24"/>
        <v>0</v>
      </c>
      <c r="AJ106" s="68">
        <f t="shared" si="25"/>
        <v>0</v>
      </c>
      <c r="AK106" s="67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125</v>
      </c>
      <c r="M107" s="73"/>
      <c r="N107" s="2"/>
      <c r="O107" s="2"/>
      <c r="P107" s="2"/>
      <c r="Q107" s="2"/>
      <c r="R107" s="2"/>
      <c r="S107" s="2"/>
      <c r="T107" s="2"/>
      <c r="U107" s="75"/>
      <c r="V107" s="74"/>
      <c r="W107" s="2"/>
      <c r="X107" s="75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79" t="e">
        <f t="shared" si="21"/>
        <v>#VALUE!</v>
      </c>
      <c r="AF107" s="8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68">
        <f t="shared" si="24"/>
        <v>0</v>
      </c>
      <c r="AJ107" s="68">
        <f t="shared" si="25"/>
        <v>0</v>
      </c>
      <c r="AK107" s="67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125</v>
      </c>
      <c r="M108" s="73"/>
      <c r="N108" s="2"/>
      <c r="O108" s="2"/>
      <c r="P108" s="2"/>
      <c r="Q108" s="2"/>
      <c r="R108" s="2"/>
      <c r="S108" s="2"/>
      <c r="T108" s="2"/>
      <c r="U108" s="75"/>
      <c r="V108" s="74"/>
      <c r="W108" s="2"/>
      <c r="X108" s="75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79" t="e">
        <f t="shared" si="21"/>
        <v>#VALUE!</v>
      </c>
      <c r="AF108" s="80">
        <f t="shared" si="26"/>
        <v>0</v>
      </c>
      <c r="AG108" s="31" t="e">
        <f t="shared" si="22"/>
        <v>#VALUE!</v>
      </c>
      <c r="AH108">
        <f t="shared" si="23"/>
        <v>0</v>
      </c>
      <c r="AI108" s="68">
        <f t="shared" si="24"/>
        <v>0</v>
      </c>
      <c r="AJ108" s="68">
        <f t="shared" si="25"/>
        <v>0</v>
      </c>
      <c r="AK108" s="67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125</v>
      </c>
      <c r="M109" s="73"/>
      <c r="N109" s="2"/>
      <c r="O109" s="2"/>
      <c r="P109" s="2"/>
      <c r="Q109" s="2"/>
      <c r="R109" s="2"/>
      <c r="S109" s="2"/>
      <c r="T109" s="2"/>
      <c r="U109" s="75"/>
      <c r="V109" s="74"/>
      <c r="W109" s="2"/>
      <c r="X109" s="75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79" t="e">
        <f t="shared" si="21"/>
        <v>#VALUE!</v>
      </c>
      <c r="AF109" s="80">
        <f t="shared" si="26"/>
        <v>0</v>
      </c>
      <c r="AG109" s="31" t="e">
        <f t="shared" si="22"/>
        <v>#VALUE!</v>
      </c>
      <c r="AH109">
        <f t="shared" si="23"/>
        <v>0</v>
      </c>
      <c r="AI109" s="68">
        <f t="shared" si="24"/>
        <v>0</v>
      </c>
      <c r="AJ109" s="68">
        <f t="shared" si="25"/>
        <v>0</v>
      </c>
      <c r="AK109" s="67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125</v>
      </c>
      <c r="M110" s="73"/>
      <c r="N110" s="2"/>
      <c r="O110" s="2"/>
      <c r="P110" s="2"/>
      <c r="Q110" s="2"/>
      <c r="R110" s="2"/>
      <c r="S110" s="2"/>
      <c r="T110" s="2"/>
      <c r="U110" s="75"/>
      <c r="V110" s="74"/>
      <c r="W110" s="2"/>
      <c r="X110" s="75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79" t="e">
        <f t="shared" si="21"/>
        <v>#VALUE!</v>
      </c>
      <c r="AF110" s="80">
        <f t="shared" si="26"/>
        <v>0</v>
      </c>
      <c r="AG110" s="31" t="e">
        <f t="shared" si="22"/>
        <v>#VALUE!</v>
      </c>
      <c r="AH110">
        <f t="shared" si="23"/>
        <v>0</v>
      </c>
      <c r="AI110" s="68">
        <f t="shared" si="24"/>
        <v>0</v>
      </c>
      <c r="AJ110" s="68">
        <f t="shared" si="25"/>
        <v>0</v>
      </c>
      <c r="AK110" s="67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125</v>
      </c>
      <c r="M111" s="73"/>
      <c r="N111" s="2"/>
      <c r="O111" s="2"/>
      <c r="P111" s="2"/>
      <c r="Q111" s="2"/>
      <c r="R111" s="2"/>
      <c r="S111" s="2"/>
      <c r="T111" s="2"/>
      <c r="U111" s="75"/>
      <c r="V111" s="74"/>
      <c r="W111" s="2"/>
      <c r="X111" s="75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79" t="e">
        <f t="shared" si="21"/>
        <v>#VALUE!</v>
      </c>
      <c r="AF111" s="80">
        <f t="shared" si="26"/>
        <v>0</v>
      </c>
      <c r="AG111" s="31" t="e">
        <f t="shared" si="22"/>
        <v>#VALUE!</v>
      </c>
      <c r="AH111">
        <f t="shared" si="23"/>
        <v>0</v>
      </c>
      <c r="AI111" s="68">
        <f t="shared" si="24"/>
        <v>0</v>
      </c>
      <c r="AJ111" s="68">
        <f t="shared" si="25"/>
        <v>0</v>
      </c>
      <c r="AK111" s="67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125</v>
      </c>
      <c r="M112" s="73"/>
      <c r="N112" s="2"/>
      <c r="O112" s="2"/>
      <c r="P112" s="2"/>
      <c r="Q112" s="2"/>
      <c r="R112" s="2"/>
      <c r="S112" s="2"/>
      <c r="T112" s="2"/>
      <c r="U112" s="75"/>
      <c r="V112" s="74"/>
      <c r="W112" s="2"/>
      <c r="X112" s="75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79" t="e">
        <f t="shared" si="21"/>
        <v>#VALUE!</v>
      </c>
      <c r="AF112" s="80">
        <f t="shared" si="26"/>
        <v>0</v>
      </c>
      <c r="AG112" s="31" t="e">
        <f t="shared" si="22"/>
        <v>#VALUE!</v>
      </c>
      <c r="AH112">
        <f t="shared" si="23"/>
        <v>0</v>
      </c>
      <c r="AI112" s="68">
        <f t="shared" si="24"/>
        <v>0</v>
      </c>
      <c r="AJ112" s="68">
        <f t="shared" si="25"/>
        <v>0</v>
      </c>
      <c r="AK112" s="67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125</v>
      </c>
      <c r="M113" s="73"/>
      <c r="N113" s="2"/>
      <c r="O113" s="2"/>
      <c r="P113" s="2"/>
      <c r="Q113" s="2"/>
      <c r="R113" s="2"/>
      <c r="S113" s="2"/>
      <c r="T113" s="2"/>
      <c r="U113" s="75"/>
      <c r="V113" s="74"/>
      <c r="W113" s="2"/>
      <c r="X113" s="75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79" t="e">
        <f t="shared" si="21"/>
        <v>#VALUE!</v>
      </c>
      <c r="AF113" s="80">
        <f t="shared" si="26"/>
        <v>0</v>
      </c>
      <c r="AG113" s="31" t="e">
        <f t="shared" si="22"/>
        <v>#VALUE!</v>
      </c>
      <c r="AH113">
        <f t="shared" si="23"/>
        <v>0</v>
      </c>
      <c r="AI113" s="68">
        <f t="shared" si="24"/>
        <v>0</v>
      </c>
      <c r="AJ113" s="68">
        <f t="shared" si="25"/>
        <v>0</v>
      </c>
      <c r="AK113" s="67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125</v>
      </c>
      <c r="M114" s="73"/>
      <c r="N114" s="2"/>
      <c r="O114" s="2"/>
      <c r="P114" s="2"/>
      <c r="Q114" s="2"/>
      <c r="R114" s="2"/>
      <c r="S114" s="2"/>
      <c r="T114" s="2"/>
      <c r="U114" s="75"/>
      <c r="V114" s="74"/>
      <c r="W114" s="2"/>
      <c r="X114" s="75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79" t="e">
        <f t="shared" si="21"/>
        <v>#VALUE!</v>
      </c>
      <c r="AF114" s="80">
        <f t="shared" si="26"/>
        <v>0</v>
      </c>
      <c r="AG114" s="31" t="e">
        <f t="shared" si="22"/>
        <v>#VALUE!</v>
      </c>
      <c r="AH114">
        <f t="shared" si="23"/>
        <v>0</v>
      </c>
      <c r="AI114" s="68">
        <f t="shared" si="24"/>
        <v>0</v>
      </c>
      <c r="AJ114" s="68">
        <f t="shared" si="25"/>
        <v>0</v>
      </c>
      <c r="AK114" s="67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125</v>
      </c>
      <c r="M115" s="73"/>
      <c r="N115" s="2"/>
      <c r="O115" s="2"/>
      <c r="P115" s="2"/>
      <c r="Q115" s="2"/>
      <c r="R115" s="2"/>
      <c r="S115" s="2"/>
      <c r="T115" s="2"/>
      <c r="U115" s="75"/>
      <c r="V115" s="74"/>
      <c r="W115" s="2"/>
      <c r="X115" s="75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79" t="e">
        <f t="shared" si="21"/>
        <v>#VALUE!</v>
      </c>
      <c r="AF115" s="80">
        <f t="shared" si="26"/>
        <v>0</v>
      </c>
      <c r="AG115" s="31" t="e">
        <f t="shared" si="22"/>
        <v>#VALUE!</v>
      </c>
      <c r="AH115">
        <f t="shared" si="23"/>
        <v>0</v>
      </c>
      <c r="AI115" s="68">
        <f t="shared" si="24"/>
        <v>0</v>
      </c>
      <c r="AJ115" s="68">
        <f t="shared" si="25"/>
        <v>0</v>
      </c>
      <c r="AK115" s="67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125</v>
      </c>
      <c r="M116" s="73"/>
      <c r="N116" s="2"/>
      <c r="O116" s="2"/>
      <c r="P116" s="2"/>
      <c r="Q116" s="2"/>
      <c r="R116" s="2"/>
      <c r="S116" s="2"/>
      <c r="T116" s="2"/>
      <c r="U116" s="75"/>
      <c r="V116" s="74"/>
      <c r="W116" s="2"/>
      <c r="X116" s="75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79" t="e">
        <f t="shared" si="21"/>
        <v>#VALUE!</v>
      </c>
      <c r="AF116" s="80">
        <f t="shared" si="26"/>
        <v>0</v>
      </c>
      <c r="AG116" s="31" t="e">
        <f t="shared" si="22"/>
        <v>#VALUE!</v>
      </c>
      <c r="AH116">
        <f t="shared" si="23"/>
        <v>0</v>
      </c>
      <c r="AI116" s="68">
        <f t="shared" si="24"/>
        <v>0</v>
      </c>
      <c r="AJ116" s="68">
        <f t="shared" si="25"/>
        <v>0</v>
      </c>
      <c r="AK116" s="67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125</v>
      </c>
      <c r="M117" s="73"/>
      <c r="N117" s="2"/>
      <c r="O117" s="2"/>
      <c r="P117" s="2"/>
      <c r="Q117" s="2"/>
      <c r="R117" s="2"/>
      <c r="S117" s="2"/>
      <c r="T117" s="2"/>
      <c r="U117" s="75"/>
      <c r="V117" s="74"/>
      <c r="W117" s="2"/>
      <c r="X117" s="75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79" t="e">
        <f t="shared" si="21"/>
        <v>#VALUE!</v>
      </c>
      <c r="AF117" s="80">
        <f t="shared" si="26"/>
        <v>0</v>
      </c>
      <c r="AG117" s="31" t="e">
        <f t="shared" si="22"/>
        <v>#VALUE!</v>
      </c>
      <c r="AH117">
        <f t="shared" si="23"/>
        <v>0</v>
      </c>
      <c r="AI117" s="68">
        <f t="shared" si="24"/>
        <v>0</v>
      </c>
      <c r="AJ117" s="68">
        <f t="shared" si="25"/>
        <v>0</v>
      </c>
      <c r="AK117" s="67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125</v>
      </c>
      <c r="M118" s="73"/>
      <c r="N118" s="2"/>
      <c r="O118" s="2"/>
      <c r="P118" s="2"/>
      <c r="Q118" s="2"/>
      <c r="R118" s="2"/>
      <c r="S118" s="2"/>
      <c r="T118" s="2"/>
      <c r="U118" s="75"/>
      <c r="V118" s="74"/>
      <c r="W118" s="2"/>
      <c r="X118" s="75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79" t="e">
        <f t="shared" si="21"/>
        <v>#VALUE!</v>
      </c>
      <c r="AF118" s="80">
        <f t="shared" si="26"/>
        <v>0</v>
      </c>
      <c r="AG118" s="31" t="e">
        <f t="shared" si="22"/>
        <v>#VALUE!</v>
      </c>
      <c r="AH118">
        <f t="shared" si="23"/>
        <v>0</v>
      </c>
      <c r="AI118" s="68">
        <f t="shared" si="24"/>
        <v>0</v>
      </c>
      <c r="AJ118" s="68">
        <f t="shared" si="25"/>
        <v>0</v>
      </c>
      <c r="AK118" s="67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125</v>
      </c>
      <c r="M119" s="73"/>
      <c r="N119" s="2"/>
      <c r="O119" s="2"/>
      <c r="P119" s="2"/>
      <c r="Q119" s="2"/>
      <c r="R119" s="2"/>
      <c r="S119" s="2"/>
      <c r="T119" s="2"/>
      <c r="U119" s="75"/>
      <c r="V119" s="74"/>
      <c r="W119" s="2"/>
      <c r="X119" s="75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79" t="e">
        <f t="shared" si="21"/>
        <v>#VALUE!</v>
      </c>
      <c r="AF119" s="80">
        <f t="shared" si="26"/>
        <v>0</v>
      </c>
      <c r="AG119" s="31" t="e">
        <f t="shared" si="22"/>
        <v>#VALUE!</v>
      </c>
      <c r="AH119">
        <f t="shared" si="23"/>
        <v>0</v>
      </c>
      <c r="AI119" s="68">
        <f t="shared" si="24"/>
        <v>0</v>
      </c>
      <c r="AJ119" s="68">
        <f t="shared" si="25"/>
        <v>0</v>
      </c>
      <c r="AK119" s="67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125</v>
      </c>
      <c r="M120" s="73"/>
      <c r="N120" s="2"/>
      <c r="O120" s="2"/>
      <c r="P120" s="2"/>
      <c r="Q120" s="2"/>
      <c r="R120" s="2"/>
      <c r="S120" s="2"/>
      <c r="T120" s="2"/>
      <c r="U120" s="75"/>
      <c r="V120" s="74"/>
      <c r="W120" s="2"/>
      <c r="X120" s="75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79" t="e">
        <f t="shared" si="21"/>
        <v>#VALUE!</v>
      </c>
      <c r="AF120" s="80">
        <f t="shared" si="26"/>
        <v>0</v>
      </c>
      <c r="AG120" s="31" t="e">
        <f t="shared" si="22"/>
        <v>#VALUE!</v>
      </c>
      <c r="AH120">
        <f t="shared" si="23"/>
        <v>0</v>
      </c>
      <c r="AI120" s="68">
        <f t="shared" si="24"/>
        <v>0</v>
      </c>
      <c r="AJ120" s="68">
        <f t="shared" si="25"/>
        <v>0</v>
      </c>
      <c r="AK120" s="67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125</v>
      </c>
      <c r="M121" s="73"/>
      <c r="N121" s="2"/>
      <c r="O121" s="2"/>
      <c r="P121" s="2"/>
      <c r="Q121" s="2"/>
      <c r="R121" s="2"/>
      <c r="S121" s="2"/>
      <c r="T121" s="2"/>
      <c r="U121" s="75"/>
      <c r="V121" s="74"/>
      <c r="W121" s="2"/>
      <c r="X121" s="75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79" t="e">
        <f t="shared" si="21"/>
        <v>#VALUE!</v>
      </c>
      <c r="AF121" s="80">
        <f t="shared" si="26"/>
        <v>0</v>
      </c>
      <c r="AG121" s="31" t="e">
        <f t="shared" si="22"/>
        <v>#VALUE!</v>
      </c>
      <c r="AH121">
        <f t="shared" si="23"/>
        <v>0</v>
      </c>
      <c r="AI121" s="68">
        <f t="shared" si="24"/>
        <v>0</v>
      </c>
      <c r="AJ121" s="68">
        <f t="shared" si="25"/>
        <v>0</v>
      </c>
      <c r="AK121" s="67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125</v>
      </c>
      <c r="M122" s="73"/>
      <c r="N122" s="2"/>
      <c r="O122" s="2"/>
      <c r="P122" s="2"/>
      <c r="Q122" s="2"/>
      <c r="R122" s="2"/>
      <c r="S122" s="2"/>
      <c r="T122" s="2"/>
      <c r="U122" s="75"/>
      <c r="V122" s="74"/>
      <c r="W122" s="2"/>
      <c r="X122" s="75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79" t="e">
        <f t="shared" si="21"/>
        <v>#VALUE!</v>
      </c>
      <c r="AF122" s="80">
        <f t="shared" si="26"/>
        <v>0</v>
      </c>
      <c r="AG122" s="31" t="e">
        <f t="shared" si="22"/>
        <v>#VALUE!</v>
      </c>
      <c r="AH122">
        <f t="shared" si="23"/>
        <v>0</v>
      </c>
      <c r="AI122" s="68">
        <f t="shared" si="24"/>
        <v>0</v>
      </c>
      <c r="AJ122" s="68">
        <f t="shared" si="25"/>
        <v>0</v>
      </c>
      <c r="AK122" s="67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125</v>
      </c>
      <c r="M123" s="73"/>
      <c r="N123" s="2"/>
      <c r="O123" s="2"/>
      <c r="P123" s="2"/>
      <c r="Q123" s="2"/>
      <c r="R123" s="2"/>
      <c r="S123" s="2"/>
      <c r="T123" s="2"/>
      <c r="U123" s="75"/>
      <c r="V123" s="74"/>
      <c r="W123" s="2"/>
      <c r="X123" s="75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79" t="e">
        <f t="shared" si="21"/>
        <v>#VALUE!</v>
      </c>
      <c r="AF123" s="80">
        <f t="shared" si="26"/>
        <v>0</v>
      </c>
      <c r="AG123" s="31" t="e">
        <f t="shared" si="22"/>
        <v>#VALUE!</v>
      </c>
      <c r="AH123">
        <f t="shared" si="23"/>
        <v>0</v>
      </c>
      <c r="AI123" s="68">
        <f t="shared" si="24"/>
        <v>0</v>
      </c>
      <c r="AJ123" s="68">
        <f t="shared" si="25"/>
        <v>0</v>
      </c>
      <c r="AK123" s="67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125</v>
      </c>
      <c r="M124" s="73"/>
      <c r="N124" s="2"/>
      <c r="O124" s="2"/>
      <c r="P124" s="2"/>
      <c r="Q124" s="2"/>
      <c r="R124" s="2"/>
      <c r="S124" s="2"/>
      <c r="T124" s="2"/>
      <c r="U124" s="75"/>
      <c r="V124" s="74"/>
      <c r="W124" s="2"/>
      <c r="X124" s="75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79" t="e">
        <f t="shared" si="21"/>
        <v>#VALUE!</v>
      </c>
      <c r="AF124" s="80">
        <f t="shared" si="26"/>
        <v>0</v>
      </c>
      <c r="AG124" s="31" t="e">
        <f t="shared" si="22"/>
        <v>#VALUE!</v>
      </c>
      <c r="AH124">
        <f t="shared" si="23"/>
        <v>0</v>
      </c>
      <c r="AI124" s="68">
        <f t="shared" si="24"/>
        <v>0</v>
      </c>
      <c r="AJ124" s="68">
        <f t="shared" si="25"/>
        <v>0</v>
      </c>
      <c r="AK124" s="67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125</v>
      </c>
      <c r="M125" s="73"/>
      <c r="N125" s="2"/>
      <c r="O125" s="2"/>
      <c r="P125" s="2"/>
      <c r="Q125" s="2"/>
      <c r="R125" s="2"/>
      <c r="S125" s="2"/>
      <c r="T125" s="2"/>
      <c r="U125" s="75"/>
      <c r="V125" s="74"/>
      <c r="W125" s="2"/>
      <c r="X125" s="75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79" t="e">
        <f t="shared" si="21"/>
        <v>#VALUE!</v>
      </c>
      <c r="AF125" s="80">
        <f t="shared" si="26"/>
        <v>0</v>
      </c>
      <c r="AG125" s="31" t="e">
        <f t="shared" si="22"/>
        <v>#VALUE!</v>
      </c>
      <c r="AH125">
        <f t="shared" si="23"/>
        <v>0</v>
      </c>
      <c r="AI125" s="68">
        <f t="shared" si="24"/>
        <v>0</v>
      </c>
      <c r="AJ125" s="68">
        <f t="shared" si="25"/>
        <v>0</v>
      </c>
      <c r="AK125" s="67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2"/>
  <sheetViews>
    <sheetView workbookViewId="0">
      <selection activeCell="A2" sqref="A2"/>
    </sheetView>
  </sheetViews>
  <sheetFormatPr defaultRowHeight="15" x14ac:dyDescent="0.25"/>
  <cols>
    <col min="1" max="1" width="17.42578125" customWidth="1"/>
  </cols>
  <sheetData>
    <row r="1" spans="1:2" x14ac:dyDescent="0.25">
      <c r="A1" t="s">
        <v>191</v>
      </c>
      <c r="B1">
        <v>70</v>
      </c>
    </row>
    <row r="2" spans="1:2" x14ac:dyDescent="0.25">
      <c r="A2" t="s">
        <v>192</v>
      </c>
      <c r="B2">
        <v>1003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67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200</v>
      </c>
    </row>
    <row r="2" spans="1:1" x14ac:dyDescent="0.25">
      <c r="A2" s="123" t="s">
        <v>201</v>
      </c>
    </row>
    <row r="3" spans="1:1" x14ac:dyDescent="0.25">
      <c r="A3" s="29" t="s">
        <v>202</v>
      </c>
    </row>
    <row r="4" spans="1:1" x14ac:dyDescent="0.25">
      <c r="A4" s="29" t="s">
        <v>203</v>
      </c>
    </row>
    <row r="5" spans="1:1" x14ac:dyDescent="0.25">
      <c r="A5" s="29" t="s">
        <v>204</v>
      </c>
    </row>
    <row r="6" spans="1:1" x14ac:dyDescent="0.25">
      <c r="A6" s="29" t="s">
        <v>205</v>
      </c>
    </row>
    <row r="7" spans="1:1" x14ac:dyDescent="0.25">
      <c r="A7" s="29" t="s">
        <v>206</v>
      </c>
    </row>
    <row r="8" spans="1:1" x14ac:dyDescent="0.25">
      <c r="A8" s="29" t="s">
        <v>207</v>
      </c>
    </row>
    <row r="9" spans="1:1" x14ac:dyDescent="0.25">
      <c r="A9" s="29" t="s">
        <v>208</v>
      </c>
    </row>
    <row r="10" spans="1:1" x14ac:dyDescent="0.25">
      <c r="A10" t="s">
        <v>209</v>
      </c>
    </row>
    <row r="11" spans="1:1" x14ac:dyDescent="0.25">
      <c r="A11" t="s">
        <v>210</v>
      </c>
    </row>
    <row r="12" spans="1:1" x14ac:dyDescent="0.25">
      <c r="A12" s="123" t="s">
        <v>211</v>
      </c>
    </row>
    <row r="13" spans="1:1" x14ac:dyDescent="0.25">
      <c r="A13" s="123" t="s">
        <v>212</v>
      </c>
    </row>
    <row r="14" spans="1:1" x14ac:dyDescent="0.25">
      <c r="A14" s="123" t="s">
        <v>213</v>
      </c>
    </row>
    <row r="15" spans="1:1" x14ac:dyDescent="0.25">
      <c r="A15" s="123" t="s">
        <v>214</v>
      </c>
    </row>
    <row r="16" spans="1:1" x14ac:dyDescent="0.25">
      <c r="A16" t="s">
        <v>215</v>
      </c>
    </row>
    <row r="17" spans="1:1" x14ac:dyDescent="0.25">
      <c r="A17" t="s">
        <v>216</v>
      </c>
    </row>
    <row r="18" spans="1:1" x14ac:dyDescent="0.25">
      <c r="A18" t="s">
        <v>217</v>
      </c>
    </row>
    <row r="19" spans="1:1" x14ac:dyDescent="0.25">
      <c r="A19" t="s">
        <v>218</v>
      </c>
    </row>
    <row r="20" spans="1:1" x14ac:dyDescent="0.25">
      <c r="A20" s="123" t="s">
        <v>219</v>
      </c>
    </row>
    <row r="21" spans="1:1" x14ac:dyDescent="0.25">
      <c r="A21" s="123" t="s">
        <v>220</v>
      </c>
    </row>
    <row r="22" spans="1:1" x14ac:dyDescent="0.25">
      <c r="A22" s="123" t="s">
        <v>221</v>
      </c>
    </row>
    <row r="23" spans="1:1" x14ac:dyDescent="0.25">
      <c r="A23" s="123" t="s">
        <v>222</v>
      </c>
    </row>
    <row r="24" spans="1:1" x14ac:dyDescent="0.25">
      <c r="A24" s="124" t="s">
        <v>223</v>
      </c>
    </row>
    <row r="25" spans="1:1" x14ac:dyDescent="0.25">
      <c r="A25" s="124" t="s">
        <v>224</v>
      </c>
    </row>
    <row r="26" spans="1:1" x14ac:dyDescent="0.25">
      <c r="A26" s="123" t="s">
        <v>225</v>
      </c>
    </row>
    <row r="27" spans="1:1" x14ac:dyDescent="0.25">
      <c r="A27" s="123" t="s">
        <v>226</v>
      </c>
    </row>
    <row r="28" spans="1:1" x14ac:dyDescent="0.25">
      <c r="A28" s="123" t="s">
        <v>227</v>
      </c>
    </row>
    <row r="29" spans="1:1" x14ac:dyDescent="0.25">
      <c r="A29" s="123" t="s">
        <v>228</v>
      </c>
    </row>
    <row r="30" spans="1:1" x14ac:dyDescent="0.25">
      <c r="A30" s="123" t="s">
        <v>229</v>
      </c>
    </row>
    <row r="31" spans="1:1" x14ac:dyDescent="0.25">
      <c r="A31" s="123" t="s">
        <v>230</v>
      </c>
    </row>
    <row r="32" spans="1:1" x14ac:dyDescent="0.25">
      <c r="A32" s="123" t="s">
        <v>231</v>
      </c>
    </row>
    <row r="33" spans="1:1" x14ac:dyDescent="0.25">
      <c r="A33" s="123" t="s">
        <v>232</v>
      </c>
    </row>
    <row r="34" spans="1:1" x14ac:dyDescent="0.25">
      <c r="A34" s="123" t="s">
        <v>233</v>
      </c>
    </row>
    <row r="35" spans="1:1" x14ac:dyDescent="0.25">
      <c r="A35" s="123" t="s">
        <v>234</v>
      </c>
    </row>
    <row r="36" spans="1:1" x14ac:dyDescent="0.25">
      <c r="A36" s="124" t="s">
        <v>235</v>
      </c>
    </row>
    <row r="37" spans="1:1" x14ac:dyDescent="0.25">
      <c r="A37" s="124" t="s">
        <v>236</v>
      </c>
    </row>
    <row r="38" spans="1:1" x14ac:dyDescent="0.25">
      <c r="A38" s="123" t="s">
        <v>237</v>
      </c>
    </row>
    <row r="39" spans="1:1" x14ac:dyDescent="0.25">
      <c r="A39" s="123" t="s">
        <v>238</v>
      </c>
    </row>
    <row r="40" spans="1:1" x14ac:dyDescent="0.25">
      <c r="A40" s="123" t="s">
        <v>239</v>
      </c>
    </row>
    <row r="41" spans="1:1" x14ac:dyDescent="0.25">
      <c r="A41" s="123" t="s">
        <v>240</v>
      </c>
    </row>
    <row r="42" spans="1:1" x14ac:dyDescent="0.25">
      <c r="A42" s="124" t="s">
        <v>241</v>
      </c>
    </row>
    <row r="43" spans="1:1" x14ac:dyDescent="0.25">
      <c r="A43" s="124" t="s">
        <v>242</v>
      </c>
    </row>
    <row r="44" spans="1:1" x14ac:dyDescent="0.25">
      <c r="A44" s="123" t="s">
        <v>243</v>
      </c>
    </row>
    <row r="45" spans="1:1" x14ac:dyDescent="0.25">
      <c r="A45" s="123" t="s">
        <v>244</v>
      </c>
    </row>
    <row r="46" spans="1:1" x14ac:dyDescent="0.25">
      <c r="A46" s="123" t="s">
        <v>245</v>
      </c>
    </row>
    <row r="47" spans="1:1" x14ac:dyDescent="0.25">
      <c r="A47" s="123" t="s">
        <v>246</v>
      </c>
    </row>
    <row r="48" spans="1:1" x14ac:dyDescent="0.25">
      <c r="A48" s="124" t="s">
        <v>247</v>
      </c>
    </row>
    <row r="49" spans="1:1" x14ac:dyDescent="0.25">
      <c r="A49" s="124" t="s">
        <v>248</v>
      </c>
    </row>
    <row r="50" spans="1:1" x14ac:dyDescent="0.25">
      <c r="A50" s="123" t="s">
        <v>249</v>
      </c>
    </row>
    <row r="51" spans="1:1" x14ac:dyDescent="0.25">
      <c r="A51" s="123" t="s">
        <v>250</v>
      </c>
    </row>
    <row r="52" spans="1:1" x14ac:dyDescent="0.25">
      <c r="A52" s="123" t="s">
        <v>251</v>
      </c>
    </row>
    <row r="53" spans="1:1" x14ac:dyDescent="0.25">
      <c r="A53" s="123" t="s">
        <v>252</v>
      </c>
    </row>
    <row r="54" spans="1:1" x14ac:dyDescent="0.25">
      <c r="A54" s="124" t="s">
        <v>253</v>
      </c>
    </row>
    <row r="55" spans="1:1" x14ac:dyDescent="0.25">
      <c r="A55" s="124" t="s">
        <v>254</v>
      </c>
    </row>
    <row r="56" spans="1:1" x14ac:dyDescent="0.25">
      <c r="A56" s="123" t="s">
        <v>255</v>
      </c>
    </row>
    <row r="57" spans="1:1" x14ac:dyDescent="0.25">
      <c r="A57" s="123" t="s">
        <v>256</v>
      </c>
    </row>
    <row r="58" spans="1:1" x14ac:dyDescent="0.25">
      <c r="A58" s="123" t="s">
        <v>257</v>
      </c>
    </row>
    <row r="59" spans="1:1" x14ac:dyDescent="0.25">
      <c r="A59" s="123" t="s">
        <v>258</v>
      </c>
    </row>
    <row r="60" spans="1:1" x14ac:dyDescent="0.25">
      <c r="A60" s="123" t="s">
        <v>259</v>
      </c>
    </row>
    <row r="61" spans="1:1" x14ac:dyDescent="0.25">
      <c r="A61" s="123" t="s">
        <v>260</v>
      </c>
    </row>
    <row r="62" spans="1:1" x14ac:dyDescent="0.25">
      <c r="A62" s="123" t="s">
        <v>261</v>
      </c>
    </row>
    <row r="63" spans="1:1" x14ac:dyDescent="0.25">
      <c r="A63" s="123" t="s">
        <v>262</v>
      </c>
    </row>
    <row r="64" spans="1:1" x14ac:dyDescent="0.25">
      <c r="A64" s="123" t="s">
        <v>263</v>
      </c>
    </row>
    <row r="65" spans="1:1" x14ac:dyDescent="0.25">
      <c r="A65" s="124" t="s">
        <v>264</v>
      </c>
    </row>
    <row r="66" spans="1:1" x14ac:dyDescent="0.25">
      <c r="A66" s="123" t="s">
        <v>265</v>
      </c>
    </row>
    <row r="67" spans="1:1" x14ac:dyDescent="0.25">
      <c r="A67" s="123" t="s">
        <v>266</v>
      </c>
    </row>
    <row r="68" spans="1:1" x14ac:dyDescent="0.25">
      <c r="A68" s="123" t="s">
        <v>267</v>
      </c>
    </row>
    <row r="69" spans="1:1" x14ac:dyDescent="0.25">
      <c r="A69" s="123" t="s">
        <v>268</v>
      </c>
    </row>
    <row r="70" spans="1:1" x14ac:dyDescent="0.25">
      <c r="A70" s="123" t="s">
        <v>269</v>
      </c>
    </row>
    <row r="71" spans="1:1" x14ac:dyDescent="0.25">
      <c r="A71" s="124" t="s">
        <v>270</v>
      </c>
    </row>
    <row r="72" spans="1:1" x14ac:dyDescent="0.25">
      <c r="A72" s="124" t="s">
        <v>271</v>
      </c>
    </row>
    <row r="73" spans="1:1" x14ac:dyDescent="0.25">
      <c r="A73" s="123" t="s">
        <v>272</v>
      </c>
    </row>
    <row r="74" spans="1:1" x14ac:dyDescent="0.25">
      <c r="A74" s="123" t="s">
        <v>273</v>
      </c>
    </row>
    <row r="75" spans="1:1" x14ac:dyDescent="0.25">
      <c r="A75" s="123" t="s">
        <v>274</v>
      </c>
    </row>
    <row r="76" spans="1:1" x14ac:dyDescent="0.25">
      <c r="A76" s="123" t="s">
        <v>275</v>
      </c>
    </row>
    <row r="77" spans="1:1" x14ac:dyDescent="0.25">
      <c r="A77" s="124" t="s">
        <v>276</v>
      </c>
    </row>
    <row r="78" spans="1:1" x14ac:dyDescent="0.25">
      <c r="A78" s="124" t="s">
        <v>277</v>
      </c>
    </row>
    <row r="79" spans="1:1" x14ac:dyDescent="0.25">
      <c r="A79" s="123" t="s">
        <v>278</v>
      </c>
    </row>
    <row r="80" spans="1:1" x14ac:dyDescent="0.25">
      <c r="A80" s="123" t="s">
        <v>279</v>
      </c>
    </row>
    <row r="81" spans="1:1" x14ac:dyDescent="0.25">
      <c r="A81" s="123" t="s">
        <v>280</v>
      </c>
    </row>
    <row r="82" spans="1:1" x14ac:dyDescent="0.25">
      <c r="A82" s="123" t="s">
        <v>281</v>
      </c>
    </row>
    <row r="83" spans="1:1" x14ac:dyDescent="0.25">
      <c r="A83" s="124" t="s">
        <v>282</v>
      </c>
    </row>
    <row r="84" spans="1:1" x14ac:dyDescent="0.25">
      <c r="A84" s="124" t="s">
        <v>283</v>
      </c>
    </row>
    <row r="85" spans="1:1" x14ac:dyDescent="0.25">
      <c r="A85" s="123" t="s">
        <v>284</v>
      </c>
    </row>
    <row r="86" spans="1:1" x14ac:dyDescent="0.25">
      <c r="A86" s="123" t="s">
        <v>285</v>
      </c>
    </row>
    <row r="87" spans="1:1" x14ac:dyDescent="0.25">
      <c r="A87" s="123" t="s">
        <v>286</v>
      </c>
    </row>
    <row r="88" spans="1:1" x14ac:dyDescent="0.25">
      <c r="A88" s="123" t="s">
        <v>287</v>
      </c>
    </row>
    <row r="89" spans="1:1" x14ac:dyDescent="0.25">
      <c r="A89" s="124" t="s">
        <v>288</v>
      </c>
    </row>
    <row r="90" spans="1:1" x14ac:dyDescent="0.25">
      <c r="A90" s="124" t="s">
        <v>289</v>
      </c>
    </row>
    <row r="91" spans="1:1" x14ac:dyDescent="0.25">
      <c r="A91" s="123" t="s">
        <v>290</v>
      </c>
    </row>
    <row r="92" spans="1:1" x14ac:dyDescent="0.25">
      <c r="A92" s="123" t="s">
        <v>291</v>
      </c>
    </row>
    <row r="93" spans="1:1" x14ac:dyDescent="0.25">
      <c r="A93" s="123" t="s">
        <v>292</v>
      </c>
    </row>
    <row r="94" spans="1:1" x14ac:dyDescent="0.25">
      <c r="A94" s="123" t="s">
        <v>293</v>
      </c>
    </row>
    <row r="95" spans="1:1" x14ac:dyDescent="0.25">
      <c r="A95" s="123" t="s">
        <v>294</v>
      </c>
    </row>
    <row r="96" spans="1:1" x14ac:dyDescent="0.25">
      <c r="A96" s="123" t="s">
        <v>295</v>
      </c>
    </row>
    <row r="97" spans="1:1" x14ac:dyDescent="0.25">
      <c r="A97" s="123" t="s">
        <v>296</v>
      </c>
    </row>
    <row r="98" spans="1:1" x14ac:dyDescent="0.25">
      <c r="A98" s="124" t="s">
        <v>297</v>
      </c>
    </row>
    <row r="99" spans="1:1" x14ac:dyDescent="0.25">
      <c r="A99" s="124" t="s">
        <v>298</v>
      </c>
    </row>
    <row r="100" spans="1:1" x14ac:dyDescent="0.25">
      <c r="A100" s="123" t="s">
        <v>299</v>
      </c>
    </row>
    <row r="101" spans="1:1" x14ac:dyDescent="0.25">
      <c r="A101" s="123" t="s">
        <v>300</v>
      </c>
    </row>
    <row r="102" spans="1:1" x14ac:dyDescent="0.25">
      <c r="A102" s="123" t="s">
        <v>301</v>
      </c>
    </row>
    <row r="103" spans="1:1" x14ac:dyDescent="0.25">
      <c r="A103" s="123" t="s">
        <v>302</v>
      </c>
    </row>
    <row r="104" spans="1:1" x14ac:dyDescent="0.25">
      <c r="A104" s="124" t="s">
        <v>303</v>
      </c>
    </row>
    <row r="105" spans="1:1" x14ac:dyDescent="0.25">
      <c r="A105" s="124" t="s">
        <v>304</v>
      </c>
    </row>
    <row r="106" spans="1:1" x14ac:dyDescent="0.25">
      <c r="A106" s="124" t="s">
        <v>305</v>
      </c>
    </row>
    <row r="107" spans="1:1" x14ac:dyDescent="0.25">
      <c r="A107" s="29" t="s">
        <v>306</v>
      </c>
    </row>
    <row r="108" spans="1:1" x14ac:dyDescent="0.25">
      <c r="A108" s="123" t="s">
        <v>307</v>
      </c>
    </row>
    <row r="109" spans="1:1" x14ac:dyDescent="0.25">
      <c r="A109" s="123" t="s">
        <v>308</v>
      </c>
    </row>
    <row r="110" spans="1:1" x14ac:dyDescent="0.25">
      <c r="A110" s="123" t="s">
        <v>309</v>
      </c>
    </row>
    <row r="111" spans="1:1" x14ac:dyDescent="0.25">
      <c r="A111" s="123" t="s">
        <v>310</v>
      </c>
    </row>
    <row r="112" spans="1:1" x14ac:dyDescent="0.25">
      <c r="A112" s="124" t="s">
        <v>311</v>
      </c>
    </row>
    <row r="113" spans="1:1" x14ac:dyDescent="0.25">
      <c r="A113" s="124" t="s">
        <v>312</v>
      </c>
    </row>
    <row r="114" spans="1:1" x14ac:dyDescent="0.25">
      <c r="A114" s="29" t="s">
        <v>313</v>
      </c>
    </row>
    <row r="115" spans="1:1" x14ac:dyDescent="0.25">
      <c r="A115" s="123" t="s">
        <v>314</v>
      </c>
    </row>
    <row r="116" spans="1:1" x14ac:dyDescent="0.25">
      <c r="A116" s="123" t="s">
        <v>315</v>
      </c>
    </row>
    <row r="117" spans="1:1" x14ac:dyDescent="0.25">
      <c r="A117" s="123" t="s">
        <v>316</v>
      </c>
    </row>
    <row r="118" spans="1:1" x14ac:dyDescent="0.25">
      <c r="A118" s="123" t="s">
        <v>317</v>
      </c>
    </row>
    <row r="119" spans="1:1" x14ac:dyDescent="0.25">
      <c r="A119" s="124" t="s">
        <v>318</v>
      </c>
    </row>
    <row r="120" spans="1:1" x14ac:dyDescent="0.25">
      <c r="A120" s="124" t="s">
        <v>319</v>
      </c>
    </row>
    <row r="121" spans="1:1" x14ac:dyDescent="0.25">
      <c r="A121" s="29" t="s">
        <v>320</v>
      </c>
    </row>
    <row r="122" spans="1:1" x14ac:dyDescent="0.25">
      <c r="A122" s="123" t="s">
        <v>321</v>
      </c>
    </row>
    <row r="123" spans="1:1" x14ac:dyDescent="0.25">
      <c r="A123" s="123" t="s">
        <v>322</v>
      </c>
    </row>
    <row r="124" spans="1:1" x14ac:dyDescent="0.25">
      <c r="A124" s="123" t="s">
        <v>323</v>
      </c>
    </row>
    <row r="125" spans="1:1" x14ac:dyDescent="0.25">
      <c r="A125" s="123" t="s">
        <v>324</v>
      </c>
    </row>
    <row r="126" spans="1:1" x14ac:dyDescent="0.25">
      <c r="A126" s="124" t="s">
        <v>325</v>
      </c>
    </row>
    <row r="127" spans="1:1" x14ac:dyDescent="0.25">
      <c r="A127" s="124" t="s">
        <v>326</v>
      </c>
    </row>
    <row r="128" spans="1:1" x14ac:dyDescent="0.25">
      <c r="A128" s="29" t="s">
        <v>327</v>
      </c>
    </row>
    <row r="129" spans="1:1" x14ac:dyDescent="0.25">
      <c r="A129" s="123" t="s">
        <v>328</v>
      </c>
    </row>
    <row r="130" spans="1:1" x14ac:dyDescent="0.25">
      <c r="A130" s="123" t="s">
        <v>329</v>
      </c>
    </row>
    <row r="131" spans="1:1" x14ac:dyDescent="0.25">
      <c r="A131" s="29" t="s">
        <v>330</v>
      </c>
    </row>
    <row r="132" spans="1:1" x14ac:dyDescent="0.25">
      <c r="A132" s="123" t="s">
        <v>331</v>
      </c>
    </row>
    <row r="133" spans="1:1" x14ac:dyDescent="0.25">
      <c r="A133" s="29" t="s">
        <v>332</v>
      </c>
    </row>
    <row r="134" spans="1:1" x14ac:dyDescent="0.25">
      <c r="A134" s="123" t="s">
        <v>333</v>
      </c>
    </row>
    <row r="135" spans="1:1" x14ac:dyDescent="0.25">
      <c r="A135" s="29" t="s">
        <v>334</v>
      </c>
    </row>
    <row r="136" spans="1:1" x14ac:dyDescent="0.25">
      <c r="A136" s="123" t="s">
        <v>335</v>
      </c>
    </row>
    <row r="137" spans="1:1" x14ac:dyDescent="0.25">
      <c r="A137" s="29" t="s">
        <v>336</v>
      </c>
    </row>
    <row r="138" spans="1:1" x14ac:dyDescent="0.25">
      <c r="A138" s="123" t="s">
        <v>337</v>
      </c>
    </row>
    <row r="139" spans="1:1" x14ac:dyDescent="0.25">
      <c r="A139" s="29" t="s">
        <v>338</v>
      </c>
    </row>
    <row r="140" spans="1:1" x14ac:dyDescent="0.25">
      <c r="A140" s="123" t="s">
        <v>339</v>
      </c>
    </row>
    <row r="141" spans="1:1" x14ac:dyDescent="0.25">
      <c r="A141" s="29" t="s">
        <v>340</v>
      </c>
    </row>
    <row r="142" spans="1:1" x14ac:dyDescent="0.25">
      <c r="A142" s="123" t="s">
        <v>341</v>
      </c>
    </row>
    <row r="143" spans="1:1" x14ac:dyDescent="0.25">
      <c r="A143" s="123" t="s">
        <v>342</v>
      </c>
    </row>
    <row r="144" spans="1:1" x14ac:dyDescent="0.25">
      <c r="A144" s="124" t="s">
        <v>343</v>
      </c>
    </row>
    <row r="145" spans="1:1" x14ac:dyDescent="0.25">
      <c r="A145" t="s">
        <v>344</v>
      </c>
    </row>
    <row r="146" spans="1:1" x14ac:dyDescent="0.25">
      <c r="A146" s="124" t="s">
        <v>345</v>
      </c>
    </row>
    <row r="147" spans="1:1" x14ac:dyDescent="0.25">
      <c r="A147" s="124" t="s">
        <v>346</v>
      </c>
    </row>
    <row r="148" spans="1:1" x14ac:dyDescent="0.25">
      <c r="A148" s="123" t="s">
        <v>347</v>
      </c>
    </row>
    <row r="149" spans="1:1" x14ac:dyDescent="0.25">
      <c r="A149" s="123" t="s">
        <v>348</v>
      </c>
    </row>
    <row r="150" spans="1:1" x14ac:dyDescent="0.25">
      <c r="A150" s="123" t="s">
        <v>349</v>
      </c>
    </row>
    <row r="151" spans="1:1" x14ac:dyDescent="0.25">
      <c r="A151" s="123" t="s">
        <v>350</v>
      </c>
    </row>
    <row r="152" spans="1:1" x14ac:dyDescent="0.25">
      <c r="A152" s="123" t="s">
        <v>351</v>
      </c>
    </row>
    <row r="153" spans="1:1" x14ac:dyDescent="0.25">
      <c r="A153" s="123" t="s">
        <v>352</v>
      </c>
    </row>
    <row r="154" spans="1:1" x14ac:dyDescent="0.25">
      <c r="A154" s="123" t="s">
        <v>353</v>
      </c>
    </row>
    <row r="155" spans="1:1" x14ac:dyDescent="0.25">
      <c r="A155" s="29" t="s">
        <v>354</v>
      </c>
    </row>
    <row r="156" spans="1:1" x14ac:dyDescent="0.25">
      <c r="A156" s="123" t="s">
        <v>355</v>
      </c>
    </row>
    <row r="157" spans="1:1" x14ac:dyDescent="0.25">
      <c r="A157" s="123" t="s">
        <v>356</v>
      </c>
    </row>
    <row r="158" spans="1:1" x14ac:dyDescent="0.25">
      <c r="A158" s="123" t="s">
        <v>357</v>
      </c>
    </row>
    <row r="159" spans="1:1" x14ac:dyDescent="0.25">
      <c r="A159" s="124" t="s">
        <v>358</v>
      </c>
    </row>
    <row r="160" spans="1:1" x14ac:dyDescent="0.25">
      <c r="A160" t="s">
        <v>359</v>
      </c>
    </row>
    <row r="161" spans="1:1" x14ac:dyDescent="0.25">
      <c r="A161" s="124" t="s">
        <v>361</v>
      </c>
    </row>
    <row r="162" spans="1:1" x14ac:dyDescent="0.25">
      <c r="A162" s="124" t="s">
        <v>362</v>
      </c>
    </row>
    <row r="163" spans="1:1" x14ac:dyDescent="0.25">
      <c r="A163" s="123" t="s">
        <v>363</v>
      </c>
    </row>
    <row r="164" spans="1:1" x14ac:dyDescent="0.25">
      <c r="A164" s="123" t="s">
        <v>364</v>
      </c>
    </row>
    <row r="165" spans="1:1" x14ac:dyDescent="0.25">
      <c r="A165" s="123" t="s">
        <v>365</v>
      </c>
    </row>
    <row r="166" spans="1:1" x14ac:dyDescent="0.25">
      <c r="A166" s="124" t="s">
        <v>366</v>
      </c>
    </row>
    <row r="167" spans="1:1" x14ac:dyDescent="0.25">
      <c r="A167" s="124" t="s">
        <v>367</v>
      </c>
    </row>
    <row r="168" spans="1:1" x14ac:dyDescent="0.25">
      <c r="A168" s="124" t="s">
        <v>368</v>
      </c>
    </row>
    <row r="169" spans="1:1" x14ac:dyDescent="0.25">
      <c r="A169" t="s">
        <v>369</v>
      </c>
    </row>
    <row r="170" spans="1:1" x14ac:dyDescent="0.25">
      <c r="A170" t="s">
        <v>372</v>
      </c>
    </row>
    <row r="171" spans="1:1" x14ac:dyDescent="0.25">
      <c r="A171" t="s">
        <v>373</v>
      </c>
    </row>
    <row r="172" spans="1:1" x14ac:dyDescent="0.25">
      <c r="A172" s="124" t="s">
        <v>374</v>
      </c>
    </row>
    <row r="173" spans="1:1" x14ac:dyDescent="0.25">
      <c r="A173" t="s">
        <v>375</v>
      </c>
    </row>
    <row r="174" spans="1:1" x14ac:dyDescent="0.25">
      <c r="A174" s="124" t="s">
        <v>376</v>
      </c>
    </row>
    <row r="175" spans="1:1" x14ac:dyDescent="0.25">
      <c r="A175" s="124" t="s">
        <v>377</v>
      </c>
    </row>
    <row r="176" spans="1:1" x14ac:dyDescent="0.25">
      <c r="A176" s="123" t="s">
        <v>378</v>
      </c>
    </row>
    <row r="177" spans="1:1" x14ac:dyDescent="0.25">
      <c r="A177" s="123" t="s">
        <v>379</v>
      </c>
    </row>
    <row r="178" spans="1:1" x14ac:dyDescent="0.25">
      <c r="A178" s="123" t="s">
        <v>380</v>
      </c>
    </row>
    <row r="179" spans="1:1" x14ac:dyDescent="0.25">
      <c r="A179" s="124" t="s">
        <v>381</v>
      </c>
    </row>
    <row r="180" spans="1:1" x14ac:dyDescent="0.25">
      <c r="A180" s="124" t="s">
        <v>382</v>
      </c>
    </row>
    <row r="181" spans="1:1" x14ac:dyDescent="0.25">
      <c r="A181" s="124" t="s">
        <v>383</v>
      </c>
    </row>
    <row r="182" spans="1:1" x14ac:dyDescent="0.25">
      <c r="A182" t="s">
        <v>384</v>
      </c>
    </row>
    <row r="183" spans="1:1" x14ac:dyDescent="0.25">
      <c r="A183" t="s">
        <v>386</v>
      </c>
    </row>
    <row r="184" spans="1:1" x14ac:dyDescent="0.25">
      <c r="A184" t="s">
        <v>387</v>
      </c>
    </row>
    <row r="185" spans="1:1" x14ac:dyDescent="0.25">
      <c r="A185" s="124" t="s">
        <v>388</v>
      </c>
    </row>
    <row r="186" spans="1:1" x14ac:dyDescent="0.25">
      <c r="A186" t="s">
        <v>389</v>
      </c>
    </row>
    <row r="187" spans="1:1" x14ac:dyDescent="0.25">
      <c r="A187" s="124" t="s">
        <v>390</v>
      </c>
    </row>
    <row r="188" spans="1:1" x14ac:dyDescent="0.25">
      <c r="A188" t="s">
        <v>391</v>
      </c>
    </row>
    <row r="189" spans="1:1" x14ac:dyDescent="0.25">
      <c r="A189" s="124" t="s">
        <v>392</v>
      </c>
    </row>
    <row r="190" spans="1:1" x14ac:dyDescent="0.25">
      <c r="A190" t="s">
        <v>393</v>
      </c>
    </row>
    <row r="191" spans="1:1" x14ac:dyDescent="0.25">
      <c r="A191" s="123" t="s">
        <v>394</v>
      </c>
    </row>
    <row r="192" spans="1:1" x14ac:dyDescent="0.25">
      <c r="A192" s="123" t="s">
        <v>395</v>
      </c>
    </row>
    <row r="193" spans="1:1" x14ac:dyDescent="0.25">
      <c r="A193" s="124" t="s">
        <v>396</v>
      </c>
    </row>
    <row r="194" spans="1:1" x14ac:dyDescent="0.25">
      <c r="A194" t="s">
        <v>397</v>
      </c>
    </row>
    <row r="195" spans="1:1" x14ac:dyDescent="0.25">
      <c r="A195" s="124" t="s">
        <v>398</v>
      </c>
    </row>
    <row r="196" spans="1:1" x14ac:dyDescent="0.25">
      <c r="A196" s="124" t="s">
        <v>399</v>
      </c>
    </row>
    <row r="197" spans="1:1" x14ac:dyDescent="0.25">
      <c r="A197" s="123" t="s">
        <v>400</v>
      </c>
    </row>
    <row r="198" spans="1:1" x14ac:dyDescent="0.25">
      <c r="A198" s="29" t="s">
        <v>401</v>
      </c>
    </row>
    <row r="199" spans="1:1" x14ac:dyDescent="0.25">
      <c r="A199" s="124" t="s">
        <v>402</v>
      </c>
    </row>
    <row r="200" spans="1:1" x14ac:dyDescent="0.25">
      <c r="A200" s="124" t="s">
        <v>403</v>
      </c>
    </row>
    <row r="201" spans="1:1" x14ac:dyDescent="0.25">
      <c r="A201" s="123" t="s">
        <v>404</v>
      </c>
    </row>
    <row r="202" spans="1:1" x14ac:dyDescent="0.25">
      <c r="A202" s="123" t="s">
        <v>405</v>
      </c>
    </row>
    <row r="203" spans="1:1" x14ac:dyDescent="0.25">
      <c r="A203" s="123" t="s">
        <v>406</v>
      </c>
    </row>
    <row r="204" spans="1:1" x14ac:dyDescent="0.25">
      <c r="A204" s="124" t="s">
        <v>407</v>
      </c>
    </row>
    <row r="205" spans="1:1" x14ac:dyDescent="0.25">
      <c r="A205" s="124" t="s">
        <v>408</v>
      </c>
    </row>
    <row r="206" spans="1:1" x14ac:dyDescent="0.25">
      <c r="A206" s="124" t="s">
        <v>409</v>
      </c>
    </row>
    <row r="207" spans="1:1" x14ac:dyDescent="0.25">
      <c r="A207" t="s">
        <v>410</v>
      </c>
    </row>
    <row r="208" spans="1:1" x14ac:dyDescent="0.25">
      <c r="A208" t="s">
        <v>413</v>
      </c>
    </row>
    <row r="209" spans="1:1" x14ac:dyDescent="0.25">
      <c r="A209" t="s">
        <v>414</v>
      </c>
    </row>
    <row r="210" spans="1:1" x14ac:dyDescent="0.25">
      <c r="A210" s="124" t="s">
        <v>415</v>
      </c>
    </row>
    <row r="211" spans="1:1" x14ac:dyDescent="0.25">
      <c r="A211" t="s">
        <v>416</v>
      </c>
    </row>
    <row r="212" spans="1:1" x14ac:dyDescent="0.25">
      <c r="A212" s="124" t="s">
        <v>417</v>
      </c>
    </row>
    <row r="213" spans="1:1" x14ac:dyDescent="0.25">
      <c r="A213" t="s">
        <v>418</v>
      </c>
    </row>
    <row r="214" spans="1:1" x14ac:dyDescent="0.25">
      <c r="A214" s="124" t="s">
        <v>419</v>
      </c>
    </row>
    <row r="215" spans="1:1" x14ac:dyDescent="0.25">
      <c r="A215" t="s">
        <v>420</v>
      </c>
    </row>
    <row r="216" spans="1:1" x14ac:dyDescent="0.25">
      <c r="A216" s="123" t="s">
        <v>421</v>
      </c>
    </row>
    <row r="217" spans="1:1" x14ac:dyDescent="0.25">
      <c r="A217" s="123" t="s">
        <v>422</v>
      </c>
    </row>
    <row r="218" spans="1:1" x14ac:dyDescent="0.25">
      <c r="A218" s="123" t="s">
        <v>423</v>
      </c>
    </row>
    <row r="219" spans="1:1" x14ac:dyDescent="0.25">
      <c r="A219" s="124" t="s">
        <v>424</v>
      </c>
    </row>
    <row r="220" spans="1:1" x14ac:dyDescent="0.25">
      <c r="A220" s="124" t="s">
        <v>425</v>
      </c>
    </row>
    <row r="221" spans="1:1" x14ac:dyDescent="0.25">
      <c r="A221" s="123" t="s">
        <v>426</v>
      </c>
    </row>
    <row r="222" spans="1:1" x14ac:dyDescent="0.25">
      <c r="A222" s="124" t="s">
        <v>427</v>
      </c>
    </row>
    <row r="223" spans="1:1" x14ac:dyDescent="0.25">
      <c r="A223" t="s">
        <v>428</v>
      </c>
    </row>
    <row r="224" spans="1:1" x14ac:dyDescent="0.25">
      <c r="A224" s="124" t="s">
        <v>429</v>
      </c>
    </row>
    <row r="225" spans="1:1" x14ac:dyDescent="0.25">
      <c r="A225" s="124" t="s">
        <v>430</v>
      </c>
    </row>
    <row r="226" spans="1:1" x14ac:dyDescent="0.25">
      <c r="A226" s="123" t="s">
        <v>431</v>
      </c>
    </row>
    <row r="227" spans="1:1" x14ac:dyDescent="0.25">
      <c r="A227" s="123" t="s">
        <v>432</v>
      </c>
    </row>
    <row r="228" spans="1:1" x14ac:dyDescent="0.25">
      <c r="A228" s="123" t="s">
        <v>433</v>
      </c>
    </row>
    <row r="229" spans="1:1" x14ac:dyDescent="0.25">
      <c r="A229" s="123" t="s">
        <v>434</v>
      </c>
    </row>
    <row r="230" spans="1:1" x14ac:dyDescent="0.25">
      <c r="A230" s="123" t="s">
        <v>435</v>
      </c>
    </row>
    <row r="231" spans="1:1" x14ac:dyDescent="0.25">
      <c r="A231" s="124" t="s">
        <v>436</v>
      </c>
    </row>
    <row r="232" spans="1:1" x14ac:dyDescent="0.25">
      <c r="A232" s="124" t="s">
        <v>437</v>
      </c>
    </row>
    <row r="233" spans="1:1" x14ac:dyDescent="0.25">
      <c r="A233" s="123" t="s">
        <v>438</v>
      </c>
    </row>
    <row r="234" spans="1:1" x14ac:dyDescent="0.25">
      <c r="A234" s="123" t="s">
        <v>439</v>
      </c>
    </row>
    <row r="235" spans="1:1" x14ac:dyDescent="0.25">
      <c r="A235" s="123" t="s">
        <v>440</v>
      </c>
    </row>
    <row r="236" spans="1:1" x14ac:dyDescent="0.25">
      <c r="A236" s="123" t="s">
        <v>441</v>
      </c>
    </row>
    <row r="237" spans="1:1" x14ac:dyDescent="0.25">
      <c r="A237" s="123" t="s">
        <v>442</v>
      </c>
    </row>
    <row r="238" spans="1:1" x14ac:dyDescent="0.25">
      <c r="A238" s="123" t="s">
        <v>443</v>
      </c>
    </row>
    <row r="239" spans="1:1" x14ac:dyDescent="0.25">
      <c r="A239" s="124" t="s">
        <v>444</v>
      </c>
    </row>
    <row r="240" spans="1:1" x14ac:dyDescent="0.25">
      <c r="A240" s="124" t="s">
        <v>445</v>
      </c>
    </row>
    <row r="241" spans="1:1" x14ac:dyDescent="0.25">
      <c r="A241" s="123" t="s">
        <v>446</v>
      </c>
    </row>
    <row r="242" spans="1:1" x14ac:dyDescent="0.25">
      <c r="A242" s="123" t="s">
        <v>447</v>
      </c>
    </row>
    <row r="243" spans="1:1" x14ac:dyDescent="0.25">
      <c r="A243" s="123" t="s">
        <v>448</v>
      </c>
    </row>
    <row r="244" spans="1:1" x14ac:dyDescent="0.25">
      <c r="A244" s="123" t="s">
        <v>449</v>
      </c>
    </row>
    <row r="245" spans="1:1" x14ac:dyDescent="0.25">
      <c r="A245" s="123" t="s">
        <v>450</v>
      </c>
    </row>
    <row r="246" spans="1:1" x14ac:dyDescent="0.25">
      <c r="A246" s="123" t="s">
        <v>451</v>
      </c>
    </row>
    <row r="247" spans="1:1" x14ac:dyDescent="0.25">
      <c r="A247" s="123" t="s">
        <v>452</v>
      </c>
    </row>
    <row r="248" spans="1:1" x14ac:dyDescent="0.25">
      <c r="A248" s="123" t="s">
        <v>453</v>
      </c>
    </row>
    <row r="249" spans="1:1" x14ac:dyDescent="0.25">
      <c r="A249" s="123" t="s">
        <v>454</v>
      </c>
    </row>
    <row r="250" spans="1:1" x14ac:dyDescent="0.25">
      <c r="A250" s="123" t="s">
        <v>455</v>
      </c>
    </row>
    <row r="251" spans="1:1" x14ac:dyDescent="0.25">
      <c r="A251" s="123" t="s">
        <v>456</v>
      </c>
    </row>
    <row r="252" spans="1:1" x14ac:dyDescent="0.25">
      <c r="A252" s="123" t="s">
        <v>457</v>
      </c>
    </row>
    <row r="253" spans="1:1" x14ac:dyDescent="0.25">
      <c r="A253" s="124" t="s">
        <v>458</v>
      </c>
    </row>
    <row r="254" spans="1:1" x14ac:dyDescent="0.25">
      <c r="A254" s="124" t="s">
        <v>459</v>
      </c>
    </row>
    <row r="255" spans="1:1" x14ac:dyDescent="0.25">
      <c r="A255" s="123" t="s">
        <v>460</v>
      </c>
    </row>
    <row r="256" spans="1:1" x14ac:dyDescent="0.25">
      <c r="A256" s="123" t="s">
        <v>461</v>
      </c>
    </row>
    <row r="257" spans="1:1" x14ac:dyDescent="0.25">
      <c r="A257" s="123" t="s">
        <v>462</v>
      </c>
    </row>
    <row r="258" spans="1:1" x14ac:dyDescent="0.25">
      <c r="A258" s="123" t="s">
        <v>463</v>
      </c>
    </row>
    <row r="259" spans="1:1" x14ac:dyDescent="0.25">
      <c r="A259" s="123" t="s">
        <v>464</v>
      </c>
    </row>
    <row r="260" spans="1:1" x14ac:dyDescent="0.25">
      <c r="A260" s="123" t="s">
        <v>465</v>
      </c>
    </row>
    <row r="261" spans="1:1" x14ac:dyDescent="0.25">
      <c r="A261" s="29" t="s">
        <v>466</v>
      </c>
    </row>
    <row r="262" spans="1:1" x14ac:dyDescent="0.25">
      <c r="A262" s="124" t="s">
        <v>467</v>
      </c>
    </row>
    <row r="263" spans="1:1" x14ac:dyDescent="0.25">
      <c r="A263" s="124" t="s">
        <v>468</v>
      </c>
    </row>
    <row r="264" spans="1:1" x14ac:dyDescent="0.25">
      <c r="A264" s="123" t="s">
        <v>469</v>
      </c>
    </row>
    <row r="265" spans="1:1" x14ac:dyDescent="0.25">
      <c r="A265" s="123" t="s">
        <v>470</v>
      </c>
    </row>
    <row r="266" spans="1:1" x14ac:dyDescent="0.25">
      <c r="A266" s="123" t="s">
        <v>471</v>
      </c>
    </row>
    <row r="267" spans="1:1" x14ac:dyDescent="0.25">
      <c r="A267" s="124" t="s">
        <v>472</v>
      </c>
    </row>
    <row r="268" spans="1:1" x14ac:dyDescent="0.25">
      <c r="A268" s="124" t="s">
        <v>473</v>
      </c>
    </row>
    <row r="269" spans="1:1" x14ac:dyDescent="0.25">
      <c r="A269" s="124" t="s">
        <v>474</v>
      </c>
    </row>
    <row r="270" spans="1:1" x14ac:dyDescent="0.25">
      <c r="A270" t="s">
        <v>475</v>
      </c>
    </row>
    <row r="271" spans="1:1" x14ac:dyDescent="0.25">
      <c r="A271" t="s">
        <v>478</v>
      </c>
    </row>
    <row r="272" spans="1:1" x14ac:dyDescent="0.25">
      <c r="A272" t="s">
        <v>479</v>
      </c>
    </row>
    <row r="273" spans="1:1" x14ac:dyDescent="0.25">
      <c r="A273" s="124" t="s">
        <v>480</v>
      </c>
    </row>
    <row r="274" spans="1:1" x14ac:dyDescent="0.25">
      <c r="A274" t="s">
        <v>481</v>
      </c>
    </row>
    <row r="275" spans="1:1" x14ac:dyDescent="0.25">
      <c r="A275" s="124" t="s">
        <v>482</v>
      </c>
    </row>
    <row r="276" spans="1:1" x14ac:dyDescent="0.25">
      <c r="A276" t="s">
        <v>483</v>
      </c>
    </row>
    <row r="277" spans="1:1" x14ac:dyDescent="0.25">
      <c r="A277" s="124" t="s">
        <v>484</v>
      </c>
    </row>
    <row r="278" spans="1:1" x14ac:dyDescent="0.25">
      <c r="A278" t="s">
        <v>485</v>
      </c>
    </row>
    <row r="279" spans="1:1" x14ac:dyDescent="0.25">
      <c r="A279" s="123" t="s">
        <v>486</v>
      </c>
    </row>
    <row r="280" spans="1:1" x14ac:dyDescent="0.25">
      <c r="A280" s="123" t="s">
        <v>487</v>
      </c>
    </row>
    <row r="281" spans="1:1" x14ac:dyDescent="0.25">
      <c r="A281" s="123" t="s">
        <v>488</v>
      </c>
    </row>
    <row r="282" spans="1:1" x14ac:dyDescent="0.25">
      <c r="A282" s="124" t="s">
        <v>489</v>
      </c>
    </row>
    <row r="283" spans="1:1" x14ac:dyDescent="0.25">
      <c r="A283" s="124" t="s">
        <v>490</v>
      </c>
    </row>
    <row r="284" spans="1:1" x14ac:dyDescent="0.25">
      <c r="A284" s="123" t="s">
        <v>491</v>
      </c>
    </row>
    <row r="285" spans="1:1" x14ac:dyDescent="0.25">
      <c r="A285" s="124" t="s">
        <v>492</v>
      </c>
    </row>
    <row r="286" spans="1:1" x14ac:dyDescent="0.25">
      <c r="A286" t="s">
        <v>493</v>
      </c>
    </row>
    <row r="287" spans="1:1" x14ac:dyDescent="0.25">
      <c r="A287" s="124" t="s">
        <v>494</v>
      </c>
    </row>
    <row r="288" spans="1:1" x14ac:dyDescent="0.25">
      <c r="A288" s="124" t="s">
        <v>495</v>
      </c>
    </row>
    <row r="289" spans="1:1" x14ac:dyDescent="0.25">
      <c r="A289" s="123" t="s">
        <v>496</v>
      </c>
    </row>
    <row r="290" spans="1:1" x14ac:dyDescent="0.25">
      <c r="A290" s="123" t="s">
        <v>497</v>
      </c>
    </row>
    <row r="291" spans="1:1" x14ac:dyDescent="0.25">
      <c r="A291" s="123" t="s">
        <v>498</v>
      </c>
    </row>
    <row r="292" spans="1:1" x14ac:dyDescent="0.25">
      <c r="A292" s="123" t="s">
        <v>499</v>
      </c>
    </row>
    <row r="293" spans="1:1" x14ac:dyDescent="0.25">
      <c r="A293" s="123" t="s">
        <v>500</v>
      </c>
    </row>
    <row r="294" spans="1:1" x14ac:dyDescent="0.25">
      <c r="A294" s="124" t="s">
        <v>501</v>
      </c>
    </row>
    <row r="295" spans="1:1" x14ac:dyDescent="0.25">
      <c r="A295" s="124" t="s">
        <v>502</v>
      </c>
    </row>
    <row r="296" spans="1:1" x14ac:dyDescent="0.25">
      <c r="A296" s="123" t="s">
        <v>503</v>
      </c>
    </row>
    <row r="297" spans="1:1" x14ac:dyDescent="0.25">
      <c r="A297" s="123" t="s">
        <v>504</v>
      </c>
    </row>
    <row r="298" spans="1:1" x14ac:dyDescent="0.25">
      <c r="A298" s="123" t="s">
        <v>505</v>
      </c>
    </row>
    <row r="299" spans="1:1" x14ac:dyDescent="0.25">
      <c r="A299" s="123" t="s">
        <v>506</v>
      </c>
    </row>
    <row r="300" spans="1:1" x14ac:dyDescent="0.25">
      <c r="A300" s="123" t="s">
        <v>507</v>
      </c>
    </row>
    <row r="301" spans="1:1" x14ac:dyDescent="0.25">
      <c r="A301" s="123" t="s">
        <v>508</v>
      </c>
    </row>
    <row r="302" spans="1:1" x14ac:dyDescent="0.25">
      <c r="A302" s="124" t="s">
        <v>509</v>
      </c>
    </row>
    <row r="303" spans="1:1" x14ac:dyDescent="0.25">
      <c r="A303" s="124" t="s">
        <v>510</v>
      </c>
    </row>
    <row r="304" spans="1:1" x14ac:dyDescent="0.25">
      <c r="A304" s="123" t="s">
        <v>511</v>
      </c>
    </row>
    <row r="305" spans="1:1" x14ac:dyDescent="0.25">
      <c r="A305" s="123" t="s">
        <v>512</v>
      </c>
    </row>
    <row r="306" spans="1:1" x14ac:dyDescent="0.25">
      <c r="A306" s="123" t="s">
        <v>513</v>
      </c>
    </row>
    <row r="307" spans="1:1" x14ac:dyDescent="0.25">
      <c r="A307" s="123" t="s">
        <v>514</v>
      </c>
    </row>
    <row r="308" spans="1:1" x14ac:dyDescent="0.25">
      <c r="A308" s="123" t="s">
        <v>515</v>
      </c>
    </row>
    <row r="309" spans="1:1" x14ac:dyDescent="0.25">
      <c r="A309" s="123" t="s">
        <v>516</v>
      </c>
    </row>
    <row r="310" spans="1:1" x14ac:dyDescent="0.25">
      <c r="A310" s="123" t="s">
        <v>517</v>
      </c>
    </row>
    <row r="311" spans="1:1" x14ac:dyDescent="0.25">
      <c r="A311" s="123" t="s">
        <v>518</v>
      </c>
    </row>
    <row r="312" spans="1:1" x14ac:dyDescent="0.25">
      <c r="A312" s="123" t="s">
        <v>519</v>
      </c>
    </row>
    <row r="313" spans="1:1" x14ac:dyDescent="0.25">
      <c r="A313" s="123" t="s">
        <v>520</v>
      </c>
    </row>
    <row r="314" spans="1:1" x14ac:dyDescent="0.25">
      <c r="A314" s="123" t="s">
        <v>521</v>
      </c>
    </row>
    <row r="315" spans="1:1" x14ac:dyDescent="0.25">
      <c r="A315" s="123" t="s">
        <v>522</v>
      </c>
    </row>
    <row r="316" spans="1:1" x14ac:dyDescent="0.25">
      <c r="A316" s="123" t="s">
        <v>523</v>
      </c>
    </row>
    <row r="317" spans="1:1" x14ac:dyDescent="0.25">
      <c r="A317" s="123" t="s">
        <v>524</v>
      </c>
    </row>
    <row r="318" spans="1:1" x14ac:dyDescent="0.25">
      <c r="A318" s="123" t="s">
        <v>525</v>
      </c>
    </row>
    <row r="319" spans="1:1" x14ac:dyDescent="0.25">
      <c r="A319" s="29" t="s">
        <v>526</v>
      </c>
    </row>
    <row r="320" spans="1:1" x14ac:dyDescent="0.25">
      <c r="A320" s="124" t="s">
        <v>527</v>
      </c>
    </row>
    <row r="321" spans="1:1" x14ac:dyDescent="0.25">
      <c r="A321" t="s">
        <v>528</v>
      </c>
    </row>
    <row r="322" spans="1:1" x14ac:dyDescent="0.25">
      <c r="A322" s="124" t="s">
        <v>529</v>
      </c>
    </row>
    <row r="323" spans="1:1" x14ac:dyDescent="0.25">
      <c r="A323" s="124" t="s">
        <v>530</v>
      </c>
    </row>
    <row r="324" spans="1:1" x14ac:dyDescent="0.25">
      <c r="A324" s="123" t="s">
        <v>531</v>
      </c>
    </row>
    <row r="325" spans="1:1" x14ac:dyDescent="0.25">
      <c r="A325" s="123" t="s">
        <v>532</v>
      </c>
    </row>
    <row r="326" spans="1:1" x14ac:dyDescent="0.25">
      <c r="A326" s="123" t="s">
        <v>533</v>
      </c>
    </row>
    <row r="327" spans="1:1" x14ac:dyDescent="0.25">
      <c r="A327" s="124" t="s">
        <v>534</v>
      </c>
    </row>
    <row r="328" spans="1:1" x14ac:dyDescent="0.25">
      <c r="A328" s="124" t="s">
        <v>535</v>
      </c>
    </row>
    <row r="329" spans="1:1" x14ac:dyDescent="0.25">
      <c r="A329" s="124" t="s">
        <v>536</v>
      </c>
    </row>
    <row r="330" spans="1:1" x14ac:dyDescent="0.25">
      <c r="A330" t="s">
        <v>537</v>
      </c>
    </row>
    <row r="331" spans="1:1" x14ac:dyDescent="0.25">
      <c r="A331" t="s">
        <v>540</v>
      </c>
    </row>
    <row r="332" spans="1:1" x14ac:dyDescent="0.25">
      <c r="A332" t="s">
        <v>541</v>
      </c>
    </row>
    <row r="333" spans="1:1" x14ac:dyDescent="0.25">
      <c r="A333" s="124" t="s">
        <v>542</v>
      </c>
    </row>
    <row r="334" spans="1:1" x14ac:dyDescent="0.25">
      <c r="A334" t="s">
        <v>543</v>
      </c>
    </row>
    <row r="335" spans="1:1" x14ac:dyDescent="0.25">
      <c r="A335" s="124" t="s">
        <v>544</v>
      </c>
    </row>
    <row r="336" spans="1:1" x14ac:dyDescent="0.25">
      <c r="A336" t="s">
        <v>545</v>
      </c>
    </row>
    <row r="337" spans="1:1" x14ac:dyDescent="0.25">
      <c r="A337" s="123" t="s">
        <v>546</v>
      </c>
    </row>
    <row r="338" spans="1:1" x14ac:dyDescent="0.25">
      <c r="A338" s="123" t="s">
        <v>547</v>
      </c>
    </row>
    <row r="339" spans="1:1" x14ac:dyDescent="0.25">
      <c r="A339" s="123" t="s">
        <v>548</v>
      </c>
    </row>
    <row r="340" spans="1:1" x14ac:dyDescent="0.25">
      <c r="A340" s="123" t="s">
        <v>549</v>
      </c>
    </row>
    <row r="341" spans="1:1" x14ac:dyDescent="0.25">
      <c r="A341" s="123" t="s">
        <v>550</v>
      </c>
    </row>
    <row r="342" spans="1:1" x14ac:dyDescent="0.25">
      <c r="A342" s="123" t="s">
        <v>551</v>
      </c>
    </row>
    <row r="343" spans="1:1" x14ac:dyDescent="0.25">
      <c r="A343" s="124" t="s">
        <v>552</v>
      </c>
    </row>
    <row r="344" spans="1:1" x14ac:dyDescent="0.25">
      <c r="A344" s="124" t="s">
        <v>553</v>
      </c>
    </row>
    <row r="345" spans="1:1" x14ac:dyDescent="0.25">
      <c r="A345" s="123" t="s">
        <v>554</v>
      </c>
    </row>
    <row r="346" spans="1:1" x14ac:dyDescent="0.25">
      <c r="A346" s="123" t="s">
        <v>555</v>
      </c>
    </row>
    <row r="347" spans="1:1" x14ac:dyDescent="0.25">
      <c r="A347" s="123" t="s">
        <v>556</v>
      </c>
    </row>
    <row r="348" spans="1:1" x14ac:dyDescent="0.25">
      <c r="A348" s="124" t="s">
        <v>557</v>
      </c>
    </row>
    <row r="349" spans="1:1" x14ac:dyDescent="0.25">
      <c r="A349" s="124" t="s">
        <v>558</v>
      </c>
    </row>
    <row r="350" spans="1:1" x14ac:dyDescent="0.25">
      <c r="A350" s="124" t="s">
        <v>559</v>
      </c>
    </row>
    <row r="351" spans="1:1" x14ac:dyDescent="0.25">
      <c r="A351" t="s">
        <v>560</v>
      </c>
    </row>
    <row r="352" spans="1:1" x14ac:dyDescent="0.25">
      <c r="A352" t="s">
        <v>562</v>
      </c>
    </row>
    <row r="353" spans="1:1" x14ac:dyDescent="0.25">
      <c r="A353" t="s">
        <v>563</v>
      </c>
    </row>
    <row r="354" spans="1:1" x14ac:dyDescent="0.25">
      <c r="A354" s="124" t="s">
        <v>564</v>
      </c>
    </row>
    <row r="355" spans="1:1" x14ac:dyDescent="0.25">
      <c r="A355" t="s">
        <v>565</v>
      </c>
    </row>
    <row r="356" spans="1:1" x14ac:dyDescent="0.25">
      <c r="A356" s="124" t="s">
        <v>566</v>
      </c>
    </row>
    <row r="357" spans="1:1" x14ac:dyDescent="0.25">
      <c r="A357" t="s">
        <v>567</v>
      </c>
    </row>
    <row r="358" spans="1:1" x14ac:dyDescent="0.25">
      <c r="A358" s="123" t="s">
        <v>568</v>
      </c>
    </row>
    <row r="359" spans="1:1" x14ac:dyDescent="0.25">
      <c r="A359" s="123" t="s">
        <v>569</v>
      </c>
    </row>
    <row r="360" spans="1:1" x14ac:dyDescent="0.25">
      <c r="A360" s="123" t="s">
        <v>570</v>
      </c>
    </row>
    <row r="361" spans="1:1" x14ac:dyDescent="0.25">
      <c r="A361" s="124" t="s">
        <v>571</v>
      </c>
    </row>
    <row r="362" spans="1:1" x14ac:dyDescent="0.25">
      <c r="A362" s="124" t="s">
        <v>572</v>
      </c>
    </row>
    <row r="363" spans="1:1" x14ac:dyDescent="0.25">
      <c r="A363" s="123" t="s">
        <v>573</v>
      </c>
    </row>
    <row r="364" spans="1:1" x14ac:dyDescent="0.25">
      <c r="A364" s="124" t="s">
        <v>574</v>
      </c>
    </row>
    <row r="365" spans="1:1" x14ac:dyDescent="0.25">
      <c r="A365" t="s">
        <v>575</v>
      </c>
    </row>
    <row r="366" spans="1:1" x14ac:dyDescent="0.25">
      <c r="A366" s="124" t="s">
        <v>576</v>
      </c>
    </row>
    <row r="367" spans="1:1" x14ac:dyDescent="0.25">
      <c r="A367" s="124" t="s">
        <v>577</v>
      </c>
    </row>
    <row r="368" spans="1:1" x14ac:dyDescent="0.25">
      <c r="A368" s="123" t="s">
        <v>578</v>
      </c>
    </row>
    <row r="369" spans="1:1" x14ac:dyDescent="0.25">
      <c r="A369" s="123" t="s">
        <v>579</v>
      </c>
    </row>
    <row r="370" spans="1:1" x14ac:dyDescent="0.25">
      <c r="A370" s="29" t="s">
        <v>580</v>
      </c>
    </row>
    <row r="371" spans="1:1" x14ac:dyDescent="0.25">
      <c r="A371" s="123" t="s">
        <v>581</v>
      </c>
    </row>
    <row r="372" spans="1:1" x14ac:dyDescent="0.25">
      <c r="A372" s="123" t="s">
        <v>582</v>
      </c>
    </row>
    <row r="373" spans="1:1" x14ac:dyDescent="0.25">
      <c r="A373" s="123" t="s">
        <v>583</v>
      </c>
    </row>
    <row r="374" spans="1:1" x14ac:dyDescent="0.25">
      <c r="A374" s="124" t="s">
        <v>584</v>
      </c>
    </row>
    <row r="375" spans="1:1" x14ac:dyDescent="0.25">
      <c r="A375" s="124" t="s">
        <v>585</v>
      </c>
    </row>
    <row r="376" spans="1:1" x14ac:dyDescent="0.25">
      <c r="A376" s="123" t="s">
        <v>586</v>
      </c>
    </row>
    <row r="377" spans="1:1" x14ac:dyDescent="0.25">
      <c r="A377" s="123" t="s">
        <v>587</v>
      </c>
    </row>
    <row r="378" spans="1:1" x14ac:dyDescent="0.25">
      <c r="A378" s="123" t="s">
        <v>588</v>
      </c>
    </row>
    <row r="379" spans="1:1" x14ac:dyDescent="0.25">
      <c r="A379" s="124" t="s">
        <v>589</v>
      </c>
    </row>
    <row r="380" spans="1:1" x14ac:dyDescent="0.25">
      <c r="A380" s="124" t="s">
        <v>590</v>
      </c>
    </row>
    <row r="381" spans="1:1" x14ac:dyDescent="0.25">
      <c r="A381" s="124" t="s">
        <v>591</v>
      </c>
    </row>
    <row r="382" spans="1:1" x14ac:dyDescent="0.25">
      <c r="A382" t="s">
        <v>592</v>
      </c>
    </row>
    <row r="383" spans="1:1" x14ac:dyDescent="0.25">
      <c r="A383" t="s">
        <v>595</v>
      </c>
    </row>
    <row r="384" spans="1:1" x14ac:dyDescent="0.25">
      <c r="A384" t="s">
        <v>596</v>
      </c>
    </row>
    <row r="385" spans="1:1" x14ac:dyDescent="0.25">
      <c r="A385" s="124" t="s">
        <v>597</v>
      </c>
    </row>
    <row r="386" spans="1:1" x14ac:dyDescent="0.25">
      <c r="A386" t="s">
        <v>598</v>
      </c>
    </row>
    <row r="387" spans="1:1" x14ac:dyDescent="0.25">
      <c r="A387" s="124" t="s">
        <v>600</v>
      </c>
    </row>
    <row r="388" spans="1:1" x14ac:dyDescent="0.25">
      <c r="A388" t="s">
        <v>601</v>
      </c>
    </row>
    <row r="389" spans="1:1" x14ac:dyDescent="0.25">
      <c r="A389" s="124" t="s">
        <v>602</v>
      </c>
    </row>
    <row r="390" spans="1:1" x14ac:dyDescent="0.25">
      <c r="A390" t="s">
        <v>603</v>
      </c>
    </row>
    <row r="391" spans="1:1" x14ac:dyDescent="0.25">
      <c r="A391" s="123" t="s">
        <v>604</v>
      </c>
    </row>
    <row r="392" spans="1:1" x14ac:dyDescent="0.25">
      <c r="A392" s="123" t="s">
        <v>605</v>
      </c>
    </row>
    <row r="393" spans="1:1" x14ac:dyDescent="0.25">
      <c r="A393" s="123" t="s">
        <v>606</v>
      </c>
    </row>
    <row r="394" spans="1:1" x14ac:dyDescent="0.25">
      <c r="A394" s="124" t="s">
        <v>607</v>
      </c>
    </row>
    <row r="395" spans="1:1" x14ac:dyDescent="0.25">
      <c r="A395" s="124" t="s">
        <v>608</v>
      </c>
    </row>
    <row r="396" spans="1:1" x14ac:dyDescent="0.25">
      <c r="A396" s="123" t="s">
        <v>609</v>
      </c>
    </row>
    <row r="397" spans="1:1" x14ac:dyDescent="0.25">
      <c r="A397" s="123" t="s">
        <v>610</v>
      </c>
    </row>
    <row r="398" spans="1:1" x14ac:dyDescent="0.25">
      <c r="A398" s="123" t="s">
        <v>611</v>
      </c>
    </row>
    <row r="399" spans="1:1" x14ac:dyDescent="0.25">
      <c r="A399" s="123" t="s">
        <v>612</v>
      </c>
    </row>
    <row r="400" spans="1:1" x14ac:dyDescent="0.25">
      <c r="A400" s="123" t="s">
        <v>613</v>
      </c>
    </row>
    <row r="401" spans="1:1" x14ac:dyDescent="0.25">
      <c r="A401" s="123" t="s">
        <v>614</v>
      </c>
    </row>
    <row r="402" spans="1:1" x14ac:dyDescent="0.25">
      <c r="A402" s="124" t="s">
        <v>615</v>
      </c>
    </row>
    <row r="403" spans="1:1" x14ac:dyDescent="0.25">
      <c r="A403" s="124" t="s">
        <v>616</v>
      </c>
    </row>
    <row r="404" spans="1:1" x14ac:dyDescent="0.25">
      <c r="A404" s="123" t="s">
        <v>617</v>
      </c>
    </row>
    <row r="405" spans="1:1" x14ac:dyDescent="0.25">
      <c r="A405" s="123" t="s">
        <v>618</v>
      </c>
    </row>
    <row r="406" spans="1:1" x14ac:dyDescent="0.25">
      <c r="A406" s="123" t="s">
        <v>619</v>
      </c>
    </row>
    <row r="407" spans="1:1" x14ac:dyDescent="0.25">
      <c r="A407" s="124" t="s">
        <v>620</v>
      </c>
    </row>
    <row r="408" spans="1:1" x14ac:dyDescent="0.25">
      <c r="A408" s="124" t="s">
        <v>621</v>
      </c>
    </row>
    <row r="409" spans="1:1" x14ac:dyDescent="0.25">
      <c r="A409" s="124" t="s">
        <v>622</v>
      </c>
    </row>
    <row r="410" spans="1:1" x14ac:dyDescent="0.25">
      <c r="A410" t="s">
        <v>623</v>
      </c>
    </row>
    <row r="411" spans="1:1" x14ac:dyDescent="0.25">
      <c r="A411" t="s">
        <v>626</v>
      </c>
    </row>
    <row r="412" spans="1:1" x14ac:dyDescent="0.25">
      <c r="A412" t="s">
        <v>627</v>
      </c>
    </row>
    <row r="413" spans="1:1" x14ac:dyDescent="0.25">
      <c r="A413" s="124" t="s">
        <v>628</v>
      </c>
    </row>
    <row r="414" spans="1:1" x14ac:dyDescent="0.25">
      <c r="A414" t="s">
        <v>629</v>
      </c>
    </row>
    <row r="415" spans="1:1" x14ac:dyDescent="0.25">
      <c r="A415" s="124" t="s">
        <v>630</v>
      </c>
    </row>
    <row r="416" spans="1:1" x14ac:dyDescent="0.25">
      <c r="A416" t="s">
        <v>631</v>
      </c>
    </row>
    <row r="417" spans="1:1" x14ac:dyDescent="0.25">
      <c r="A417" s="123" t="s">
        <v>632</v>
      </c>
    </row>
    <row r="418" spans="1:1" x14ac:dyDescent="0.25">
      <c r="A418" s="123" t="s">
        <v>633</v>
      </c>
    </row>
    <row r="419" spans="1:1" x14ac:dyDescent="0.25">
      <c r="A419" s="123" t="s">
        <v>634</v>
      </c>
    </row>
    <row r="420" spans="1:1" x14ac:dyDescent="0.25">
      <c r="A420" s="124" t="s">
        <v>635</v>
      </c>
    </row>
    <row r="421" spans="1:1" x14ac:dyDescent="0.25">
      <c r="A421" s="124" t="s">
        <v>636</v>
      </c>
    </row>
    <row r="422" spans="1:1" x14ac:dyDescent="0.25">
      <c r="A422" s="123" t="s">
        <v>637</v>
      </c>
    </row>
    <row r="423" spans="1:1" x14ac:dyDescent="0.25">
      <c r="A423" s="124" t="s">
        <v>638</v>
      </c>
    </row>
    <row r="424" spans="1:1" x14ac:dyDescent="0.25">
      <c r="A424" t="s">
        <v>639</v>
      </c>
    </row>
    <row r="425" spans="1:1" x14ac:dyDescent="0.25">
      <c r="A425" s="124" t="s">
        <v>640</v>
      </c>
    </row>
    <row r="426" spans="1:1" x14ac:dyDescent="0.25">
      <c r="A426" s="124" t="s">
        <v>641</v>
      </c>
    </row>
    <row r="427" spans="1:1" x14ac:dyDescent="0.25">
      <c r="A427" s="123" t="s">
        <v>642</v>
      </c>
    </row>
    <row r="428" spans="1:1" x14ac:dyDescent="0.25">
      <c r="A428" s="123" t="s">
        <v>643</v>
      </c>
    </row>
    <row r="429" spans="1:1" x14ac:dyDescent="0.25">
      <c r="A429" s="123" t="s">
        <v>644</v>
      </c>
    </row>
    <row r="430" spans="1:1" x14ac:dyDescent="0.25">
      <c r="A430" s="123" t="s">
        <v>645</v>
      </c>
    </row>
    <row r="431" spans="1:1" x14ac:dyDescent="0.25">
      <c r="A431" s="123" t="s">
        <v>646</v>
      </c>
    </row>
    <row r="432" spans="1:1" x14ac:dyDescent="0.25">
      <c r="A432" s="124" t="s">
        <v>647</v>
      </c>
    </row>
    <row r="433" spans="1:1" x14ac:dyDescent="0.25">
      <c r="A433" s="124" t="s">
        <v>648</v>
      </c>
    </row>
    <row r="434" spans="1:1" x14ac:dyDescent="0.25">
      <c r="A434" s="123" t="s">
        <v>649</v>
      </c>
    </row>
    <row r="435" spans="1:1" x14ac:dyDescent="0.25">
      <c r="A435" s="123" t="s">
        <v>650</v>
      </c>
    </row>
    <row r="436" spans="1:1" x14ac:dyDescent="0.25">
      <c r="A436" s="123" t="s">
        <v>651</v>
      </c>
    </row>
    <row r="437" spans="1:1" x14ac:dyDescent="0.25">
      <c r="A437" s="123" t="s">
        <v>652</v>
      </c>
    </row>
    <row r="438" spans="1:1" x14ac:dyDescent="0.25">
      <c r="A438" s="123" t="s">
        <v>653</v>
      </c>
    </row>
    <row r="439" spans="1:1" x14ac:dyDescent="0.25">
      <c r="A439" s="123" t="s">
        <v>654</v>
      </c>
    </row>
    <row r="440" spans="1:1" x14ac:dyDescent="0.25">
      <c r="A440" s="124" t="s">
        <v>655</v>
      </c>
    </row>
    <row r="441" spans="1:1" x14ac:dyDescent="0.25">
      <c r="A441" s="124" t="s">
        <v>656</v>
      </c>
    </row>
    <row r="442" spans="1:1" x14ac:dyDescent="0.25">
      <c r="A442" s="123" t="s">
        <v>657</v>
      </c>
    </row>
    <row r="443" spans="1:1" x14ac:dyDescent="0.25">
      <c r="A443" s="123" t="s">
        <v>658</v>
      </c>
    </row>
    <row r="444" spans="1:1" x14ac:dyDescent="0.25">
      <c r="A444" s="123" t="s">
        <v>659</v>
      </c>
    </row>
    <row r="445" spans="1:1" x14ac:dyDescent="0.25">
      <c r="A445" s="123" t="s">
        <v>660</v>
      </c>
    </row>
    <row r="446" spans="1:1" x14ac:dyDescent="0.25">
      <c r="A446" s="123" t="s">
        <v>661</v>
      </c>
    </row>
    <row r="447" spans="1:1" x14ac:dyDescent="0.25">
      <c r="A447" s="123" t="s">
        <v>662</v>
      </c>
    </row>
    <row r="448" spans="1:1" x14ac:dyDescent="0.25">
      <c r="A448" s="124" t="s">
        <v>663</v>
      </c>
    </row>
    <row r="449" spans="1:1" x14ac:dyDescent="0.25">
      <c r="A449" s="124" t="s">
        <v>664</v>
      </c>
    </row>
    <row r="450" spans="1:1" x14ac:dyDescent="0.25">
      <c r="A450" s="123" t="s">
        <v>665</v>
      </c>
    </row>
    <row r="451" spans="1:1" x14ac:dyDescent="0.25">
      <c r="A451" s="123" t="s">
        <v>666</v>
      </c>
    </row>
    <row r="452" spans="1:1" x14ac:dyDescent="0.25">
      <c r="A452" s="123" t="s">
        <v>667</v>
      </c>
    </row>
    <row r="453" spans="1:1" x14ac:dyDescent="0.25">
      <c r="A453" s="123" t="s">
        <v>668</v>
      </c>
    </row>
    <row r="454" spans="1:1" x14ac:dyDescent="0.25">
      <c r="A454" s="123" t="s">
        <v>669</v>
      </c>
    </row>
    <row r="455" spans="1:1" x14ac:dyDescent="0.25">
      <c r="A455" s="123" t="s">
        <v>670</v>
      </c>
    </row>
    <row r="456" spans="1:1" x14ac:dyDescent="0.25">
      <c r="A456" s="123" t="s">
        <v>671</v>
      </c>
    </row>
    <row r="457" spans="1:1" x14ac:dyDescent="0.25">
      <c r="A457" s="123" t="s">
        <v>672</v>
      </c>
    </row>
    <row r="458" spans="1:1" x14ac:dyDescent="0.25">
      <c r="A458" s="123" t="s">
        <v>673</v>
      </c>
    </row>
    <row r="459" spans="1:1" x14ac:dyDescent="0.25">
      <c r="A459" s="29" t="s">
        <v>674</v>
      </c>
    </row>
    <row r="460" spans="1:1" x14ac:dyDescent="0.25">
      <c r="A460" s="124" t="s">
        <v>675</v>
      </c>
    </row>
    <row r="461" spans="1:1" x14ac:dyDescent="0.25">
      <c r="A461" s="124" t="s">
        <v>676</v>
      </c>
    </row>
    <row r="462" spans="1:1" x14ac:dyDescent="0.25">
      <c r="A462" s="123" t="s">
        <v>677</v>
      </c>
    </row>
    <row r="463" spans="1:1" x14ac:dyDescent="0.25">
      <c r="A463" s="123" t="s">
        <v>678</v>
      </c>
    </row>
    <row r="464" spans="1:1" x14ac:dyDescent="0.25">
      <c r="A464" s="123" t="s">
        <v>679</v>
      </c>
    </row>
    <row r="465" spans="1:1" x14ac:dyDescent="0.25">
      <c r="A465" s="124" t="s">
        <v>680</v>
      </c>
    </row>
    <row r="466" spans="1:1" x14ac:dyDescent="0.25">
      <c r="A466" s="124" t="s">
        <v>681</v>
      </c>
    </row>
    <row r="467" spans="1:1" x14ac:dyDescent="0.25">
      <c r="A467" s="124" t="s">
        <v>682</v>
      </c>
    </row>
    <row r="468" spans="1:1" x14ac:dyDescent="0.25">
      <c r="A468" t="s">
        <v>683</v>
      </c>
    </row>
    <row r="469" spans="1:1" x14ac:dyDescent="0.25">
      <c r="A469" t="s">
        <v>686</v>
      </c>
    </row>
    <row r="470" spans="1:1" x14ac:dyDescent="0.25">
      <c r="A470" t="s">
        <v>687</v>
      </c>
    </row>
    <row r="471" spans="1:1" x14ac:dyDescent="0.25">
      <c r="A471" s="124" t="s">
        <v>688</v>
      </c>
    </row>
    <row r="472" spans="1:1" x14ac:dyDescent="0.25">
      <c r="A472" t="s">
        <v>689</v>
      </c>
    </row>
    <row r="473" spans="1:1" x14ac:dyDescent="0.25">
      <c r="A473" s="123" t="s">
        <v>690</v>
      </c>
    </row>
    <row r="474" spans="1:1" x14ac:dyDescent="0.25">
      <c r="A474" s="123" t="s">
        <v>691</v>
      </c>
    </row>
    <row r="475" spans="1:1" x14ac:dyDescent="0.25">
      <c r="A475" s="123" t="s">
        <v>692</v>
      </c>
    </row>
    <row r="476" spans="1:1" x14ac:dyDescent="0.25">
      <c r="A476" s="124" t="s">
        <v>693</v>
      </c>
    </row>
    <row r="477" spans="1:1" x14ac:dyDescent="0.25">
      <c r="A477" t="s">
        <v>694</v>
      </c>
    </row>
    <row r="478" spans="1:1" x14ac:dyDescent="0.25">
      <c r="A478" s="124" t="s">
        <v>695</v>
      </c>
    </row>
    <row r="479" spans="1:1" x14ac:dyDescent="0.25">
      <c r="A479" t="s">
        <v>696</v>
      </c>
    </row>
    <row r="480" spans="1:1" x14ac:dyDescent="0.25">
      <c r="A480" s="123" t="s">
        <v>697</v>
      </c>
    </row>
    <row r="481" spans="1:1" x14ac:dyDescent="0.25">
      <c r="A481" s="123" t="s">
        <v>698</v>
      </c>
    </row>
    <row r="482" spans="1:1" x14ac:dyDescent="0.25">
      <c r="A482" s="123" t="s">
        <v>699</v>
      </c>
    </row>
    <row r="483" spans="1:1" x14ac:dyDescent="0.25">
      <c r="A483" s="124" t="s">
        <v>700</v>
      </c>
    </row>
    <row r="484" spans="1:1" x14ac:dyDescent="0.25">
      <c r="A484" s="124" t="s">
        <v>701</v>
      </c>
    </row>
    <row r="485" spans="1:1" x14ac:dyDescent="0.25">
      <c r="A485" s="123" t="s">
        <v>702</v>
      </c>
    </row>
    <row r="486" spans="1:1" x14ac:dyDescent="0.25">
      <c r="A486" s="123" t="s">
        <v>703</v>
      </c>
    </row>
    <row r="487" spans="1:1" x14ac:dyDescent="0.25">
      <c r="A487" s="123" t="s">
        <v>704</v>
      </c>
    </row>
    <row r="488" spans="1:1" x14ac:dyDescent="0.25">
      <c r="A488" s="124" t="s">
        <v>705</v>
      </c>
    </row>
    <row r="489" spans="1:1" x14ac:dyDescent="0.25">
      <c r="A489" s="124" t="s">
        <v>706</v>
      </c>
    </row>
    <row r="490" spans="1:1" x14ac:dyDescent="0.25">
      <c r="A490" s="124" t="s">
        <v>707</v>
      </c>
    </row>
    <row r="491" spans="1:1" x14ac:dyDescent="0.25">
      <c r="A491" s="124" t="s">
        <v>708</v>
      </c>
    </row>
    <row r="492" spans="1:1" x14ac:dyDescent="0.25">
      <c r="A492" s="124" t="s">
        <v>709</v>
      </c>
    </row>
    <row r="493" spans="1:1" x14ac:dyDescent="0.25">
      <c r="A493" t="s">
        <v>710</v>
      </c>
    </row>
    <row r="494" spans="1:1" x14ac:dyDescent="0.25">
      <c r="A494" t="s">
        <v>713</v>
      </c>
    </row>
    <row r="495" spans="1:1" x14ac:dyDescent="0.25">
      <c r="A495" t="s">
        <v>714</v>
      </c>
    </row>
    <row r="496" spans="1:1" x14ac:dyDescent="0.25">
      <c r="A496" s="124" t="s">
        <v>715</v>
      </c>
    </row>
    <row r="497" spans="1:1" x14ac:dyDescent="0.25">
      <c r="A497" t="s">
        <v>716</v>
      </c>
    </row>
    <row r="498" spans="1:1" x14ac:dyDescent="0.25">
      <c r="A498" s="123" t="s">
        <v>717</v>
      </c>
    </row>
    <row r="499" spans="1:1" x14ac:dyDescent="0.25">
      <c r="A499" s="124" t="s">
        <v>718</v>
      </c>
    </row>
    <row r="500" spans="1:1" x14ac:dyDescent="0.25">
      <c r="A500" t="s">
        <v>719</v>
      </c>
    </row>
    <row r="501" spans="1:1" x14ac:dyDescent="0.25">
      <c r="A501" s="123" t="s">
        <v>720</v>
      </c>
    </row>
    <row r="502" spans="1:1" x14ac:dyDescent="0.25">
      <c r="A502" s="123" t="s">
        <v>721</v>
      </c>
    </row>
    <row r="503" spans="1:1" x14ac:dyDescent="0.25">
      <c r="A503" s="123" t="s">
        <v>722</v>
      </c>
    </row>
    <row r="504" spans="1:1" x14ac:dyDescent="0.25">
      <c r="A504" s="123" t="s">
        <v>723</v>
      </c>
    </row>
    <row r="505" spans="1:1" x14ac:dyDescent="0.25">
      <c r="A505" s="124" t="s">
        <v>724</v>
      </c>
    </row>
    <row r="506" spans="1:1" x14ac:dyDescent="0.25">
      <c r="A506" s="124" t="s">
        <v>725</v>
      </c>
    </row>
    <row r="507" spans="1:1" x14ac:dyDescent="0.25">
      <c r="A507" s="123" t="s">
        <v>726</v>
      </c>
    </row>
    <row r="508" spans="1:1" x14ac:dyDescent="0.25">
      <c r="A508" s="123" t="s">
        <v>727</v>
      </c>
    </row>
    <row r="509" spans="1:1" x14ac:dyDescent="0.25">
      <c r="A509" s="123" t="s">
        <v>728</v>
      </c>
    </row>
    <row r="510" spans="1:1" x14ac:dyDescent="0.25">
      <c r="A510" s="123" t="s">
        <v>729</v>
      </c>
    </row>
    <row r="511" spans="1:1" x14ac:dyDescent="0.25">
      <c r="A511" s="123" t="s">
        <v>730</v>
      </c>
    </row>
    <row r="512" spans="1:1" x14ac:dyDescent="0.25">
      <c r="A512" s="123" t="s">
        <v>731</v>
      </c>
    </row>
    <row r="513" spans="1:1" x14ac:dyDescent="0.25">
      <c r="A513" s="123" t="s">
        <v>732</v>
      </c>
    </row>
    <row r="514" spans="1:1" x14ac:dyDescent="0.25">
      <c r="A514" s="123" t="s">
        <v>733</v>
      </c>
    </row>
    <row r="515" spans="1:1" x14ac:dyDescent="0.25">
      <c r="A515" s="124" t="s">
        <v>734</v>
      </c>
    </row>
    <row r="516" spans="1:1" x14ac:dyDescent="0.25">
      <c r="A516" s="124" t="s">
        <v>735</v>
      </c>
    </row>
    <row r="517" spans="1:1" x14ac:dyDescent="0.25">
      <c r="A517" s="123" t="s">
        <v>736</v>
      </c>
    </row>
    <row r="518" spans="1:1" x14ac:dyDescent="0.25">
      <c r="A518" s="123" t="s">
        <v>737</v>
      </c>
    </row>
    <row r="519" spans="1:1" x14ac:dyDescent="0.25">
      <c r="A519" s="123" t="s">
        <v>738</v>
      </c>
    </row>
    <row r="520" spans="1:1" x14ac:dyDescent="0.25">
      <c r="A520" s="123" t="s">
        <v>739</v>
      </c>
    </row>
    <row r="521" spans="1:1" x14ac:dyDescent="0.25">
      <c r="A521" s="123" t="s">
        <v>740</v>
      </c>
    </row>
    <row r="522" spans="1:1" x14ac:dyDescent="0.25">
      <c r="A522" s="124" t="s">
        <v>741</v>
      </c>
    </row>
    <row r="523" spans="1:1" x14ac:dyDescent="0.25">
      <c r="A523" s="123" t="s">
        <v>742</v>
      </c>
    </row>
    <row r="524" spans="1:1" x14ac:dyDescent="0.25">
      <c r="A524" s="123" t="s">
        <v>743</v>
      </c>
    </row>
    <row r="525" spans="1:1" x14ac:dyDescent="0.25">
      <c r="A525" s="123" t="s">
        <v>744</v>
      </c>
    </row>
    <row r="526" spans="1:1" x14ac:dyDescent="0.25">
      <c r="A526" s="123" t="s">
        <v>745</v>
      </c>
    </row>
    <row r="527" spans="1:1" x14ac:dyDescent="0.25">
      <c r="A527" s="123" t="s">
        <v>746</v>
      </c>
    </row>
    <row r="528" spans="1:1" x14ac:dyDescent="0.25">
      <c r="A528" s="123" t="s">
        <v>747</v>
      </c>
    </row>
    <row r="529" spans="1:1" x14ac:dyDescent="0.25">
      <c r="A529" s="123" t="s">
        <v>748</v>
      </c>
    </row>
    <row r="530" spans="1:1" x14ac:dyDescent="0.25">
      <c r="A530" s="123" t="s">
        <v>749</v>
      </c>
    </row>
    <row r="531" spans="1:1" x14ac:dyDescent="0.25">
      <c r="A531" s="123" t="s">
        <v>750</v>
      </c>
    </row>
    <row r="532" spans="1:1" x14ac:dyDescent="0.25">
      <c r="A532" s="123" t="s">
        <v>751</v>
      </c>
    </row>
    <row r="533" spans="1:1" x14ac:dyDescent="0.25">
      <c r="A533" s="123" t="s">
        <v>752</v>
      </c>
    </row>
    <row r="534" spans="1:1" x14ac:dyDescent="0.25">
      <c r="A534" s="123" t="s">
        <v>753</v>
      </c>
    </row>
    <row r="535" spans="1:1" x14ac:dyDescent="0.25">
      <c r="A535" s="123" t="s">
        <v>754</v>
      </c>
    </row>
    <row r="536" spans="1:1" x14ac:dyDescent="0.25">
      <c r="A536" s="123" t="s">
        <v>755</v>
      </c>
    </row>
    <row r="537" spans="1:1" x14ac:dyDescent="0.25">
      <c r="A537" s="123" t="s">
        <v>756</v>
      </c>
    </row>
    <row r="538" spans="1:1" x14ac:dyDescent="0.25">
      <c r="A538" s="123" t="s">
        <v>757</v>
      </c>
    </row>
    <row r="539" spans="1:1" x14ac:dyDescent="0.25">
      <c r="A539" s="123" t="s">
        <v>758</v>
      </c>
    </row>
    <row r="540" spans="1:1" x14ac:dyDescent="0.25">
      <c r="A540" s="123" t="s">
        <v>759</v>
      </c>
    </row>
    <row r="541" spans="1:1" x14ac:dyDescent="0.25">
      <c r="A541" s="123" t="s">
        <v>760</v>
      </c>
    </row>
    <row r="542" spans="1:1" x14ac:dyDescent="0.25">
      <c r="A542" s="123" t="s">
        <v>761</v>
      </c>
    </row>
    <row r="543" spans="1:1" x14ac:dyDescent="0.25">
      <c r="A543" s="123" t="s">
        <v>762</v>
      </c>
    </row>
    <row r="544" spans="1:1" x14ac:dyDescent="0.25">
      <c r="A544" s="123" t="s">
        <v>763</v>
      </c>
    </row>
    <row r="545" spans="1:1" x14ac:dyDescent="0.25">
      <c r="A545" s="123" t="s">
        <v>764</v>
      </c>
    </row>
    <row r="546" spans="1:1" x14ac:dyDescent="0.25">
      <c r="A546" s="123" t="s">
        <v>765</v>
      </c>
    </row>
    <row r="547" spans="1:1" x14ac:dyDescent="0.25">
      <c r="A547" s="123" t="s">
        <v>766</v>
      </c>
    </row>
    <row r="548" spans="1:1" x14ac:dyDescent="0.25">
      <c r="A548" s="123" t="s">
        <v>767</v>
      </c>
    </row>
    <row r="549" spans="1:1" x14ac:dyDescent="0.25">
      <c r="A549" s="123" t="s">
        <v>768</v>
      </c>
    </row>
    <row r="550" spans="1:1" x14ac:dyDescent="0.25">
      <c r="A550" s="123" t="s">
        <v>769</v>
      </c>
    </row>
    <row r="551" spans="1:1" x14ac:dyDescent="0.25">
      <c r="A551" s="123" t="s">
        <v>770</v>
      </c>
    </row>
    <row r="552" spans="1:1" x14ac:dyDescent="0.25">
      <c r="A552" s="123" t="s">
        <v>771</v>
      </c>
    </row>
    <row r="553" spans="1:1" x14ac:dyDescent="0.25">
      <c r="A553" s="123" t="s">
        <v>772</v>
      </c>
    </row>
    <row r="554" spans="1:1" x14ac:dyDescent="0.25">
      <c r="A554" s="123" t="s">
        <v>773</v>
      </c>
    </row>
    <row r="555" spans="1:1" x14ac:dyDescent="0.25">
      <c r="A555" s="123" t="s">
        <v>774</v>
      </c>
    </row>
    <row r="556" spans="1:1" x14ac:dyDescent="0.25">
      <c r="A556" s="123" t="s">
        <v>775</v>
      </c>
    </row>
    <row r="557" spans="1:1" x14ac:dyDescent="0.25">
      <c r="A557" s="123" t="s">
        <v>776</v>
      </c>
    </row>
    <row r="558" spans="1:1" x14ac:dyDescent="0.25">
      <c r="A558" s="124" t="s">
        <v>777</v>
      </c>
    </row>
    <row r="559" spans="1:1" x14ac:dyDescent="0.25">
      <c r="A559" s="123" t="s">
        <v>778</v>
      </c>
    </row>
    <row r="560" spans="1:1" x14ac:dyDescent="0.25">
      <c r="A560" s="123" t="s">
        <v>779</v>
      </c>
    </row>
    <row r="561" spans="1:1" x14ac:dyDescent="0.25">
      <c r="A561" s="123" t="s">
        <v>780</v>
      </c>
    </row>
    <row r="562" spans="1:1" x14ac:dyDescent="0.25">
      <c r="A562" s="123" t="s">
        <v>781</v>
      </c>
    </row>
    <row r="563" spans="1:1" x14ac:dyDescent="0.25">
      <c r="A563" s="123" t="s">
        <v>782</v>
      </c>
    </row>
    <row r="564" spans="1:1" x14ac:dyDescent="0.25">
      <c r="A564" s="123" t="s">
        <v>783</v>
      </c>
    </row>
    <row r="565" spans="1:1" x14ac:dyDescent="0.25">
      <c r="A565" s="123" t="s">
        <v>784</v>
      </c>
    </row>
    <row r="566" spans="1:1" x14ac:dyDescent="0.25">
      <c r="A566" s="123" t="s">
        <v>785</v>
      </c>
    </row>
    <row r="567" spans="1:1" x14ac:dyDescent="0.25">
      <c r="A567" s="123" t="s">
        <v>786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2" t="s">
        <v>57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06" t="s">
        <v>26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8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109" t="s">
        <v>41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1"/>
      <c r="AM2" s="111"/>
      <c r="AN2" s="111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20141215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168</v>
      </c>
      <c r="K4" s="2" t="s">
        <v>25</v>
      </c>
      <c r="L4" s="2">
        <v>129274207</v>
      </c>
      <c r="M4" s="16"/>
      <c r="N4" s="16"/>
      <c r="O4" s="16"/>
      <c r="P4" s="16"/>
      <c r="Q4" s="16"/>
      <c r="R4" s="2">
        <v>8</v>
      </c>
      <c r="S4" s="2" t="s">
        <v>197</v>
      </c>
      <c r="T4" s="2">
        <v>0</v>
      </c>
      <c r="U4" s="2">
        <v>5</v>
      </c>
      <c r="V4" s="2">
        <v>0</v>
      </c>
      <c r="W4" s="2">
        <v>0</v>
      </c>
      <c r="X4" s="2">
        <v>0</v>
      </c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20141215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168</v>
      </c>
      <c r="K5" s="2" t="s">
        <v>25</v>
      </c>
      <c r="L5" s="2">
        <v>129274207</v>
      </c>
      <c r="M5" s="16"/>
      <c r="N5" s="16"/>
      <c r="O5" s="16"/>
      <c r="P5" s="23"/>
      <c r="Q5" s="16"/>
      <c r="R5" s="2">
        <v>8</v>
      </c>
      <c r="S5" s="2" t="s">
        <v>360</v>
      </c>
      <c r="T5" s="2">
        <v>0</v>
      </c>
      <c r="U5" s="2">
        <v>5</v>
      </c>
      <c r="V5" s="2">
        <v>0</v>
      </c>
      <c r="W5" s="2">
        <v>0</v>
      </c>
      <c r="X5" s="2">
        <v>0</v>
      </c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20141215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168</v>
      </c>
      <c r="K6" s="2" t="s">
        <v>25</v>
      </c>
      <c r="L6" s="2">
        <v>129274207</v>
      </c>
      <c r="M6" s="16"/>
      <c r="N6" s="16"/>
      <c r="O6" s="16"/>
      <c r="P6" s="23"/>
      <c r="Q6" s="16"/>
      <c r="R6" s="2">
        <v>8</v>
      </c>
      <c r="S6" s="2" t="s">
        <v>360</v>
      </c>
      <c r="T6" s="2">
        <v>0</v>
      </c>
      <c r="U6" s="2">
        <v>-3</v>
      </c>
      <c r="V6" s="2">
        <v>0</v>
      </c>
      <c r="W6" s="2">
        <v>0</v>
      </c>
      <c r="X6" s="2">
        <v>0</v>
      </c>
      <c r="Y6" s="16">
        <v>8</v>
      </c>
      <c r="Z6" s="22" t="s">
        <v>370</v>
      </c>
      <c r="AA6" s="16" t="s">
        <v>371</v>
      </c>
      <c r="AB6" s="23" t="s">
        <v>198</v>
      </c>
      <c r="AC6" s="16" t="s">
        <v>17</v>
      </c>
      <c r="AD6" s="16" t="s">
        <v>199</v>
      </c>
      <c r="AE6" s="16">
        <v>4</v>
      </c>
      <c r="AF6" s="16">
        <v>4</v>
      </c>
      <c r="AG6" s="16">
        <v>1.5686</v>
      </c>
      <c r="AH6" s="16">
        <v>1.5686</v>
      </c>
      <c r="AI6" s="16">
        <v>135369119</v>
      </c>
      <c r="AJ6" s="16">
        <v>0</v>
      </c>
      <c r="AK6" s="16">
        <v>6</v>
      </c>
      <c r="AL6" s="16"/>
      <c r="AM6" s="16"/>
      <c r="AN6" s="16">
        <v>0</v>
      </c>
    </row>
    <row r="7" spans="1:48" x14ac:dyDescent="0.25">
      <c r="A7" s="2" t="s">
        <v>15</v>
      </c>
      <c r="B7" s="2" t="s">
        <v>24</v>
      </c>
      <c r="C7" s="2">
        <v>20141215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168</v>
      </c>
      <c r="K7" s="2" t="s">
        <v>25</v>
      </c>
      <c r="L7" s="2">
        <v>129274207</v>
      </c>
      <c r="M7" s="16"/>
      <c r="N7" s="16"/>
      <c r="O7" s="16"/>
      <c r="P7" s="23"/>
      <c r="Q7" s="16"/>
      <c r="R7" s="2">
        <v>8</v>
      </c>
      <c r="S7" s="2" t="s">
        <v>360</v>
      </c>
      <c r="T7" s="2">
        <v>4</v>
      </c>
      <c r="U7" s="2">
        <v>1</v>
      </c>
      <c r="V7" s="2">
        <v>1.5686</v>
      </c>
      <c r="W7" s="2">
        <v>1.5686</v>
      </c>
      <c r="X7" s="2">
        <v>0</v>
      </c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20141215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168</v>
      </c>
      <c r="K8" s="2" t="s">
        <v>25</v>
      </c>
      <c r="L8" s="2">
        <v>129274207</v>
      </c>
      <c r="M8" s="16"/>
      <c r="N8" s="16"/>
      <c r="O8" s="16"/>
      <c r="P8" s="23"/>
      <c r="Q8" s="16"/>
      <c r="R8" s="2">
        <v>8</v>
      </c>
      <c r="S8" s="2" t="s">
        <v>360</v>
      </c>
      <c r="T8" s="2">
        <v>4</v>
      </c>
      <c r="U8" s="2">
        <v>-1</v>
      </c>
      <c r="V8" s="2">
        <v>1.5686</v>
      </c>
      <c r="W8" s="2">
        <v>1.5686</v>
      </c>
      <c r="X8" s="2">
        <v>0</v>
      </c>
      <c r="Y8" s="16">
        <v>8</v>
      </c>
      <c r="Z8" s="22" t="s">
        <v>385</v>
      </c>
      <c r="AA8" s="16" t="s">
        <v>371</v>
      </c>
      <c r="AB8" s="23" t="s">
        <v>198</v>
      </c>
      <c r="AC8" s="16" t="s">
        <v>17</v>
      </c>
      <c r="AD8" s="16" t="s">
        <v>199</v>
      </c>
      <c r="AE8" s="16">
        <v>1</v>
      </c>
      <c r="AF8" s="16">
        <v>5</v>
      </c>
      <c r="AG8" s="16">
        <v>1.5686</v>
      </c>
      <c r="AH8" s="16">
        <v>1.5686</v>
      </c>
      <c r="AI8" s="16">
        <v>135369119</v>
      </c>
      <c r="AJ8" s="16">
        <v>0</v>
      </c>
      <c r="AK8" s="16">
        <v>6</v>
      </c>
      <c r="AL8" s="16"/>
      <c r="AM8" s="16"/>
      <c r="AN8" s="16">
        <v>0</v>
      </c>
    </row>
    <row r="9" spans="1:48" x14ac:dyDescent="0.25">
      <c r="A9" s="2" t="s">
        <v>15</v>
      </c>
      <c r="B9" s="2" t="s">
        <v>24</v>
      </c>
      <c r="C9" s="2">
        <v>20141215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168</v>
      </c>
      <c r="K9" s="2" t="s">
        <v>25</v>
      </c>
      <c r="L9" s="2">
        <v>129274207</v>
      </c>
      <c r="M9" s="16"/>
      <c r="N9" s="16"/>
      <c r="O9" s="16"/>
      <c r="P9" s="23"/>
      <c r="Q9" s="16"/>
      <c r="R9" s="2">
        <v>8</v>
      </c>
      <c r="S9" s="2" t="s">
        <v>37</v>
      </c>
      <c r="T9" s="2">
        <v>5</v>
      </c>
      <c r="U9" s="2">
        <v>0</v>
      </c>
      <c r="V9" s="2">
        <v>1.5686</v>
      </c>
      <c r="W9" s="2">
        <v>1.5686</v>
      </c>
      <c r="X9" s="2">
        <v>0</v>
      </c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20141215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168</v>
      </c>
      <c r="K10" s="2" t="s">
        <v>25</v>
      </c>
      <c r="L10" s="2">
        <v>129274207</v>
      </c>
      <c r="M10" s="16"/>
      <c r="N10" s="16"/>
      <c r="O10" s="16"/>
      <c r="P10" s="23"/>
      <c r="Q10" s="16"/>
      <c r="R10" s="2">
        <v>8</v>
      </c>
      <c r="S10" s="2" t="s">
        <v>37</v>
      </c>
      <c r="T10" s="2">
        <v>5</v>
      </c>
      <c r="U10" s="2">
        <v>0</v>
      </c>
      <c r="V10" s="2">
        <v>1.5686</v>
      </c>
      <c r="W10" s="2">
        <v>1.5686</v>
      </c>
      <c r="X10" s="2">
        <v>0</v>
      </c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20141215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168</v>
      </c>
      <c r="K11" s="2" t="s">
        <v>25</v>
      </c>
      <c r="L11" s="2">
        <v>129274207</v>
      </c>
      <c r="M11" s="16"/>
      <c r="N11" s="16"/>
      <c r="O11" s="16"/>
      <c r="P11" s="23"/>
      <c r="Q11" s="16"/>
      <c r="R11" s="2">
        <v>8</v>
      </c>
      <c r="S11" s="2" t="s">
        <v>37</v>
      </c>
      <c r="T11" s="2">
        <v>5</v>
      </c>
      <c r="U11" s="2">
        <v>0</v>
      </c>
      <c r="V11" s="2">
        <v>1.5686</v>
      </c>
      <c r="W11" s="2">
        <v>1.5686</v>
      </c>
      <c r="X11" s="2">
        <v>0</v>
      </c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20141215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168</v>
      </c>
      <c r="K12" s="2" t="s">
        <v>25</v>
      </c>
      <c r="L12" s="2">
        <v>129274207</v>
      </c>
      <c r="M12" s="16"/>
      <c r="N12" s="16"/>
      <c r="O12" s="16"/>
      <c r="P12" s="23"/>
      <c r="Q12" s="16"/>
      <c r="R12" s="2">
        <v>9</v>
      </c>
      <c r="S12" s="2" t="s">
        <v>197</v>
      </c>
      <c r="T12" s="2">
        <v>0</v>
      </c>
      <c r="U12" s="2">
        <v>5</v>
      </c>
      <c r="V12" s="2">
        <v>0</v>
      </c>
      <c r="W12" s="2">
        <v>0</v>
      </c>
      <c r="X12" s="2">
        <v>0</v>
      </c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20141215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168</v>
      </c>
      <c r="K13" s="2" t="s">
        <v>25</v>
      </c>
      <c r="L13" s="2">
        <v>129274207</v>
      </c>
      <c r="M13" s="16"/>
      <c r="N13" s="16"/>
      <c r="O13" s="16"/>
      <c r="P13" s="23"/>
      <c r="Q13" s="16"/>
      <c r="R13" s="2">
        <v>9</v>
      </c>
      <c r="S13" s="2" t="s">
        <v>197</v>
      </c>
      <c r="T13" s="2">
        <v>0</v>
      </c>
      <c r="U13" s="2">
        <v>-5</v>
      </c>
      <c r="V13" s="2">
        <v>0</v>
      </c>
      <c r="W13" s="2">
        <v>0</v>
      </c>
      <c r="X13" s="2">
        <v>0</v>
      </c>
      <c r="Y13" s="16">
        <v>9</v>
      </c>
      <c r="Z13" s="22" t="s">
        <v>411</v>
      </c>
      <c r="AA13" s="16" t="s">
        <v>412</v>
      </c>
      <c r="AB13" s="23" t="s">
        <v>198</v>
      </c>
      <c r="AC13" s="16" t="s">
        <v>17</v>
      </c>
      <c r="AD13" s="16" t="s">
        <v>199</v>
      </c>
      <c r="AE13" s="16">
        <v>5</v>
      </c>
      <c r="AF13" s="16">
        <v>5</v>
      </c>
      <c r="AG13" s="16">
        <v>1.5687</v>
      </c>
      <c r="AH13" s="16">
        <v>1.5687</v>
      </c>
      <c r="AI13" s="16">
        <v>135369120</v>
      </c>
      <c r="AJ13" s="16">
        <v>0</v>
      </c>
      <c r="AK13" s="16">
        <v>6</v>
      </c>
      <c r="AL13" s="16"/>
      <c r="AM13" s="16"/>
      <c r="AN13" s="16">
        <v>0</v>
      </c>
    </row>
    <row r="14" spans="1:48" x14ac:dyDescent="0.25">
      <c r="A14" s="2" t="s">
        <v>15</v>
      </c>
      <c r="B14" s="2" t="s">
        <v>24</v>
      </c>
      <c r="C14" s="2">
        <v>20141215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168</v>
      </c>
      <c r="K14" s="2" t="s">
        <v>25</v>
      </c>
      <c r="L14" s="2">
        <v>129274207</v>
      </c>
      <c r="M14" s="16"/>
      <c r="N14" s="16"/>
      <c r="O14" s="16"/>
      <c r="P14" s="23"/>
      <c r="Q14" s="16"/>
      <c r="R14" s="2">
        <v>9</v>
      </c>
      <c r="S14" s="2" t="s">
        <v>37</v>
      </c>
      <c r="T14" s="2">
        <v>5</v>
      </c>
      <c r="U14" s="2">
        <v>0</v>
      </c>
      <c r="V14" s="2">
        <v>1.5687</v>
      </c>
      <c r="W14" s="2">
        <v>1.5687</v>
      </c>
      <c r="X14" s="2">
        <v>0</v>
      </c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20141215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168</v>
      </c>
      <c r="K15" s="2" t="s">
        <v>25</v>
      </c>
      <c r="L15" s="2">
        <v>129274207</v>
      </c>
      <c r="M15" s="16"/>
      <c r="N15" s="16"/>
      <c r="O15" s="16"/>
      <c r="P15" s="23"/>
      <c r="Q15" s="16"/>
      <c r="R15" s="2">
        <v>9</v>
      </c>
      <c r="S15" s="2" t="s">
        <v>37</v>
      </c>
      <c r="T15" s="2">
        <v>5</v>
      </c>
      <c r="U15" s="2">
        <v>0</v>
      </c>
      <c r="V15" s="2">
        <v>1.5687</v>
      </c>
      <c r="W15" s="2">
        <v>1.5687</v>
      </c>
      <c r="X15" s="2">
        <v>0</v>
      </c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20141215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168</v>
      </c>
      <c r="K16" s="2" t="s">
        <v>25</v>
      </c>
      <c r="L16" s="2">
        <v>129274207</v>
      </c>
      <c r="M16" s="16"/>
      <c r="N16" s="16"/>
      <c r="O16" s="16"/>
      <c r="P16" s="23"/>
      <c r="Q16" s="16"/>
      <c r="R16" s="2">
        <v>9</v>
      </c>
      <c r="S16" s="2" t="s">
        <v>37</v>
      </c>
      <c r="T16" s="2">
        <v>5</v>
      </c>
      <c r="U16" s="2">
        <v>0</v>
      </c>
      <c r="V16" s="2">
        <v>1.5687</v>
      </c>
      <c r="W16" s="2">
        <v>1.5687</v>
      </c>
      <c r="X16" s="2">
        <v>0</v>
      </c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20141215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168</v>
      </c>
      <c r="K17" s="2" t="s">
        <v>25</v>
      </c>
      <c r="L17" s="2">
        <v>129274207</v>
      </c>
      <c r="M17" s="16"/>
      <c r="N17" s="16"/>
      <c r="O17" s="16"/>
      <c r="P17" s="23"/>
      <c r="Q17" s="16"/>
      <c r="R17" s="2">
        <v>10</v>
      </c>
      <c r="S17" s="2" t="s">
        <v>197</v>
      </c>
      <c r="T17" s="2">
        <v>0</v>
      </c>
      <c r="U17" s="2">
        <v>5</v>
      </c>
      <c r="V17" s="2">
        <v>0</v>
      </c>
      <c r="W17" s="2">
        <v>0</v>
      </c>
      <c r="X17" s="2">
        <v>0</v>
      </c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20141215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168</v>
      </c>
      <c r="K18" s="2" t="s">
        <v>25</v>
      </c>
      <c r="L18" s="2">
        <v>129274207</v>
      </c>
      <c r="M18" s="16"/>
      <c r="N18" s="16"/>
      <c r="O18" s="16"/>
      <c r="P18" s="23"/>
      <c r="Q18" s="16"/>
      <c r="R18" s="2">
        <v>10</v>
      </c>
      <c r="S18" s="2" t="s">
        <v>197</v>
      </c>
      <c r="T18" s="2">
        <v>0</v>
      </c>
      <c r="U18" s="2">
        <v>-5</v>
      </c>
      <c r="V18" s="2">
        <v>0</v>
      </c>
      <c r="W18" s="2">
        <v>0</v>
      </c>
      <c r="X18" s="2">
        <v>0</v>
      </c>
      <c r="Y18" s="16">
        <v>10</v>
      </c>
      <c r="Z18" s="22" t="s">
        <v>476</v>
      </c>
      <c r="AA18" s="16" t="s">
        <v>477</v>
      </c>
      <c r="AB18" s="23" t="s">
        <v>198</v>
      </c>
      <c r="AC18" s="16" t="s">
        <v>17</v>
      </c>
      <c r="AD18" s="16" t="s">
        <v>199</v>
      </c>
      <c r="AE18" s="16">
        <v>5</v>
      </c>
      <c r="AF18" s="16">
        <v>5</v>
      </c>
      <c r="AG18" s="16">
        <v>1.5686</v>
      </c>
      <c r="AH18" s="16">
        <v>1.5686</v>
      </c>
      <c r="AI18" s="16">
        <v>135369121</v>
      </c>
      <c r="AJ18" s="16">
        <v>0</v>
      </c>
      <c r="AK18" s="16">
        <v>6</v>
      </c>
      <c r="AL18" s="16"/>
      <c r="AM18" s="16"/>
      <c r="AN18" s="16">
        <v>0</v>
      </c>
    </row>
    <row r="19" spans="1:40" x14ac:dyDescent="0.25">
      <c r="A19" s="2" t="s">
        <v>15</v>
      </c>
      <c r="B19" s="2" t="s">
        <v>24</v>
      </c>
      <c r="C19" s="2">
        <v>20141215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168</v>
      </c>
      <c r="K19" s="2" t="s">
        <v>25</v>
      </c>
      <c r="L19" s="2">
        <v>129274207</v>
      </c>
      <c r="M19" s="16"/>
      <c r="N19" s="16"/>
      <c r="O19" s="16"/>
      <c r="P19" s="23"/>
      <c r="Q19" s="16"/>
      <c r="R19" s="2">
        <v>10</v>
      </c>
      <c r="S19" s="2" t="s">
        <v>37</v>
      </c>
      <c r="T19" s="2">
        <v>5</v>
      </c>
      <c r="U19" s="2">
        <v>0</v>
      </c>
      <c r="V19" s="2">
        <v>1.5686</v>
      </c>
      <c r="W19" s="2">
        <v>1.5686</v>
      </c>
      <c r="X19" s="2">
        <v>0</v>
      </c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20141215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168</v>
      </c>
      <c r="K20" s="2" t="s">
        <v>25</v>
      </c>
      <c r="L20" s="2">
        <v>129274207</v>
      </c>
      <c r="M20" s="16"/>
      <c r="N20" s="16"/>
      <c r="O20" s="16"/>
      <c r="P20" s="23"/>
      <c r="Q20" s="16"/>
      <c r="R20" s="2">
        <v>10</v>
      </c>
      <c r="S20" s="2" t="s">
        <v>37</v>
      </c>
      <c r="T20" s="2">
        <v>5</v>
      </c>
      <c r="U20" s="2">
        <v>0</v>
      </c>
      <c r="V20" s="2">
        <v>1.5686</v>
      </c>
      <c r="W20" s="2">
        <v>1.5686</v>
      </c>
      <c r="X20" s="2">
        <v>0</v>
      </c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20141215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168</v>
      </c>
      <c r="K21" s="2" t="s">
        <v>25</v>
      </c>
      <c r="L21" s="2">
        <v>129274207</v>
      </c>
      <c r="M21" s="16"/>
      <c r="N21" s="16"/>
      <c r="O21" s="16"/>
      <c r="P21" s="23"/>
      <c r="Q21" s="16"/>
      <c r="R21" s="2">
        <v>10</v>
      </c>
      <c r="S21" s="2" t="s">
        <v>37</v>
      </c>
      <c r="T21" s="2">
        <v>5</v>
      </c>
      <c r="U21" s="2">
        <v>0</v>
      </c>
      <c r="V21" s="2">
        <v>1.5686</v>
      </c>
      <c r="W21" s="2">
        <v>1.5686</v>
      </c>
      <c r="X21" s="2">
        <v>0</v>
      </c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20141215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168</v>
      </c>
      <c r="K22" s="2" t="s">
        <v>25</v>
      </c>
      <c r="L22" s="2">
        <v>129274207</v>
      </c>
      <c r="M22" s="16"/>
      <c r="N22" s="16"/>
      <c r="O22" s="16"/>
      <c r="P22" s="23"/>
      <c r="Q22" s="16"/>
      <c r="R22" s="2">
        <v>11</v>
      </c>
      <c r="S22" s="2" t="s">
        <v>197</v>
      </c>
      <c r="T22" s="2">
        <v>0</v>
      </c>
      <c r="U22" s="2">
        <v>5</v>
      </c>
      <c r="V22" s="2">
        <v>0</v>
      </c>
      <c r="W22" s="2">
        <v>0</v>
      </c>
      <c r="X22" s="2">
        <v>0</v>
      </c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20141215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168</v>
      </c>
      <c r="K23" s="2" t="s">
        <v>25</v>
      </c>
      <c r="L23" s="2">
        <v>129274207</v>
      </c>
      <c r="M23" s="16"/>
      <c r="N23" s="16"/>
      <c r="O23" s="16"/>
      <c r="P23" s="23"/>
      <c r="Q23" s="16"/>
      <c r="R23" s="2">
        <v>11</v>
      </c>
      <c r="S23" s="2" t="s">
        <v>360</v>
      </c>
      <c r="T23" s="2">
        <v>0</v>
      </c>
      <c r="U23" s="2">
        <v>5</v>
      </c>
      <c r="V23" s="2">
        <v>0</v>
      </c>
      <c r="W23" s="2">
        <v>0</v>
      </c>
      <c r="X23" s="2">
        <v>0</v>
      </c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20141215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168</v>
      </c>
      <c r="K24" s="2" t="s">
        <v>25</v>
      </c>
      <c r="L24" s="2">
        <v>129274207</v>
      </c>
      <c r="M24" s="16"/>
      <c r="N24" s="16"/>
      <c r="O24" s="16"/>
      <c r="P24" s="23"/>
      <c r="Q24" s="16"/>
      <c r="R24" s="2">
        <v>11</v>
      </c>
      <c r="S24" s="2" t="s">
        <v>360</v>
      </c>
      <c r="T24" s="2">
        <v>0</v>
      </c>
      <c r="U24" s="2">
        <v>3</v>
      </c>
      <c r="V24" s="2">
        <v>0</v>
      </c>
      <c r="W24" s="2">
        <v>0</v>
      </c>
      <c r="X24" s="2">
        <v>0</v>
      </c>
      <c r="Y24" s="16">
        <v>11</v>
      </c>
      <c r="Z24" s="22" t="s">
        <v>538</v>
      </c>
      <c r="AA24" s="16" t="s">
        <v>539</v>
      </c>
      <c r="AB24" s="23" t="s">
        <v>198</v>
      </c>
      <c r="AC24" s="16" t="s">
        <v>17</v>
      </c>
      <c r="AD24" s="16" t="s">
        <v>199</v>
      </c>
      <c r="AE24" s="16">
        <v>1</v>
      </c>
      <c r="AF24" s="16">
        <v>1</v>
      </c>
      <c r="AG24" s="16">
        <v>1.5686</v>
      </c>
      <c r="AH24" s="16">
        <v>1.5686</v>
      </c>
      <c r="AI24" s="16">
        <v>135369122</v>
      </c>
      <c r="AJ24" s="16">
        <v>0</v>
      </c>
      <c r="AK24" s="16">
        <v>6</v>
      </c>
      <c r="AL24" s="16"/>
      <c r="AM24" s="16"/>
      <c r="AN24" s="16">
        <v>0</v>
      </c>
    </row>
    <row r="25" spans="1:40" x14ac:dyDescent="0.25">
      <c r="A25" s="2" t="s">
        <v>15</v>
      </c>
      <c r="B25" s="2" t="s">
        <v>24</v>
      </c>
      <c r="C25" s="2">
        <v>20141215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168</v>
      </c>
      <c r="K25" s="2" t="s">
        <v>25</v>
      </c>
      <c r="L25" s="2">
        <v>129274207</v>
      </c>
      <c r="M25" s="16"/>
      <c r="N25" s="16"/>
      <c r="O25" s="16"/>
      <c r="P25" s="23"/>
      <c r="Q25" s="16"/>
      <c r="R25" s="2">
        <v>11</v>
      </c>
      <c r="S25" s="2" t="s">
        <v>360</v>
      </c>
      <c r="T25" s="2">
        <v>1</v>
      </c>
      <c r="U25" s="2">
        <v>4</v>
      </c>
      <c r="V25" s="2">
        <v>1.5686</v>
      </c>
      <c r="W25" s="2">
        <v>1.5686</v>
      </c>
      <c r="X25" s="2">
        <v>0</v>
      </c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20141215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168</v>
      </c>
      <c r="K26" s="2" t="s">
        <v>25</v>
      </c>
      <c r="L26" s="2">
        <v>129274207</v>
      </c>
      <c r="M26" s="16"/>
      <c r="N26" s="16"/>
      <c r="O26" s="16"/>
      <c r="P26" s="23"/>
      <c r="Q26" s="16"/>
      <c r="R26" s="2">
        <v>11</v>
      </c>
      <c r="S26" s="2" t="s">
        <v>360</v>
      </c>
      <c r="T26" s="2">
        <v>1</v>
      </c>
      <c r="U26" s="2">
        <v>4</v>
      </c>
      <c r="V26" s="2">
        <v>1.5686</v>
      </c>
      <c r="W26" s="2">
        <v>1.5686</v>
      </c>
      <c r="X26" s="2">
        <v>0</v>
      </c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20141215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168</v>
      </c>
      <c r="K27" s="2" t="s">
        <v>25</v>
      </c>
      <c r="L27" s="2">
        <v>129274207</v>
      </c>
      <c r="M27" s="16"/>
      <c r="N27" s="16"/>
      <c r="O27" s="16"/>
      <c r="P27" s="23"/>
      <c r="Q27" s="16"/>
      <c r="R27" s="2">
        <v>11</v>
      </c>
      <c r="S27" s="2" t="s">
        <v>360</v>
      </c>
      <c r="T27" s="2">
        <v>1</v>
      </c>
      <c r="U27" s="2">
        <v>-4</v>
      </c>
      <c r="V27" s="2">
        <v>1.5686</v>
      </c>
      <c r="W27" s="2">
        <v>1.5686</v>
      </c>
      <c r="X27" s="2">
        <v>0</v>
      </c>
      <c r="Y27" s="16">
        <v>11</v>
      </c>
      <c r="Z27" s="22" t="s">
        <v>561</v>
      </c>
      <c r="AA27" s="16" t="s">
        <v>539</v>
      </c>
      <c r="AB27" s="23" t="s">
        <v>198</v>
      </c>
      <c r="AC27" s="16" t="s">
        <v>17</v>
      </c>
      <c r="AD27" s="16" t="s">
        <v>199</v>
      </c>
      <c r="AE27" s="16">
        <v>4</v>
      </c>
      <c r="AF27" s="16">
        <v>5</v>
      </c>
      <c r="AG27" s="16">
        <v>1.5686</v>
      </c>
      <c r="AH27" s="16">
        <v>1.5686</v>
      </c>
      <c r="AI27" s="16">
        <v>135369122</v>
      </c>
      <c r="AJ27" s="16">
        <v>0</v>
      </c>
      <c r="AK27" s="16">
        <v>6</v>
      </c>
      <c r="AL27" s="16"/>
      <c r="AM27" s="16"/>
      <c r="AN27" s="16">
        <v>0</v>
      </c>
    </row>
    <row r="28" spans="1:40" x14ac:dyDescent="0.25">
      <c r="A28" s="2" t="s">
        <v>15</v>
      </c>
      <c r="B28" s="2" t="s">
        <v>24</v>
      </c>
      <c r="C28" s="2">
        <v>20141215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168</v>
      </c>
      <c r="K28" s="2" t="s">
        <v>25</v>
      </c>
      <c r="L28" s="2">
        <v>129274207</v>
      </c>
      <c r="M28" s="16"/>
      <c r="N28" s="16"/>
      <c r="O28" s="16"/>
      <c r="P28" s="23"/>
      <c r="Q28" s="16"/>
      <c r="R28" s="2">
        <v>11</v>
      </c>
      <c r="S28" s="2" t="s">
        <v>37</v>
      </c>
      <c r="T28" s="2">
        <v>5</v>
      </c>
      <c r="U28" s="2">
        <v>0</v>
      </c>
      <c r="V28" s="2">
        <v>1.5686</v>
      </c>
      <c r="W28" s="2">
        <v>1.5686</v>
      </c>
      <c r="X28" s="2">
        <v>0</v>
      </c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20141215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168</v>
      </c>
      <c r="K29" s="2" t="s">
        <v>25</v>
      </c>
      <c r="L29" s="2">
        <v>129274207</v>
      </c>
      <c r="M29" s="16"/>
      <c r="N29" s="16"/>
      <c r="O29" s="16"/>
      <c r="P29" s="23"/>
      <c r="Q29" s="16"/>
      <c r="R29" s="2">
        <v>11</v>
      </c>
      <c r="S29" s="2" t="s">
        <v>37</v>
      </c>
      <c r="T29" s="2">
        <v>5</v>
      </c>
      <c r="U29" s="2">
        <v>0</v>
      </c>
      <c r="V29" s="2">
        <v>1.5686</v>
      </c>
      <c r="W29" s="2">
        <v>1.5686</v>
      </c>
      <c r="X29" s="2">
        <v>0</v>
      </c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20141215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168</v>
      </c>
      <c r="K30" s="2" t="s">
        <v>25</v>
      </c>
      <c r="L30" s="2">
        <v>129274207</v>
      </c>
      <c r="M30" s="16"/>
      <c r="N30" s="16"/>
      <c r="O30" s="16"/>
      <c r="P30" s="23"/>
      <c r="Q30" s="16"/>
      <c r="R30" s="2">
        <v>12</v>
      </c>
      <c r="S30" s="2" t="s">
        <v>197</v>
      </c>
      <c r="T30" s="2">
        <v>0</v>
      </c>
      <c r="U30" s="2">
        <v>5</v>
      </c>
      <c r="V30" s="2">
        <v>0</v>
      </c>
      <c r="W30" s="2">
        <v>0</v>
      </c>
      <c r="X30" s="2">
        <v>0</v>
      </c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20141215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168</v>
      </c>
      <c r="K31" s="2" t="s">
        <v>25</v>
      </c>
      <c r="L31" s="2">
        <v>129274207</v>
      </c>
      <c r="M31" s="16"/>
      <c r="N31" s="16"/>
      <c r="O31" s="16"/>
      <c r="P31" s="23"/>
      <c r="Q31" s="16"/>
      <c r="R31" s="2">
        <v>12</v>
      </c>
      <c r="S31" s="2" t="s">
        <v>197</v>
      </c>
      <c r="T31" s="2">
        <v>0</v>
      </c>
      <c r="U31" s="2">
        <v>-1</v>
      </c>
      <c r="V31" s="2">
        <v>0</v>
      </c>
      <c r="W31" s="2">
        <v>0</v>
      </c>
      <c r="X31" s="2">
        <v>0</v>
      </c>
      <c r="Y31" s="16">
        <v>12</v>
      </c>
      <c r="Z31" s="22" t="s">
        <v>593</v>
      </c>
      <c r="AA31" s="16" t="s">
        <v>594</v>
      </c>
      <c r="AB31" s="23" t="s">
        <v>198</v>
      </c>
      <c r="AC31" s="16" t="s">
        <v>17</v>
      </c>
      <c r="AD31" s="16" t="s">
        <v>199</v>
      </c>
      <c r="AE31" s="16">
        <v>3</v>
      </c>
      <c r="AF31" s="16">
        <v>3</v>
      </c>
      <c r="AG31" s="16">
        <v>1.5686</v>
      </c>
      <c r="AH31" s="16">
        <v>1.5686</v>
      </c>
      <c r="AI31" s="16">
        <v>135369123</v>
      </c>
      <c r="AJ31" s="16">
        <v>0</v>
      </c>
      <c r="AK31" s="16">
        <v>6</v>
      </c>
      <c r="AL31" s="16"/>
      <c r="AM31" s="16"/>
      <c r="AN31" s="16">
        <v>0</v>
      </c>
    </row>
    <row r="32" spans="1:40" x14ac:dyDescent="0.25">
      <c r="A32" s="2" t="s">
        <v>15</v>
      </c>
      <c r="B32" s="2" t="s">
        <v>24</v>
      </c>
      <c r="C32" s="2">
        <v>20141215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168</v>
      </c>
      <c r="K32" s="2" t="s">
        <v>25</v>
      </c>
      <c r="L32" s="2">
        <v>129274207</v>
      </c>
      <c r="M32" s="16"/>
      <c r="N32" s="16"/>
      <c r="O32" s="16"/>
      <c r="P32" s="23"/>
      <c r="Q32" s="16"/>
      <c r="R32" s="2">
        <v>12</v>
      </c>
      <c r="S32" s="2" t="s">
        <v>599</v>
      </c>
      <c r="T32" s="2">
        <v>3</v>
      </c>
      <c r="U32" s="2">
        <v>2</v>
      </c>
      <c r="V32" s="2">
        <v>1.5686</v>
      </c>
      <c r="W32" s="2">
        <v>1.5686</v>
      </c>
      <c r="X32" s="2">
        <v>0</v>
      </c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20141215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168</v>
      </c>
      <c r="K33" s="2" t="s">
        <v>25</v>
      </c>
      <c r="L33" s="2">
        <v>129274207</v>
      </c>
      <c r="M33" s="16"/>
      <c r="N33" s="16"/>
      <c r="O33" s="16"/>
      <c r="P33" s="23"/>
      <c r="Q33" s="16"/>
      <c r="R33" s="2">
        <v>12</v>
      </c>
      <c r="S33" s="2" t="s">
        <v>360</v>
      </c>
      <c r="T33" s="2">
        <v>3</v>
      </c>
      <c r="U33" s="2">
        <v>2</v>
      </c>
      <c r="V33" s="2">
        <v>1.5686</v>
      </c>
      <c r="W33" s="2">
        <v>1.5686</v>
      </c>
      <c r="X33" s="2">
        <v>0</v>
      </c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20141215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168</v>
      </c>
      <c r="K34" s="2" t="s">
        <v>25</v>
      </c>
      <c r="L34" s="2">
        <v>129274207</v>
      </c>
      <c r="M34" s="16"/>
      <c r="N34" s="16"/>
      <c r="O34" s="16"/>
      <c r="P34" s="23"/>
      <c r="Q34" s="16"/>
      <c r="R34" s="2">
        <v>12</v>
      </c>
      <c r="S34" s="2" t="s">
        <v>360</v>
      </c>
      <c r="T34" s="2">
        <v>3</v>
      </c>
      <c r="U34" s="2">
        <v>2</v>
      </c>
      <c r="V34" s="2">
        <v>1.5686</v>
      </c>
      <c r="W34" s="2">
        <v>1.5686</v>
      </c>
      <c r="X34" s="2">
        <v>0</v>
      </c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20141215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168</v>
      </c>
      <c r="K35" s="2" t="s">
        <v>25</v>
      </c>
      <c r="L35" s="2">
        <v>129274207</v>
      </c>
      <c r="M35" s="16"/>
      <c r="N35" s="16"/>
      <c r="O35" s="16"/>
      <c r="P35" s="23"/>
      <c r="Q35" s="16"/>
      <c r="R35" s="2">
        <v>12</v>
      </c>
      <c r="S35" s="2" t="s">
        <v>360</v>
      </c>
      <c r="T35" s="2">
        <v>3</v>
      </c>
      <c r="U35" s="2">
        <v>-2</v>
      </c>
      <c r="V35" s="2">
        <v>1.5686</v>
      </c>
      <c r="W35" s="2">
        <v>1.5686</v>
      </c>
      <c r="X35" s="2">
        <v>0</v>
      </c>
      <c r="Y35" s="16">
        <v>12</v>
      </c>
      <c r="Z35" s="22" t="s">
        <v>624</v>
      </c>
      <c r="AA35" s="16" t="s">
        <v>625</v>
      </c>
      <c r="AB35" s="23" t="s">
        <v>198</v>
      </c>
      <c r="AC35" s="16" t="s">
        <v>17</v>
      </c>
      <c r="AD35" s="16" t="s">
        <v>199</v>
      </c>
      <c r="AE35" s="16">
        <v>2</v>
      </c>
      <c r="AF35" s="16">
        <v>5</v>
      </c>
      <c r="AG35" s="16">
        <v>1.5686</v>
      </c>
      <c r="AH35" s="16">
        <v>1.5686</v>
      </c>
      <c r="AI35" s="16">
        <v>135369123</v>
      </c>
      <c r="AJ35" s="16">
        <v>0</v>
      </c>
      <c r="AK35" s="16">
        <v>6</v>
      </c>
      <c r="AL35" s="16"/>
      <c r="AM35" s="16"/>
      <c r="AN35" s="16">
        <v>0</v>
      </c>
    </row>
    <row r="36" spans="1:40" x14ac:dyDescent="0.25">
      <c r="A36" s="2" t="s">
        <v>15</v>
      </c>
      <c r="B36" s="2" t="s">
        <v>24</v>
      </c>
      <c r="C36" s="2">
        <v>20141215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168</v>
      </c>
      <c r="K36" s="2" t="s">
        <v>25</v>
      </c>
      <c r="L36" s="2">
        <v>129274207</v>
      </c>
      <c r="M36" s="16"/>
      <c r="N36" s="16"/>
      <c r="O36" s="16"/>
      <c r="P36" s="23"/>
      <c r="Q36" s="16"/>
      <c r="R36" s="2">
        <v>12</v>
      </c>
      <c r="S36" s="2" t="s">
        <v>37</v>
      </c>
      <c r="T36" s="2">
        <v>5</v>
      </c>
      <c r="U36" s="2">
        <v>0</v>
      </c>
      <c r="V36" s="2">
        <v>1.5686</v>
      </c>
      <c r="W36" s="2">
        <v>1.5686</v>
      </c>
      <c r="X36" s="2">
        <v>0</v>
      </c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20141215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168</v>
      </c>
      <c r="K37" s="2" t="s">
        <v>25</v>
      </c>
      <c r="L37" s="2">
        <v>129274207</v>
      </c>
      <c r="M37" s="16"/>
      <c r="N37" s="16"/>
      <c r="O37" s="16"/>
      <c r="P37" s="23"/>
      <c r="Q37" s="16"/>
      <c r="R37" s="2">
        <v>12</v>
      </c>
      <c r="S37" s="2" t="s">
        <v>37</v>
      </c>
      <c r="T37" s="2">
        <v>5</v>
      </c>
      <c r="U37" s="2">
        <v>0</v>
      </c>
      <c r="V37" s="2">
        <v>1.5686</v>
      </c>
      <c r="W37" s="2">
        <v>1.5686</v>
      </c>
      <c r="X37" s="2">
        <v>0</v>
      </c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20141215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168</v>
      </c>
      <c r="K38" s="2" t="s">
        <v>25</v>
      </c>
      <c r="L38" s="2">
        <v>129274207</v>
      </c>
      <c r="M38" s="16"/>
      <c r="N38" s="16"/>
      <c r="O38" s="16"/>
      <c r="P38" s="23"/>
      <c r="Q38" s="16"/>
      <c r="R38" s="2">
        <v>13</v>
      </c>
      <c r="S38" s="2" t="s">
        <v>197</v>
      </c>
      <c r="T38" s="2">
        <v>0</v>
      </c>
      <c r="U38" s="2">
        <v>3</v>
      </c>
      <c r="V38" s="2">
        <v>0</v>
      </c>
      <c r="W38" s="2">
        <v>0</v>
      </c>
      <c r="X38" s="2">
        <v>0</v>
      </c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20141215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168</v>
      </c>
      <c r="K39" s="2" t="s">
        <v>25</v>
      </c>
      <c r="L39" s="2">
        <v>129274207</v>
      </c>
      <c r="M39" s="16"/>
      <c r="N39" s="16"/>
      <c r="O39" s="16"/>
      <c r="P39" s="23"/>
      <c r="Q39" s="16"/>
      <c r="R39" s="2">
        <v>13</v>
      </c>
      <c r="S39" s="2" t="s">
        <v>197</v>
      </c>
      <c r="T39" s="2">
        <v>0</v>
      </c>
      <c r="U39" s="2">
        <v>-1</v>
      </c>
      <c r="V39" s="2">
        <v>0</v>
      </c>
      <c r="W39" s="2">
        <v>0</v>
      </c>
      <c r="X39" s="2">
        <v>0</v>
      </c>
      <c r="Y39" s="16">
        <v>13</v>
      </c>
      <c r="Z39" s="22" t="s">
        <v>684</v>
      </c>
      <c r="AA39" s="16" t="s">
        <v>685</v>
      </c>
      <c r="AB39" s="23" t="s">
        <v>198</v>
      </c>
      <c r="AC39" s="16" t="s">
        <v>17</v>
      </c>
      <c r="AD39" s="16" t="s">
        <v>199</v>
      </c>
      <c r="AE39" s="16">
        <v>2</v>
      </c>
      <c r="AF39" s="16">
        <v>2</v>
      </c>
      <c r="AG39" s="16">
        <v>1.5685</v>
      </c>
      <c r="AH39" s="16">
        <v>1.5685</v>
      </c>
      <c r="AI39" s="16">
        <v>135369124</v>
      </c>
      <c r="AJ39" s="16">
        <v>0</v>
      </c>
      <c r="AK39" s="16">
        <v>6</v>
      </c>
      <c r="AL39" s="16"/>
      <c r="AM39" s="16"/>
      <c r="AN39" s="16">
        <v>0</v>
      </c>
    </row>
    <row r="40" spans="1:40" x14ac:dyDescent="0.25">
      <c r="A40" s="2" t="s">
        <v>15</v>
      </c>
      <c r="B40" s="2" t="s">
        <v>24</v>
      </c>
      <c r="C40" s="2">
        <v>20141215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168</v>
      </c>
      <c r="K40" s="2" t="s">
        <v>25</v>
      </c>
      <c r="L40" s="2">
        <v>129274207</v>
      </c>
      <c r="M40" s="16"/>
      <c r="N40" s="16"/>
      <c r="O40" s="16"/>
      <c r="P40" s="23"/>
      <c r="Q40" s="16"/>
      <c r="R40" s="2">
        <v>13</v>
      </c>
      <c r="S40" s="2" t="s">
        <v>599</v>
      </c>
      <c r="T40" s="2">
        <v>2</v>
      </c>
      <c r="U40" s="2">
        <v>1</v>
      </c>
      <c r="V40" s="2">
        <v>1.5685</v>
      </c>
      <c r="W40" s="2">
        <v>1.5685</v>
      </c>
      <c r="X40" s="2">
        <v>0</v>
      </c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20141215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168</v>
      </c>
      <c r="K41" s="2" t="s">
        <v>25</v>
      </c>
      <c r="L41" s="2">
        <v>129274207</v>
      </c>
      <c r="M41" s="16"/>
      <c r="N41" s="16"/>
      <c r="O41" s="16"/>
      <c r="P41" s="23"/>
      <c r="Q41" s="16"/>
      <c r="R41" s="2">
        <v>13</v>
      </c>
      <c r="S41" s="2" t="s">
        <v>360</v>
      </c>
      <c r="T41" s="2">
        <v>2</v>
      </c>
      <c r="U41" s="2">
        <v>1</v>
      </c>
      <c r="V41" s="2">
        <v>1.5685</v>
      </c>
      <c r="W41" s="2">
        <v>1.5685</v>
      </c>
      <c r="X41" s="2">
        <v>0</v>
      </c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20141215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168</v>
      </c>
      <c r="K42" s="2" t="s">
        <v>25</v>
      </c>
      <c r="L42" s="2">
        <v>129274207</v>
      </c>
      <c r="M42" s="16"/>
      <c r="N42" s="16"/>
      <c r="O42" s="16"/>
      <c r="P42" s="23"/>
      <c r="Q42" s="16"/>
      <c r="R42" s="2">
        <v>13</v>
      </c>
      <c r="S42" s="2" t="s">
        <v>360</v>
      </c>
      <c r="T42" s="2">
        <v>2</v>
      </c>
      <c r="U42" s="2">
        <v>1</v>
      </c>
      <c r="V42" s="2">
        <v>1.5685</v>
      </c>
      <c r="W42" s="2">
        <v>1.5685</v>
      </c>
      <c r="X42" s="2">
        <v>0</v>
      </c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20141215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168</v>
      </c>
      <c r="K43" s="2" t="s">
        <v>25</v>
      </c>
      <c r="L43" s="2">
        <v>129274207</v>
      </c>
      <c r="M43" s="16"/>
      <c r="N43" s="16"/>
      <c r="O43" s="16"/>
      <c r="P43" s="23"/>
      <c r="Q43" s="16"/>
      <c r="R43" s="2">
        <v>13</v>
      </c>
      <c r="S43" s="2" t="s">
        <v>360</v>
      </c>
      <c r="T43" s="2">
        <v>2</v>
      </c>
      <c r="U43" s="2">
        <v>-1</v>
      </c>
      <c r="V43" s="2">
        <v>1.5685</v>
      </c>
      <c r="W43" s="2">
        <v>1.5685</v>
      </c>
      <c r="X43" s="2">
        <v>0</v>
      </c>
      <c r="Y43" s="16">
        <v>13</v>
      </c>
      <c r="Z43" s="22" t="s">
        <v>711</v>
      </c>
      <c r="AA43" s="16" t="s">
        <v>712</v>
      </c>
      <c r="AB43" s="23" t="s">
        <v>198</v>
      </c>
      <c r="AC43" s="16" t="s">
        <v>17</v>
      </c>
      <c r="AD43" s="16" t="s">
        <v>199</v>
      </c>
      <c r="AE43" s="16">
        <v>1</v>
      </c>
      <c r="AF43" s="16">
        <v>3</v>
      </c>
      <c r="AG43" s="16">
        <v>1.5686</v>
      </c>
      <c r="AH43" s="16">
        <v>1.568533</v>
      </c>
      <c r="AI43" s="16">
        <v>135369124</v>
      </c>
      <c r="AJ43" s="16">
        <v>0</v>
      </c>
      <c r="AK43" s="16">
        <v>6</v>
      </c>
      <c r="AL43" s="16"/>
      <c r="AM43" s="16"/>
      <c r="AN43" s="16">
        <v>0</v>
      </c>
    </row>
    <row r="44" spans="1:40" x14ac:dyDescent="0.25">
      <c r="A44" s="2" t="s">
        <v>15</v>
      </c>
      <c r="B44" s="2" t="s">
        <v>24</v>
      </c>
      <c r="C44" s="2">
        <v>20141215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168</v>
      </c>
      <c r="K44" s="2" t="s">
        <v>25</v>
      </c>
      <c r="L44" s="2">
        <v>129274207</v>
      </c>
      <c r="M44" s="16"/>
      <c r="N44" s="16"/>
      <c r="O44" s="16"/>
      <c r="P44" s="23"/>
      <c r="Q44" s="16"/>
      <c r="R44" s="2">
        <v>13</v>
      </c>
      <c r="S44" s="2" t="s">
        <v>37</v>
      </c>
      <c r="T44" s="2">
        <v>3</v>
      </c>
      <c r="U44" s="2">
        <v>0</v>
      </c>
      <c r="V44" s="2">
        <v>1.568533</v>
      </c>
      <c r="W44" s="2">
        <v>1.5686</v>
      </c>
      <c r="X44" s="2">
        <v>0</v>
      </c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20141215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168</v>
      </c>
      <c r="K45" s="2" t="s">
        <v>25</v>
      </c>
      <c r="L45" s="2">
        <v>129274207</v>
      </c>
      <c r="M45" s="16"/>
      <c r="N45" s="16"/>
      <c r="O45" s="16"/>
      <c r="P45" s="23"/>
      <c r="Q45" s="16"/>
      <c r="R45" s="2">
        <v>13</v>
      </c>
      <c r="S45" s="2" t="s">
        <v>37</v>
      </c>
      <c r="T45" s="2">
        <v>3</v>
      </c>
      <c r="U45" s="2">
        <v>0</v>
      </c>
      <c r="V45" s="2">
        <v>1.568533</v>
      </c>
      <c r="W45" s="2">
        <v>1.5686</v>
      </c>
      <c r="X45" s="2">
        <v>0</v>
      </c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2014-12-05T11:42:12Z</dcterms:modified>
</cp:coreProperties>
</file>