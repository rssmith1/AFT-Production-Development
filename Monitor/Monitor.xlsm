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Y57" i="15" s="1"/>
  <c r="W57" i="15"/>
  <c r="U57" i="15"/>
  <c r="X56" i="15"/>
  <c r="Y56" i="15" s="1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U47" i="15"/>
  <c r="X46" i="15"/>
  <c r="W46" i="15"/>
  <c r="U46" i="15"/>
  <c r="X45" i="15"/>
  <c r="W45" i="15"/>
  <c r="U45" i="15"/>
  <c r="AE23" i="13"/>
  <c r="AE85" i="13"/>
  <c r="AE104" i="13"/>
  <c r="AE33" i="13"/>
  <c r="AE86" i="13"/>
  <c r="AE92" i="13"/>
  <c r="AE71" i="13"/>
  <c r="AE42" i="13"/>
  <c r="AE76" i="13"/>
  <c r="AE32" i="13"/>
  <c r="AE17" i="13"/>
  <c r="AE43" i="13"/>
  <c r="AE36" i="13"/>
  <c r="AE34" i="13"/>
  <c r="AE96" i="13"/>
  <c r="AE117" i="13"/>
  <c r="AE19" i="13"/>
  <c r="AE81" i="13"/>
  <c r="AE118" i="13"/>
  <c r="AE63" i="13"/>
  <c r="AE119" i="13"/>
  <c r="AE10" i="13"/>
  <c r="AE83" i="13"/>
  <c r="AE64" i="13"/>
  <c r="AE48" i="13"/>
  <c r="AE57" i="13"/>
  <c r="AE51" i="13"/>
  <c r="AE25" i="13"/>
  <c r="AE100" i="13"/>
  <c r="AE56" i="13"/>
  <c r="AE78" i="13"/>
  <c r="AE109" i="13"/>
  <c r="AE30" i="13"/>
  <c r="AE93" i="13"/>
  <c r="AE55" i="13"/>
  <c r="AE45" i="13"/>
  <c r="AE53" i="13"/>
  <c r="AE22" i="13"/>
  <c r="AE107" i="13"/>
  <c r="AE52" i="13"/>
  <c r="AE60" i="13"/>
  <c r="AE90" i="13"/>
  <c r="AE69" i="13"/>
  <c r="AE8" i="13"/>
  <c r="AE27" i="13"/>
  <c r="AE121" i="13"/>
  <c r="AE110" i="13"/>
  <c r="AE124" i="13"/>
  <c r="AE59" i="13"/>
  <c r="AE111" i="13"/>
  <c r="AE7" i="13"/>
  <c r="AE91" i="13"/>
  <c r="AE24" i="13"/>
  <c r="AE47" i="13"/>
  <c r="AE37" i="13"/>
  <c r="AE122" i="13"/>
  <c r="AE12" i="13"/>
  <c r="AE38" i="13"/>
  <c r="AE15" i="13"/>
  <c r="AE39" i="13"/>
  <c r="AE101" i="13"/>
  <c r="AE16" i="13"/>
  <c r="AE73" i="13"/>
  <c r="AE102" i="13"/>
  <c r="AE116" i="13"/>
  <c r="AE82" i="13"/>
  <c r="AE84" i="13"/>
  <c r="AE50" i="13"/>
  <c r="AE18" i="13"/>
  <c r="AE61" i="13"/>
  <c r="AE65" i="13"/>
  <c r="AE44" i="13"/>
  <c r="AE31" i="13"/>
  <c r="AE94" i="13"/>
  <c r="AE40" i="13"/>
  <c r="AE21" i="13"/>
  <c r="AE123" i="13"/>
  <c r="AE112" i="13"/>
  <c r="AE103" i="13"/>
  <c r="AE80" i="13"/>
  <c r="AE68" i="13"/>
  <c r="AE113" i="13"/>
  <c r="AE88" i="13"/>
  <c r="AE29" i="13"/>
  <c r="AE89" i="13"/>
  <c r="AE87" i="13"/>
  <c r="AE62" i="13"/>
  <c r="AE35" i="13"/>
  <c r="AE97" i="13"/>
  <c r="AE20" i="13"/>
  <c r="AE66" i="13"/>
  <c r="AE114" i="13"/>
  <c r="AE11" i="13"/>
  <c r="AE70" i="13"/>
  <c r="AE99" i="13"/>
  <c r="AE72" i="13"/>
  <c r="AE74" i="13"/>
  <c r="AE6" i="13"/>
  <c r="AE41" i="13"/>
  <c r="AE75" i="13"/>
  <c r="AE67" i="13"/>
  <c r="AE26" i="13"/>
  <c r="AE79" i="13"/>
  <c r="AE125" i="13"/>
  <c r="AE49" i="13"/>
  <c r="AE105" i="13"/>
  <c r="AE46" i="13"/>
  <c r="AE9" i="13"/>
  <c r="AE54" i="13"/>
  <c r="AE77" i="13"/>
  <c r="AE115" i="13"/>
  <c r="AE13" i="13"/>
  <c r="AE58" i="13"/>
  <c r="AE108" i="13"/>
  <c r="AE95" i="13"/>
  <c r="AE98" i="13"/>
  <c r="AE106" i="13"/>
  <c r="AE120" i="13"/>
  <c r="AE14" i="13"/>
  <c r="AE28" i="13"/>
  <c r="AA58" i="15"/>
  <c r="AA55" i="15"/>
  <c r="AA61" i="15"/>
  <c r="AA50" i="15"/>
  <c r="AA54" i="15"/>
  <c r="AA56" i="15"/>
  <c r="AA49" i="15"/>
  <c r="AA64" i="15"/>
  <c r="AA46" i="15"/>
  <c r="AA51" i="15"/>
  <c r="AA59" i="15"/>
  <c r="AA63" i="15"/>
  <c r="AA62" i="15"/>
  <c r="AA65" i="15"/>
  <c r="AA52" i="15"/>
  <c r="AA60" i="15"/>
  <c r="AA53" i="15"/>
  <c r="AA48" i="15"/>
  <c r="AA47" i="15"/>
  <c r="AA57" i="15"/>
  <c r="AA45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47" i="15"/>
  <c r="Y54" i="15"/>
  <c r="Y45" i="15"/>
  <c r="Y51" i="15"/>
  <c r="Y46" i="15"/>
  <c r="Y49" i="15"/>
  <c r="Y55" i="15"/>
  <c r="Y53" i="15"/>
  <c r="Y50" i="15"/>
  <c r="Y48" i="15"/>
  <c r="Y52" i="15"/>
  <c r="S36" i="15"/>
  <c r="T36" i="15" s="1"/>
  <c r="Q36" i="15"/>
  <c r="R36" i="15"/>
  <c r="Z55" i="15"/>
  <c r="Z47" i="15"/>
  <c r="Z60" i="15"/>
  <c r="Z65" i="15"/>
  <c r="Z45" i="15"/>
  <c r="Z63" i="15"/>
  <c r="Z64" i="15"/>
  <c r="Z51" i="15"/>
  <c r="Z53" i="15"/>
  <c r="Z49" i="15"/>
  <c r="Z52" i="15"/>
  <c r="Z61" i="15"/>
  <c r="Z59" i="15"/>
  <c r="Z48" i="15"/>
  <c r="Z54" i="15"/>
  <c r="Z57" i="15"/>
  <c r="Z50" i="15"/>
  <c r="Z62" i="15"/>
  <c r="Z46" i="15"/>
  <c r="Z56" i="15"/>
  <c r="Z58" i="15"/>
  <c r="AB56" i="15" l="1"/>
  <c r="AC56" i="15" s="1"/>
  <c r="AD56" i="15" s="1"/>
  <c r="AB65" i="15"/>
  <c r="AC65" i="15" s="1"/>
  <c r="AD65" i="15" s="1"/>
  <c r="AB61" i="15"/>
  <c r="AC61" i="15" s="1"/>
  <c r="AD61" i="15" s="1"/>
  <c r="AB55" i="15"/>
  <c r="AC55" i="15" s="1"/>
  <c r="AD55" i="15" s="1"/>
  <c r="AB50" i="15"/>
  <c r="AC50" i="15" s="1"/>
  <c r="AD50" i="15" s="1"/>
  <c r="AB64" i="15"/>
  <c r="AC64" i="15" s="1"/>
  <c r="AD64" i="15" s="1"/>
  <c r="AB62" i="15"/>
  <c r="AC62" i="15" s="1"/>
  <c r="AD62" i="15" s="1"/>
  <c r="AB45" i="15"/>
  <c r="AC45" i="15" s="1"/>
  <c r="AD45" i="15" s="1"/>
  <c r="AB57" i="15"/>
  <c r="AC57" i="15" s="1"/>
  <c r="AD57" i="15" s="1"/>
  <c r="AB63" i="15"/>
  <c r="AC63" i="15" s="1"/>
  <c r="AD63" i="15" s="1"/>
  <c r="AB48" i="15"/>
  <c r="AC48" i="15" s="1"/>
  <c r="AD48" i="15" s="1"/>
  <c r="AB46" i="15"/>
  <c r="AC46" i="15" s="1"/>
  <c r="AD46" i="15" s="1"/>
  <c r="AB60" i="15"/>
  <c r="AC60" i="15" s="1"/>
  <c r="AD60" i="15" s="1"/>
  <c r="AB59" i="15"/>
  <c r="AC59" i="15" s="1"/>
  <c r="AD59" i="15" s="1"/>
  <c r="AB58" i="15"/>
  <c r="AC58" i="15" s="1"/>
  <c r="AD58" i="15" s="1"/>
  <c r="AB51" i="15"/>
  <c r="AC51" i="15" s="1"/>
  <c r="AD51" i="15" s="1"/>
  <c r="AB49" i="15"/>
  <c r="AC49" i="15" s="1"/>
  <c r="AD49" i="15" s="1"/>
  <c r="AB54" i="15"/>
  <c r="AC54" i="15" s="1"/>
  <c r="AD54" i="15" s="1"/>
  <c r="AB52" i="15"/>
  <c r="AC52" i="15" s="1"/>
  <c r="AD52" i="15" s="1"/>
  <c r="AB53" i="15"/>
  <c r="AC53" i="15" s="1"/>
  <c r="AD53" i="15" s="1"/>
  <c r="AB47" i="15"/>
  <c r="AC47" i="15" s="1"/>
  <c r="AD47" i="15" s="1"/>
  <c r="AF4" i="13"/>
  <c r="AG43" i="15" l="1"/>
  <c r="W36" i="15" s="1"/>
  <c r="V36" i="15" s="1"/>
  <c r="R37" i="15"/>
  <c r="S37" i="15"/>
  <c r="R38" i="15" l="1"/>
  <c r="S40" i="15" s="1"/>
  <c r="S38" i="15"/>
  <c r="S41" i="15" s="1"/>
  <c r="R40" i="15"/>
  <c r="R41" i="15"/>
</calcChain>
</file>

<file path=xl/sharedStrings.xml><?xml version="1.0" encoding="utf-8"?>
<sst xmlns="http://schemas.openxmlformats.org/spreadsheetml/2006/main" count="15063" uniqueCount="6349">
  <si>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</si>
  <si>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</si>
  <si>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</si>
  <si>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</si>
  <si>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</si>
  <si>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</si>
  <si>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</si>
  <si>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</si>
  <si>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</si>
  <si>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</si>
  <si>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</si>
  <si>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</si>
  <si>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</si>
  <si>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</si>
  <si>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</si>
  <si>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</si>
  <si>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</si>
  <si>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</si>
  <si>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</si>
  <si>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</si>
  <si>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</si>
  <si>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</si>
  <si>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</si>
  <si>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</si>
  <si>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</si>
  <si>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</si>
  <si>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</si>
  <si>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</si>
  <si>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</si>
  <si>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</si>
  <si>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</si>
  <si>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</si>
  <si>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</si>
  <si>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</si>
  <si>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</si>
  <si>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</si>
  <si>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</si>
  <si>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</si>
  <si>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</si>
  <si>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</si>
  <si>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</si>
  <si>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</si>
  <si>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</si>
  <si>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</si>
  <si>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</si>
  <si>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</si>
  <si>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</si>
  <si>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</si>
  <si>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</si>
  <si>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</si>
  <si>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</si>
  <si>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</si>
  <si>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</si>
  <si>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</si>
  <si>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</si>
  <si>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</si>
  <si>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</si>
  <si>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</si>
  <si>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</si>
  <si>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</si>
  <si>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</si>
  <si>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</si>
  <si>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</si>
  <si>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</si>
  <si>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</si>
  <si>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</si>
  <si>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</si>
  <si>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</si>
  <si>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</si>
  <si>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</si>
  <si>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</si>
  <si>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</si>
  <si>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</si>
  <si>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</si>
  <si>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</si>
  <si>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</si>
  <si>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</si>
  <si>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</si>
  <si>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</si>
  <si>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</si>
  <si>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</si>
  <si>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</si>
  <si>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</si>
  <si>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</si>
  <si>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</si>
  <si>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</si>
  <si>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</si>
  <si>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</si>
  <si>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</si>
  <si>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</si>
  <si>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</si>
  <si>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</si>
  <si>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</si>
  <si>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</si>
  <si>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</si>
  <si>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</si>
  <si>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</si>
  <si>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</si>
  <si>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</si>
  <si>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</si>
  <si>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</si>
  <si>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</si>
  <si>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</si>
  <si>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</si>
  <si>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</si>
  <si>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</si>
  <si>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</si>
  <si>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</si>
  <si>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</si>
  <si>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</si>
  <si>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</si>
  <si>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</si>
  <si>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</si>
  <si>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</si>
  <si>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</si>
  <si>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</si>
  <si>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</si>
  <si>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</si>
  <si>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</si>
  <si>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</si>
  <si>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</si>
  <si>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</si>
  <si>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</si>
  <si>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</si>
  <si>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</si>
  <si>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</si>
  <si>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</si>
  <si>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</si>
  <si>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</si>
  <si>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</si>
  <si>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</si>
  <si>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</si>
  <si>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</si>
  <si>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</si>
  <si>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</si>
  <si>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</si>
  <si>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</si>
  <si>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</si>
  <si>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</si>
  <si>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</si>
  <si>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</si>
  <si>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</si>
  <si>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</si>
  <si>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</si>
  <si>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</si>
  <si>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</si>
  <si>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</si>
  <si>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</si>
  <si>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</si>
  <si>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</si>
  <si>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</si>
  <si>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</si>
  <si>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</si>
  <si>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</si>
  <si>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</si>
  <si>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</si>
  <si>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</si>
  <si>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</si>
  <si>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</si>
  <si>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</si>
  <si>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</si>
  <si>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</si>
  <si>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</si>
  <si>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</si>
  <si>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</si>
  <si>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</si>
  <si>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</si>
  <si>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</si>
  <si>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</si>
  <si>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</si>
  <si>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</si>
  <si>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</si>
  <si>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</si>
  <si>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</si>
  <si>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</si>
  <si>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</si>
  <si>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</si>
  <si>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</si>
  <si>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</si>
  <si>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</si>
  <si>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</si>
  <si>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</si>
  <si>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</si>
  <si>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</si>
  <si>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</si>
  <si>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</si>
  <si>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</si>
  <si>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</si>
  <si>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</si>
  <si>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</si>
  <si>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</si>
  <si>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</si>
  <si>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</si>
  <si>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</si>
  <si>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PreSubmitted</t>
  </si>
  <si>
    <t>SELL</t>
  </si>
  <si>
    <t>Cancelled</t>
  </si>
  <si>
    <t>STP LMT</t>
  </si>
  <si>
    <t>Current Position</t>
  </si>
  <si>
    <t>Hedge Shortfall</t>
  </si>
  <si>
    <t>TWS Connected OK</t>
  </si>
  <si>
    <t>Canceled</t>
  </si>
  <si>
    <t>Subscribed</t>
  </si>
  <si>
    <t>6B5F5 C1500</t>
  </si>
  <si>
    <t>6B5F5 C1505</t>
  </si>
  <si>
    <t>6B5F5 P1495</t>
  </si>
  <si>
    <t>6B5F5 P1500</t>
  </si>
  <si>
    <t>6B5F5 P1505</t>
  </si>
  <si>
    <t>6B5F5 C1510</t>
  </si>
  <si>
    <t>6B5F5 C1515</t>
  </si>
  <si>
    <t>6B5F5 P1510</t>
  </si>
  <si>
    <t>6B5F5 P1515</t>
  </si>
  <si>
    <t>6B5F5 C1525</t>
  </si>
  <si>
    <t>6B5F5 P1520</t>
  </si>
  <si>
    <t>In-Flight</t>
  </si>
  <si>
    <t>PendingCancel</t>
  </si>
  <si>
    <t>2015-1-30 10:33:8.402: Main - Initialize - initializing...</t>
  </si>
  <si>
    <t>2015-1-30 10:33:15.51: openOrderEx - I am here</t>
  </si>
  <si>
    <t xml:space="preserve">2015-1-30 10:33:15.51: OrderManagerView - UpdateMainSheetOpenOrder - entering UpdateMainSheetOpenOrder order.status is </t>
  </si>
  <si>
    <t>2015-1-30 10:33:15.52: OrderManagerView - updateMainSheetOrderHistory - An Error occurred Object variable or With block variable not set</t>
  </si>
  <si>
    <t>2015-1-30 10:33:15.54: OrderManagerView - updateOrderHistory - An Error occurred Object variable or With block variable not set</t>
  </si>
  <si>
    <t>2015-1-30 10:33:15.55: OrderManagerView - updateOrderHistory - An Error occurred Object variable or With block variable not set</t>
  </si>
  <si>
    <t>2015-1-30 10:33:15.56: OrderManagerView - updateOrderHistory - An Error occurred Object variable or With block variable not set</t>
  </si>
  <si>
    <t>2015-1-30 10:33:15.57: OrderManagerView - updateOrderHistory - An Error occurred Object variable or With block variable not set</t>
  </si>
  <si>
    <t>2015-1-30 10:33:15.58: OrderManagerView - updateOrderHistory - An Error occurred Object variable or With block variable not set</t>
  </si>
  <si>
    <t>2015-1-30 10:33:15.59: OrderManagerView - updateOrderHistory - An Error occurred Object variable or With block variable not set</t>
  </si>
  <si>
    <t>2015-1-30 10:33:15.60: OrderManagerView - updateOrderHistory - An Error occurred Object variable or With block variable not set</t>
  </si>
  <si>
    <t>2015-1-30 10:33:15.61: OrderManagerView - updateOrderHistory - An Error occurred Object variable or With block variable not set</t>
  </si>
  <si>
    <t>2015-1-30 10:33:15.62: OrderManagerView - updateOrderHistory - An Error occurred Object variable or With block variable not set</t>
  </si>
  <si>
    <t>2015-1-30 10:33:15.64: RTWSControl - orderStatus -  entering orderStatus id is 1289 status is PreSubmitted</t>
  </si>
  <si>
    <t>2015-1-30 10:33:15.65: OrderManager - UpdateOrderStatus - id 1289 Setting status to PreSubmitted workingOrderCount is now 0 workingQty 0</t>
  </si>
  <si>
    <t>2015-1-30 10:33:15.65: OrderManagerView - UpdateMainSheetOpenOrder - entering UpdateMainSheetOpenOrder order.status is PreSubmitted</t>
  </si>
  <si>
    <t>2015-1-30 10:33:15.66: OrderManagerView - updateMainSheetOrderHistory - An Error occurred Object variable or With block variable not set</t>
  </si>
  <si>
    <t>2015-1-30 10:33:15.67: OrderManagerView - updateOrderHistory - An Error occurred Object variable or With block variable not set</t>
  </si>
  <si>
    <t>2015-1-30 10:33:15.68: OrderManagerView - updateOrderHistory - An Error occurred Object variable or With block variable not set</t>
  </si>
  <si>
    <t>2015-1-30 10:33:15.69: OrderManagerView - updateOrderHistory - An Error occurred Object variable or With block variable not set</t>
  </si>
  <si>
    <t>2015-1-30 10:33:15.70: OrderManagerView - updateOrderHistory - An Error occurred Object variable or With block variable not set</t>
  </si>
  <si>
    <t>2015-1-30 10:33:15.71: OrderManagerView - updateOrderHistory - An Error occurred Object variable or With block variable not set</t>
  </si>
  <si>
    <t>2015-1-30 10:33:15.72: OrderManagerView - updateOrderHistory - An Error occurred Object variable or With block variable not set</t>
  </si>
  <si>
    <t>2015-1-30 10:33:15.73: OrderManagerView - updateOrderHistory - An Error occurred Object variable or With block variable not set</t>
  </si>
  <si>
    <t>2015-1-30 10:33:15.74: OrderManagerView - updateOrderHistory - An Error occurred Object variable or With block variable not set</t>
  </si>
  <si>
    <t>2015-1-30 10:33:15.75: OrderManagerView - updateOrderHistory - An Error occurred Object variable or With block variable not set</t>
  </si>
  <si>
    <t>2015-1-30 10:33:15.76: RTWSControl - OrderStatus - Got OrderStatus Message id:1289 status: PreSubmitted filled: 0</t>
  </si>
  <si>
    <t>2015-1-30 10:33:15.76: RTWSControl - OrderStatus - exiting orderStatus</t>
  </si>
  <si>
    <t>2015-1-30 10:33:15.260: openOrderEnd - I am here</t>
  </si>
  <si>
    <t>2015-1-30 10:33:15.263: RTWSControl - nextValidId - entering nextValidId id is 1290</t>
  </si>
  <si>
    <t>2015-1-30 10:33:15.284: WatchlistView - initialize - an error occurredSelect method of Range class failed</t>
  </si>
  <si>
    <t>2015-1-30 10:33:15.335: RTWSControl - errMsg - got error message 2104:Market data farm connection is OK:usfuturewith id -1</t>
  </si>
  <si>
    <t>2015-1-30 10:33:15.340: RTWSControl - errMsg - got error message 2104:Market data farm connection is OK:usfuture.uswith id -1</t>
  </si>
  <si>
    <t>2015-1-30 10:33:15.376: RTWSControl - errMsg - got error message 2104:Market data farm connection is OK:cashfarmwith id -1</t>
  </si>
  <si>
    <t>2015-1-30 10:33:15.381: RTWSControl - errMsg - got error message 2104:Market data farm connection is OK:usfarmwith id -1</t>
  </si>
  <si>
    <t>2015-1-30 10:33:15.387: RTWSControl - errMsg - got error message 2106:HMDS data farm connection is OK:ilhmdswith id -1</t>
  </si>
  <si>
    <t>2015-1-30 10:33:15.433: RTWSControl - contractDetailsEx - got contractDetails id 0 British pound 6BH5</t>
  </si>
  <si>
    <t>2015-1-30 10:33:15.439: RTWSControl - contractDetailsEnd - Got contract details end event</t>
  </si>
  <si>
    <t>2015-1-30 10:33:15.645: RTWSControl - orderStatus -  entering orderStatus id is 1289 status is Cancelled</t>
  </si>
  <si>
    <t>2015-1-30 10:33:15.647: OrderManager - UpdateOrderStatus - id 1289 Setting status to Cancelled workingOrderCount is now 0 workingQty 0</t>
  </si>
  <si>
    <t>2015-1-30 10:33:15.649: OrderManagerView - UpdateMainSheetOpenOrder - entering UpdateMainSheetOpenOrder order.status is Cancelled</t>
  </si>
  <si>
    <t>2015-1-30 10:33:15.652: OrderManagerView - updateMainSheetOrderHistory - An Error occurred Object variable or With block variable not set</t>
  </si>
  <si>
    <t>2015-1-30 10:33:15.659: OrderManagerView - updateOrderHistory - An Error occurred Object variable or With block variable not set</t>
  </si>
  <si>
    <t>2015-1-30 10:33:15.664: OrderManagerView - updateOrderHistory - An Error occurred Object variable or With block variable not set</t>
  </si>
  <si>
    <t>2015-1-30 10:33:15.667: OrderManagerView - updateOrderHistory - An Error occurred Object variable or With block variable not set</t>
  </si>
  <si>
    <t>2015-1-30 10:33:15.670: OrderManagerView - updateOrderHistory - An Error occurred Object variable or With block variable not set</t>
  </si>
  <si>
    <t>2015-1-30 10:33:15.674: OrderManagerView - updateOrderHistory - An Error occurred Object variable or With block variable not set</t>
  </si>
  <si>
    <t>2015-1-30 10:33:15.677: OrderManagerView - updateOrderHistory - An Error occurred Object variable or With block variable not set</t>
  </si>
  <si>
    <t>2015-1-30 10:33:15.678: OrderManagerView - updateOrderHistory - An Error occurred Object variable or With block variable not set</t>
  </si>
  <si>
    <t>2015-1-30 10:33:15.680: OrderManagerView - updateOrderHistory - An Error occurred Object variable or With block variable not set</t>
  </si>
  <si>
    <t>2015-1-30 10:33:15.681: OrderManagerView - updateOrderHistory - An Error occurred Object variable or With block variable not set</t>
  </si>
  <si>
    <t>2015-1-30 10:33:15.682: OrderManagerView - updateOrderHistory - An Error occurred Object variable or With block variable not set</t>
  </si>
  <si>
    <t>2015-1-30 10:33:15.684: OrderManagerView - updateOrderHistory - An Error occurred Object variable or With block variable not set</t>
  </si>
  <si>
    <t>2015-1-30 10:33:15.685: OrderManagerView - updateOrderHistory - An Error occurred Object variable or With block variable not set</t>
  </si>
  <si>
    <t>2015-1-30 10:33:15.687: OrderManagerView - updateOrderHistory - An Error occurred Object variable or With block variable not set</t>
  </si>
  <si>
    <t>2015-1-30 10:33:15.689: RTWSControl - OrderStatus - Got OrderStatus Message id:1289 status: Cancelled filled: 0</t>
  </si>
  <si>
    <t>2015-1-30 10:33:15.690: RTWSControl - OrderStatus - exiting orderStatus</t>
  </si>
  <si>
    <t>2015-1-30 10:33:15.724: RTWSControl - errMsg - got error message 202:Order Canceled - reason:with id 1289</t>
  </si>
  <si>
    <t>2015-1-30 10:33:15.725: OrderManager - canceledOrder - cleaning up after canceled order 1289BEWARE UNACCOUNTED FOR EXECUTIONS!!!</t>
  </si>
  <si>
    <t>2015-1-30 10:33:15.725: OrderManager - terminateOrder - cleaning up after Canceled 1289  order was supposed to BUY 24 1.5125 STP LMT workingQty/OrderCount now -24/-1</t>
  </si>
  <si>
    <t>2015-1-30 10:33:15.726: OrderManager - terminateOrder - terminating order who had no caller</t>
  </si>
  <si>
    <t>2015-1-30 10:33:15.726: OrderManagerView - UpdateMainSheetOpenOrder - entering UpdateMainSheetOpenOrder order.status is Canceled</t>
  </si>
  <si>
    <t>2015-1-30 10:33:15.727: OrderManagerView - updateOrderHistory - An Error occurred Object variable or With block variable not set</t>
  </si>
  <si>
    <t>2015-1-30 10:33:15.728: OrderManagerView - updateOrderHistory - An Error occurred Object variable or With block variable not set</t>
  </si>
  <si>
    <t>2015-1-30 10:33:15.729: OrderManagerView - updateOrderHistory - An Error occurred Object variable or With block variable not set</t>
  </si>
  <si>
    <t>2015-1-30 10:33:15.730: OrderManagerView - updateOrderHistory - An Error occurred Object variable or With block variable not set</t>
  </si>
  <si>
    <t>2015-1-30 10:33:15.731: OrderManagerView - updateOrderHistory - An Error occurred Object variable or With block variable not set</t>
  </si>
  <si>
    <t>2015-1-30 10:33:15.732: OrderManagerView - updateOrderHistory - An Error occurred Object variable or With block variable not set</t>
  </si>
  <si>
    <t>2015-1-30 10:33:15.733: OrderManagerView - updateOrderHistory - An Error occurred Object variable or With block variable not set</t>
  </si>
  <si>
    <t>2015-1-30 10:33:15.734: OrderManagerView - updateOrderHistory - An Error occurred Object variable or With block variable not set</t>
  </si>
  <si>
    <t>2015-1-30 10:33:15.735: OrderManagerView - updateOrderHistory - An Error occurred Object variable or With block variable not set</t>
  </si>
  <si>
    <t>2015-1-30 10:33:15.736: OrderManagerView - updateOrderHistory - An Error occurred Object variable or With block variable not set</t>
  </si>
  <si>
    <t>2015-1-30 10:33:15.737: OrderManagerView - updateOrderHistory - An Error occurred Object variable or With block variable not set</t>
  </si>
  <si>
    <t>2015-1-30 10:33:15.738: OrderManagerView - updateOrderHistory - An Error occurred Object variable or With block variable not set</t>
  </si>
  <si>
    <t>2015-1-30 10:33:29.679: Algorithm - updatePortfolio - haveAllDetails is False</t>
  </si>
  <si>
    <t>2015-1-30 10:33:29.725: Algorithm - updatePortfolio - haveAllDetails is False</t>
  </si>
  <si>
    <t>2015-1-30 10:33:29.794: Algorithm - updatePortfolio - haveAllDetails is False</t>
  </si>
  <si>
    <t>2015-1-30 10:33:29.851: Algorithm - updatePortfolio - haveAllDetails is False</t>
  </si>
  <si>
    <t>2015-1-30 10:33:29.957: Algorithm - updatePortfolio - haveAllDetails is False</t>
  </si>
  <si>
    <t>2015-1-30 10:33:30.15: Algorithm - updatePortfolio - haveAllDetails is False</t>
  </si>
  <si>
    <t>2015-1-30 10:33:30.60: Algorithm - updatePortfolio - haveAllDetails is False</t>
  </si>
  <si>
    <t>2015-1-30 10:33:30.128: Algorithm - updatePortfolio - haveAllDetails is False</t>
  </si>
  <si>
    <t>2015-1-30 10:33:30.179: Algorithm - updatePortfolio - haveAllDetails is False</t>
  </si>
  <si>
    <t>2015-1-30 10:33:30.224: Algorithm - updatePortfolio - haveAllDetails is False</t>
  </si>
  <si>
    <t>2015-1-30 10:33:30.294: Algorithm - updatePortfolio - haveAllDetails is False</t>
  </si>
  <si>
    <t>2015-1-30 10:33:30.344: Algorithm - updatePortfolio - haveAllDetails is False</t>
  </si>
  <si>
    <t>2015-1-30 10:33:30.388: Algorithm - updatePortfolio - haveAllDetails is False</t>
  </si>
  <si>
    <t>2015-1-30 10:33:30.460: RTWSControl - contractDetailsEx - got contractDetails id 0 British pound 6B5F5 C1500</t>
  </si>
  <si>
    <t>2015-1-30 10:33:30.468: RTWSControl - contractDetailsEnd - Got contract details end event</t>
  </si>
  <si>
    <t>2015-1-30 10:33:30.506: RTWSControl - contractDetailsEx - got contractDetails id 0 British pound 6B5F5 C1505</t>
  </si>
  <si>
    <t>2015-1-30 10:33:30.514: RTWSControl - contractDetailsEnd - Got contract details end event</t>
  </si>
  <si>
    <t>2015-1-30 10:33:30.550: RTWSControl - contractDetailsEx - got contractDetails id 0 British pound 6B5F5 P1495</t>
  </si>
  <si>
    <t>2015-1-30 10:33:30.558: RTWSControl - contractDetailsEnd - Got contract details end event</t>
  </si>
  <si>
    <t>2015-1-30 10:33:30.589: RTWSControl - contractDetailsEx - got contractDetails id 0 British pound 6B5F5 P1500</t>
  </si>
  <si>
    <t>2015-1-30 10:33:30.626: RTWSControl - contractDetailsEnd - Got contract details end event</t>
  </si>
  <si>
    <t>2015-1-30 10:33:30.634: RTWSControl - contractDetailsEx - got contractDetails id 0 British pound 6B5F5 P1505</t>
  </si>
  <si>
    <t>2015-1-30 10:33:30.641: RTWSControl - contractDetailsEnd - Got contract details end event</t>
  </si>
  <si>
    <t>2015-1-30 10:33:30.673: RTWSControl - contractDetailsEx - got contractDetails id 0 British pound 6B5F5 C1510</t>
  </si>
  <si>
    <t>2015-1-30 10:33:30.680: RTWSControl - contractDetailsEnd - Got contract details end event</t>
  </si>
  <si>
    <t>2015-1-30 10:33:30.709: RTWSControl - contractDetailsEx - got contractDetails id 0 British pound 6B5F5 C1515</t>
  </si>
  <si>
    <t>2015-1-30 10:33:30.716: RTWSControl - contractDetailsEnd - Got contract details end event</t>
  </si>
  <si>
    <t>2015-1-30 10:33:30.724: RTWSControl - contractDetailsEx - got contractDetails id 0 British pound 6B5F5 P1510</t>
  </si>
  <si>
    <t>2015-1-30 10:33:30.749: RTWSControl - contractDetailsEnd - Got contract details end event</t>
  </si>
  <si>
    <t>2015-1-30 10:33:30.756: RTWSControl - contractDetailsEx - got contractDetails id 0 British pound 6B5F5 P1515</t>
  </si>
  <si>
    <t>2015-1-30 10:33:30.764: RTWSControl - contractDetailsEnd - Got contract details end event</t>
  </si>
  <si>
    <t>2015-1-30 10:33:30.792: RTWSControl - contractDetailsEx - got contractDetails id 0 British pound 6B5F5 C1525</t>
  </si>
  <si>
    <t>2015-1-30 10:33:30.799: RTWSControl - contractDetailsEnd - Got contract details end event</t>
  </si>
  <si>
    <t>2015-1-30 10:33:30.807: RTWSControl - contractDetailsEx - got contractDetails id 0 British pound 6B5F5 P1520</t>
  </si>
  <si>
    <t>2015-1-30 10:33:30.831: RTWSControl - contractDetailsEnd - Got contract details end event</t>
  </si>
  <si>
    <t>2015-1-30 10:33:35.443: Algorithm - FindNextStrikes - price is 1.50815 nextStrikeUp/Down 1.51/1.505</t>
  </si>
  <si>
    <t>2015-1-30 10:33:35.449: Algorithm - getPortfolioForwardDelta - required deltas is 21 currentHedgePosition is 21</t>
  </si>
  <si>
    <t>2015-1-30 10:33:35.454: Algorithm - getHedgeShortfall - required deltas is 21 price is 1.50815 currentHedgePositionDeltas is 21</t>
  </si>
  <si>
    <t>2015-1-30 10:33:35.460: Algorithm - processTransitionPoint - nextUpper/LowerStrikes are 1.51/1.505 requiredDeltas/currentPosition/currentHedgeShortfall/direction/transitionPrice are 21/21/0/0/1.50815</t>
  </si>
  <si>
    <t>2015-1-30 10:33:35.465: TransitionLogger - processTransitionpoint - checking transition - currentHedgeShortfall is 0</t>
  </si>
  <si>
    <t>2015-1-30 10:33:35.474: Algorithm - updatePortfolio - haveAllDetails is True</t>
  </si>
  <si>
    <t>2015-1-30 10:34:32.280: OrderManager - PlaceOrder - id 1290 workingQty 1</t>
  </si>
  <si>
    <t>2015-1-30 10:34:32.281: OrderManagerView - UpdateMainSheetOpenOrder - entering UpdateMainSheetOpenOrder order.status is In-Flight</t>
  </si>
  <si>
    <t>2015-1-30 10:34:32.285: OrderManager - sendOrder - exiting place order id 1290 BUY 25 1.5125  - workingQty 1 currentPosition is 21 workingOrderCount is 0</t>
  </si>
  <si>
    <t>2015-1-30 10:34:32.287: OrderManager - createOrder - exiting without creating order - did not have validID</t>
  </si>
  <si>
    <t>2015-1-30 10:34:32.406: RTWSControl - nextValidId - entering nextValidId id is 1291</t>
  </si>
  <si>
    <t>2015-1-30 10:34:32.592: RTWSControl - errMsg - got error message 399:Order Message:
BUY 25 GBP MAR'15
Warning: your order will not be placed at the exchange until 2015-01-30 08:30:00 US/Centralwith id 1290</t>
  </si>
  <si>
    <t>2015-1-30 10:34:32.596: RTWSControl - errMsg - Got Error_x000D_id: 1290_x000D_errorCode: 399_x000D_errorMsg: Order Message:
BUY 25 GBP MAR'15
Warning: your order will not be placed at the exchange until 2015-01-30 08:30:00 US/Central</t>
  </si>
  <si>
    <t>2015-1-30 10:34:32.620: openOrderEx - I am here</t>
  </si>
  <si>
    <t>2015-1-30 10:34:32.621: OrderManagerView - UpdateMainSheetOpenOrder - entering UpdateMainSheetOpenOrder order.status is In-Flight</t>
  </si>
  <si>
    <t>2015-1-30 10:34:32.652: RTWSControl - orderStatus -  entering orderStatus id is 1290 status is PreSubmitted</t>
  </si>
  <si>
    <t>2015-1-30 10:34:32.653: OrderManager - UpdateOrderStatus - id 1290 Setting status to PreSubmitted workingOrderCount is now 0 workingQty 1</t>
  </si>
  <si>
    <t>2015-1-30 10:34:32.654: OrderManagerView - UpdateMainSheetOpenOrder - entering UpdateMainSheetOpenOrder order.status is PreSubmitted</t>
  </si>
  <si>
    <t>2015-1-30 10:34:32.658: RTWSControl - OrderStatus - Got OrderStatus Message id:1290 status: PreSubmitted filled: 0</t>
  </si>
  <si>
    <t>2015-1-30 10:34:32.659: RTWSControl - OrderStatus - exiting orderStatus</t>
  </si>
  <si>
    <t>2015-1-30 10:34:32.673: openOrderEx - I am here</t>
  </si>
  <si>
    <t>2015-1-30 10:34:32.674: OrderManagerView - UpdateMainSheetOpenOrder - entering UpdateMainSheetOpenOrder order.status is PreSubmitted</t>
  </si>
  <si>
    <t>2015-1-30 10:34:32.707: RTWSControl - orderStatus -  entering orderStatus id is 1290 status is PreSubmitted</t>
  </si>
  <si>
    <t>2015-1-30 10:34:32.709: OrderManager - UpdateOrderStatus - id 1290 Setting status to PreSubmitted workingOrderCount is now 0 workingQty 1</t>
  </si>
  <si>
    <t>2015-1-30 10:34:32.710: OrderManagerView - UpdateMainSheetOpenOrder - entering UpdateMainSheetOpenOrder order.status is PreSubmitted</t>
  </si>
  <si>
    <t>2015-1-30 10:34:32.713: RTWSControl - OrderStatus - Got OrderStatus Message id:1290 status: PreSubmitted filled: 0</t>
  </si>
  <si>
    <t>2015-1-30 10:34:32.715: RTWSControl - OrderStatus - exiting orderStatus</t>
  </si>
  <si>
    <t>2015-1-30 10:34:35.604: OrderManager - cancelOrder - cancelling order id 1290</t>
  </si>
  <si>
    <t>2015-1-30 10:34:35.606: OrderManager - PlaceOrder - id 1291 workingQty 28</t>
  </si>
  <si>
    <t>2015-1-30 10:34:35.609: OrderManagerView - UpdateMainSheetOpenOrder - entering UpdateMainSheetOpenOrder order.status is In-Flight</t>
  </si>
  <si>
    <t>2015-1-30 10:34:35.620: OrderManager - sendOrder - exiting place order id 1291 BUY 27 1.5129  - workingQty 28 currentPosition is 21 workingOrderCount is 1</t>
  </si>
  <si>
    <t>2015-1-30 10:34:35.626: OrderManager - createOrder - exiting without creating order - did not have validID</t>
  </si>
  <si>
    <t>2015-1-30 10:34:35.834: RTWSControl - nextValidId - entering nextValidId id is 1292</t>
  </si>
  <si>
    <t>2015-1-30 10:34:35.865: RTWSControl - orderStatus -  entering orderStatus id is 1290 status is Cancelled</t>
  </si>
  <si>
    <t>2015-1-30 10:34:35.867: OrderManager - UpdateOrderStatus - id 1290 Setting status to Cancelled workingOrderCount is now 1 workingQty 28</t>
  </si>
  <si>
    <t>2015-1-30 10:34:35.869: OrderManagerView - UpdateMainSheetOpenOrder - entering UpdateMainSheetOpenOrder order.status is Cancelled</t>
  </si>
  <si>
    <t>2015-1-30 10:34:35.871: RTWSControl - OrderStatus - Got OrderStatus Message id:1290 status: Cancelled filled: 0</t>
  </si>
  <si>
    <t>2015-1-30 10:34:35.873: RTWSControl - OrderStatus - exiting orderStatus</t>
  </si>
  <si>
    <t>2015-1-30 10:34:35.901: RTWSControl - errMsg - got error message 202:Order Canceled - reason:with id 1290</t>
  </si>
  <si>
    <t>2015-1-30 10:34:35.903: OrderManager - canceledOrder - cleaning up after canceled order 1290BEWARE UNACCOUNTED FOR EXECUTIONS!!!</t>
  </si>
  <si>
    <t>2015-1-30 10:34:35.904: OrderManager - terminateOrder - cleaning up after Canceled 1290  order was supposed to BUY 25 1.5125 STP LMT workingQty/OrderCount now 3/0</t>
  </si>
  <si>
    <t>2015-1-30 10:34:35.907: OrderManagerView - UpdateMainSheetOpenOrder - entering UpdateMainSheetOpenOrder order.status is Canceled</t>
  </si>
  <si>
    <t>2015-1-30 10:34:35.917: RTWSControl - errMsg - got error message 399:Order Message:
BUY 27 GBP MAR'15
Warning: your order will not be placed at the exchange until 2015-01-30 08:30:00 US/Centralwith id 1291</t>
  </si>
  <si>
    <t>2015-1-30 10:34:35.919: RTWSControl - errMsg - Got Error_x000D_id: 1291_x000D_errorCode: 399_x000D_errorMsg: Order Message:
BUY 27 GBP MAR'15
Warning: your order will not be placed at the exchange until 2015-01-30 08:30:00 US/Central</t>
  </si>
  <si>
    <t>2015-1-30 10:34:35.956: openOrderEx - I am here</t>
  </si>
  <si>
    <t>2015-1-30 10:34:35.957: OrderManagerView - UpdateMainSheetOpenOrder - entering UpdateMainSheetOpenOrder order.status is In-Flight</t>
  </si>
  <si>
    <t>2015-1-30 10:34:35.968: RTWSControl - orderStatus -  entering orderStatus id is 1291 status is PreSubmitted</t>
  </si>
  <si>
    <t>2015-1-30 10:34:35.970: OrderManager - UpdateOrderStatus - id 1291 Setting status to PreSubmitted workingOrderCount is now 0 workingQty 3</t>
  </si>
  <si>
    <t>2015-1-30 10:34:35.971: OrderManagerView - UpdateMainSheetOpenOrder - entering UpdateMainSheetOpenOrder order.status is PreSubmitted</t>
  </si>
  <si>
    <t>2015-1-30 10:34:35.975: RTWSControl - OrderStatus - Got OrderStatus Message id:1291 status: PreSubmitted filled: 0</t>
  </si>
  <si>
    <t>2015-1-30 10:34:35.976: RTWSControl - OrderStatus - exiting orderStatus</t>
  </si>
  <si>
    <t>2015-1-30 10:34:36.644: openOrderEx - I am here</t>
  </si>
  <si>
    <t>2015-1-30 10:34:36.645: OrderManagerView - UpdateMainSheetOpenOrder - entering UpdateMainSheetOpenOrder order.status is PreSubmitted</t>
  </si>
  <si>
    <t>2015-1-30 10:34:36.665: RTWSControl - orderStatus -  entering orderStatus id is 1291 status is PreSubmitted</t>
  </si>
  <si>
    <t>2015-1-30 10:34:36.667: OrderManager - UpdateOrderStatus - id 1291 Setting status to PreSubmitted workingOrderCount is now 0 workingQty 3</t>
  </si>
  <si>
    <t>2015-1-30 10:34:36.668: OrderManagerView - UpdateMainSheetOpenOrder - entering UpdateMainSheetOpenOrder order.status is PreSubmitted</t>
  </si>
  <si>
    <t>2015-1-30 10:34:36.671: RTWSControl - OrderStatus - Got OrderStatus Message id:1291 status: PreSubmitted filled: 0</t>
  </si>
  <si>
    <t>2015-1-30 10:34:36.673: RTWSControl - OrderStatus - exiting orderStatus</t>
  </si>
  <si>
    <t>2015-1-30 10:34:37.94: OrderManager - PlaceOrder - id 1292 workingQty -23</t>
  </si>
  <si>
    <t>2015-1-30 10:34:37.95: OrderManagerView - UpdateMainSheetOpenOrder - entering UpdateMainSheetOpenOrder order.status is In-Flight</t>
  </si>
  <si>
    <t>2015-1-30 10:34:37.99: OrderManager - sendOrder - exiting place order id 1292 SELL 26 1.5065  - workingQty -23 currentPosition is 21 workingOrderCount is 1</t>
  </si>
  <si>
    <t>2015-1-30 10:34:37.518: RTWSControl - nextValidId - entering nextValidId id is 1293</t>
  </si>
  <si>
    <t>2015-1-30 10:34:37.544: OrderManager - cancelOrder - cancelling order id 1291</t>
  </si>
  <si>
    <t>2015-1-30 10:34:37.545: OrderManager - PlaceOrder - id 1293 workingQty 2</t>
  </si>
  <si>
    <t>2015-1-30 10:34:37.546: OrderManagerView - UpdateMainSheetOpenOrder - entering UpdateMainSheetOpenOrder order.status is In-Flight</t>
  </si>
  <si>
    <t>2015-1-30 10:34:37.549: OrderManager - sendOrder - exiting place order id 1293 BUY 25 1.5125  - workingQty 2 currentPosition is 21 workingOrderCount is 2</t>
  </si>
  <si>
    <t>2015-1-30 10:34:37.550: OrderManager - cancelOrder - cancelling order id 1292</t>
  </si>
  <si>
    <t>2015-1-30 10:34:37.551: OrderManager - createOrder - exiting without creating order - did not have validID</t>
  </si>
  <si>
    <t>2015-1-30 10:34:37.627: RTWSControl - errMsg - got error message 399:Order Message:
SELL 26 GBP MAR'15
Warning: your order will not be placed at the exchange until 2015-01-30 08:30:00 US/Centralwith id 1292</t>
  </si>
  <si>
    <t>2015-1-30 10:34:37.630: RTWSControl - errMsg - Got Error_x000D_id: 1292_x000D_errorCode: 399_x000D_errorMsg: Order Message:
SELL 26 GBP MAR'15
Warning: your order will not be placed at the exchange until 2015-01-30 08:30:00 US/Central</t>
  </si>
  <si>
    <t>2015-1-30 10:34:37.665: openOrderEx - I am here</t>
  </si>
  <si>
    <t>2015-1-30 10:34:37.666: OrderManagerView - UpdateMainSheetOpenOrder - entering UpdateMainSheetOpenOrder order.status is In-Flight</t>
  </si>
  <si>
    <t>2015-1-30 10:34:37.677: RTWSControl - orderStatus -  entering orderStatus id is 1292 status is PreSubmitted</t>
  </si>
  <si>
    <t>2015-1-30 10:34:37.679: OrderManager - UpdateOrderStatus - id 1292 Setting status to PreSubmitted workingOrderCount is now 2 workingQty 2</t>
  </si>
  <si>
    <t>2015-1-30 10:34:37.680: OrderManagerView - UpdateMainSheetOpenOrder - entering UpdateMainSheetOpenOrder order.status is PreSubmitted</t>
  </si>
  <si>
    <t>2015-1-30 10:34:37.683: RTWSControl - OrderStatus - Got OrderStatus Message id:1292 status: PreSubmitted filled: 0</t>
  </si>
  <si>
    <t>2015-1-30 10:34:37.685: RTWSControl - OrderStatus - exiting orderStatus</t>
  </si>
  <si>
    <t>2015-1-30 10:34:37.747: openOrderEx - I am here</t>
  </si>
  <si>
    <t>2015-1-30 10:34:37.748: OrderManagerView - UpdateMainSheetOpenOrder - entering UpdateMainSheetOpenOrder order.status is PreSubmitted</t>
  </si>
  <si>
    <t>2015-1-30 10:34:37.759: RTWSControl - orderStatus -  entering orderStatus id is 1292 status is PreSubmitted</t>
  </si>
  <si>
    <t>2015-1-30 10:34:37.761: OrderManager - UpdateOrderStatus - id 1292 Setting status to PreSubmitted workingOrderCount is now 2 workingQty 2</t>
  </si>
  <si>
    <t>2015-1-30 10:34:37.762: OrderManagerView - UpdateMainSheetOpenOrder - entering UpdateMainSheetOpenOrder order.status is PreSubmitted</t>
  </si>
  <si>
    <t>2015-1-30 10:34:37.765: RTWSControl - OrderStatus - Got OrderStatus Message id:1292 status: PreSubmitted filled: 0</t>
  </si>
  <si>
    <t>2015-1-30 10:34:37.766: RTWSControl - OrderStatus - exiting orderStatus</t>
  </si>
  <si>
    <t>2015-1-30 10:34:37.883: RTWSControl - nextValidId - entering nextValidId id is 1294</t>
  </si>
  <si>
    <t>2015-1-30 10:34:37.889: RTWSControl - orderStatus -  entering orderStatus id is 1291 status is Cancelled</t>
  </si>
  <si>
    <t>2015-1-30 10:34:37.890: OrderManager - UpdateOrderStatus - id 1291 Setting status to Cancelled workingOrderCount is now 2 workingQty 2</t>
  </si>
  <si>
    <t>2015-1-30 10:34:37.892: OrderManagerView - UpdateMainSheetOpenOrder - entering UpdateMainSheetOpenOrder order.status is Cancelled</t>
  </si>
  <si>
    <t>2015-1-30 10:34:37.895: RTWSControl - OrderStatus - Got OrderStatus Message id:1291 status: Cancelled filled: 0</t>
  </si>
  <si>
    <t>2015-1-30 10:34:37.897: RTWSControl - OrderStatus - exiting orderStatus</t>
  </si>
  <si>
    <t>2015-1-30 10:34:37.915: RTWSControl - errMsg - got error message 202:Order Canceled - reason:with id 1291</t>
  </si>
  <si>
    <t>2015-1-30 10:34:37.916: OrderManager - canceledOrder - cleaning up after canceled order 1291BEWARE UNACCOUNTED FOR EXECUTIONS!!!</t>
  </si>
  <si>
    <t>2015-1-30 10:34:37.918: OrderManager - terminateOrder - cleaning up after Canceled 1291  order was supposed to BUY 27 1.5129 STP LMT workingQty/OrderCount now -25/1</t>
  </si>
  <si>
    <t>2015-1-30 10:34:37.920: OrderManagerView - UpdateMainSheetOpenOrder - entering UpdateMainSheetOpenOrder order.status is Canceled</t>
  </si>
  <si>
    <t>2015-1-30 10:34:38.3: OrderManager - cancelOrder - cancelling order id 1293</t>
  </si>
  <si>
    <t>2015-1-30 10:34:38.4: OrderManager - PlaceOrder - id 1294 workingQty 0</t>
  </si>
  <si>
    <t>2015-1-30 10:34:38.4: OrderManagerView - UpdateMainSheetOpenOrder - entering UpdateMainSheetOpenOrder order.status is In-Flight</t>
  </si>
  <si>
    <t>2015-1-30 10:34:38.7: OrderManager - sendOrder - exiting place order id 1294 BUY 25 1.5126  - workingQty 0 currentPosition is 21 workingOrderCount is 2</t>
  </si>
  <si>
    <t>2015-1-30 10:34:38.9: OrderManager - createOrder - exiting without creating order - did not have validID</t>
  </si>
  <si>
    <t>2015-1-30 10:34:38.250: RTWSControl - errMsg - got error message 399:Order Message:
BUY 25 GBP MAR'15
Warning: your order will not be placed at the exchange until 2015-01-30 08:30:00 US/Centralwith id 1293</t>
  </si>
  <si>
    <t>2015-1-30 10:34:38.252: RTWSControl - errMsg - Got Error_x000D_id: 1293_x000D_errorCode: 399_x000D_errorMsg: Order Message:
BUY 25 GBP MAR'15
Warning: your order will not be placed at the exchange until 2015-01-30 08:30:00 US/Central</t>
  </si>
  <si>
    <t>2015-1-30 10:34:38.262: openOrderEx - I am here</t>
  </si>
  <si>
    <t>2015-1-30 10:34:38.263: OrderManagerView - UpdateMainSheetOpenOrder - entering UpdateMainSheetOpenOrder order.status is In-Flight</t>
  </si>
  <si>
    <t>2015-1-30 10:34:38.287: RTWSControl - orderStatus -  entering orderStatus id is 1293 status is PreSubmitted</t>
  </si>
  <si>
    <t>2015-1-30 10:34:38.288: OrderManager - UpdateOrderStatus - id 1293 Setting status to PreSubmitted workingOrderCount is now 2 workingQty 0</t>
  </si>
  <si>
    <t>2015-1-30 10:34:38.290: OrderManagerView - UpdateMainSheetOpenOrder - entering UpdateMainSheetOpenOrder order.status is PreSubmitted</t>
  </si>
  <si>
    <t>2015-1-30 10:34:38.292: RTWSControl - OrderStatus - Got OrderStatus Message id:1293 status: PreSubmitted filled: 0</t>
  </si>
  <si>
    <t>2015-1-30 10:34:38.294: RTWSControl - OrderStatus - exiting orderStatus</t>
  </si>
  <si>
    <t>2015-1-30 10:34:38.302: RTWSControl - orderStatus -  entering orderStatus id is 1292 status is Cancelled</t>
  </si>
  <si>
    <t>2015-1-30 10:34:38.304: OrderManager - UpdateOrderStatus - id 1292 Setting status to Cancelled workingOrderCount is now 2 workingQty 0</t>
  </si>
  <si>
    <t>2015-1-30 10:34:38.306: OrderManagerView - UpdateMainSheetOpenOrder - entering UpdateMainSheetOpenOrder order.status is Cancelled</t>
  </si>
  <si>
    <t>2015-1-30 10:34:38.308: RTWSControl - OrderStatus - Got OrderStatus Message id:1292 status: Cancelled filled: 0</t>
  </si>
  <si>
    <t>2015-1-30 10:34:38.310: RTWSControl - OrderStatus - exiting orderStatus</t>
  </si>
  <si>
    <t>2015-1-30 10:34:38.332: RTWSControl - errMsg - got error message 202:Order Canceled - reason:with id 1292</t>
  </si>
  <si>
    <t>2015-1-30 10:34:38.334: OrderManager - canceledOrder - cleaning up after canceled order 1292BEWARE UNACCOUNTED FOR EXECUTIONS!!!</t>
  </si>
  <si>
    <t>2015-1-30 10:34:38.335: OrderManager - terminateOrder - cleaning up after Canceled 1292  order was supposed to SELL 26 1.5065 STP LMT workingQty/OrderCount now -26/1</t>
  </si>
  <si>
    <t>2015-1-30 10:34:38.338: OrderManagerView - UpdateMainSheetOpenOrder - entering UpdateMainSheetOpenOrder order.status is Canceled</t>
  </si>
  <si>
    <t>2015-1-30 10:34:38.373: openOrderEx - I am here</t>
  </si>
  <si>
    <t>2015-1-30 10:34:38.374: OrderManagerView - UpdateMainSheetOpenOrder - entering UpdateMainSheetOpenOrder order.status is PreSubmitted</t>
  </si>
  <si>
    <t>2015-1-30 10:34:38.385: RTWSControl - orderStatus -  entering orderStatus id is 1293 status is PreSubmitted</t>
  </si>
  <si>
    <t>2015-1-30 10:34:38.387: OrderManager - UpdateOrderStatus - id 1293 Setting status to PreSubmitted workingOrderCount is now 1 workingQty -26</t>
  </si>
  <si>
    <t>2015-1-30 10:34:38.388: OrderManagerView - UpdateMainSheetOpenOrder - entering UpdateMainSheetOpenOrder order.status is PreSubmitted</t>
  </si>
  <si>
    <t>2015-1-30 10:34:38.391: RTWSControl - OrderStatus - Got OrderStatus Message id:1293 status: PreSubmitted filled: 0</t>
  </si>
  <si>
    <t>2015-1-30 10:34:38.392: RTWSControl - OrderStatus - exiting orderStatus</t>
  </si>
  <si>
    <t>2015-1-30 10:34:38.454: OrderManager - createOrder - exiting without creating order - did not have validID</t>
  </si>
  <si>
    <t>2015-1-30 10:34:39.629: RTWSControl - nextValidId - entering nextValidId id is 1295</t>
  </si>
  <si>
    <t>2015-1-30 10:34:39.634: RTWSControl - orderStatus -  entering orderStatus id is 1293 status is Cancelled</t>
  </si>
  <si>
    <t>2015-1-30 10:34:39.636: OrderManager - UpdateOrderStatus - id 1293 Setting status to Cancelled workingOrderCount is now 1 workingQty -26</t>
  </si>
  <si>
    <t>2015-1-30 10:34:39.638: OrderManagerView - UpdateMainSheetOpenOrder - entering UpdateMainSheetOpenOrder order.status is Cancelled</t>
  </si>
  <si>
    <t>2015-1-30 10:34:39.640: RTWSControl - OrderStatus - Got OrderStatus Message id:1293 status: Cancelled filled: 0</t>
  </si>
  <si>
    <t>2015-1-30 10:34:39.642: RTWSControl - OrderStatus - exiting orderStatus</t>
  </si>
  <si>
    <t>2015-1-30 10:34:39.665: RTWSControl - errMsg - got error message 202:Order Canceled - reason:with id 1293</t>
  </si>
  <si>
    <t>2015-1-30 10:34:39.667: OrderManager - canceledOrder - cleaning up after canceled order 1293BEWARE UNACCOUNTED FOR EXECUTIONS!!!</t>
  </si>
  <si>
    <t>2015-1-30 10:34:39.668: OrderManager - terminateOrder - cleaning up after Canceled 1293  order was supposed to BUY 25 1.5125 STP LMT workingQty/OrderCount now -51/0</t>
  </si>
  <si>
    <t>2015-1-30 10:34:39.671: OrderManagerView - UpdateMainSheetOpenOrder - entering UpdateMainSheetOpenOrder order.status is Canceled</t>
  </si>
  <si>
    <t>2015-1-30 10:34:39.703: RTWSControl - errMsg - got error message 399:Order Message:
BUY 25 GBP MAR'15
Warning: your order will not be placed at the exchange until 2015-01-30 08:30:00 US/Centralwith id 1294</t>
  </si>
  <si>
    <t>2015-1-30 10:34:39.705: RTWSControl - errMsg - Got Error_x000D_id: 1294_x000D_errorCode: 399_x000D_errorMsg: Order Message:
BUY 25 GBP MAR'15
Warning: your order will not be placed at the exchange until 2015-01-30 08:30:00 US/Central</t>
  </si>
  <si>
    <t>2015-1-30 10:34:39.715: openOrderEx - I am here</t>
  </si>
  <si>
    <t>2015-1-30 10:34:39.716: OrderManagerView - UpdateMainSheetOpenOrder - entering UpdateMainSheetOpenOrder order.status is In-Flight</t>
  </si>
  <si>
    <t>2015-1-30 10:34:39.744: RTWSControl - orderStatus -  entering orderStatus id is 1294 status is PreSubmitted</t>
  </si>
  <si>
    <t>2015-1-30 10:34:39.746: OrderManager - UpdateOrderStatus - id 1294 Setting status to PreSubmitted workingOrderCount is now 0 workingQty -51</t>
  </si>
  <si>
    <t>2015-1-30 10:34:39.747: OrderManagerView - UpdateMainSheetOpenOrder - entering UpdateMainSheetOpenOrder order.status is PreSubmitted</t>
  </si>
  <si>
    <t>2015-1-30 10:34:39.750: RTWSControl - OrderStatus - Got OrderStatus Message id:1294 status: PreSubmitted filled: 0</t>
  </si>
  <si>
    <t>2015-1-30 10:34:39.751: RTWSControl - OrderStatus - exiting orderStatus</t>
  </si>
  <si>
    <t>2015-1-30 10:34:39.764: openOrderEx - I am here</t>
  </si>
  <si>
    <t>2015-1-30 10:34:39.764: OrderManagerView - UpdateMainSheetOpenOrder - entering UpdateMainSheetOpenOrder order.status is PreSubmitted</t>
  </si>
  <si>
    <t>2015-1-30 10:34:39.791: RTWSControl - orderStatus -  entering orderStatus id is 1294 status is PreSubmitted</t>
  </si>
  <si>
    <t>2015-1-30 10:34:39.793: OrderManager - UpdateOrderStatus - id 1294 Setting status to PreSubmitted workingOrderCount is now 0 workingQty -51</t>
  </si>
  <si>
    <t>2015-1-30 10:34:39.794: OrderManagerView - UpdateMainSheetOpenOrder - entering UpdateMainSheetOpenOrder order.status is PreSubmitted</t>
  </si>
  <si>
    <t>2015-1-30 10:34:39.797: RTWSControl - OrderStatus - Got OrderStatus Message id:1294 status: PreSubmitted filled: 0</t>
  </si>
  <si>
    <t>2015-1-30 10:34:39.798: RTWSControl - OrderStatus - exiting orderStatus</t>
  </si>
  <si>
    <t>2015-1-30 10:34:40.48: OrderManagerView - UpdateMainSheetOpenOrder - entering UpdateMainSheetOpenOrder order.status is Canceled</t>
  </si>
  <si>
    <t>2015-1-30 10:34:40.52: OrderManagerView - UpdateMainSheetOpenOrder - entering UpdateMainSheetOpenOrder order.status is Canceled</t>
  </si>
  <si>
    <t>2015-1-30 10:34:40.55: OrderManagerView - UpdateMainSheetOpenOrder - entering UpdateMainSheetOpenOrder order.status is Canceled</t>
  </si>
  <si>
    <t>2015-1-30 10:34:40.57: OrderManagerView - UpdateMainSheetOpenOrder - entering UpdateMainSheetOpenOrder order.status is PreSubmitted</t>
  </si>
  <si>
    <t>2015-1-30 10:34:40.59: OrderManagerView - UpdateMainSheetOpenOrder - entering UpdateMainSheetOpenOrder order.status is Canceled</t>
  </si>
  <si>
    <t>2015-1-30 10:34:40.61: OrderManagerView - UpdateMainSheetOpenOrder - entering UpdateMainSheetOpenOrder order.status is PreSubmitted</t>
  </si>
  <si>
    <t>2015-1-30 10:34:40.64: OrderManagerView - UpdateMainSheetOpenOrder - entering UpdateMainSheetOpenOrder order.status is PreSubmitted</t>
  </si>
  <si>
    <t>2015-1-30 10:34:40.931: OrderManager - PlaceOrder - id 1295 workingQty -75</t>
  </si>
  <si>
    <t>2015-1-30 10:34:40.932: OrderManagerView - UpdateMainSheetOpenOrder - entering UpdateMainSheetOpenOrder order.status is In-Flight</t>
  </si>
  <si>
    <t>2015-1-30 10:34:40.936: OrderManager - sendOrder - exiting place order id 1295 SELL 24 1.5067  - workingQty -75 currentPosition is 21 workingOrderCount is 1</t>
  </si>
  <si>
    <t>2015-1-30 10:34:41.76: RTWSControl - nextValidId - entering nextValidId id is 1296</t>
  </si>
  <si>
    <t>2015-1-30 10:34:41.224: RTWSControl - errMsg - got error message 399:Order Message:
SELL 24 GBP MAR'15
Warning: your order will not be placed at the exchange until 2015-01-30 08:30:00 US/Centralwith id 1295</t>
  </si>
  <si>
    <t>2015-1-30 10:34:41.227: RTWSControl - errMsg - Got Error_x000D_id: 1295_x000D_errorCode: 399_x000D_errorMsg: Order Message:
SELL 24 GBP MAR'15
Warning: your order will not be placed at the exchange until 2015-01-30 08:30:00 US/Central</t>
  </si>
  <si>
    <t>2015-1-30 10:34:41.354: openOrderEx - I am here</t>
  </si>
  <si>
    <t>2015-1-30 10:34:41.355: OrderManagerView - UpdateMainSheetOpenOrder - entering UpdateMainSheetOpenOrder order.status is In-Flight</t>
  </si>
  <si>
    <t>2015-1-30 10:34:41.380: RTWSControl - orderStatus -  entering orderStatus id is 1295 status is PreSubmitted</t>
  </si>
  <si>
    <t>2015-1-30 10:34:41.382: OrderManager - UpdateOrderStatus - id 1295 Setting status to PreSubmitted workingOrderCount is now 1 workingQty -75</t>
  </si>
  <si>
    <t>2015-1-30 10:34:41.383: OrderManagerView - UpdateMainSheetOpenOrder - entering UpdateMainSheetOpenOrder order.status is PreSubmitted</t>
  </si>
  <si>
    <t>2015-1-30 10:34:41.386: RTWSControl - OrderStatus - Got OrderStatus Message id:1295 status: PreSubmitted filled: 0</t>
  </si>
  <si>
    <t>2015-1-30 10:34:41.388: RTWSControl - OrderStatus - exiting orderStatus</t>
  </si>
  <si>
    <t>2015-1-30 10:34:41.484: openOrderEx - I am here</t>
  </si>
  <si>
    <t>2015-1-30 10:34:41.485: OrderManagerView - UpdateMainSheetOpenOrder - entering UpdateMainSheetOpenOrder order.status is PreSubmitted</t>
  </si>
  <si>
    <t>2015-1-30 10:34:41.514: RTWSControl - orderStatus -  entering orderStatus id is 1295 status is PreSubmitted</t>
  </si>
  <si>
    <t>2015-1-30 10:34:41.516: OrderManager - UpdateOrderStatus - id 1295 Setting status to PreSubmitted workingOrderCount is now 1 workingQty -75</t>
  </si>
  <si>
    <t>2015-1-30 10:34:41.518: OrderManagerView - UpdateMainSheetOpenOrder - entering UpdateMainSheetOpenOrder order.status is PreSubmitted</t>
  </si>
  <si>
    <t>2015-1-30 10:34:41.523: RTWSControl - OrderStatus - Got OrderStatus Message id:1295 status: PreSubmitted filled: 0</t>
  </si>
  <si>
    <t>2015-1-30 10:34:41.524: RTWSControl - OrderStatus - exiting orderStatus</t>
  </si>
  <si>
    <t>2015-1-30 10:34:42.882: OrderManagerView - UpdateMainSheetOpenOrder - entering UpdateMainSheetOpenOrder order.status is Canceled</t>
  </si>
  <si>
    <t>2015-1-30 10:34:42.885: OrderManagerView - UpdateMainSheetOpenOrder - entering UpdateMainSheetOpenOrder order.status is PreSubmitted</t>
  </si>
  <si>
    <t>2015-1-30 10:34:42.888: OrderManagerView - UpdateMainSheetOpenOrder - entering UpdateMainSheetOpenOrder order.status is PreSubmitted</t>
  </si>
  <si>
    <t>2015-1-30 10:34:42.890: OrderManagerView - UpdateMainSheetOpenOrder - entering UpdateMainSheetOpenOrder order.status is PreSubmitted</t>
  </si>
  <si>
    <t>2015-1-30 10:34:42.892: OrderManagerView - UpdateMainSheetOpenOrder - entering UpdateMainSheetOpenOrder order.status is PreSubmitted</t>
  </si>
  <si>
    <t>2015-1-30 10:34:43.84: OrderManagerView - UpdateMainSheetOpenOrder - entering UpdateMainSheetOpenOrder order.status is PreSubmitted</t>
  </si>
  <si>
    <t>2015-1-30 10:34:43.88: OrderManagerView - UpdateMainSheetOpenOrder - entering UpdateMainSheetOpenOrder order.status is PreSubmitted</t>
  </si>
  <si>
    <t>2015-1-30 10:34:43.90: OrderManagerView - UpdateMainSheetOpenOrder - entering UpdateMainSheetOpenOrder order.status is PreSubmitted</t>
  </si>
  <si>
    <t>2015-1-30 10:34:43.332: OrderManager - cancelOrder - cancelling order id 1294</t>
  </si>
  <si>
    <t>2015-1-30 10:34:43.333: OrderManager - PlaceOrder - id 1296 workingQty -50</t>
  </si>
  <si>
    <t>2015-1-30 10:34:43.333: OrderManagerView - UpdateMainSheetOpenOrder - entering UpdateMainSheetOpenOrder order.status is In-Flight</t>
  </si>
  <si>
    <t>2015-1-30 10:34:43.336: OrderManager - sendOrder - exiting place order id 1296 BUY 25 1.5127  - workingQty -50 currentPosition is 21 workingOrderCount is 2</t>
  </si>
  <si>
    <t>2015-1-30 10:34:43.505: RTWSControl - nextValidId - entering nextValidId id is 1297</t>
  </si>
  <si>
    <t>2015-1-30 10:34:43.627: RTWSControl - orderStatus -  entering orderStatus id is 1294 status is Cancelled</t>
  </si>
  <si>
    <t>2015-1-30 10:34:43.634: OrderManager - UpdateOrderStatus - id 1294 Setting status to Cancelled workingOrderCount is now 2 workingQty -50</t>
  </si>
  <si>
    <t>2015-1-30 10:34:43.639: OrderManagerView - UpdateMainSheetOpenOrder - entering UpdateMainSheetOpenOrder order.status is Cancelled</t>
  </si>
  <si>
    <t>2015-1-30 10:34:43.653: RTWSControl - OrderStatus - Got OrderStatus Message id:1294 status: Cancelled filled: 0</t>
  </si>
  <si>
    <t>2015-1-30 10:34:43.659: RTWSControl - OrderStatus - exiting orderStatus</t>
  </si>
  <si>
    <t>2015-1-30 10:34:43.692: RTWSControl - errMsg - got error message 202:Order Canceled - reason:with id 1294</t>
  </si>
  <si>
    <t>2015-1-30 10:34:43.694: OrderManager - canceledOrder - cleaning up after canceled order 1294BEWARE UNACCOUNTED FOR EXECUTIONS!!!</t>
  </si>
  <si>
    <t>2015-1-30 10:34:43.697: OrderManager - terminateOrder - cleaning up after Canceled 1294  order was supposed to BUY 25 1.5126 STP LMT workingQty/OrderCount now -75/1</t>
  </si>
  <si>
    <t>2015-1-30 10:34:43.699: OrderManagerView - UpdateMainSheetOpenOrder - entering UpdateMainSheetOpenOrder order.status is Canceled</t>
  </si>
  <si>
    <t>2015-1-30 10:34:43.745: RTWSControl - errMsg - got error message 399:Order Message:
BUY 25 GBP MAR'15
Warning: your order will not be placed at the exchange until 2015-01-30 08:30:00 US/Centralwith id 1296</t>
  </si>
  <si>
    <t>2015-1-30 10:34:43.747: RTWSControl - errMsg - Got Error_x000D_id: 1296_x000D_errorCode: 399_x000D_errorMsg: Order Message:
BUY 25 GBP MAR'15
Warning: your order will not be placed at the exchange until 2015-01-30 08:30:00 US/Central</t>
  </si>
  <si>
    <t>2015-1-30 10:34:43.757: openOrderEx - I am here</t>
  </si>
  <si>
    <t>2015-1-30 10:34:43.758: OrderManagerView - UpdateMainSheetOpenOrder - entering UpdateMainSheetOpenOrder order.status is In-Flight</t>
  </si>
  <si>
    <t>2015-1-30 10:34:43.788: RTWSControl - orderStatus -  entering orderStatus id is 1296 status is PreSubmitted</t>
  </si>
  <si>
    <t>2015-1-30 10:34:43.790: OrderManager - UpdateOrderStatus - id 1296 Setting status to PreSubmitted workingOrderCount is now 1 workingQty -75</t>
  </si>
  <si>
    <t>2015-1-30 10:34:43.791: OrderManagerView - UpdateMainSheetOpenOrder - entering UpdateMainSheetOpenOrder order.status is PreSubmitted</t>
  </si>
  <si>
    <t>2015-1-30 10:34:43.795: RTWSControl - OrderStatus - Got OrderStatus Message id:1296 status: PreSubmitted filled: 0</t>
  </si>
  <si>
    <t>2015-1-30 10:34:43.796: RTWSControl - OrderStatus - exiting orderStatus</t>
  </si>
  <si>
    <t>2015-1-30 10:34:43.839: openOrderEx - I am here</t>
  </si>
  <si>
    <t>2015-1-30 10:34:43.840: OrderManagerView - UpdateMainSheetOpenOrder - entering UpdateMainSheetOpenOrder order.status is PreSubmitted</t>
  </si>
  <si>
    <t>2015-1-30 10:34:43.857: RTWSControl - orderStatus -  entering orderStatus id is 1296 status is PreSubmitted</t>
  </si>
  <si>
    <t>2015-1-30 10:34:43.859: OrderManager - UpdateOrderStatus - id 1296 Setting status to PreSubmitted workingOrderCount is now 1 workingQty -75</t>
  </si>
  <si>
    <t>2015-1-30 10:34:43.861: OrderManagerView - UpdateMainSheetOpenOrder - entering UpdateMainSheetOpenOrder order.status is PreSubmitted</t>
  </si>
  <si>
    <t>2015-1-30 10:34:43.864: RTWSControl - OrderStatus - Got OrderStatus Message id:1296 status: PreSubmitted filled: 0</t>
  </si>
  <si>
    <t>2015-1-30 10:34:43.866: RTWSControl - OrderStatus - exiting orderStatus</t>
  </si>
  <si>
    <t>2015-1-30 10:34:44.0: OrderManagerView - UpdateMainSheetOpenOrder - entering UpdateMainSheetOpenOrder order.status is PreSubmitted</t>
  </si>
  <si>
    <t>2015-1-30 10:34:44.4: OrderManagerView - UpdateMainSheetOpenOrder - entering UpdateMainSheetOpenOrder order.status is PreSubmitted</t>
  </si>
  <si>
    <t>2015-1-30 10:34:44.6: OrderManagerView - UpdateMainSheetOpenOrder - entering UpdateMainSheetOpenOrder order.status is PreSubmitted</t>
  </si>
  <si>
    <t>2015-1-30 10:34:44.881: OrderManager - cancelOrder - cancelling order id 1296</t>
  </si>
  <si>
    <t>2015-1-30 10:34:44.882: OrderManager - PlaceOrder - id 1297 workingQty -52</t>
  </si>
  <si>
    <t>2015-1-30 10:34:44.882: OrderManagerView - UpdateMainSheetOpenOrder - entering UpdateMainSheetOpenOrder order.status is In-Flight</t>
  </si>
  <si>
    <t>2015-1-30 10:34:44.886: OrderManager - sendOrder - exiting place order id 1297 BUY 23 1.5124  - workingQty -52 currentPosition is 21 workingOrderCount is 2</t>
  </si>
  <si>
    <t>2015-1-30 10:34:45.4: OrderManagerView - UpdateMainSheetOpenOrder - entering UpdateMainSheetOpenOrder order.status is PreSubmitted</t>
  </si>
  <si>
    <t>2015-1-30 10:34:45.7: OrderManagerView - UpdateMainSheetOpenOrder - entering UpdateMainSheetOpenOrder order.status is PreSubmitted</t>
  </si>
  <si>
    <t>2015-1-30 10:34:45.9: OrderManagerView - UpdateMainSheetOpenOrder - entering UpdateMainSheetOpenOrder order.status is In-Flight</t>
  </si>
  <si>
    <t>2015-1-30 10:34:45.14: OrderManagerView - UpdateMainSheetOpenOrder - entering UpdateMainSheetOpenOrder order.status is PreSubmitted</t>
  </si>
  <si>
    <t>2015-1-30 10:34:45.17: OrderManagerView - UpdateMainSheetOpenOrder - entering UpdateMainSheetOpenOrder order.status is PreSubmitted</t>
  </si>
  <si>
    <t>2015-1-30 10:34:45.18: OrderManagerView - UpdateMainSheetOpenOrder - entering UpdateMainSheetOpenOrder order.status is In-Flight</t>
  </si>
  <si>
    <t>2015-1-30 10:34:45.23: OrderManagerView - UpdateMainSheetOpenOrder - entering UpdateMainSheetOpenOrder order.status is PreSubmitted</t>
  </si>
  <si>
    <t>2015-1-30 10:34:45.26: OrderManagerView - UpdateMainSheetOpenOrder - entering UpdateMainSheetOpenOrder order.status is PreSubmitted</t>
  </si>
  <si>
    <t>2015-1-30 10:34:45.28: OrderManagerView - UpdateMainSheetOpenOrder - entering UpdateMainSheetOpenOrder order.status is In-Flight</t>
  </si>
  <si>
    <t>2015-1-30 10:34:45.35: OrderManagerView - UpdateMainSheetOpenOrder - entering UpdateMainSheetOpenOrder order.status is PreSubmitted</t>
  </si>
  <si>
    <t>2015-1-30 10:34:45.37: OrderManagerView - UpdateMainSheetOpenOrder - entering UpdateMainSheetOpenOrder order.status is PreSubmitted</t>
  </si>
  <si>
    <t>2015-1-30 10:34:45.39: OrderManagerView - UpdateMainSheetOpenOrder - entering UpdateMainSheetOpenOrder order.status is In-Flight</t>
  </si>
  <si>
    <t>2015-1-30 10:34:45.164: RTWSControl - nextValidId - entering nextValidId id is 1298</t>
  </si>
  <si>
    <t>2015-1-30 10:34:45.179: RTWSControl - orderStatus -  entering orderStatus id is 1296 status is Cancelled</t>
  </si>
  <si>
    <t>2015-1-30 10:34:45.181: OrderManager - UpdateOrderStatus - id 1296 Setting status to Cancelled workingOrderCount is now 2 workingQty -52</t>
  </si>
  <si>
    <t>2015-1-30 10:34:45.183: OrderManagerView - UpdateMainSheetOpenOrder - entering UpdateMainSheetOpenOrder order.status is Cancelled</t>
  </si>
  <si>
    <t>2015-1-30 10:34:45.186: RTWSControl - OrderStatus - Got OrderStatus Message id:1296 status: Cancelled filled: 0</t>
  </si>
  <si>
    <t>2015-1-30 10:34:45.187: RTWSControl - OrderStatus - exiting orderStatus</t>
  </si>
  <si>
    <t>2015-1-30 10:34:45.207: RTWSControl - errMsg - got error message 202:Order Canceled - reason:with id 1296</t>
  </si>
  <si>
    <t>2015-1-30 10:34:45.208: OrderManager - canceledOrder - cleaning up after canceled order 1296BEWARE UNACCOUNTED FOR EXECUTIONS!!!</t>
  </si>
  <si>
    <t>2015-1-30 10:34:45.210: OrderManager - terminateOrder - cleaning up after Canceled 1296  order was supposed to BUY 25 1.5127 STP LMT workingQty/OrderCount now -77/1</t>
  </si>
  <si>
    <t>2015-1-30 10:34:45.212: OrderManagerView - UpdateMainSheetOpenOrder - entering UpdateMainSheetOpenOrder order.status is Canceled</t>
  </si>
  <si>
    <t>2015-1-30 10:34:45.223: RTWSControl - errMsg - got error message 399:Order Message:
BUY 23 GBP MAR'15
Warning: your order will not be placed at the exchange until 2015-01-30 08:30:00 US/Centralwith id 1297</t>
  </si>
  <si>
    <t>2015-1-30 10:34:45.225: RTWSControl - errMsg - Got Error_x000D_id: 1297_x000D_errorCode: 399_x000D_errorMsg: Order Message:
BUY 23 GBP MAR'15
Warning: your order will not be placed at the exchange until 2015-01-30 08:30:00 US/Central</t>
  </si>
  <si>
    <t>2015-1-30 10:34:45.251: openOrderEx - I am here</t>
  </si>
  <si>
    <t>2015-1-30 10:34:45.252: OrderManagerView - UpdateMainSheetOpenOrder - entering UpdateMainSheetOpenOrder order.status is In-Flight</t>
  </si>
  <si>
    <t>2015-1-30 10:34:45.264: RTWSControl - orderStatus -  entering orderStatus id is 1297 status is PreSubmitted</t>
  </si>
  <si>
    <t>2015-1-30 10:34:45.266: OrderManager - UpdateOrderStatus - id 1297 Setting status to PreSubmitted workingOrderCount is now 1 workingQty -77</t>
  </si>
  <si>
    <t>2015-1-30 10:34:45.267: OrderManagerView - UpdateMainSheetOpenOrder - entering UpdateMainSheetOpenOrder order.status is PreSubmitted</t>
  </si>
  <si>
    <t>2015-1-30 10:34:45.271: RTWSControl - OrderStatus - Got OrderStatus Message id:1297 status: PreSubmitted filled: 0</t>
  </si>
  <si>
    <t>2015-1-30 10:34:45.272: RTWSControl - OrderStatus - exiting orderStatus</t>
  </si>
  <si>
    <t>2015-1-30 10:34:45.398: openOrderEx - I am here</t>
  </si>
  <si>
    <t>2015-1-30 10:34:45.399: OrderManagerView - UpdateMainSheetOpenOrder - entering UpdateMainSheetOpenOrder order.status is PreSubmitted</t>
  </si>
  <si>
    <t>2015-1-30 10:34:45.441: RTWSControl - orderStatus -  entering orderStatus id is 1297 status is PreSubmitted</t>
  </si>
  <si>
    <t>2015-1-30 10:34:45.442: OrderManager - UpdateOrderStatus - id 1297 Setting status to PreSubmitted workingOrderCount is now 1 workingQty -77</t>
  </si>
  <si>
    <t>2015-1-30 10:34:45.443: OrderManagerView - UpdateMainSheetOpenOrder - entering UpdateMainSheetOpenOrder order.status is PreSubmitted</t>
  </si>
  <si>
    <t>2015-1-30 10:34:45.446: RTWSControl - OrderStatus - Got OrderStatus Message id:1297 status: PreSubmitted filled: 0</t>
  </si>
  <si>
    <t>2015-1-30 10:34:45.448: RTWSControl - OrderStatus - exiting orderStatus</t>
  </si>
  <si>
    <t>2015-1-30 10:34:47.294: OrderManagerView - UpdateMainSheetOpenOrder - entering UpdateMainSheetOpenOrder order.status is PreSubmitted</t>
  </si>
  <si>
    <t>2015-1-30 10:34:47.305: OrderManagerView - UpdateMainSheetOpenOrder - entering UpdateMainSheetOpenOrder order.status is PreSubmitted</t>
  </si>
  <si>
    <t>2015-1-30 10:34:48.1: OrderManagerView - UpdateMainSheetOpenOrder - entering UpdateMainSheetOpenOrder order.status is PreSubmitted</t>
  </si>
  <si>
    <t>2015-1-30 10:34:48.3: OrderManagerView - UpdateMainSheetOpenOrder - entering UpdateMainSheetOpenOrder order.status is PreSubmitted</t>
  </si>
  <si>
    <t>2015-1-30 10:34:50.7: OrderManagerView - UpdateMainSheetOpenOrder - entering UpdateMainSheetOpenOrder order.status is PreSubmitted</t>
  </si>
  <si>
    <t>2015-1-30 10:34:50.17: OrderManagerView - UpdateMainSheetOpenOrder - entering UpdateMainSheetOpenOrder order.status is PreSubmitted</t>
  </si>
  <si>
    <t>2015-1-30 10:34:51.511: OrderManager - cancelOrder - cancelling order id 1295</t>
  </si>
  <si>
    <t>2015-1-30 10:34:51.512: OrderManager - PlaceOrder - id 1298 workingQty -100</t>
  </si>
  <si>
    <t>2015-1-30 10:34:51.513: OrderManagerView - UpdateMainSheetOpenOrder - entering UpdateMainSheetOpenOrder order.status is In-Flight</t>
  </si>
  <si>
    <t>2015-1-30 10:34:51.521: OrderManager - sendOrder - exiting place order id 1298 SELL 23 1.5065  - workingQty -100 currentPosition is 21 workingOrderCount is 2</t>
  </si>
  <si>
    <t>2015-1-30 10:34:51.634: RTWSControl - nextValidId - entering nextValidId id is 1299</t>
  </si>
  <si>
    <t>2015-1-30 10:34:51.821: RTWSControl - orderStatus -  entering orderStatus id is 1295 status is Cancelled</t>
  </si>
  <si>
    <t>2015-1-30 10:34:51.823: OrderManager - UpdateOrderStatus - id 1295 Setting status to Cancelled workingOrderCount is now 2 workingQty -100</t>
  </si>
  <si>
    <t>2015-1-30 10:34:51.825: OrderManagerView - UpdateMainSheetOpenOrder - entering UpdateMainSheetOpenOrder order.status is Cancelled</t>
  </si>
  <si>
    <t>2015-1-30 10:34:51.836: RTWSControl - OrderStatus - Got OrderStatus Message id:1295 status: Cancelled filled: 0</t>
  </si>
  <si>
    <t>2015-1-30 10:34:51.838: RTWSControl - OrderStatus - exiting orderStatus</t>
  </si>
  <si>
    <t>2015-1-30 10:34:51.865: RTWSControl - errMsg - got error message 202:Order Canceled - reason:with id 1295</t>
  </si>
  <si>
    <t>2015-1-30 10:34:51.866: OrderManager - canceledOrder - cleaning up after canceled order 1295BEWARE UNACCOUNTED FOR EXECUTIONS!!!</t>
  </si>
  <si>
    <t>2015-1-30 10:34:51.867: OrderManager - terminateOrder - cleaning up after Canceled 1295  order was supposed to SELL 24 1.5067 STP LMT workingQty/OrderCount now -124/1</t>
  </si>
  <si>
    <t>2015-1-30 10:34:51.868: OrderManagerView - UpdateMainSheetOpenOrder - entering UpdateMainSheetOpenOrder order.status is Canceled</t>
  </si>
  <si>
    <t>2015-1-30 10:34:51.966: RTWSControl - errMsg - got error message 399:Order Message:
SELL 23 GBP MAR'15
Warning: your order will not be placed at the exchange until 2015-01-30 08:30:00 US/Centralwith id 1298</t>
  </si>
  <si>
    <t>2015-1-30 10:34:51.967: RTWSControl - errMsg - Got Error_x000D_id: 1298_x000D_errorCode: 399_x000D_errorMsg: Order Message:
SELL 23 GBP MAR'15
Warning: your order will not be placed at the exchange until 2015-01-30 08:30:00 US/Central</t>
  </si>
  <si>
    <t>2015-1-30 10:34:52.2: openOrderEx - I am here</t>
  </si>
  <si>
    <t>2015-1-30 10:34:52.2: OrderManagerView - UpdateMainSheetOpenOrder - entering UpdateMainSheetOpenOrder order.status is In-Flight</t>
  </si>
  <si>
    <t>2015-1-30 10:34:52.15: RTWSControl - orderStatus -  entering orderStatus id is 1298 status is PreSubmitted</t>
  </si>
  <si>
    <t>2015-1-30 10:34:52.15: OrderManager - UpdateOrderStatus - id 1298 Setting status to PreSubmitted workingOrderCount is now 1 workingQty -124</t>
  </si>
  <si>
    <t>2015-1-30 10:34:52.16: OrderManagerView - UpdateMainSheetOpenOrder - entering UpdateMainSheetOpenOrder order.status is PreSubmitted</t>
  </si>
  <si>
    <t>2015-1-30 10:34:52.18: RTWSControl - OrderStatus - Got OrderStatus Message id:1298 status: PreSubmitted filled: 0</t>
  </si>
  <si>
    <t>2015-1-30 10:34:52.18: RTWSControl - OrderStatus - exiting orderStatus</t>
  </si>
  <si>
    <t>2015-1-30 10:34:52.47: openOrderEx - I am here</t>
  </si>
  <si>
    <t>2015-1-30 10:34:52.48: OrderManagerView - UpdateMainSheetOpenOrder - entering UpdateMainSheetOpenOrder order.status is PreSubmitted</t>
  </si>
  <si>
    <t>2015-1-30 10:34:52.82: RTWSControl - orderStatus -  entering orderStatus id is 1298 status is PreSubmitted</t>
  </si>
  <si>
    <t>2015-1-30 10:34:52.83: OrderManager - UpdateOrderStatus - id 1298 Setting status to PreSubmitted workingOrderCount is now 1 workingQty -124</t>
  </si>
  <si>
    <t>2015-1-30 10:34:52.83: OrderManagerView - UpdateMainSheetOpenOrder - entering UpdateMainSheetOpenOrder order.status is PreSubmitted</t>
  </si>
  <si>
    <t>2015-1-30 10:34:52.85: RTWSControl - OrderStatus - Got OrderStatus Message id:1298 status: PreSubmitted filled: 0</t>
  </si>
  <si>
    <t>2015-1-30 10:34:52.86: RTWSControl - OrderStatus - exiting orderStatus</t>
  </si>
  <si>
    <t>2015-1-30 10:34:56.50: OrderManagerView - UpdateMainSheetOpenOrder - entering UpdateMainSheetOpenOrder order.status is PreSubmitted</t>
  </si>
  <si>
    <t>2015-1-30 10:34:56.60: OrderManagerView - UpdateMainSheetOpenOrder - entering UpdateMainSheetOpenOrder order.status is PreSubmitted</t>
  </si>
  <si>
    <t>2015-1-30 10:34:56.67: OrderManagerView - UpdateMainSheetOpenOrder - entering UpdateMainSheetOpenOrder order.status is PreSubmitted</t>
  </si>
  <si>
    <t>2015-1-30 10:35:11.406: OrderManager - cancelOrder - cancelling order id 1298</t>
  </si>
  <si>
    <t>2015-1-30 10:35:11.407: OrderManager - PlaceOrder - id 1299 workingQty -147</t>
  </si>
  <si>
    <t>2015-1-30 10:35:11.407: OrderManagerView - UpdateMainSheetOpenOrder - entering UpdateMainSheetOpenOrder order.status is In-Flight</t>
  </si>
  <si>
    <t>2015-1-30 10:35:11.411: OrderManager - sendOrder - exiting place order id 1299 SELL 23 1.5066  - workingQty -147 currentPosition is 21 workingOrderCount is 2</t>
  </si>
  <si>
    <t>2015-1-30 10:35:11.539: RTWSControl - nextValidId - entering nextValidId id is 1300</t>
  </si>
  <si>
    <t>2015-1-30 10:35:11.709: RTWSControl - orderStatus -  entering orderStatus id is 1298 status is Cancelled</t>
  </si>
  <si>
    <t>2015-1-30 10:35:11.712: OrderManager - UpdateOrderStatus - id 1298 Setting status to Cancelled workingOrderCount is now 2 workingQty -147</t>
  </si>
  <si>
    <t>2015-1-30 10:35:11.714: OrderManagerView - UpdateMainSheetOpenOrder - entering UpdateMainSheetOpenOrder order.status is Cancelled</t>
  </si>
  <si>
    <t>2015-1-30 10:35:11.724: RTWSControl - OrderStatus - Got OrderStatus Message id:1298 status: Cancelled filled: 0</t>
  </si>
  <si>
    <t>2015-1-30 10:35:11.726: RTWSControl - OrderStatus - exiting orderStatus</t>
  </si>
  <si>
    <t>2015-1-30 10:35:11.780: RTWSControl - errMsg - got error message 202:Order Canceled - reason:with id 1298</t>
  </si>
  <si>
    <t>2015-1-30 10:35:11.781: OrderManager - canceledOrder - cleaning up after canceled order 1298BEWARE UNACCOUNTED FOR EXECUTIONS!!!</t>
  </si>
  <si>
    <t>2015-1-30 10:35:11.782: OrderManager - terminateOrder - cleaning up after Canceled 1298  order was supposed to SELL 23 1.5065 STP LMT workingQty/OrderCount now -170/1</t>
  </si>
  <si>
    <t>2015-1-30 10:35:11.783: OrderManagerView - UpdateMainSheetOpenOrder - entering UpdateMainSheetOpenOrder order.status is Canceled</t>
  </si>
  <si>
    <t>2015-1-30 10:35:11.801: RTWSControl - errMsg - got error message 399:Order Message:
SELL 23 GBP MAR'15
Warning: your order will not be placed at the exchange until 2015-01-30 08:30:00 US/Centralwith id 1299</t>
  </si>
  <si>
    <t>2015-1-30 10:35:11.802: RTWSControl - errMsg - Got Error_x000D_id: 1299_x000D_errorCode: 399_x000D_errorMsg: Order Message:
SELL 23 GBP MAR'15
Warning: your order will not be placed at the exchange until 2015-01-30 08:30:00 US/Central</t>
  </si>
  <si>
    <t>2015-1-30 10:35:11.834: openOrderEx - I am here</t>
  </si>
  <si>
    <t>2015-1-30 10:35:11.834: OrderManagerView - UpdateMainSheetOpenOrder - entering UpdateMainSheetOpenOrder order.status is In-Flight</t>
  </si>
  <si>
    <t>2015-1-30 10:35:11.847: RTWSControl - orderStatus -  entering orderStatus id is 1299 status is PreSubmitted</t>
  </si>
  <si>
    <t>2015-1-30 10:35:11.848: OrderManager - UpdateOrderStatus - id 1299 Setting status to PreSubmitted workingOrderCount is now 1 workingQty -170</t>
  </si>
  <si>
    <t>2015-1-30 10:35:11.848: OrderManagerView - UpdateMainSheetOpenOrder - entering UpdateMainSheetOpenOrder order.status is PreSubmitted</t>
  </si>
  <si>
    <t>2015-1-30 10:35:11.850: RTWSControl - OrderStatus - Got OrderStatus Message id:1299 status: PreSubmitted filled: 0</t>
  </si>
  <si>
    <t>2015-1-30 10:35:11.851: RTWSControl - OrderStatus - exiting orderStatus</t>
  </si>
  <si>
    <t>2015-1-30 10:35:11.880: openOrderEx - I am here</t>
  </si>
  <si>
    <t>2015-1-30 10:35:11.881: OrderManagerView - UpdateMainSheetOpenOrder - entering UpdateMainSheetOpenOrder order.status is PreSubmitted</t>
  </si>
  <si>
    <t>2015-1-30 10:35:11.915: RTWSControl - orderStatus -  entering orderStatus id is 1299 status is PreSubmitted</t>
  </si>
  <si>
    <t>2015-1-30 10:35:11.915: OrderManager - UpdateOrderStatus - id 1299 Setting status to PreSubmitted workingOrderCount is now 1 workingQty -170</t>
  </si>
  <si>
    <t>2015-1-30 10:35:11.916: OrderManagerView - UpdateMainSheetOpenOrder - entering UpdateMainSheetOpenOrder order.status is PreSubmitted</t>
  </si>
  <si>
    <t>2015-1-30 10:35:11.918: RTWSControl - OrderStatus - Got OrderStatus Message id:1299 status: PreSubmitted filled: 0</t>
  </si>
  <si>
    <t>2015-1-30 10:35:11.918: RTWSControl - OrderStatus - exiting orderStatus</t>
  </si>
  <si>
    <t>2015-1-30 10:35:13.348: OrderManager - cancelOrder - cancelling order id 1297</t>
  </si>
  <si>
    <t>2015-1-30 10:35:13.349: OrderManager - PlaceOrder - id 1300 workingQty -144</t>
  </si>
  <si>
    <t>2015-1-30 10:35:13.349: OrderManagerView - UpdateMainSheetOpenOrder - entering UpdateMainSheetOpenOrder order.status is In-Flight</t>
  </si>
  <si>
    <t>2015-1-30 10:35:13.351: OrderManager - sendOrder - exiting place order id 1300 BUY 26 1.5127  - workingQty -144 currentPosition is 21 workingOrderCount is 2</t>
  </si>
  <si>
    <t>2015-1-30 10:35:13.351: OrderManager - cancelOrder - cancelling order id 1299</t>
  </si>
  <si>
    <t>2015-1-30 10:35:13.351: OrderManager - createOrder - exiting without creating order - did not have validID</t>
  </si>
  <si>
    <t>2015-1-30 10:35:13.504: RTWSControl - nextValidId - entering nextValidId id is 1301</t>
  </si>
  <si>
    <t>2015-1-30 10:35:13.663: RTWSControl - orderStatus -  entering orderStatus id is 1297 status is Cancelled</t>
  </si>
  <si>
    <t>2015-1-30 10:35:13.665: OrderManager - UpdateOrderStatus - id 1297 Setting status to Cancelled workingOrderCount is now 2 workingQty -144</t>
  </si>
  <si>
    <t>2015-1-30 10:35:13.667: OrderManagerView - UpdateMainSheetOpenOrder - entering UpdateMainSheetOpenOrder order.status is Cancelled</t>
  </si>
  <si>
    <t>2015-1-30 10:35:13.673: RTWSControl - OrderStatus - Got OrderStatus Message id:1297 status: Cancelled filled: 0</t>
  </si>
  <si>
    <t>2015-1-30 10:35:13.674: RTWSControl - OrderStatus - exiting orderStatus</t>
  </si>
  <si>
    <t>2015-1-30 10:35:13.736: RTWSControl - errMsg - got error message 202:Order Canceled - reason:with id 1297</t>
  </si>
  <si>
    <t>2015-1-30 10:35:13.737: OrderManager - canceledOrder - cleaning up after canceled order 1297BEWARE UNACCOUNTED FOR EXECUTIONS!!!</t>
  </si>
  <si>
    <t>2015-1-30 10:35:13.738: OrderManager - terminateOrder - cleaning up after Canceled 1297  order was supposed to BUY 23 1.5124 STP LMT workingQty/OrderCount now -167/1</t>
  </si>
  <si>
    <t>2015-1-30 10:35:13.743: OrderManagerView - UpdateMainSheetOpenOrder - entering UpdateMainSheetOpenOrder order.status is Canceled</t>
  </si>
  <si>
    <t>2015-1-30 10:35:13.837: RTWSControl - errMsg - got error message 399:Order Message:
BUY 26 GBP MAR'15
Warning: your order will not be placed at the exchange until 2015-01-30 08:30:00 US/Centralwith id 1300</t>
  </si>
  <si>
    <t>2015-1-30 10:35:13.837: RTWSControl - errMsg - Got Error_x000D_id: 1300_x000D_errorCode: 399_x000D_errorMsg: Order Message:
BUY 26 GBP MAR'15
Warning: your order will not be placed at the exchange until 2015-01-30 08:30:00 US/Central</t>
  </si>
  <si>
    <t>2015-1-30 10:35:13.848: openOrderEx - I am here</t>
  </si>
  <si>
    <t>2015-1-30 10:35:13.848: OrderManagerView - UpdateMainSheetOpenOrder - entering UpdateMainSheetOpenOrder order.status is In-Flight</t>
  </si>
  <si>
    <t>2015-1-30 10:35:13.876: RTWSControl - orderStatus -  entering orderStatus id is 1300 status is PreSubmitted</t>
  </si>
  <si>
    <t>2015-1-30 10:35:13.876: OrderManager - UpdateOrderStatus - id 1300 Setting status to PreSubmitted workingOrderCount is now 1 workingQty -167</t>
  </si>
  <si>
    <t>2015-1-30 10:35:13.877: OrderManagerView - UpdateMainSheetOpenOrder - entering UpdateMainSheetOpenOrder order.status is PreSubmitted</t>
  </si>
  <si>
    <t>2015-1-30 10:35:13.879: RTWSControl - OrderStatus - Got OrderStatus Message id:1300 status: PreSubmitted filled: 0</t>
  </si>
  <si>
    <t>2015-1-30 10:35:13.880: RTWSControl - OrderStatus - exiting orderStatus</t>
  </si>
  <si>
    <t>2015-1-30 10:35:13.914: RTWSControl - orderStatus -  entering orderStatus id is 1299 status is Cancelled</t>
  </si>
  <si>
    <t>2015-1-30 10:35:13.915: OrderManager - UpdateOrderStatus - id 1299 Setting status to Cancelled workingOrderCount is now 1 workingQty -167</t>
  </si>
  <si>
    <t>2015-1-30 10:35:13.915: OrderManagerView - UpdateMainSheetOpenOrder - entering UpdateMainSheetOpenOrder order.status is Cancelled</t>
  </si>
  <si>
    <t>2015-1-30 10:35:13.918: RTWSControl - OrderStatus - Got OrderStatus Message id:1299 status: Cancelled filled: 0</t>
  </si>
  <si>
    <t>2015-1-30 10:35:13.918: RTWSControl - OrderStatus - exiting orderStatus</t>
  </si>
  <si>
    <t>2015-1-30 10:35:13.928: RTWSControl - errMsg - got error message 202:Order Canceled - reason:with id 1299</t>
  </si>
  <si>
    <t>2015-1-30 10:35:13.929: OrderManager - canceledOrder - cleaning up after canceled order 1299BEWARE UNACCOUNTED FOR EXECUTIONS!!!</t>
  </si>
  <si>
    <t>2015-1-30 10:35:13.929: OrderManager - terminateOrder - cleaning up after Canceled 1299  order was supposed to SELL 23 1.5066 STP LMT workingQty/OrderCount now -190/0</t>
  </si>
  <si>
    <t>2015-1-30 10:35:13.931: OrderManagerView - UpdateMainSheetOpenOrder - entering UpdateMainSheetOpenOrder order.status is Canceled</t>
  </si>
  <si>
    <t>2015-1-30 10:35:13.963: openOrderEx - I am here</t>
  </si>
  <si>
    <t>2015-1-30 10:35:13.964: OrderManagerView - UpdateMainSheetOpenOrder - entering UpdateMainSheetOpenOrder order.status is PreSubmitted</t>
  </si>
  <si>
    <t>2015-1-30 10:35:13.998: RTWSControl - orderStatus -  entering orderStatus id is 1300 status is PreSubmitted</t>
  </si>
  <si>
    <t>2015-1-30 10:35:13.998: OrderManager - UpdateOrderStatus - id 1300 Setting status to PreSubmitted workingOrderCount is now 0 workingQty -190</t>
  </si>
  <si>
    <t>2015-1-30 10:35:13.999: OrderManagerView - UpdateMainSheetOpenOrder - entering UpdateMainSheetOpenOrder order.status is PreSubmitted</t>
  </si>
  <si>
    <t>2015-1-30 10:35:14.1: RTWSControl - OrderStatus - Got OrderStatus Message id:1300 status: PreSubmitted filled: 0</t>
  </si>
  <si>
    <t>2015-1-30 10:35:14.1: RTWSControl - OrderStatus - exiting orderStatus</t>
  </si>
  <si>
    <t>2015-1-30 10:35:16.51: OrderManagerView - UpdateMainSheetOpenOrder - entering UpdateMainSheetOpenOrder order.status is Canceled</t>
  </si>
  <si>
    <t>2015-1-30 10:35:16.53: OrderManagerView - UpdateMainSheetOpenOrder - entering UpdateMainSheetOpenOrder order.status is Canceled</t>
  </si>
  <si>
    <t>2015-1-30 10:35:16.54: OrderManagerView - UpdateMainSheetOpenOrder - entering UpdateMainSheetOpenOrder order.status is PreSubmitted</t>
  </si>
  <si>
    <t>2015-1-30 10:35:16.56: OrderManagerView - UpdateMainSheetOpenOrder - entering UpdateMainSheetOpenOrder order.status is PreSubmitted</t>
  </si>
  <si>
    <t>2015-1-30 10:35:16.632: OrderManager - PlaceOrder - id 1301 workingQty -216</t>
  </si>
  <si>
    <t>2015-1-30 10:35:16.633: OrderManagerView - UpdateMainSheetOpenOrder - entering UpdateMainSheetOpenOrder order.status is In-Flight</t>
  </si>
  <si>
    <t>2015-1-30 10:35:16.643: OrderManager - sendOrder - exiting place order id 1301 SELL 26 1.5066  - workingQty -216 currentPosition is 21 workingOrderCount is 1</t>
  </si>
  <si>
    <t>2015-1-30 10:35:16.748: RTWSControl - nextValidId - entering nextValidId id is 1302</t>
  </si>
  <si>
    <t>2015-1-30 10:35:16.963: RTWSControl - errMsg - got error message 399:Order Message:
SELL 26 GBP MAR'15
Warning: your order will not be placed at the exchange until 2015-01-30 08:30:00 US/Centralwith id 1301</t>
  </si>
  <si>
    <t>2015-1-30 10:35:16.966: RTWSControl - errMsg - Got Error_x000D_id: 1301_x000D_errorCode: 399_x000D_errorMsg: Order Message:
SELL 26 GBP MAR'15
Warning: your order will not be placed at the exchange until 2015-01-30 08:30:00 US/Central</t>
  </si>
  <si>
    <t>2015-1-30 10:35:17.0: openOrderEx - I am here</t>
  </si>
  <si>
    <t>2015-1-30 10:35:17.1: OrderManagerView - UpdateMainSheetOpenOrder - entering UpdateMainSheetOpenOrder order.status is In-Flight</t>
  </si>
  <si>
    <t>2015-1-30 10:35:17.29: RTWSControl - orderStatus -  entering orderStatus id is 1301 status is PreSubmitted</t>
  </si>
  <si>
    <t>2015-1-30 10:35:17.30: OrderManager - UpdateOrderStatus - id 1301 Setting status to PreSubmitted workingOrderCount is now 1 workingQty -216</t>
  </si>
  <si>
    <t>2015-1-30 10:35:17.30: OrderManagerView - UpdateMainSheetOpenOrder - entering UpdateMainSheetOpenOrder order.status is PreSubmitted</t>
  </si>
  <si>
    <t>2015-1-30 10:35:17.34: RTWSControl - OrderStatus - Got OrderStatus Message id:1301 status: PreSubmitted filled: 0</t>
  </si>
  <si>
    <t>2015-1-30 10:35:17.35: RTWSControl - OrderStatus - exiting orderStatus</t>
  </si>
  <si>
    <t>2015-1-30 10:35:17.179: openOrderEx - I am here</t>
  </si>
  <si>
    <t>2015-1-30 10:35:17.179: OrderManagerView - UpdateMainSheetOpenOrder - entering UpdateMainSheetOpenOrder order.status is PreSubmitted</t>
  </si>
  <si>
    <t>2015-1-30 10:35:17.209: RTWSControl - orderStatus -  entering orderStatus id is 1301 status is PreSubmitted</t>
  </si>
  <si>
    <t>2015-1-30 10:35:17.210: OrderManager - UpdateOrderStatus - id 1301 Setting status to PreSubmitted workingOrderCount is now 1 workingQty -216</t>
  </si>
  <si>
    <t>2015-1-30 10:35:17.210: OrderManagerView - UpdateMainSheetOpenOrder - entering UpdateMainSheetOpenOrder order.status is PreSubmitted</t>
  </si>
  <si>
    <t>2015-1-30 10:35:17.213: RTWSControl - OrderStatus - Got OrderStatus Message id:1301 status: PreSubmitted filled: 0</t>
  </si>
  <si>
    <t>2015-1-30 10:35:17.213: RTWSControl - OrderStatus - exiting orderStatus</t>
  </si>
  <si>
    <t>2015-1-30 10:35:18.120: OrderManagerView - UpdateMainSheetOpenOrder - entering UpdateMainSheetOpenOrder order.status is PreSubmitted</t>
  </si>
  <si>
    <t>2015-1-30 10:35:18.122: OrderManagerView - UpdateMainSheetOpenOrder - entering UpdateMainSheetOpenOrder order.status is PreSubmitted</t>
  </si>
  <si>
    <t>2015-1-30 10:35:18.123: OrderManagerView - UpdateMainSheetOpenOrder - entering UpdateMainSheetOpenOrder order.status is PreSubmitted</t>
  </si>
  <si>
    <t>2015-1-30 10:35:18.127: OrderManagerView - UpdateMainSheetOpenOrder - entering UpdateMainSheetOpenOrder order.status is PreSubmitted</t>
  </si>
  <si>
    <t>2015-1-30 10:35:18.128: OrderManagerView - UpdateMainSheetOpenOrder - entering UpdateMainSheetOpenOrder order.status is PreSubmitted</t>
  </si>
  <si>
    <t>2015-1-30 10:35:21.53: OrderManagerView - UpdateMainSheetOpenOrder - entering UpdateMainSheetOpenOrder order.status is PreSubmitted</t>
  </si>
  <si>
    <t>2015-1-30 10:35:21.61: OrderManagerView - UpdateMainSheetOpenOrder - entering UpdateMainSheetOpenOrder order.status is PreSubmitted</t>
  </si>
  <si>
    <t>2015-1-30 10:35:21.79: OrderManagerView - UpdateMainSheetOpenOrder - entering UpdateMainSheetOpenOrder order.status is PreSubmitted</t>
  </si>
  <si>
    <t>2015-1-30 10:35:21.81: OrderManagerView - UpdateMainSheetOpenOrder - entering UpdateMainSheetOpenOrder order.status is PreSubmitted</t>
  </si>
  <si>
    <t>2015-1-30 10:35:31.888: OrderManager - cancelOrder - cancelling order id 1300</t>
  </si>
  <si>
    <t>2015-1-30 10:35:31.889: OrderManager - PlaceOrder - id 1302 workingQty -190</t>
  </si>
  <si>
    <t>2015-1-30 10:35:31.890: OrderManagerView - UpdateMainSheetOpenOrder - entering UpdateMainSheetOpenOrder order.status is In-Flight</t>
  </si>
  <si>
    <t>2015-1-30 10:35:31.901: OrderManager - sendOrder - exiting place order id 1302 BUY 26 1.5128  - workingQty -190 currentPosition is 21 workingOrderCount is 2</t>
  </si>
  <si>
    <t>2015-1-30 10:35:32.452: RTWSControl - nextValidId - entering nextValidId id is 1303</t>
  </si>
  <si>
    <t>2015-1-30 10:35:32.458: RTWSControl - orderStatus -  entering orderStatus id is 1300 status is Cancelled</t>
  </si>
  <si>
    <t>2015-1-30 10:35:32.459: OrderManager - UpdateOrderStatus - id 1300 Setting status to Cancelled workingOrderCount is now 2 workingQty -190</t>
  </si>
  <si>
    <t>2015-1-30 10:35:32.459: OrderManagerView - UpdateMainSheetOpenOrder - entering UpdateMainSheetOpenOrder order.status is Cancelled</t>
  </si>
  <si>
    <t>2015-1-30 10:35:32.461: RTWSControl - OrderStatus - Got OrderStatus Message id:1300 status: Cancelled filled: 0</t>
  </si>
  <si>
    <t>2015-1-30 10:35:32.462: RTWSControl - OrderStatus - exiting orderStatus</t>
  </si>
  <si>
    <t>2015-1-30 10:35:32.498: RTWSControl - errMsg - got error message 202:Order Canceled - reason:with id 1300</t>
  </si>
  <si>
    <t>2015-1-30 10:35:32.499: OrderManager - canceledOrder - cleaning up after canceled order 1300BEWARE UNACCOUNTED FOR EXECUTIONS!!!</t>
  </si>
  <si>
    <t>2015-1-30 10:35:32.499: OrderManager - terminateOrder - cleaning up after Canceled 1300  order was supposed to BUY 26 1.5127 STP LMT workingQty/OrderCount now -216/1</t>
  </si>
  <si>
    <t>2015-1-30 10:35:32.500: OrderManagerView - UpdateMainSheetOpenOrder - entering UpdateMainSheetOpenOrder order.status is Canceled</t>
  </si>
  <si>
    <t>2015-1-30 10:35:32.512: RTWSControl - errMsg - got error message 399:Order Message:
BUY 26 GBP MAR'15
Warning: your order will not be placed at the exchange until 2015-01-30 08:30:00 US/Centralwith id 1302</t>
  </si>
  <si>
    <t>2015-1-30 10:35:32.513: RTWSControl - errMsg - Got Error_x000D_id: 1302_x000D_errorCode: 399_x000D_errorMsg: Order Message:
BUY 26 GBP MAR'15
Warning: your order will not be placed at the exchange until 2015-01-30 08:30:00 US/Central</t>
  </si>
  <si>
    <t>2015-1-30 10:35:32.542: openOrderEx - I am here</t>
  </si>
  <si>
    <t>2015-1-30 10:35:32.542: OrderManagerView - UpdateMainSheetOpenOrder - entering UpdateMainSheetOpenOrder order.status is In-Flight</t>
  </si>
  <si>
    <t>2015-1-30 10:35:32.554: RTWSControl - orderStatus -  entering orderStatus id is 1302 status is PreSubmitted</t>
  </si>
  <si>
    <t>2015-1-30 10:35:32.555: OrderManager - UpdateOrderStatus - id 1302 Setting status to PreSubmitted workingOrderCount is now 1 workingQty -216</t>
  </si>
  <si>
    <t>2015-1-30 10:35:32.555: OrderManagerView - UpdateMainSheetOpenOrder - entering UpdateMainSheetOpenOrder order.status is PreSubmitted</t>
  </si>
  <si>
    <t>2015-1-30 10:35:32.558: RTWSControl - OrderStatus - Got OrderStatus Message id:1302 status: PreSubmitted filled: 0</t>
  </si>
  <si>
    <t>2015-1-30 10:35:32.558: RTWSControl - OrderStatus - exiting orderStatus</t>
  </si>
  <si>
    <t>2015-1-30 10:35:32.588: openOrderEx - I am here</t>
  </si>
  <si>
    <t>2015-1-30 10:35:32.589: OrderManagerView - UpdateMainSheetOpenOrder - entering UpdateMainSheetOpenOrder order.status is PreSubmitted</t>
  </si>
  <si>
    <t>2015-1-30 10:35:32.623: RTWSControl - orderStatus -  entering orderStatus id is 1302 status is PreSubmitted</t>
  </si>
  <si>
    <t>2015-1-30 10:35:32.624: OrderManager - UpdateOrderStatus - id 1302 Setting status to PreSubmitted workingOrderCount is now 1 workingQty -216</t>
  </si>
  <si>
    <t>2015-1-30 10:35:32.625: OrderManagerView - UpdateMainSheetOpenOrder - entering UpdateMainSheetOpenOrder order.status is PreSubmitted</t>
  </si>
  <si>
    <t>2015-1-30 10:35:32.627: RTWSControl - OrderStatus - Got OrderStatus Message id:1302 status: PreSubmitted filled: 0</t>
  </si>
  <si>
    <t>2015-1-30 10:35:32.627: RTWSControl - OrderStatus - exiting orderStatus</t>
  </si>
  <si>
    <t>2015-1-30 10:35:33.605: OrderManager - cancelOrder - cancelling order id 1302</t>
  </si>
  <si>
    <t>2015-1-30 10:35:33.607: OrderManager - PlaceOrder - id 1303 workingQty -192</t>
  </si>
  <si>
    <t>2015-1-30 10:35:33.608: OrderManagerView - UpdateMainSheetOpenOrder - entering UpdateMainSheetOpenOrder order.status is In-Flight</t>
  </si>
  <si>
    <t>2015-1-30 10:35:33.616: OrderManager - sendOrder - exiting place order id 1303 BUY 24 1.5124  - workingQty -192 currentPosition is 21 workingOrderCount is 2</t>
  </si>
  <si>
    <t>2015-1-30 10:35:33.617: OrderManager - cancelOrder - cancelling order id 1301</t>
  </si>
  <si>
    <t>2015-1-30 10:35:33.618: OrderManager - createOrder - exiting without creating order - did not have validID</t>
  </si>
  <si>
    <t>2015-1-30 10:35:33.790: RTWSControl - nextValidId - entering nextValidId id is 1304</t>
  </si>
  <si>
    <t>2015-1-30 10:35:33.868: RTWSControl - orderStatus -  entering orderStatus id is 1302 status is Cancelled</t>
  </si>
  <si>
    <t>2015-1-30 10:35:33.869: OrderManager - UpdateOrderStatus - id 1302 Setting status to Cancelled workingOrderCount is now 2 workingQty -192</t>
  </si>
  <si>
    <t>2015-1-30 10:35:33.869: OrderManagerView - UpdateMainSheetOpenOrder - entering UpdateMainSheetOpenOrder order.status is Cancelled</t>
  </si>
  <si>
    <t>2015-1-30 10:35:33.872: RTWSControl - OrderStatus - Got OrderStatus Message id:1302 status: Cancelled filled: 0</t>
  </si>
  <si>
    <t>2015-1-30 10:35:33.872: RTWSControl - OrderStatus - exiting orderStatus</t>
  </si>
  <si>
    <t>2015-1-30 10:35:33.900: RTWSControl - errMsg - got error message 202:Order Canceled - reason:with id 1302</t>
  </si>
  <si>
    <t>2015-1-30 10:35:33.901: OrderManager - canceledOrder - cleaning up after canceled order 1302BEWARE UNACCOUNTED FOR EXECUTIONS!!!</t>
  </si>
  <si>
    <t>2015-1-30 10:35:33.901: OrderManager - terminateOrder - cleaning up after Canceled 1302  order was supposed to BUY 26 1.5128 STP LMT workingQty/OrderCount now -218/1</t>
  </si>
  <si>
    <t>2015-1-30 10:35:33.903: OrderManagerView - UpdateMainSheetOpenOrder - entering UpdateMainSheetOpenOrder order.status is Canceled</t>
  </si>
  <si>
    <t>2015-1-30 10:35:33.914: RTWSControl - errMsg - got error message 399:Order Message:
BUY 24 GBP MAR'15
Warning: your order will not be placed at the exchange until 2015-01-30 08:30:00 US/Centralwith id 1303</t>
  </si>
  <si>
    <t>2015-1-30 10:35:33.915: RTWSControl - errMsg - Got Error_x000D_id: 1303_x000D_errorCode: 399_x000D_errorMsg: Order Message:
BUY 24 GBP MAR'15
Warning: your order will not be placed at the exchange until 2015-01-30 08:30:00 US/Central</t>
  </si>
  <si>
    <t>2015-1-30 10:35:33.959: openOrderEx - I am here</t>
  </si>
  <si>
    <t>2015-1-30 10:35:33.959: OrderManagerView - UpdateMainSheetOpenOrder - entering UpdateMainSheetOpenOrder order.status is In-Flight</t>
  </si>
  <si>
    <t>2015-1-30 10:35:33.972: RTWSControl - orderStatus -  entering orderStatus id is 1303 status is PreSubmitted</t>
  </si>
  <si>
    <t>2015-1-30 10:35:33.973: OrderManager - UpdateOrderStatus - id 1303 Setting status to PreSubmitted workingOrderCount is now 1 workingQty -218</t>
  </si>
  <si>
    <t>2015-1-30 10:35:33.973: OrderManagerView - UpdateMainSheetOpenOrder - entering UpdateMainSheetOpenOrder order.status is PreSubmitted</t>
  </si>
  <si>
    <t>2015-1-30 10:35:33.975: RTWSControl - OrderStatus - Got OrderStatus Message id:1303 status: PreSubmitted filled: 0</t>
  </si>
  <si>
    <t>2015-1-30 10:35:33.975: RTWSControl - OrderStatus - exiting orderStatus</t>
  </si>
  <si>
    <t>2015-1-30 10:35:34.827: RTWSControl - orderStatus -  entering orderStatus id is 1301 status is Cancelled</t>
  </si>
  <si>
    <t>2015-1-30 10:35:34.828: OrderManager - UpdateOrderStatus - id 1301 Setting status to Cancelled workingOrderCount is now 1 workingQty -218</t>
  </si>
  <si>
    <t>2015-1-30 10:35:34.829: OrderManagerView - UpdateMainSheetOpenOrder - entering UpdateMainSheetOpenOrder order.status is Cancelled</t>
  </si>
  <si>
    <t>2015-1-30 10:35:34.831: RTWSControl - OrderStatus - Got OrderStatus Message id:1301 status: Cancelled filled: 0</t>
  </si>
  <si>
    <t>2015-1-30 10:35:34.831: RTWSControl - OrderStatus - exiting orderStatus</t>
  </si>
  <si>
    <t>2015-1-30 10:35:34.840: RTWSControl - errMsg - got error message 202:Order Canceled - reason:with id 1301</t>
  </si>
  <si>
    <t>2015-1-30 10:35:34.841: OrderManager - canceledOrder - cleaning up after canceled order 1301BEWARE UNACCOUNTED FOR EXECUTIONS!!!</t>
  </si>
  <si>
    <t>2015-1-30 10:35:34.842: OrderManager - terminateOrder - cleaning up after Canceled 1301  order was supposed to SELL 26 1.5066 STP LMT workingQty/OrderCount now -244/0</t>
  </si>
  <si>
    <t>2015-1-30 10:35:34.844: OrderManagerView - UpdateMainSheetOpenOrder - entering UpdateMainSheetOpenOrder order.status is Canceled</t>
  </si>
  <si>
    <t>2015-1-30 10:35:34.881: openOrderEx - I am here</t>
  </si>
  <si>
    <t>2015-1-30 10:35:34.881: OrderManagerView - UpdateMainSheetOpenOrder - entering UpdateMainSheetOpenOrder order.status is PreSubmitted</t>
  </si>
  <si>
    <t>2015-1-30 10:35:34.914: RTWSControl - orderStatus -  entering orderStatus id is 1303 status is PreSubmitted</t>
  </si>
  <si>
    <t>2015-1-30 10:35:34.915: OrderManager - UpdateOrderStatus - id 1303 Setting status to PreSubmitted workingOrderCount is now 0 workingQty -244</t>
  </si>
  <si>
    <t>2015-1-30 10:35:34.915: OrderManagerView - UpdateMainSheetOpenOrder - entering UpdateMainSheetOpenOrder order.status is PreSubmitted</t>
  </si>
  <si>
    <t>2015-1-30 10:35:34.918: RTWSControl - OrderStatus - Got OrderStatus Message id:1303 status: PreSubmitted filled: 0</t>
  </si>
  <si>
    <t>2015-1-30 10:35:34.918: RTWSControl - OrderStatus - exiting orderStatus</t>
  </si>
  <si>
    <t>2015-1-30 10:35:37.221: OrderManagerView - UpdateMainSheetOpenOrder - entering UpdateMainSheetOpenOrder order.status is Canceled</t>
  </si>
  <si>
    <t>2015-1-30 10:35:37.229: OrderManagerView - UpdateMainSheetOpenOrder - entering UpdateMainSheetOpenOrder order.status is Canceled</t>
  </si>
  <si>
    <t>2015-1-30 10:35:37.234: OrderManagerView - UpdateMainSheetOpenOrder - entering UpdateMainSheetOpenOrder order.status is PreSubmitted</t>
  </si>
  <si>
    <t>2015-1-30 10:35:37.240: OrderManagerView - UpdateMainSheetOpenOrder - entering UpdateMainSheetOpenOrder order.status is PreSubmitted</t>
  </si>
  <si>
    <t>2015-1-30 10:35:38.211: OrderManagerView - UpdateMainSheetOpenOrder - entering UpdateMainSheetOpenOrder order.status is PreSubmitted</t>
  </si>
  <si>
    <t>2015-1-30 10:35:38.934: OrderManager - PlaceOrder - id 1304 workingQty -268</t>
  </si>
  <si>
    <t>2015-1-30 10:35:38.935: OrderManagerView - UpdateMainSheetOpenOrder - entering UpdateMainSheetOpenOrder order.status is In-Flight</t>
  </si>
  <si>
    <t>2015-1-30 10:35:38.940: OrderManager - sendOrder - exiting place order id 1304 SELL 24 1.5065  - workingQty -268 currentPosition is 21 workingOrderCount is 1</t>
  </si>
  <si>
    <t>2015-1-30 10:35:39.122: RTWSControl - nextValidId - entering nextValidId id is 1305</t>
  </si>
  <si>
    <t>2015-1-30 10:35:39.128: OrderManagerView - UpdateMainSheetOpenOrder - entering UpdateMainSheetOpenOrder order.status is PreSubmitted</t>
  </si>
  <si>
    <t>2015-1-30 10:35:39.130: OrderManagerView - UpdateMainSheetOpenOrder - entering UpdateMainSheetOpenOrder order.status is In-Flight</t>
  </si>
  <si>
    <t>2015-1-30 10:35:39.231: RTWSControl - errMsg - got error message 399:Order Message:
SELL 24 GBP MAR'15
Warning: your order will not be placed at the exchange until 2015-01-30 08:30:00 US/Centralwith id 1304</t>
  </si>
  <si>
    <t>2015-1-30 10:35:39.231: RTWSControl - errMsg - Got Error_x000D_id: 1304_x000D_errorCode: 399_x000D_errorMsg: Order Message:
SELL 24 GBP MAR'15
Warning: your order will not be placed at the exchange until 2015-01-30 08:30:00 US/Central</t>
  </si>
  <si>
    <t>2015-1-30 10:35:39.242: openOrderEx - I am here</t>
  </si>
  <si>
    <t>2015-1-30 10:35:39.242: OrderManagerView - UpdateMainSheetOpenOrder - entering UpdateMainSheetOpenOrder order.status is In-Flight</t>
  </si>
  <si>
    <t>2015-1-30 10:35:39.277: RTWSControl - orderStatus -  entering orderStatus id is 1304 status is PreSubmitted</t>
  </si>
  <si>
    <t>2015-1-30 10:35:39.278: OrderManager - UpdateOrderStatus - id 1304 Setting status to PreSubmitted workingOrderCount is now 1 workingQty -268</t>
  </si>
  <si>
    <t>2015-1-30 10:35:39.278: OrderManagerView - UpdateMainSheetOpenOrder - entering UpdateMainSheetOpenOrder order.status is PreSubmitted</t>
  </si>
  <si>
    <t>2015-1-30 10:35:39.280: RTWSControl - OrderStatus - Got OrderStatus Message id:1304 status: PreSubmitted filled: 0</t>
  </si>
  <si>
    <t>2015-1-30 10:35:39.281: RTWSControl - OrderStatus - exiting orderStatus</t>
  </si>
  <si>
    <t>2015-1-30 10:35:39.295: openOrderEx - I am here</t>
  </si>
  <si>
    <t>2015-1-30 10:35:39.295: OrderManagerView - UpdateMainSheetOpenOrder - entering UpdateMainSheetOpenOrder order.status is PreSubmitted</t>
  </si>
  <si>
    <t>2015-1-30 10:35:39.336: RTWSControl - orderStatus -  entering orderStatus id is 1304 status is PreSubmitted</t>
  </si>
  <si>
    <t>2015-1-30 10:35:39.337: OrderManager - UpdateOrderStatus - id 1304 Setting status to PreSubmitted workingOrderCount is now 1 workingQty -268</t>
  </si>
  <si>
    <t>2015-1-30 10:35:39.337: OrderManagerView - UpdateMainSheetOpenOrder - entering UpdateMainSheetOpenOrder order.status is PreSubmitted</t>
  </si>
  <si>
    <t>2015-1-30 10:35:39.340: RTWSControl - OrderStatus - Got OrderStatus Message id:1304 status: PreSubmitted filled: 0</t>
  </si>
  <si>
    <t>2015-1-30 10:35:39.340: RTWSControl - OrderStatus - exiting orderStatus</t>
  </si>
  <si>
    <t>2015-1-30 10:35:42.9: OrderManagerView - UpdateMainSheetOpenOrder - entering UpdateMainSheetOpenOrder order.status is PreSubmitted</t>
  </si>
  <si>
    <t>2015-1-30 10:35:42.11: OrderManagerView - UpdateMainSheetOpenOrder - entering UpdateMainSheetOpenOrder order.status is PreSubmitted</t>
  </si>
  <si>
    <t>2015-1-30 10:35:42.17: OrderManagerView - UpdateMainSheetOpenOrder - entering UpdateMainSheetOpenOrder order.status is PreSubmitted</t>
  </si>
  <si>
    <t>2015-1-30 10:35:42.18: OrderManagerView - UpdateMainSheetOpenOrder - entering UpdateMainSheetOpenOrder order.status is PreSubmitted</t>
  </si>
  <si>
    <t>2015-1-30 10:35:46.303: Algorithm - FindNextStrikes - price is 1.50805 nextStrikeUp/Down 1.51/1.505</t>
  </si>
  <si>
    <t>2015-1-30 10:35:46.304: Algorithm - getPortfolioForwardDelta - required deltas is 21 currentHedgePosition is 21</t>
  </si>
  <si>
    <t>2015-1-30 10:35:46.304: Algorithm - getHedgeShortfall - required deltas is 21 price is 1.50795 currentHedgePositionDeltas is 21</t>
  </si>
  <si>
    <t>2015-1-30 10:35:46.305: Algorithm - processTransitionPoint - nextUpper/LowerStrikes are 1.51/1.505 requiredDeltas/currentPosition/currentHedgeShortfall/direction/transitionPrice are 21/21/0/-1/1.50795</t>
  </si>
  <si>
    <t>2015-1-30 10:35:46.305: TransitionLogger - processTransitionpoint - checking transition - currentHedgeShortfall is 0</t>
  </si>
  <si>
    <t>2015-1-30 10:35:46.306: Algorithm - updatePortfolio - haveAllDetails is True</t>
  </si>
  <si>
    <t>2015-1-30 10:35:46.347: Algorithm - FindNextStrikes - price is 1.50805 nextStrikeUp/Down 1.51/1.505</t>
  </si>
  <si>
    <t>2015-1-30 10:35:46.348: Algorithm - getPortfolioForwardDelta - required deltas is 21 currentHedgePosition is 21</t>
  </si>
  <si>
    <t>2015-1-30 10:35:46.349: Algorithm - getHedgeShortfall - required deltas is 21 price is 1.50795 currentHedgePositionDeltas is 21</t>
  </si>
  <si>
    <t>2015-1-30 10:35:46.349: Algorithm - processTransitionPoint - nextUpper/LowerStrikes are 1.51/1.505 requiredDeltas/currentPosition/currentHedgeShortfall/direction/transitionPrice are 21/21/0/-1/1.50795</t>
  </si>
  <si>
    <t>2015-1-30 10:35:46.349: TransitionLogger - processTransitionpoint - checking transition - currentHedgeShortfall is 0</t>
  </si>
  <si>
    <t>2015-1-30 10:35:46.350: Algorithm - updatePortfolio - haveAllDetails is True</t>
  </si>
  <si>
    <t>2015-1-30 10:35:46.397: Algorithm - FindNextStrikes - price is 1.50805 nextStrikeUp/Down 1.51/1.505</t>
  </si>
  <si>
    <t>2015-1-30 10:35:46.398: Algorithm - getPortfolioForwardDelta - required deltas is 21 currentHedgePosition is 21</t>
  </si>
  <si>
    <t>2015-1-30 10:35:46.399: Algorithm - getHedgeShortfall - required deltas is 21 price is 1.50795 currentHedgePositionDeltas is 21</t>
  </si>
  <si>
    <t>2015-1-30 10:35:46.399: Algorithm - processTransitionPoint - nextUpper/LowerStrikes are 1.51/1.505 requiredDeltas/currentPosition/currentHedgeShortfall/direction/transitionPrice are 21/21/0/-1/1.50795</t>
  </si>
  <si>
    <t>2015-1-30 10:35:46.399: TransitionLogger - processTransitionpoint - checking transition - currentHedgeShortfall is 0</t>
  </si>
  <si>
    <t>2015-1-30 10:35:46.400: Algorithm - updatePortfolio - haveAllDetails is True</t>
  </si>
  <si>
    <t>2015-1-30 10:35:46.458: Algorithm - FindNextStrikes - price is 1.50805 nextStrikeUp/Down 1.51/1.505</t>
  </si>
  <si>
    <t>2015-1-30 10:35:46.458: Algorithm - getPortfolioForwardDelta - required deltas is 21 currentHedgePosition is 21</t>
  </si>
  <si>
    <t>2015-1-30 10:35:46.459: Algorithm - getHedgeShortfall - required deltas is 21 price is 1.50795 currentHedgePositionDeltas is 21</t>
  </si>
  <si>
    <t>2015-1-30 10:35:46.459: Algorithm - processTransitionPoint - nextUpper/LowerStrikes are 1.51/1.505 requiredDeltas/currentPosition/currentHedgeShortfall/direction/transitionPrice are 21/21/0/-1/1.50795</t>
  </si>
  <si>
    <t>2015-1-30 10:35:46.460: TransitionLogger - processTransitionpoint - checking transition - currentHedgeShortfall is 0</t>
  </si>
  <si>
    <t>2015-1-30 10:35:46.461: Algorithm - updatePortfolio - haveAllDetails is True</t>
  </si>
  <si>
    <t>2015-1-30 10:35:46.512: Algorithm - FindNextStrikes - price is 1.50805 nextStrikeUp/Down 1.51/1.505</t>
  </si>
  <si>
    <t>2015-1-30 10:35:46.513: Algorithm - getPortfolioForwardDelta - required deltas is 21 currentHedgePosition is 21</t>
  </si>
  <si>
    <t>2015-1-30 10:35:46.513: Algorithm - getHedgeShortfall - required deltas is 21 price is 1.50795 currentHedgePositionDeltas is 21</t>
  </si>
  <si>
    <t>2015-1-30 10:35:46.513: Algorithm - processTransitionPoint - nextUpper/LowerStrikes are 1.51/1.505 requiredDeltas/currentPosition/currentHedgeShortfall/direction/transitionPrice are 21/21/0/-1/1.50795</t>
  </si>
  <si>
    <t>2015-1-30 10:35:46.514: TransitionLogger - processTransitionpoint - checking transition - currentHedgeShortfall is 0</t>
  </si>
  <si>
    <t>2015-1-30 10:35:46.515: Algorithm - updatePortfolio - haveAllDetails is True</t>
  </si>
  <si>
    <t>2015-1-30 10:35:46.558: Algorithm - FindNextStrikes - price is 1.50805 nextStrikeUp/Down 1.51/1.505</t>
  </si>
  <si>
    <t>2015-1-30 10:35:46.559: Algorithm - getPortfolioForwardDelta - required deltas is 21 currentHedgePosition is 21</t>
  </si>
  <si>
    <t>2015-1-30 10:35:46.559: Algorithm - getHedgeShortfall - required deltas is 21 price is 1.50795 currentHedgePositionDeltas is 21</t>
  </si>
  <si>
    <t>2015-1-30 10:35:46.560: Algorithm - processTransitionPoint - nextUpper/LowerStrikes are 1.51/1.505 requiredDeltas/currentPosition/currentHedgeShortfall/direction/transitionPrice are 21/21/0/-1/1.50795</t>
  </si>
  <si>
    <t>2015-1-30 10:35:46.560: TransitionLogger - processTransitionpoint - checking transition - currentHedgeShortfall is 0</t>
  </si>
  <si>
    <t>2015-1-30 10:35:46.561: Algorithm - updatePortfolio - haveAllDetails is True</t>
  </si>
  <si>
    <t>2015-1-30 10:35:46.625: Algorithm - FindNextStrikes - price is 1.50805 nextStrikeUp/Down 1.51/1.505</t>
  </si>
  <si>
    <t>2015-1-30 10:35:46.625: Algorithm - getPortfolioForwardDelta - required deltas is 21 currentHedgePosition is 21</t>
  </si>
  <si>
    <t>2015-1-30 10:35:46.626: Algorithm - getHedgeShortfall - required deltas is 21 price is 1.50795 currentHedgePositionDeltas is 21</t>
  </si>
  <si>
    <t>2015-1-30 10:35:46.626: Algorithm - processTransitionPoint - nextUpper/LowerStrikes are 1.51/1.505 requiredDeltas/currentPosition/currentHedgeShortfall/direction/transitionPrice are 21/21/0/-1/1.50795</t>
  </si>
  <si>
    <t>2015-1-30 10:35:46.626: TransitionLogger - processTransitionpoint - checking transition - currentHedgeShortfall is 0</t>
  </si>
  <si>
    <t>2015-1-30 10:35:46.627: Algorithm - updatePortfolio - haveAllDetails is True</t>
  </si>
  <si>
    <t>2015-1-30 10:35:46.678: Algorithm - FindNextStrikes - price is 1.50805 nextStrikeUp/Down 1.51/1.505</t>
  </si>
  <si>
    <t>2015-1-30 10:35:46.678: Algorithm - getPortfolioForwardDelta - required deltas is 21 currentHedgePosition is 21</t>
  </si>
  <si>
    <t>2015-1-30 10:35:46.679: Algorithm - getHedgeShortfall - required deltas is 21 price is 1.50795 currentHedgePositionDeltas is 21</t>
  </si>
  <si>
    <t>2015-1-30 10:35:46.679: Algorithm - processTransitionPoint - nextUpper/LowerStrikes are 1.51/1.505 requiredDeltas/currentPosition/currentHedgeShortfall/direction/transitionPrice are 21/21/0/-1/1.50795</t>
  </si>
  <si>
    <t>2015-1-30 10:35:46.680: TransitionLogger - processTransitionpoint - checking transition - currentHedgeShortfall is 0</t>
  </si>
  <si>
    <t>2015-1-30 10:35:46.680: Algorithm - updatePortfolio - haveAllDetails is True</t>
  </si>
  <si>
    <t>2015-1-30 10:35:46.724: Algorithm - FindNextStrikes - price is 1.50805 nextStrikeUp/Down 1.51/1.505</t>
  </si>
  <si>
    <t>2015-1-30 10:35:46.725: Algorithm - getPortfolioForwardDelta - required deltas is 21 currentHedgePosition is 21</t>
  </si>
  <si>
    <t>2015-1-30 10:35:46.725: Algorithm - getHedgeShortfall - required deltas is 21 price is 1.50795 currentHedgePositionDeltas is 21</t>
  </si>
  <si>
    <t>2015-1-30 10:35:46.726: Algorithm - processTransitionPoint - nextUpper/LowerStrikes are 1.51/1.505 requiredDeltas/currentPosition/currentHedgeShortfall/direction/transitionPrice are 21/21/0/-1/1.50795</t>
  </si>
  <si>
    <t>2015-1-30 10:35:46.726: TransitionLogger - processTransitionpoint - checking transition - currentHedgeShortfall is 0</t>
  </si>
  <si>
    <t>2015-1-30 10:35:46.727: Algorithm - updatePortfolio - haveAllDetails is True</t>
  </si>
  <si>
    <t>2015-1-30 10:35:46.791: Algorithm - FindNextStrikes - price is 1.50805 nextStrikeUp/Down 1.51/1.505</t>
  </si>
  <si>
    <t>2015-1-30 10:35:46.792: Algorithm - getPortfolioForwardDelta - required deltas is 21 currentHedgePosition is 21</t>
  </si>
  <si>
    <t>2015-1-30 10:35:46.792: Algorithm - getHedgeShortfall - required deltas is 21 price is 1.50795 currentHedgePositionDeltas is 21</t>
  </si>
  <si>
    <t>2015-1-30 10:35:46.793: Algorithm - processTransitionPoint - nextUpper/LowerStrikes are 1.51/1.505 requiredDeltas/currentPosition/currentHedgeShortfall/direction/transitionPrice are 21/21/0/-1/1.50795</t>
  </si>
  <si>
    <t>2015-1-30 10:35:46.793: TransitionLogger - processTransitionpoint - checking transition - currentHedgeShortfall is 0</t>
  </si>
  <si>
    <t>2015-1-30 10:35:46.794: Algorithm - updatePortfolio - haveAllDetails is True</t>
  </si>
  <si>
    <t>2015-1-30 10:35:46.847: Algorithm - FindNextStrikes - price is 1.50805 nextStrikeUp/Down 1.51/1.505</t>
  </si>
  <si>
    <t>2015-1-30 10:35:46.847: Algorithm - getPortfolioForwardDelta - required deltas is 21 currentHedgePosition is 21</t>
  </si>
  <si>
    <t>2015-1-30 10:35:46.848: Algorithm - getHedgeShortfall - required deltas is 21 price is 1.50795 currentHedgePositionDeltas is 21</t>
  </si>
  <si>
    <t>2015-1-30 10:35:46.848: Algorithm - processTransitionPoint - nextUpper/LowerStrikes are 1.51/1.505 requiredDeltas/currentPosition/currentHedgeShortfall/direction/transitionPrice are 21/21/0/-1/1.50795</t>
  </si>
  <si>
    <t>2015-1-30 10:35:46.848: TransitionLogger - processTransitionpoint - checking transition - currentHedgeShortfall is 0</t>
  </si>
  <si>
    <t>2015-1-30 10:35:46.849: Algorithm - updatePortfolio - haveAllDetails is True</t>
  </si>
  <si>
    <t>2015-1-30 10:35:46.894: Algorithm - FindNextStrikes - price is 1.50805 nextStrikeUp/Down 1.51/1.505</t>
  </si>
  <si>
    <t>2015-1-30 10:35:46.895: Algorithm - getPortfolioForwardDelta - required deltas is 21 currentHedgePosition is 21</t>
  </si>
  <si>
    <t>2015-1-30 10:35:46.895: Algorithm - getHedgeShortfall - required deltas is 21 price is 1.50795 currentHedgePositionDeltas is 21</t>
  </si>
  <si>
    <t>2015-1-30 10:35:46.895: Algorithm - processTransitionPoint - nextUpper/LowerStrikes are 1.51/1.505 requiredDeltas/currentPosition/currentHedgeShortfall/direction/transitionPrice are 21/21/0/-1/1.50795</t>
  </si>
  <si>
    <t>2015-1-30 10:35:46.896: TransitionLogger - processTransitionpoint - checking transition - currentHedgeShortfall is 0</t>
  </si>
  <si>
    <t>2015-1-30 10:35:46.897: Algorithm - updatePortfolio - haveAllDetails is True</t>
  </si>
  <si>
    <t>2015-1-30 10:35:46.958: Algorithm - FindNextStrikes - price is 1.50805 nextStrikeUp/Down 1.51/1.505</t>
  </si>
  <si>
    <t>2015-1-30 10:35:46.959: Algorithm - getPortfolioForwardDelta - required deltas is 21 currentHedgePosition is 21</t>
  </si>
  <si>
    <t>2015-1-30 10:35:46.959: Algorithm - getHedgeShortfall - required deltas is 21 price is 1.50795 currentHedgePositionDeltas is 21</t>
  </si>
  <si>
    <t>2015-1-30 10:35:46.959: Algorithm - processTransitionPoint - nextUpper/LowerStrikes are 1.51/1.505 requiredDeltas/currentPosition/currentHedgeShortfall/direction/transitionPrice are 21/21/0/-1/1.50795</t>
  </si>
  <si>
    <t>2015-1-30 10:35:46.960: TransitionLogger - processTransitionpoint - checking transition - currentHedgeShortfall is 0</t>
  </si>
  <si>
    <t>2015-1-30 10:35:46.961: Algorithm - updatePortfolio - haveAllDetails is True</t>
  </si>
  <si>
    <t>2015-1-30 10:35:52.165: OrderManager - cancelOrder - cancelling order id 1304</t>
  </si>
  <si>
    <t>2015-1-30 10:35:52.166: OrderManager - PlaceOrder - id 1305 workingQty -292</t>
  </si>
  <si>
    <t>2015-1-30 10:35:52.166: OrderManagerView - UpdateMainSheetOpenOrder - entering UpdateMainSheetOpenOrder order.status is In-Flight</t>
  </si>
  <si>
    <t>2015-1-30 10:35:52.170: OrderManager - sendOrder - exiting place order id 1305 SELL 24 1.5066  - workingQty -292 currentPosition is 21 workingOrderCount is 2</t>
  </si>
  <si>
    <t>2015-1-30 10:35:52.710: RTWSControl - nextValidId - entering nextValidId id is 1306</t>
  </si>
  <si>
    <t>2015-1-30 10:35:52.716: RTWSControl - orderStatus -  entering orderStatus id is 1304 status is Cancelled</t>
  </si>
  <si>
    <t>2015-1-30 10:35:52.717: OrderManager - UpdateOrderStatus - id 1304 Setting status to Cancelled workingOrderCount is now 2 workingQty -292</t>
  </si>
  <si>
    <t>2015-1-30 10:35:52.717: OrderManagerView - UpdateMainSheetOpenOrder - entering UpdateMainSheetOpenOrder order.status is Cancelled</t>
  </si>
  <si>
    <t>2015-1-30 10:35:52.720: RTWSControl - OrderStatus - Got OrderStatus Message id:1304 status: Cancelled filled: 0</t>
  </si>
  <si>
    <t>2015-1-30 10:35:52.720: RTWSControl - OrderStatus - exiting orderStatus</t>
  </si>
  <si>
    <t>2015-1-30 10:35:52.751: RTWSControl - errMsg - got error message 202:Order Canceled - reason:with id 1304</t>
  </si>
  <si>
    <t>2015-1-30 10:35:52.752: OrderManager - canceledOrder - cleaning up after canceled order 1304BEWARE UNACCOUNTED FOR EXECUTIONS!!!</t>
  </si>
  <si>
    <t>2015-1-30 10:35:52.752: OrderManager - terminateOrder - cleaning up after Canceled 1304  order was supposed to SELL 24 1.5065 STP LMT workingQty/OrderCount now -316/1</t>
  </si>
  <si>
    <t>2015-1-30 10:35:52.753: OrderManagerView - UpdateMainSheetOpenOrder - entering UpdateMainSheetOpenOrder order.status is Canceled</t>
  </si>
  <si>
    <t>2015-1-30 10:35:52.789: RTWSControl - errMsg - got error message 399:Order Message:
SELL 24 GBP MAR'15
Warning: your order will not be placed at the exchange until 2015-01-30 08:30:00 US/Centralwith id 1305</t>
  </si>
  <si>
    <t>2015-1-30 10:35:52.790: RTWSControl - errMsg - Got Error_x000D_id: 1305_x000D_errorCode: 399_x000D_errorMsg: Order Message:
SELL 24 GBP MAR'15
Warning: your order will not be placed at the exchange until 2015-01-30 08:30:00 US/Central</t>
  </si>
  <si>
    <t>2015-1-30 10:35:52.799: openOrderEx - I am here</t>
  </si>
  <si>
    <t>2015-1-30 10:35:52.799: OrderManagerView - UpdateMainSheetOpenOrder - entering UpdateMainSheetOpenOrder order.status is In-Flight</t>
  </si>
  <si>
    <t>2015-1-30 10:35:52.831: RTWSControl - orderStatus -  entering orderStatus id is 1305 status is PreSubmitted</t>
  </si>
  <si>
    <t>2015-1-30 10:35:52.832: OrderManager - UpdateOrderStatus - id 1305 Setting status to PreSubmitted workingOrderCount is now 1 workingQty -316</t>
  </si>
  <si>
    <t>2015-1-30 10:35:52.832: OrderManagerView - UpdateMainSheetOpenOrder - entering UpdateMainSheetOpenOrder order.status is PreSubmitted</t>
  </si>
  <si>
    <t>2015-1-30 10:35:52.834: RTWSControl - OrderStatus - Got OrderStatus Message id:1305 status: PreSubmitted filled: 0</t>
  </si>
  <si>
    <t>2015-1-30 10:35:52.835: RTWSControl - OrderStatus - exiting orderStatus</t>
  </si>
  <si>
    <t>2015-1-30 10:35:52.848: openOrderEx - I am here</t>
  </si>
  <si>
    <t>2015-1-30 10:35:52.848: OrderManagerView - UpdateMainSheetOpenOrder - entering UpdateMainSheetOpenOrder order.status is PreSubmitted</t>
  </si>
  <si>
    <t>2015-1-30 10:35:52.876: RTWSControl - orderStatus -  entering orderStatus id is 1305 status is PreSubmitted</t>
  </si>
  <si>
    <t>2015-1-30 10:35:52.877: OrderManager - UpdateOrderStatus - id 1305 Setting status to PreSubmitted workingOrderCount is now 1 workingQty -316</t>
  </si>
  <si>
    <t>2015-1-30 10:35:52.878: OrderManagerView - UpdateMainSheetOpenOrder - entering UpdateMainSheetOpenOrder order.status is PreSubmitted</t>
  </si>
  <si>
    <t>2015-1-30 10:35:52.880: RTWSControl - OrderStatus - Got OrderStatus Message id:1305 status: PreSubmitted filled: 0</t>
  </si>
  <si>
    <t>2015-1-30 10:35:52.880: RTWSControl - OrderStatus - exiting orderStatus</t>
  </si>
  <si>
    <t>2015-1-30 10:35:57.187: OrderManagerView - UpdateMainSheetOpenOrder - entering UpdateMainSheetOpenOrder order.status is PreSubmitted</t>
  </si>
  <si>
    <t>2015-1-30 10:35:57.193: OrderManagerView - UpdateMainSheetOpenOrder - entering UpdateMainSheetOpenOrder order.status is PreSubmitted</t>
  </si>
  <si>
    <t>2015-1-30 10:36:8.621: OrderManager - cancelOrder - cancelling order id 1305</t>
  </si>
  <si>
    <t>2015-1-30 10:36:8.621: OrderManager - PlaceOrder - id 1306 workingQty -340</t>
  </si>
  <si>
    <t>2015-1-30 10:36:8.622: OrderManagerView - UpdateMainSheetOpenOrder - entering UpdateMainSheetOpenOrder order.status is In-Flight</t>
  </si>
  <si>
    <t>2015-1-30 10:36:8.624: OrderManager - sendOrder - exiting place order id 1306 SELL 24 1.5064  - workingQty -340 currentPosition is 21 workingOrderCount is 2</t>
  </si>
  <si>
    <t>2015-1-30 10:36:8.717: RTWSControl - nextValidId - entering nextValidId id is 1307</t>
  </si>
  <si>
    <t>2015-1-30 10:36:8.927: RTWSControl - orderStatus -  entering orderStatus id is 1305 status is Cancelled</t>
  </si>
  <si>
    <t>2015-1-30 10:36:8.928: OrderManager - UpdateOrderStatus - id 1305 Setting status to Cancelled workingOrderCount is now 2 workingQty -340</t>
  </si>
  <si>
    <t>2015-1-30 10:36:8.929: OrderManagerView - UpdateMainSheetOpenOrder - entering UpdateMainSheetOpenOrder order.status is Cancelled</t>
  </si>
  <si>
    <t>2015-1-30 10:36:8.933: RTWSControl - OrderStatus - Got OrderStatus Message id:1305 status: Cancelled filled: 0</t>
  </si>
  <si>
    <t>2015-1-30 10:36:8.933: RTWSControl - OrderStatus - exiting orderStatus</t>
  </si>
  <si>
    <t>2015-1-30 10:36:8.950: RTWSControl - errMsg - got error message 202:Order Canceled - reason:with id 1305</t>
  </si>
  <si>
    <t>2015-1-30 10:36:8.951: OrderManager - canceledOrder - cleaning up after canceled order 1305BEWARE UNACCOUNTED FOR EXECUTIONS!!!</t>
  </si>
  <si>
    <t>2015-1-30 10:36:8.951: OrderManager - terminateOrder - cleaning up after Canceled 1305  order was supposed to SELL 24 1.5066 STP LMT workingQty/OrderCount now -364/1</t>
  </si>
  <si>
    <t>2015-1-30 10:36:8.953: OrderManagerView - UpdateMainSheetOpenOrder - entering UpdateMainSheetOpenOrder order.status is Canceled</t>
  </si>
  <si>
    <t>2015-1-30 10:36:8.993: RTWSControl - errMsg - got error message 399:Order Message:
SELL 24 GBP MAR'15
Warning: your order will not be placed at the exchange until 2015-01-30 08:30:00 US/Centralwith id 1306</t>
  </si>
  <si>
    <t>2015-1-30 10:36:8.994: RTWSControl - errMsg - Got Error_x000D_id: 1306_x000D_errorCode: 399_x000D_errorMsg: Order Message:
SELL 24 GBP MAR'15
Warning: your order will not be placed at the exchange until 2015-01-30 08:30:00 US/Central</t>
  </si>
  <si>
    <t>2015-1-30 10:36:9.3: openOrderEx - I am here</t>
  </si>
  <si>
    <t>2015-1-30 10:36:9.4: OrderManagerView - UpdateMainSheetOpenOrder - entering UpdateMainSheetOpenOrder order.status is In-Flight</t>
  </si>
  <si>
    <t>2015-1-30 10:36:9.44: RTWSControl - orderStatus -  entering orderStatus id is 1306 status is PreSubmitted</t>
  </si>
  <si>
    <t>2015-1-30 10:36:9.44: OrderManager - UpdateOrderStatus - id 1306 Setting status to PreSubmitted workingOrderCount is now 1 workingQty -364</t>
  </si>
  <si>
    <t>2015-1-30 10:36:9.45: OrderManagerView - UpdateMainSheetOpenOrder - entering UpdateMainSheetOpenOrder order.status is PreSubmitted</t>
  </si>
  <si>
    <t>2015-1-30 10:36:9.47: RTWSControl - OrderStatus - Got OrderStatus Message id:1306 status: PreSubmitted filled: 0</t>
  </si>
  <si>
    <t>2015-1-30 10:36:9.48: RTWSControl - OrderStatus - exiting orderStatus</t>
  </si>
  <si>
    <t>2015-1-30 10:36:9.85: openOrderEx - I am here</t>
  </si>
  <si>
    <t>2015-1-30 10:36:9.85: OrderManagerView - UpdateMainSheetOpenOrder - entering UpdateMainSheetOpenOrder order.status is PreSubmitted</t>
  </si>
  <si>
    <t>2015-1-30 10:36:9.98: RTWSControl - orderStatus -  entering orderStatus id is 1306 status is PreSubmitted</t>
  </si>
  <si>
    <t>2015-1-30 10:36:9.99: OrderManager - UpdateOrderStatus - id 1306 Setting status to PreSubmitted workingOrderCount is now 1 workingQty -364</t>
  </si>
  <si>
    <t>2015-1-30 10:36:9.99: OrderManagerView - UpdateMainSheetOpenOrder - entering UpdateMainSheetOpenOrder order.status is PreSubmitted</t>
  </si>
  <si>
    <t>2015-1-30 10:36:9.101: RTWSControl - OrderStatus - Got OrderStatus Message id:1306 status: PreSubmitted filled: 0</t>
  </si>
  <si>
    <t>2015-1-30 10:36:9.102: RTWSControl - OrderStatus - exiting orderStatus</t>
  </si>
  <si>
    <t>2015-1-30 10:36:9.133: OrderManager - cancelOrder - cancelling order id 1303</t>
  </si>
  <si>
    <t>2015-1-30 10:36:9.134: OrderManager - PlaceOrder - id 1307 workingQty -340</t>
  </si>
  <si>
    <t>2015-1-30 10:36:9.134: OrderManagerView - UpdateMainSheetOpenOrder - entering UpdateMainSheetOpenOrder order.status is In-Flight</t>
  </si>
  <si>
    <t>2015-1-30 10:36:9.136: OrderManager - sendOrder - exiting place order id 1307 BUY 24 1.5122  - workingQty -340 currentPosition is 21 workingOrderCount is 2</t>
  </si>
  <si>
    <t>2015-1-30 10:36:9.223: RTWSControl - nextValidId - entering nextValidId id is 1308</t>
  </si>
  <si>
    <t>2015-1-30 10:36:9.438: RTWSControl - orderStatus -  entering orderStatus id is 1303 status is Cancelled</t>
  </si>
  <si>
    <t>2015-1-30 10:36:9.439: OrderManager - UpdateOrderStatus - id 1303 Setting status to Cancelled workingOrderCount is now 2 workingQty -340</t>
  </si>
  <si>
    <t>2015-1-30 10:36:9.440: OrderManagerView - UpdateMainSheetOpenOrder - entering UpdateMainSheetOpenOrder order.status is Cancelled</t>
  </si>
  <si>
    <t>2015-1-30 10:36:9.444: RTWSControl - OrderStatus - Got OrderStatus Message id:1303 status: Cancelled filled: 0</t>
  </si>
  <si>
    <t>2015-1-30 10:36:9.445: RTWSControl - OrderStatus - exiting orderStatus</t>
  </si>
  <si>
    <t>2015-1-30 10:36:9.486: RTWSControl - errMsg - got error message 202:Order Canceled - reason:with id 1303</t>
  </si>
  <si>
    <t>2015-1-30 10:36:9.487: OrderManager - canceledOrder - cleaning up after canceled order 1303BEWARE UNACCOUNTED FOR EXECUTIONS!!!</t>
  </si>
  <si>
    <t>2015-1-30 10:36:9.488: OrderManager - terminateOrder - cleaning up after Canceled 1303  order was supposed to BUY 24 1.5124 STP LMT workingQty/OrderCount now -364/1</t>
  </si>
  <si>
    <t>2015-1-30 10:36:9.490: OrderManagerView - UpdateMainSheetOpenOrder - entering UpdateMainSheetOpenOrder order.status is Canceled</t>
  </si>
  <si>
    <t>2015-1-30 10:36:9.538: RTWSControl - errMsg - got error message 399:Order Message:
BUY 24 GBP MAR'15
Warning: your order will not be placed at the exchange until 2015-01-30 08:30:00 US/Centralwith id 1307</t>
  </si>
  <si>
    <t>2015-1-30 10:36:9.539: RTWSControl - errMsg - Got Error_x000D_id: 1307_x000D_errorCode: 399_x000D_errorMsg: Order Message:
BUY 24 GBP MAR'15
Warning: your order will not be placed at the exchange until 2015-01-30 08:30:00 US/Central</t>
  </si>
  <si>
    <t>2015-1-30 10:36:9.550: openOrderEx - I am here</t>
  </si>
  <si>
    <t>2015-1-30 10:36:9.550: OrderManagerView - UpdateMainSheetOpenOrder - entering UpdateMainSheetOpenOrder order.status is In-Flight</t>
  </si>
  <si>
    <t>2015-1-30 10:36:9.583: RTWSControl - orderStatus -  entering orderStatus id is 1307 status is PreSubmitted</t>
  </si>
  <si>
    <t>2015-1-30 10:36:9.583: OrderManager - UpdateOrderStatus - id 1307 Setting status to PreSubmitted workingOrderCount is now 1 workingQty -364</t>
  </si>
  <si>
    <t>2015-1-30 10:36:9.584: OrderManagerView - UpdateMainSheetOpenOrder - entering UpdateMainSheetOpenOrder order.status is PreSubmitted</t>
  </si>
  <si>
    <t>2015-1-30 10:36:9.586: RTWSControl - OrderStatus - Got OrderStatus Message id:1307 status: PreSubmitted filled: 0</t>
  </si>
  <si>
    <t>2015-1-30 10:36:9.587: RTWSControl - OrderStatus - exiting orderStatus</t>
  </si>
  <si>
    <t>2015-1-30 10:36:9.602: openOrderEx - I am here</t>
  </si>
  <si>
    <t>2015-1-30 10:36:9.602: OrderManagerView - UpdateMainSheetOpenOrder - entering UpdateMainSheetOpenOrder order.status is PreSubmitted</t>
  </si>
  <si>
    <t>2015-1-30 10:36:9.628: RTWSControl - orderStatus -  entering orderStatus id is 1307 status is PreSubmitted</t>
  </si>
  <si>
    <t>2015-1-30 10:36:9.628: OrderManager - UpdateOrderStatus - id 1307 Setting status to PreSubmitted workingOrderCount is now 1 workingQty -364</t>
  </si>
  <si>
    <t>2015-1-30 10:36:9.629: OrderManagerView - UpdateMainSheetOpenOrder - entering UpdateMainSheetOpenOrder order.status is PreSubmitted</t>
  </si>
  <si>
    <t>2015-1-30 10:36:9.632: RTWSControl - OrderStatus - Got OrderStatus Message id:1307 status: PreSubmitted filled: 0</t>
  </si>
  <si>
    <t>2015-1-30 10:36:9.632: RTWSControl - OrderStatus - exiting orderStatus</t>
  </si>
  <si>
    <t>2015-1-30 10:36:11.215: OrderManager - cancelOrder - cancelling order id 1307</t>
  </si>
  <si>
    <t>2015-1-30 10:36:11.215: OrderManager - PlaceOrder - id 1308 workingQty -337</t>
  </si>
  <si>
    <t>2015-1-30 10:36:11.215: OrderManagerView - UpdateMainSheetOpenOrder - entering UpdateMainSheetOpenOrder order.status is In-Flight</t>
  </si>
  <si>
    <t>2015-1-30 10:36:11.218: OrderManager - sendOrder - exiting place order id 1308 BUY 27 1.5128  - workingQty -337 currentPosition is 21 workingOrderCount is 2</t>
  </si>
  <si>
    <t>2015-1-30 10:36:11.218: OrderManager - cancelOrder - cancelling order id 1306</t>
  </si>
  <si>
    <t>2015-1-30 10:36:11.219: OrderManager - createOrder - exiting without creating order - did not have validID</t>
  </si>
  <si>
    <t>2015-1-30 10:36:11.646: RTWSControl - nextValidId - entering nextValidId id is 1309</t>
  </si>
  <si>
    <t>2015-1-30 10:36:11.671: RTWSControl - orderStatus -  entering orderStatus id is 1307 status is Cancelled</t>
  </si>
  <si>
    <t>2015-1-30 10:36:11.671: OrderManager - UpdateOrderStatus - id 1307 Setting status to Cancelled workingOrderCount is now 2 workingQty -337</t>
  </si>
  <si>
    <t>2015-1-30 10:36:11.672: OrderManagerView - UpdateMainSheetOpenOrder - entering UpdateMainSheetOpenOrder order.status is Cancelled</t>
  </si>
  <si>
    <t>2015-1-30 10:36:11.674: RTWSControl - OrderStatus - Got OrderStatus Message id:1307 status: Cancelled filled: 0</t>
  </si>
  <si>
    <t>2015-1-30 10:36:11.674: RTWSControl - OrderStatus - exiting orderStatus</t>
  </si>
  <si>
    <t>2015-1-30 10:36:11.684: RTWSControl - errMsg - got error message 202:Order Canceled - reason:with id 1307</t>
  </si>
  <si>
    <t>2015-1-30 10:36:11.685: OrderManager - canceledOrder - cleaning up after canceled order 1307BEWARE UNACCOUNTED FOR EXECUTIONS!!!</t>
  </si>
  <si>
    <t>2015-1-30 10:36:11.686: OrderManager - terminateOrder - cleaning up after Canceled 1307  order was supposed to BUY 24 1.5122 STP LMT workingQty/OrderCount now -361/1</t>
  </si>
  <si>
    <t>2015-1-30 10:36:11.688: OrderManagerView - UpdateMainSheetOpenOrder - entering UpdateMainSheetOpenOrder order.status is Canceled</t>
  </si>
  <si>
    <t>2015-1-30 10:36:11.712: OrderManager - cancelOrder - cancelling order id 1308</t>
  </si>
  <si>
    <t>2015-1-30 10:36:11.712: OrderManager - PlaceOrder - id 1309 workingQty -337</t>
  </si>
  <si>
    <t>2015-1-30 10:36:11.712: OrderManagerView - UpdateMainSheetOpenOrder - entering UpdateMainSheetOpenOrder order.status is In-Flight</t>
  </si>
  <si>
    <t>2015-1-30 10:36:11.713: OrderManagerView - findNextOORow - there are no available OpenOrderView Rows!!!!!!</t>
  </si>
  <si>
    <t>2015-1-30 10:36:11.715: OrderManager - sendOrder - exiting place order id 1309 BUY 24 1.5125  - workingQty -337 currentPosition is 21 workingOrderCount is 2</t>
  </si>
  <si>
    <t>2015-1-30 10:36:11.715: OrderManager - createOrder - exiting without creating order - did not have validID</t>
  </si>
  <si>
    <t>2015-1-30 10:36:11.830: RTWSControl - errMsg - got error message 399:Order Message:
BUY 27 GBP MAR'15
Warning: your order will not be placed at the exchange until 2015-01-30 08:30:00 US/Centralwith id 1308</t>
  </si>
  <si>
    <t>2015-1-30 10:36:11.831: RTWSControl - errMsg - Got Error_x000D_id: 1308_x000D_errorCode: 399_x000D_errorMsg: Order Message:
BUY 27 GBP MAR'15
Warning: your order will not be placed at the exchange until 2015-01-30 08:30:00 US/Central</t>
  </si>
  <si>
    <t>2015-1-30 10:36:11.840: openOrderEx - I am here</t>
  </si>
  <si>
    <t>2015-1-30 10:36:11.840: OrderManagerView - UpdateMainSheetOpenOrder - entering UpdateMainSheetOpenOrder order.status is In-Flight</t>
  </si>
  <si>
    <t>2015-1-30 10:36:11.873: RTWSControl - orderStatus -  entering orderStatus id is 1308 status is PreSubmitted</t>
  </si>
  <si>
    <t>2015-1-30 10:36:11.874: OrderManager - UpdateOrderStatus - id 1308 Setting status to PreSubmitted workingOrderCount is now 2 workingQty -337</t>
  </si>
  <si>
    <t>2015-1-30 10:36:11.875: OrderManagerView - UpdateMainSheetOpenOrder - entering UpdateMainSheetOpenOrder order.status is PreSubmitted</t>
  </si>
  <si>
    <t>2015-1-30 10:36:11.877: RTWSControl - OrderStatus - Got OrderStatus Message id:1308 status: PreSubmitted filled: 0</t>
  </si>
  <si>
    <t>2015-1-30 10:36:11.878: RTWSControl - OrderStatus - exiting orderStatus</t>
  </si>
  <si>
    <t>2015-1-30 10:36:11.887: RTWSControl - orderStatus -  entering orderStatus id is 1306 status is Cancelled</t>
  </si>
  <si>
    <t>2015-1-30 10:36:11.888: OrderManager - UpdateOrderStatus - id 1306 Setting status to Cancelled workingOrderCount is now 2 workingQty -337</t>
  </si>
  <si>
    <t>2015-1-30 10:36:11.888: OrderManagerView - UpdateMainSheetOpenOrder - entering UpdateMainSheetOpenOrder order.status is Cancelled</t>
  </si>
  <si>
    <t>2015-1-30 10:36:11.891: RTWSControl - OrderStatus - Got OrderStatus Message id:1306 status: Cancelled filled: 0</t>
  </si>
  <si>
    <t>2015-1-30 10:36:11.891: RTWSControl - OrderStatus - exiting orderStatus</t>
  </si>
  <si>
    <t>2015-1-30 10:36:11.919: RTWSControl - errMsg - got error message 202:Order Canceled - reason:with id 1306</t>
  </si>
  <si>
    <t>2015-1-30 10:36:11.920: OrderManager - canceledOrder - cleaning up after canceled order 1306BEWARE UNACCOUNTED FOR EXECUTIONS!!!</t>
  </si>
  <si>
    <t>2015-1-30 10:36:11.920: OrderManager - terminateOrder - cleaning up after Canceled 1306  order was supposed to SELL 24 1.5064 STP LMT workingQty/OrderCount now -361/1</t>
  </si>
  <si>
    <t>2015-1-30 10:36:11.922: OrderManagerView - UpdateMainSheetOpenOrder - entering UpdateMainSheetOpenOrder order.status is Canceled</t>
  </si>
  <si>
    <t>2015-1-30 10:36:11.959: openOrderEx - I am here</t>
  </si>
  <si>
    <t>2015-1-30 10:36:11.960: OrderManagerView - UpdateMainSheetOpenOrder - entering UpdateMainSheetOpenOrder order.status is PreSubmitted</t>
  </si>
  <si>
    <t>2015-1-30 10:36:11.972: RTWSControl - orderStatus -  entering orderStatus id is 1308 status is PreSubmitted</t>
  </si>
  <si>
    <t>2015-1-30 10:36:11.973: OrderManager - UpdateOrderStatus - id 1308 Setting status to PreSubmitted workingOrderCount is now 1 workingQty -361</t>
  </si>
  <si>
    <t>2015-1-30 10:36:11.973: OrderManagerView - UpdateMainSheetOpenOrder - entering UpdateMainSheetOpenOrder order.status is PreSubmitted</t>
  </si>
  <si>
    <t>2015-1-30 10:36:11.975: RTWSControl - OrderStatus - Got OrderStatus Message id:1308 status: PreSubmitted filled: 0</t>
  </si>
  <si>
    <t>2015-1-30 10:36:11.976: RTWSControl - OrderStatus - exiting orderStatus</t>
  </si>
  <si>
    <t>2015-1-30 10:36:12.2: RTWSControl - nextValidId - entering nextValidId id is 1310</t>
  </si>
  <si>
    <t>2015-1-30 10:36:12.8: RTWSControl - orderStatus -  entering orderStatus id is 1308 status is Cancelled</t>
  </si>
  <si>
    <t>2015-1-30 10:36:12.9: OrderManager - UpdateOrderStatus - id 1308 Setting status to Cancelled workingOrderCount is now 1 workingQty -361</t>
  </si>
  <si>
    <t>2015-1-30 10:36:12.9: OrderManagerView - UpdateMainSheetOpenOrder - entering UpdateMainSheetOpenOrder order.status is Cancelled</t>
  </si>
  <si>
    <t>2015-1-30 10:36:12.11: RTWSControl - OrderStatus - Got OrderStatus Message id:1308 status: Cancelled filled: 0</t>
  </si>
  <si>
    <t>2015-1-30 10:36:12.12: RTWSControl - OrderStatus - exiting orderStatus</t>
  </si>
  <si>
    <t>2015-1-30 10:36:12.43: RTWSControl - errMsg - got error message 202:Order Canceled - reason:with id 1308</t>
  </si>
  <si>
    <t>2015-1-30 10:36:12.44: OrderManager - canceledOrder - cleaning up after canceled order 1308BEWARE UNACCOUNTED FOR EXECUTIONS!!!</t>
  </si>
  <si>
    <t>2015-1-30 10:36:12.44: OrderManager - terminateOrder - cleaning up after Canceled 1308  order was supposed to BUY 27 1.5128 STP LMT workingQty/OrderCount now -388/0</t>
  </si>
  <si>
    <t>2015-1-30 10:36:12.47: OrderManagerView - UpdateMainSheetOpenOrder - entering UpdateMainSheetOpenOrder order.status is Canceled</t>
  </si>
  <si>
    <t>2015-1-30 10:36:13.56: OrderManagerView - UpdateMainSheetOpenOrder - entering UpdateMainSheetOpenOrder order.status is In-Flight</t>
  </si>
  <si>
    <t>2015-1-30 10:36:13.58: OrderManagerView - UpdateMainSheetOpenOrder - entering UpdateMainSheetOpenOrder order.status is Canceled</t>
  </si>
  <si>
    <t>2015-1-30 10:36:13.60: OrderManagerView - UpdateMainSheetOpenOrder - entering UpdateMainSheetOpenOrder order.status is Canceled</t>
  </si>
  <si>
    <t>2015-1-30 10:36:13.61: OrderManagerView - UpdateMainSheetOpenOrder - entering UpdateMainSheetOpenOrder order.status is Canceled</t>
  </si>
  <si>
    <t>2015-1-30 10:36:13.62: OrderManagerView - UpdateMainSheetOpenOrder - entering UpdateMainSheetOpenOrder order.status is Canceled</t>
  </si>
  <si>
    <t>2015-1-30 10:36:13.327: RTWSControl - errMsg - got error message 399:Order Message:
BUY 24 GBP MAR'15
Warning: your order will not be placed at the exchange until 2015-01-30 08:30:00 US/Centralwith id 1309</t>
  </si>
  <si>
    <t>2015-1-30 10:36:13.328: RTWSControl - errMsg - Got Error_x000D_id: 1309_x000D_errorCode: 399_x000D_errorMsg: Order Message:
BUY 24 GBP MAR'15
Warning: your order will not be placed at the exchange until 2015-01-30 08:30:00 US/Central</t>
  </si>
  <si>
    <t>2015-1-30 10:36:13.337: openOrderEx - I am here</t>
  </si>
  <si>
    <t>2015-1-30 10:36:13.338: OrderManagerView - UpdateMainSheetOpenOrder - entering UpdateMainSheetOpenOrder order.status is In-Flight</t>
  </si>
  <si>
    <t>2015-1-30 10:36:13.373: RTWSControl - orderStatus -  entering orderStatus id is 1309 status is PreSubmitted</t>
  </si>
  <si>
    <t>2015-1-30 10:36:13.374: OrderManager - UpdateOrderStatus - id 1309 Setting status to PreSubmitted workingOrderCount is now 0 workingQty -388</t>
  </si>
  <si>
    <t>2015-1-30 10:36:13.374: OrderManagerView - UpdateMainSheetOpenOrder - entering UpdateMainSheetOpenOrder order.status is PreSubmitted</t>
  </si>
  <si>
    <t>2015-1-30 10:36:13.377: RTWSControl - OrderStatus - Got OrderStatus Message id:1309 status: PreSubmitted filled: 0</t>
  </si>
  <si>
    <t>2015-1-30 10:36:13.377: RTWSControl - OrderStatus - exiting orderStatus</t>
  </si>
  <si>
    <t>2015-1-30 10:36:13.390: openOrderEx - I am here</t>
  </si>
  <si>
    <t>2015-1-30 10:36:13.391: OrderManagerView - UpdateMainSheetOpenOrder - entering UpdateMainSheetOpenOrder order.status is PreSubmitted</t>
  </si>
  <si>
    <t>2015-1-30 10:36:13.419: RTWSControl - orderStatus -  entering orderStatus id is 1309 status is PreSubmitted</t>
  </si>
  <si>
    <t>2015-1-30 10:36:13.420: OrderManager - UpdateOrderStatus - id 1309 Setting status to PreSubmitted workingOrderCount is now 0 workingQty -388</t>
  </si>
  <si>
    <t>2015-1-30 10:36:13.420: OrderManagerView - UpdateMainSheetOpenOrder - entering UpdateMainSheetOpenOrder order.status is PreSubmitted</t>
  </si>
  <si>
    <t>2015-1-30 10:36:13.422: RTWSControl - OrderStatus - Got OrderStatus Message id:1309 status: PreSubmitted filled: 0</t>
  </si>
  <si>
    <t>2015-1-30 10:36:13.423: RTWSControl - OrderStatus - exiting orderStatus</t>
  </si>
  <si>
    <t>2015-1-30 10:36:14.158: OrderManagerView - UpdateMainSheetOpenOrder - entering UpdateMainSheetOpenOrder order.status is PreSubmitted</t>
  </si>
  <si>
    <t>2015-1-30 10:36:14.164: OrderManagerView - UpdateMainSheetOpenOrder - entering UpdateMainSheetOpenOrder order.status is Canceled</t>
  </si>
  <si>
    <t>2015-1-30 10:36:15.870: OrderManager - cancelOrder - cancelling order id 1309</t>
  </si>
  <si>
    <t>2015-1-30 10:36:15.871: OrderManager - PlaceOrder - id 1310 workingQty -362</t>
  </si>
  <si>
    <t>2015-1-30 10:36:15.873: OrderManagerView - UpdateMainSheetOpenOrder - entering UpdateMainSheetOpenOrder order.status is In-Flight</t>
  </si>
  <si>
    <t>2015-1-30 10:36:15.880: OrderManager - sendOrder - exiting place order id 1310 BUY 26 1.5126  - workingQty -362 currentPosition is 21 workingOrderCount is 1</t>
  </si>
  <si>
    <t>2015-1-30 10:36:15.882: OrderManager - createOrder - exiting without creating order - did not have validID</t>
  </si>
  <si>
    <t>2015-1-30 10:36:16.41: OrderManagerView - UpdateMainSheetOpenOrder - entering UpdateMainSheetOpenOrder order.status is PreSubmitted</t>
  </si>
  <si>
    <t>2015-1-30 10:36:16.43: OrderManagerView - UpdateMainSheetOpenOrder - entering UpdateMainSheetOpenOrder order.status is In-Flight</t>
  </si>
  <si>
    <t>2015-1-30 10:36:16.48: OrderManagerView - UpdateMainSheetOpenOrder - entering UpdateMainSheetOpenOrder order.status is PreSubmitted</t>
  </si>
  <si>
    <t>2015-1-30 10:36:16.49: OrderManagerView - UpdateMainSheetOpenOrder - entering UpdateMainSheetOpenOrder order.status is In-Flight</t>
  </si>
  <si>
    <t>2015-1-30 10:36:16.54: RTWSControl - nextValidId - entering nextValidId id is 1311</t>
  </si>
  <si>
    <t>2015-1-30 10:36:16.176: RTWSControl - orderStatus -  entering orderStatus id is 1309 status is Cancelled</t>
  </si>
  <si>
    <t>2015-1-30 10:36:16.178: OrderManager - UpdateOrderStatus - id 1309 Setting status to Cancelled workingOrderCount is now 1 workingQty -362</t>
  </si>
  <si>
    <t>2015-1-30 10:36:16.180: OrderManagerView - UpdateMainSheetOpenOrder - entering UpdateMainSheetOpenOrder order.status is Cancelled</t>
  </si>
  <si>
    <t>2015-1-30 10:36:16.190: RTWSControl - OrderStatus - Got OrderStatus Message id:1309 status: Cancelled filled: 0</t>
  </si>
  <si>
    <t>2015-1-30 10:36:16.192: RTWSControl - OrderStatus - exiting orderStatus</t>
  </si>
  <si>
    <t>2015-1-30 10:36:16.237: RTWSControl - errMsg - got error message 202:Order Canceled - reason:with id 1309</t>
  </si>
  <si>
    <t>2015-1-30 10:36:16.238: OrderManager - canceledOrder - cleaning up after canceled order 1309BEWARE UNACCOUNTED FOR EXECUTIONS!!!</t>
  </si>
  <si>
    <t>2015-1-30 10:36:16.239: OrderManager - terminateOrder - cleaning up after Canceled 1309  order was supposed to BUY 24 1.5125 STP LMT workingQty/OrderCount now -386/0</t>
  </si>
  <si>
    <t>2015-1-30 10:36:16.243: OrderManagerView - UpdateMainSheetOpenOrder - entering UpdateMainSheetOpenOrder order.status is Canceled</t>
  </si>
  <si>
    <t>2015-1-30 10:36:16.290: RTWSControl - errMsg - got error message 399:Order Message:
BUY 26 GBP MAR'15
Warning: your order will not be placed at the exchange until 2015-01-30 08:30:00 US/Centralwith id 1310</t>
  </si>
  <si>
    <t>2015-1-30 10:36:16.291: RTWSControl - errMsg - Got Error_x000D_id: 1310_x000D_errorCode: 399_x000D_errorMsg: Order Message:
BUY 26 GBP MAR'15
Warning: your order will not be placed at the exchange until 2015-01-30 08:30:00 US/Central</t>
  </si>
  <si>
    <t>2015-1-30 10:36:16.302: openOrderEx - I am here</t>
  </si>
  <si>
    <t>2015-1-30 10:36:16.302: OrderManagerView - UpdateMainSheetOpenOrder - entering UpdateMainSheetOpenOrder order.status is In-Flight</t>
  </si>
  <si>
    <t>2015-1-30 10:36:16.334: RTWSControl - orderStatus -  entering orderStatus id is 1310 status is PreSubmitted</t>
  </si>
  <si>
    <t>2015-1-30 10:36:16.335: OrderManager - UpdateOrderStatus - id 1310 Setting status to PreSubmitted workingOrderCount is now 0 workingQty -386</t>
  </si>
  <si>
    <t>2015-1-30 10:36:16.335: OrderManagerView - UpdateMainSheetOpenOrder - entering UpdateMainSheetOpenOrder order.status is PreSubmitted</t>
  </si>
  <si>
    <t>2015-1-30 10:36:16.338: RTWSControl - OrderStatus - Got OrderStatus Message id:1310 status: PreSubmitted filled: 0</t>
  </si>
  <si>
    <t>2015-1-30 10:36:16.338: RTWSControl - OrderStatus - exiting orderStatus</t>
  </si>
  <si>
    <t>2015-1-30 10:36:16.352: openOrderEx - I am here</t>
  </si>
  <si>
    <t>2015-1-30 10:36:16.353: OrderManagerView - UpdateMainSheetOpenOrder - entering UpdateMainSheetOpenOrder order.status is PreSubmitted</t>
  </si>
  <si>
    <t>2015-1-30 10:36:16.378: RTWSControl - orderStatus -  entering orderStatus id is 1310 status is PreSubmitted</t>
  </si>
  <si>
    <t>2015-1-30 10:36:16.379: OrderManager - UpdateOrderStatus - id 1310 Setting status to PreSubmitted workingOrderCount is now 0 workingQty -386</t>
  </si>
  <si>
    <t>2015-1-30 10:36:16.379: OrderManagerView - UpdateMainSheetOpenOrder - entering UpdateMainSheetOpenOrder order.status is PreSubmitted</t>
  </si>
  <si>
    <t>2015-1-30 10:36:16.382: RTWSControl - OrderStatus - Got OrderStatus Message id:1310 status: PreSubmitted filled: 0</t>
  </si>
  <si>
    <t>2015-1-30 10:36:16.382: RTWSControl - OrderStatus - exiting orderStatus</t>
  </si>
  <si>
    <t>2015-1-30 10:36:17.154: OrderManagerView - UpdateMainSheetOpenOrder - entering UpdateMainSheetOpenOrder order.status is PreSubmitted</t>
  </si>
  <si>
    <t>2015-1-30 10:36:18.0: OrderManagerView - UpdateMainSheetOpenOrder - entering UpdateMainSheetOpenOrder order.status is PreSubmitted</t>
  </si>
  <si>
    <t>2015-1-30 10:36:18.6: OrderManagerView - UpdateMainSheetOpenOrder - entering UpdateMainSheetOpenOrder order.status is PreSubmitted</t>
  </si>
  <si>
    <t>2015-1-30 10:36:18.12: OrderManagerView - UpdateMainSheetOpenOrder - entering UpdateMainSheetOpenOrder order.status is PreSubmitted</t>
  </si>
  <si>
    <t>2015-1-30 10:36:18.17: OrderManagerView - UpdateMainSheetOpenOrder - entering UpdateMainSheetOpenOrder order.status is PreSubmitted</t>
  </si>
  <si>
    <t>2015-1-30 10:36:19.146: OrderManagerView - UpdateMainSheetOpenOrder - entering UpdateMainSheetOpenOrder order.status is PreSubmitted</t>
  </si>
  <si>
    <t>2015-1-30 10:36:19.778: OrderManager - PlaceOrder - id 1311 workingQty -412</t>
  </si>
  <si>
    <t>2015-1-30 10:36:19.779: OrderManagerView - UpdateMainSheetOpenOrder - entering UpdateMainSheetOpenOrder order.status is In-Flight</t>
  </si>
  <si>
    <t>2015-1-30 10:36:19.788: OrderManager - sendOrder - exiting place order id 1311 SELL 26 1.5065  - workingQty -412 currentPosition is 21 workingOrderCount is 1</t>
  </si>
  <si>
    <t>2015-1-30 10:36:19.929: RTWSControl - nextValidId - entering nextValidId id is 1312</t>
  </si>
  <si>
    <t>2015-1-30 10:36:20.52: RTWSControl - errMsg - got error message 399:Order Message:
SELL 26 GBP MAR'15
Warning: your order will not be placed at the exchange until 2015-01-30 08:30:00 US/Centralwith id 1311</t>
  </si>
  <si>
    <t>2015-1-30 10:36:20.53: RTWSControl - errMsg - Got Error_x000D_id: 1311_x000D_errorCode: 399_x000D_errorMsg: Order Message:
SELL 26 GBP MAR'15
Warning: your order will not be placed at the exchange until 2015-01-30 08:30:00 US/Central</t>
  </si>
  <si>
    <t>2015-1-30 10:36:20.62: openOrderEx - I am here</t>
  </si>
  <si>
    <t>2015-1-30 10:36:20.62: OrderManagerView - UpdateMainSheetOpenOrder - entering UpdateMainSheetOpenOrder order.status is In-Flight</t>
  </si>
  <si>
    <t>2015-1-30 10:36:20.115: RTWSControl - orderStatus -  entering orderStatus id is 1311 status is PreSubmitted</t>
  </si>
  <si>
    <t>2015-1-30 10:36:20.115: OrderManager - UpdateOrderStatus - id 1311 Setting status to PreSubmitted workingOrderCount is now 1 workingQty -412</t>
  </si>
  <si>
    <t>2015-1-30 10:36:20.116: OrderManagerView - UpdateMainSheetOpenOrder - entering UpdateMainSheetOpenOrder order.status is PreSubmitted</t>
  </si>
  <si>
    <t>2015-1-30 10:36:20.118: RTWSControl - OrderStatus - Got OrderStatus Message id:1311 status: PreSubmitted filled: 0</t>
  </si>
  <si>
    <t>2015-1-30 10:36:20.118: RTWSControl - OrderStatus - exiting orderStatus</t>
  </si>
  <si>
    <t>2015-1-30 10:36:20.499: openOrderEx - I am here</t>
  </si>
  <si>
    <t>2015-1-30 10:36:20.500: OrderManagerView - UpdateMainSheetOpenOrder - entering UpdateMainSheetOpenOrder order.status is PreSubmitted</t>
  </si>
  <si>
    <t>2015-1-30 10:36:20.513: RTWSControl - orderStatus -  entering orderStatus id is 1311 status is PreSubmitted</t>
  </si>
  <si>
    <t>2015-1-30 10:36:20.514: OrderManager - UpdateOrderStatus - id 1311 Setting status to PreSubmitted workingOrderCount is now 1 workingQty -412</t>
  </si>
  <si>
    <t>2015-1-30 10:36:20.514: OrderManagerView - UpdateMainSheetOpenOrder - entering UpdateMainSheetOpenOrder order.status is PreSubmitted</t>
  </si>
  <si>
    <t>2015-1-30 10:36:20.517: RTWSControl - OrderStatus - Got OrderStatus Message id:1311 status: PreSubmitted filled: 0</t>
  </si>
  <si>
    <t>2015-1-30 10:36:20.517: RTWSControl - OrderStatus - exiting orderStatus</t>
  </si>
  <si>
    <t>2015-1-30 10:36:21.76: OrderManagerView - UpdateMainSheetOpenOrder - entering UpdateMainSheetOpenOrder order.status is PreSubmitted</t>
  </si>
  <si>
    <t>2015-1-30 10:36:21.79: OrderManagerView - UpdateMainSheetOpenOrder - entering UpdateMainSheetOpenOrder order.status is PreSubmitted</t>
  </si>
  <si>
    <t>2015-1-30 10:36:41.806: OrderManager - cancelOrder - cancelling order id 1310</t>
  </si>
  <si>
    <t>2015-1-30 10:36:41.807: OrderManager - PlaceOrder - id 1312 workingQty -387</t>
  </si>
  <si>
    <t>2015-1-30 10:36:41.807: OrderManagerView - UpdateMainSheetOpenOrder - entering UpdateMainSheetOpenOrder order.status is In-Flight</t>
  </si>
  <si>
    <t>2015-1-30 10:36:41.810: OrderManager - sendOrder - exiting place order id 1312 BUY 25 1.5124  - workingQty -387 currentPosition is 21 workingOrderCount is 2</t>
  </si>
  <si>
    <t>2015-1-30 10:36:42.1: RTWSControl - nextValidId - entering nextValidId id is 1313</t>
  </si>
  <si>
    <t>2015-1-30 10:36:42.20: RTWSControl - orderStatus -  entering orderStatus id is 1310 status is Cancelled</t>
  </si>
  <si>
    <t>2015-1-30 10:36:42.21: OrderManager - UpdateOrderStatus - id 1310 Setting status to Cancelled workingOrderCount is now 2 workingQty -387</t>
  </si>
  <si>
    <t>2015-1-30 10:36:42.21: OrderManagerView - UpdateMainSheetOpenOrder - entering UpdateMainSheetOpenOrder order.status is Cancelled</t>
  </si>
  <si>
    <t>2015-1-30 10:36:42.24: RTWSControl - OrderStatus - Got OrderStatus Message id:1310 status: Cancelled filled: 0</t>
  </si>
  <si>
    <t>2015-1-30 10:36:42.24: RTWSControl - OrderStatus - exiting orderStatus</t>
  </si>
  <si>
    <t>2015-1-30 10:36:42.41: RTWSControl - errMsg - got error message 202:Order Canceled - reason:with id 1310</t>
  </si>
  <si>
    <t>2015-1-30 10:36:42.42: OrderManager - canceledOrder - cleaning up after canceled order 1310BEWARE UNACCOUNTED FOR EXECUTIONS!!!</t>
  </si>
  <si>
    <t>2015-1-30 10:36:42.43: OrderManager - terminateOrder - cleaning up after Canceled 1310  order was supposed to BUY 26 1.5126 STP LMT workingQty/OrderCount now -413/1</t>
  </si>
  <si>
    <t>2015-1-30 10:36:42.44: OrderManagerView - UpdateMainSheetOpenOrder - entering UpdateMainSheetOpenOrder order.status is Canceled</t>
  </si>
  <si>
    <t>2015-1-30 10:36:42.994: RTWSControl - errMsg - got error message 399:Order Message:
BUY 25 GBP MAR'15
Warning: your order will not be placed at the exchange until 2015-01-30 08:30:00 US/Centralwith id 1312</t>
  </si>
  <si>
    <t>2015-1-30 10:36:42.995: RTWSControl - errMsg - Got Error_x000D_id: 1312_x000D_errorCode: 399_x000D_errorMsg: Order Message:
BUY 25 GBP MAR'15
Warning: your order will not be placed at the exchange until 2015-01-30 08:30:00 US/Central</t>
  </si>
  <si>
    <t>2015-1-30 10:36:43.4: openOrderEx - I am here</t>
  </si>
  <si>
    <t>2015-1-30 10:36:43.5: OrderManagerView - UpdateMainSheetOpenOrder - entering UpdateMainSheetOpenOrder order.status is In-Flight</t>
  </si>
  <si>
    <t>2015-1-30 10:36:43.40: RTWSControl - orderStatus -  entering orderStatus id is 1312 status is PreSubmitted</t>
  </si>
  <si>
    <t>2015-1-30 10:36:43.41: OrderManager - UpdateOrderStatus - id 1312 Setting status to PreSubmitted workingOrderCount is now 1 workingQty -413</t>
  </si>
  <si>
    <t>2015-1-30 10:36:43.41: OrderManagerView - UpdateMainSheetOpenOrder - entering UpdateMainSheetOpenOrder order.status is PreSubmitted</t>
  </si>
  <si>
    <t>2015-1-30 10:36:43.44: RTWSControl - OrderStatus - Got OrderStatus Message id:1312 status: PreSubmitted filled: 0</t>
  </si>
  <si>
    <t>2015-1-30 10:36:43.44: RTWSControl - OrderStatus - exiting orderStatus</t>
  </si>
  <si>
    <t>2015-1-30 10:36:43.57: openOrderEx - I am here</t>
  </si>
  <si>
    <t>2015-1-30 10:36:43.57: OrderManagerView - UpdateMainSheetOpenOrder - entering UpdateMainSheetOpenOrder order.status is PreSubmitted</t>
  </si>
  <si>
    <t>2015-1-30 10:36:43.87: RTWSControl - orderStatus -  entering orderStatus id is 1312 status is PreSubmitted</t>
  </si>
  <si>
    <t>2015-1-30 10:36:43.88: OrderManager - UpdateOrderStatus - id 1312 Setting status to PreSubmitted workingOrderCount is now 1 workingQty -413</t>
  </si>
  <si>
    <t>2015-1-30 10:36:43.88: OrderManagerView - UpdateMainSheetOpenOrder - entering UpdateMainSheetOpenOrder order.status is PreSubmitted</t>
  </si>
  <si>
    <t>2015-1-30 10:36:43.90: RTWSControl - OrderStatus - Got OrderStatus Message id:1312 status: PreSubmitted filled: 0</t>
  </si>
  <si>
    <t>2015-1-30 10:36:43.91: RTWSControl - OrderStatus - exiting orderStatus</t>
  </si>
  <si>
    <t>2015-1-30 10:36:43.250: OrderManager - cancelOrder - cancelling order id 1312</t>
  </si>
  <si>
    <t>2015-1-30 10:36:43.250: OrderManager - PlaceOrder - id 1313 workingQty -387</t>
  </si>
  <si>
    <t>2015-1-30 10:36:43.250: OrderManagerView - UpdateMainSheetOpenOrder - entering UpdateMainSheetOpenOrder order.status is In-Flight</t>
  </si>
  <si>
    <t>2015-1-30 10:36:43.252: OrderManager - sendOrder - exiting place order id 1313 BUY 26 1.5127  - workingQty -387 currentPosition is 21 workingOrderCount is 2</t>
  </si>
  <si>
    <t>2015-1-30 10:36:43.461: RTWSControl - nextValidId - entering nextValidId id is 1314</t>
  </si>
  <si>
    <t>2015-1-30 10:36:43.558: RTWSControl - orderStatus -  entering orderStatus id is 1312 status is Cancelled</t>
  </si>
  <si>
    <t>2015-1-30 10:36:43.559: OrderManager - UpdateOrderStatus - id 1312 Setting status to Cancelled workingOrderCount is now 2 workingQty -387</t>
  </si>
  <si>
    <t>2015-1-30 10:36:43.560: OrderManagerView - UpdateMainSheetOpenOrder - entering UpdateMainSheetOpenOrder order.status is Cancelled</t>
  </si>
  <si>
    <t>2015-1-30 10:36:43.563: RTWSControl - OrderStatus - Got OrderStatus Message id:1312 status: Cancelled filled: 0</t>
  </si>
  <si>
    <t>2015-1-30 10:36:43.563: RTWSControl - OrderStatus - exiting orderStatus</t>
  </si>
  <si>
    <t>2015-1-30 10:36:43.609: RTWSControl - errMsg - got error message 202:Order Canceled - reason:with id 1312</t>
  </si>
  <si>
    <t>2015-1-30 10:36:43.610: OrderManager - canceledOrder - cleaning up after canceled order 1312BEWARE UNACCOUNTED FOR EXECUTIONS!!!</t>
  </si>
  <si>
    <t>2015-1-30 10:36:43.611: OrderManager - terminateOrder - cleaning up after Canceled 1312  order was supposed to BUY 25 1.5124 STP LMT workingQty/OrderCount now -412/1</t>
  </si>
  <si>
    <t>2015-1-30 10:36:43.614: OrderManagerView - UpdateMainSheetOpenOrder - entering UpdateMainSheetOpenOrder order.status is Canceled</t>
  </si>
  <si>
    <t>2015-1-30 10:36:43.664: RTWSControl - errMsg - got error message 399:Order Message:
BUY 26 GBP MAR'15
Warning: your order will not be placed at the exchange until 2015-01-30 08:30:00 US/Centralwith id 1313</t>
  </si>
  <si>
    <t>2015-1-30 10:36:43.665: RTWSControl - errMsg - Got Error_x000D_id: 1313_x000D_errorCode: 399_x000D_errorMsg: Order Message:
BUY 26 GBP MAR'15
Warning: your order will not be placed at the exchange until 2015-01-30 08:30:00 US/Central</t>
  </si>
  <si>
    <t>2015-1-30 10:36:43.674: openOrderEx - I am here</t>
  </si>
  <si>
    <t>2015-1-30 10:36:43.674: OrderManagerView - UpdateMainSheetOpenOrder - entering UpdateMainSheetOpenOrder order.status is In-Flight</t>
  </si>
  <si>
    <t>2015-1-30 10:36:43.707: RTWSControl - orderStatus -  entering orderStatus id is 1313 status is PreSubmitted</t>
  </si>
  <si>
    <t>2015-1-30 10:36:43.708: OrderManager - UpdateOrderStatus - id 1313 Setting status to PreSubmitted workingOrderCount is now 1 workingQty -412</t>
  </si>
  <si>
    <t>2015-1-30 10:36:43.708: OrderManagerView - UpdateMainSheetOpenOrder - entering UpdateMainSheetOpenOrder order.status is PreSubmitted</t>
  </si>
  <si>
    <t>2015-1-30 10:36:43.711: RTWSControl - OrderStatus - Got OrderStatus Message id:1313 status: PreSubmitted filled: 0</t>
  </si>
  <si>
    <t>2015-1-30 10:36:43.711: RTWSControl - OrderStatus - exiting orderStatus</t>
  </si>
  <si>
    <t>2015-1-30 10:36:43.724: openOrderEx - I am here</t>
  </si>
  <si>
    <t>2015-1-30 10:36:43.724: OrderManagerView - UpdateMainSheetOpenOrder - entering UpdateMainSheetOpenOrder order.status is PreSubmitted</t>
  </si>
  <si>
    <t>2015-1-30 10:36:43.752: RTWSControl - orderStatus -  entering orderStatus id is 1313 status is PreSubmitted</t>
  </si>
  <si>
    <t>2015-1-30 10:36:43.753: OrderManager - UpdateOrderStatus - id 1313 Setting status to PreSubmitted workingOrderCount is now 1 workingQty -412</t>
  </si>
  <si>
    <t>2015-1-30 10:36:43.754: OrderManagerView - UpdateMainSheetOpenOrder - entering UpdateMainSheetOpenOrder order.status is PreSubmitted</t>
  </si>
  <si>
    <t>2015-1-30 10:36:43.756: RTWSControl - OrderStatus - Got OrderStatus Message id:1313 status: PreSubmitted filled: 0</t>
  </si>
  <si>
    <t>2015-1-30 10:36:43.756: RTWSControl - OrderStatus - exiting orderStatus</t>
  </si>
  <si>
    <t>2015-1-30 10:36:47.106: OrderManagerView - UpdateMainSheetOpenOrder - entering UpdateMainSheetOpenOrder order.status is PreSubmitted</t>
  </si>
  <si>
    <t>2015-1-30 10:36:47.115: OrderManagerView - UpdateMainSheetOpenOrder - entering UpdateMainSheetOpenOrder order.status is Canceled</t>
  </si>
  <si>
    <t>2015-1-30 10:36:47.119: OrderManagerView - UpdateMainSheetOpenOrder - entering UpdateMainSheetOpenOrder order.status is PreSubmitted</t>
  </si>
  <si>
    <t>2015-1-30 10:36:47.124: OrderManagerView - UpdateMainSheetOpenOrder - entering UpdateMainSheetOpenOrder order.status is PreSubmitted</t>
  </si>
  <si>
    <t>2015-1-30 10:36:48.50: OrderManagerView - UpdateMainSheetOpenOrder - entering UpdateMainSheetOpenOrder order.status is PreSubmitted</t>
  </si>
  <si>
    <t>2015-1-30 10:36:48.52: OrderManagerView - UpdateMainSheetOpenOrder - entering UpdateMainSheetOpenOrder order.status is PreSubmitted</t>
  </si>
  <si>
    <t>2015-1-30 10:36:52.98: OrderManagerView - UpdateMainSheetOpenOrder - entering UpdateMainSheetOpenOrder order.status is PreSubmitted</t>
  </si>
  <si>
    <t>2015-1-30 10:36:52.105: OrderManagerView - UpdateMainSheetOpenOrder - entering UpdateMainSheetOpenOrder order.status is PreSubmitted</t>
  </si>
  <si>
    <t>2015-1-30 10:37:10.79: OrderManager - cancelOrder - cancelling order id 1313</t>
  </si>
  <si>
    <t>2015-1-30 10:37:10.80: OrderManager - PlaceOrder - id 1314 workingQty -387</t>
  </si>
  <si>
    <t>2015-1-30 10:37:10.82: OrderManagerView - UpdateMainSheetOpenOrder - entering UpdateMainSheetOpenOrder order.status is In-Flight</t>
  </si>
  <si>
    <t>2015-1-30 10:37:10.90: OrderManager - sendOrder - exiting place order id 1314 BUY 25 1.5125  - workingQty -387 currentPosition is 21 workingOrderCount is 2</t>
  </si>
  <si>
    <t>2015-1-30 10:37:10.471: RTWSControl - nextValidId - entering nextValidId id is 1315</t>
  </si>
  <si>
    <t>2015-1-30 10:37:10.477: RTWSControl - orderStatus -  entering orderStatus id is 1313 status is Cancelled</t>
  </si>
  <si>
    <t>2015-1-30 10:37:10.478: OrderManager - UpdateOrderStatus - id 1313 Setting status to Cancelled workingOrderCount is now 2 workingQty -387</t>
  </si>
  <si>
    <t>2015-1-30 10:37:10.478: OrderManagerView - UpdateMainSheetOpenOrder - entering UpdateMainSheetOpenOrder order.status is Cancelled</t>
  </si>
  <si>
    <t>2015-1-30 10:37:10.481: RTWSControl - OrderStatus - Got OrderStatus Message id:1313 status: Cancelled filled: 0</t>
  </si>
  <si>
    <t>2015-1-30 10:37:10.482: RTWSControl - OrderStatus - exiting orderStatus</t>
  </si>
  <si>
    <t>2015-1-30 10:37:10.504: RTWSControl - errMsg - got error message 202:Order Canceled - reason:with id 1313</t>
  </si>
  <si>
    <t>2015-1-30 10:37:10.505: OrderManager - canceledOrder - cleaning up after canceled order 1313BEWARE UNACCOUNTED FOR EXECUTIONS!!!</t>
  </si>
  <si>
    <t>2015-1-30 10:37:10.505: OrderManager - terminateOrder - cleaning up after Canceled 1313  order was supposed to BUY 26 1.5127 STP LMT workingQty/OrderCount now -413/1</t>
  </si>
  <si>
    <t>2015-1-30 10:37:10.506: OrderManagerView - UpdateMainSheetOpenOrder - entering UpdateMainSheetOpenOrder order.status is Canceled</t>
  </si>
  <si>
    <t>2015-1-30 10:37:10.543: RTWSControl - errMsg - got error message 399:Order Message:
BUY 25 GBP MAR'15
Warning: your order will not be placed at the exchange until 2015-01-30 08:30:00 US/Centralwith id 1314</t>
  </si>
  <si>
    <t>2015-1-30 10:37:10.544: RTWSControl - errMsg - Got Error_x000D_id: 1314_x000D_errorCode: 399_x000D_errorMsg: Order Message:
BUY 25 GBP MAR'15
Warning: your order will not be placed at the exchange until 2015-01-30 08:30:00 US/Central</t>
  </si>
  <si>
    <t>2015-1-30 10:37:10.564: openOrderEx - I am here</t>
  </si>
  <si>
    <t>2015-1-30 10:37:10.564: OrderManagerView - UpdateMainSheetOpenOrder - entering UpdateMainSheetOpenOrder order.status is In-Flight</t>
  </si>
  <si>
    <t>2015-1-30 10:37:10.577: RTWSControl - orderStatus -  entering orderStatus id is 1314 status is PreSubmitted</t>
  </si>
  <si>
    <t>2015-1-30 10:37:10.577: OrderManager - UpdateOrderStatus - id 1314 Setting status to PreSubmitted workingOrderCount is now 1 workingQty -413</t>
  </si>
  <si>
    <t>2015-1-30 10:37:10.578: OrderManagerView - UpdateMainSheetOpenOrder - entering UpdateMainSheetOpenOrder order.status is PreSubmitted</t>
  </si>
  <si>
    <t>2015-1-30 10:37:10.580: RTWSControl - OrderStatus - Got OrderStatus Message id:1314 status: PreSubmitted filled: 0</t>
  </si>
  <si>
    <t>2015-1-30 10:37:10.580: RTWSControl - OrderStatus - exiting orderStatus</t>
  </si>
  <si>
    <t>2015-1-30 10:37:10.627: openOrderEx - I am here</t>
  </si>
  <si>
    <t>2015-1-30 10:37:10.627: OrderManagerView - UpdateMainSheetOpenOrder - entering UpdateMainSheetOpenOrder order.status is PreSubmitted</t>
  </si>
  <si>
    <t>2015-1-30 10:37:10.666: RTWSControl - orderStatus -  entering orderStatus id is 1314 status is PreSubmitted</t>
  </si>
  <si>
    <t>2015-1-30 10:37:10.667: OrderManager - UpdateOrderStatus - id 1314 Setting status to PreSubmitted workingOrderCount is now 1 workingQty -413</t>
  </si>
  <si>
    <t>2015-1-30 10:37:10.667: OrderManagerView - UpdateMainSheetOpenOrder - entering UpdateMainSheetOpenOrder order.status is PreSubmitted</t>
  </si>
  <si>
    <t>2015-1-30 10:37:10.670: RTWSControl - OrderStatus - Got OrderStatus Message id:1314 status: PreSubmitted filled: 0</t>
  </si>
  <si>
    <t>2015-1-30 10:37:10.670: RTWSControl - OrderStatus - exiting orderStatus</t>
  </si>
  <si>
    <t>2015-1-30 10:37:15.59: OrderManagerView - UpdateMainSheetOpenOrder - entering UpdateMainSheetOpenOrder order.status is PreSubmitted</t>
  </si>
  <si>
    <t>2015-1-30 10:37:15.65: OrderManagerView - UpdateMainSheetOpenOrder - entering UpdateMainSheetOpenOrder order.status is PreSubmitted</t>
  </si>
  <si>
    <t>2015-1-30 10:37:29.83: OrderManager - cancelOrder - cancelling order id 1314</t>
  </si>
  <si>
    <t>2015-1-30 10:37:29.83: OrderManager - PlaceOrder - id 1315 workingQty -388</t>
  </si>
  <si>
    <t>2015-1-30 10:37:29.84: OrderManagerView - UpdateMainSheetOpenOrder - entering UpdateMainSheetOpenOrder order.status is In-Flight</t>
  </si>
  <si>
    <t>2015-1-30 10:37:29.86: OrderManager - sendOrder - exiting place order id 1315 BUY 25 1.5123  - workingQty -388 currentPosition is 21 workingOrderCount is 2</t>
  </si>
  <si>
    <t>2015-1-30 10:37:29.86: OrderManager - cancelOrder - cancelling order id 1311</t>
  </si>
  <si>
    <t>2015-1-30 10:37:29.87: OrderManager - createOrder - exiting without creating order - did not have validID</t>
  </si>
  <si>
    <t>2015-1-30 10:37:29.177: OrderManager - cancelOrder - cancelling order id 1315</t>
  </si>
  <si>
    <t>2015-1-30 10:37:29.177: OrderManager - createOrder - exiting without creating order - did not have validID</t>
  </si>
  <si>
    <t>2015-1-30 10:37:29.178: OrderManager - createOrder - exiting without creating order - did not have validID</t>
  </si>
  <si>
    <t>2015-1-30 10:37:29.644: RTWSControl - nextValidId - entering nextValidId id is 1316</t>
  </si>
  <si>
    <t>2015-1-30 10:37:29.662: RTWSControl - orderStatus -  entering orderStatus id is 1314 status is Cancelled</t>
  </si>
  <si>
    <t>2015-1-30 10:37:29.663: OrderManager - UpdateOrderStatus - id 1314 Setting status to Cancelled workingOrderCount is now 2 workingQty -388</t>
  </si>
  <si>
    <t>2015-1-30 10:37:29.663: OrderManagerView - UpdateMainSheetOpenOrder - entering UpdateMainSheetOpenOrder order.status is Cancelled</t>
  </si>
  <si>
    <t>2015-1-30 10:37:29.666: RTWSControl - OrderStatus - Got OrderStatus Message id:1314 status: Cancelled filled: 0</t>
  </si>
  <si>
    <t>2015-1-30 10:37:29.666: RTWSControl - OrderStatus - exiting orderStatus</t>
  </si>
  <si>
    <t>2015-1-30 10:37:29.675: RTWSControl - errMsg - got error message 202:Order Canceled - reason:with id 1314</t>
  </si>
  <si>
    <t>2015-1-30 10:37:29.676: OrderManager - canceledOrder - cleaning up after canceled order 1314BEWARE UNACCOUNTED FOR EXECUTIONS!!!</t>
  </si>
  <si>
    <t>2015-1-30 10:37:29.677: OrderManager - terminateOrder - cleaning up after Canceled 1314  order was supposed to BUY 25 1.5125 STP LMT workingQty/OrderCount now -413/1</t>
  </si>
  <si>
    <t>2015-1-30 10:37:29.679: OrderManagerView - UpdateMainSheetOpenOrder - entering UpdateMainSheetOpenOrder order.status is Canceled</t>
  </si>
  <si>
    <t>2015-1-30 10:37:29.714: openOrderEx - I am here</t>
  </si>
  <si>
    <t>2015-1-30 10:37:29.714: OrderManagerView - UpdateMainSheetOpenOrder - entering UpdateMainSheetOpenOrder order.status is In-Flight</t>
  </si>
  <si>
    <t>2015-1-30 10:37:29.750: RTWSControl - orderStatus -  entering orderStatus id is 1315 status is PendingCancel</t>
  </si>
  <si>
    <t>2015-1-30 10:37:29.751: OrderManager - UpdateOrderStatus - id 1315 Setting status to PendingCancel workingOrderCount is now 1 workingQty -413</t>
  </si>
  <si>
    <t>2015-1-30 10:37:29.751: OrderManagerView - UpdateMainSheetOpenOrder - entering UpdateMainSheetOpenOrder order.status is PendingCancel</t>
  </si>
  <si>
    <t>2015-1-30 10:37:29.753: RTWSControl - OrderStatus - Got OrderStatus Message id:1315 status: PendingCancel filled: 0</t>
  </si>
  <si>
    <t>2015-1-30 10:37:29.754: RTWSControl - OrderStatus - exiting orderStatus</t>
  </si>
  <si>
    <t>2015-1-30 10:37:29.767: openOrderEx - I am here</t>
  </si>
  <si>
    <t>2015-1-30 10:37:29.767: OrderManagerView - UpdateMainSheetOpenOrder - entering UpdateMainSheetOpenOrder order.status is PendingCancel</t>
  </si>
  <si>
    <t>2015-1-30 10:37:29.795: RTWSControl - orderStatus -  entering orderStatus id is 1315 status is PendingCancel</t>
  </si>
  <si>
    <t>2015-1-30 10:37:29.796: OrderManager - UpdateOrderStatus - id 1315 Setting status to PendingCancel workingOrderCount is now 1 workingQty -413</t>
  </si>
  <si>
    <t>2015-1-30 10:37:29.797: OrderManagerView - UpdateMainSheetOpenOrder - entering UpdateMainSheetOpenOrder order.status is PendingCancel</t>
  </si>
  <si>
    <t>2015-1-30 10:37:29.799: RTWSControl - OrderStatus - Got OrderStatus Message id:1315 status: PendingCancel filled: 0</t>
  </si>
  <si>
    <t>2015-1-30 10:37:29.800: RTWSControl - OrderStatus - exiting orderStatus</t>
  </si>
  <si>
    <t>2015-1-30 10:37:29.833: RTWSControl - orderStatus -  entering orderStatus id is 1311 status is Cancelled</t>
  </si>
  <si>
    <t>2015-1-30 10:37:29.834: OrderManager - UpdateOrderStatus - id 1311 Setting status to Cancelled workingOrderCount is now 1 workingQty -413</t>
  </si>
  <si>
    <t>2015-1-30 10:37:29.834: OrderManagerView - UpdateMainSheetOpenOrder - entering UpdateMainSheetOpenOrder order.status is Cancelled</t>
  </si>
  <si>
    <t>2015-1-30 10:37:29.837: RTWSControl - OrderStatus - Got OrderStatus Message id:1311 status: Cancelled filled: 0</t>
  </si>
  <si>
    <t>2015-1-30 10:37:29.837: RTWSControl - OrderStatus - exiting orderStatus</t>
  </si>
  <si>
    <t>2015-1-30 10:37:29.848: RTWSControl - errMsg - got error message 202:Order Canceled - reason:with id 1311</t>
  </si>
  <si>
    <t>2015-1-30 10:37:29.848: OrderManager - canceledOrder - cleaning up after canceled order 1311BEWARE UNACCOUNTED FOR EXECUTIONS!!!</t>
  </si>
  <si>
    <t>2015-1-30 10:37:29.849: OrderManager - terminateOrder - cleaning up after Canceled 1311  order was supposed to SELL 26 1.5065 STP LMT workingQty/OrderCount now -439/0</t>
  </si>
  <si>
    <t>2015-1-30 10:37:29.851: OrderManagerView - UpdateMainSheetOpenOrder - entering UpdateMainSheetOpenOrder order.status is Canceled</t>
  </si>
  <si>
    <t>2015-1-30 10:37:29.880: RTWSControl - orderStatus -  entering orderStatus id is 1315 status is Cancelled</t>
  </si>
  <si>
    <t>2015-1-30 10:37:29.880: OrderManager - UpdateOrderStatus - id 1315 Setting status to Cancelled workingOrderCount is now 0 workingQty -439</t>
  </si>
  <si>
    <t>2015-1-30 10:37:29.881: OrderManagerView - UpdateMainSheetOpenOrder - entering UpdateMainSheetOpenOrder order.status is Cancelled</t>
  </si>
  <si>
    <t>2015-1-30 10:37:29.883: RTWSControl - OrderStatus - Got OrderStatus Message id:1315 status: Cancelled filled: 0</t>
  </si>
  <si>
    <t>2015-1-30 10:37:29.884: RTWSControl - OrderStatus - exiting orderStatus</t>
  </si>
  <si>
    <t>2015-1-30 10:37:29.916: RTWSControl - errMsg - got error message 202:Order Canceled - reason:with id 1315</t>
  </si>
  <si>
    <t>2015-1-30 10:37:29.917: OrderManager - canceledOrder - cleaning up after canceled order 1315BEWARE UNACCOUNTED FOR EXECUTIONS!!!</t>
  </si>
  <si>
    <t>2015-1-30 10:37:29.917: OrderManager - terminateOrder - cleaning up after Canceled 1315  order was supposed to BUY 25 1.5123 STP LMT workingQty/OrderCount now -464/-1</t>
  </si>
  <si>
    <t>2015-1-30 10:37:29.920: OrderManagerView - UpdateMainSheetOpenOrder - entering UpdateMainSheetOpenOrder order.status is Canceled</t>
  </si>
  <si>
    <t>2015-1-30 10:37:32.921: OrderManager - PlaceOrder - id 1316 workingQty -438</t>
  </si>
  <si>
    <t>2015-1-30 10:37:32.923: OrderManagerView - UpdateMainSheetOpenOrder - entering UpdateMainSheetOpenOrder order.status is In-Flight</t>
  </si>
  <si>
    <t>2015-1-30 10:37:32.931: OrderManager - sendOrder - exiting place order id 1316 BUY 26 1.5125  - workingQty -438 currentPosition is 21 workingOrderCount is 0</t>
  </si>
  <si>
    <t>2015-1-30 10:37:32.933: OrderManager - createOrder - exiting without creating order - did not have validID</t>
  </si>
  <si>
    <t>2015-1-30 10:37:33.58: RTWSControl - nextValidId - entering nextValidId id is 1317</t>
  </si>
  <si>
    <t>2015-1-30 10:37:33.248: RTWSControl - errMsg - got error message 399:Order Message:
BUY 26 GBP MAR'15
Warning: your order will not be placed at the exchange until 2015-01-30 08:30:00 US/Centralwith id 1316</t>
  </si>
  <si>
    <t>2015-1-30 10:37:33.251: RTWSControl - errMsg - Got Error_x000D_id: 1316_x000D_errorCode: 399_x000D_errorMsg: Order Message:
BUY 26 GBP MAR'15
Warning: your order will not be placed at the exchange until 2015-01-30 08:30:00 US/Central</t>
  </si>
  <si>
    <t>2015-1-30 10:37:33.289: openOrderEx - I am here</t>
  </si>
  <si>
    <t>2015-1-30 10:37:33.289: OrderManagerView - UpdateMainSheetOpenOrder - entering UpdateMainSheetOpenOrder order.status is In-Flight</t>
  </si>
  <si>
    <t>2015-1-30 10:37:33.322: RTWSControl - orderStatus -  entering orderStatus id is 1316 status is PreSubmitted</t>
  </si>
  <si>
    <t>2015-1-30 10:37:33.323: OrderManager - UpdateOrderStatus - id 1316 Setting status to PreSubmitted workingOrderCount is now 0 workingQty -438</t>
  </si>
  <si>
    <t>2015-1-30 10:37:33.323: OrderManagerView - UpdateMainSheetOpenOrder - entering UpdateMainSheetOpenOrder order.status is PreSubmitted</t>
  </si>
  <si>
    <t>2015-1-30 10:37:33.326: RTWSControl - OrderStatus - Got OrderStatus Message id:1316 status: PreSubmitted filled: 0</t>
  </si>
  <si>
    <t>2015-1-30 10:37:33.326: RTWSControl - OrderStatus - exiting orderStatus</t>
  </si>
  <si>
    <t>2015-1-30 10:37:33.341: openOrderEx - I am here</t>
  </si>
  <si>
    <t>2015-1-30 10:37:33.342: OrderManagerView - UpdateMainSheetOpenOrder - entering UpdateMainSheetOpenOrder order.status is PreSubmitted</t>
  </si>
  <si>
    <t>2015-1-30 10:37:33.379: RTWSControl - orderStatus -  entering orderStatus id is 1316 status is PreSubmitted</t>
  </si>
  <si>
    <t>2015-1-30 10:37:33.379: OrderManager - UpdateOrderStatus - id 1316 Setting status to PreSubmitted workingOrderCount is now 0 workingQty -438</t>
  </si>
  <si>
    <t>2015-1-30 10:37:33.380: OrderManagerView - UpdateMainSheetOpenOrder - entering UpdateMainSheetOpenOrder order.status is PreSubmitted</t>
  </si>
  <si>
    <t>2015-1-30 10:37:33.382: RTWSControl - OrderStatus - Got OrderStatus Message id:1316 status: PreSubmitted filled: 0</t>
  </si>
  <si>
    <t>2015-1-30 10:37:33.383: RTWSControl - OrderStatus - exiting orderStatus</t>
  </si>
  <si>
    <t>2015-1-30 10:37:33.889: OrderManager - PlaceOrder - id 1317 workingQty -464</t>
  </si>
  <si>
    <t>2015-1-30 10:37:33.889: OrderManagerView - UpdateMainSheetOpenOrder - entering UpdateMainSheetOpenOrder order.status is In-Flight</t>
  </si>
  <si>
    <t>2015-1-30 10:37:33.891: OrderManager - sendOrder - exiting place order id 1317 SELL 26 1.5064  - workingQty -464 currentPosition is 21 workingOrderCount is 1</t>
  </si>
  <si>
    <t>2015-1-30 10:37:34.42: RTWSControl - nextValidId - entering nextValidId id is 1318</t>
  </si>
  <si>
    <t>2015-1-30 10:37:34.49: OrderManagerView - UpdateMainSheetOpenOrder - entering UpdateMainSheetOpenOrder order.status is Canceled</t>
  </si>
  <si>
    <t>2015-1-30 10:37:34.51: OrderManagerView - UpdateMainSheetOpenOrder - entering UpdateMainSheetOpenOrder order.status is Canceled</t>
  </si>
  <si>
    <t>2015-1-30 10:37:34.52: OrderManagerView - UpdateMainSheetOpenOrder - entering UpdateMainSheetOpenOrder order.status is PreSubmitted</t>
  </si>
  <si>
    <t>2015-1-30 10:37:34.54: OrderManagerView - UpdateMainSheetOpenOrder - entering UpdateMainSheetOpenOrder order.status is In-Flight</t>
  </si>
  <si>
    <t>2015-1-30 10:37:34.55: OrderManagerView - UpdateMainSheetOpenOrder - entering UpdateMainSheetOpenOrder order.status is PreSubmitted</t>
  </si>
  <si>
    <t>2015-1-30 10:37:34.57: OrderManagerView - UpdateMainSheetOpenOrder - entering UpdateMainSheetOpenOrder order.status is In-Flight</t>
  </si>
  <si>
    <t>2015-1-30 10:37:34.58: OrderManagerView - UpdateMainSheetOpenOrder - entering UpdateMainSheetOpenOrder order.status is In-Flight</t>
  </si>
  <si>
    <t>2015-1-30 10:37:34.62: OrderManagerView - UpdateMainSheetOpenOrder - entering UpdateMainSheetOpenOrder order.status is PreSubmitted</t>
  </si>
  <si>
    <t>2015-1-30 10:37:34.64: OrderManagerView - UpdateMainSheetOpenOrder - entering UpdateMainSheetOpenOrder order.status is In-Flight</t>
  </si>
  <si>
    <t>2015-1-30 10:37:34.66: OrderManagerView - UpdateMainSheetOpenOrder - entering UpdateMainSheetOpenOrder order.status is In-Flight</t>
  </si>
  <si>
    <t>2015-1-30 10:37:34.71: OrderManagerView - UpdateMainSheetOpenOrder - entering UpdateMainSheetOpenOrder order.status is PreSubmitted</t>
  </si>
  <si>
    <t>2015-1-30 10:37:34.73: OrderManagerView - UpdateMainSheetOpenOrder - entering UpdateMainSheetOpenOrder order.status is In-Flight</t>
  </si>
  <si>
    <t>2015-1-30 10:37:34.78: RTWSControl - errMsg - got error message 399:Order Message:
SELL 26 GBP MAR'15
Warning: your order will not be placed at the exchange until 2015-01-30 08:30:00 US/Centralwith id 1317</t>
  </si>
  <si>
    <t>2015-1-30 10:37:34.79: RTWSControl - errMsg - Got Error_x000D_id: 1317_x000D_errorCode: 399_x000D_errorMsg: Order Message:
SELL 26 GBP MAR'15
Warning: your order will not be placed at the exchange until 2015-01-30 08:30:00 US/Central</t>
  </si>
  <si>
    <t>2015-1-30 10:37:34.98: openOrderEx - I am here</t>
  </si>
  <si>
    <t>2015-1-30 10:37:34.99: OrderManagerView - UpdateMainSheetOpenOrder - entering UpdateMainSheetOpenOrder order.status is In-Flight</t>
  </si>
  <si>
    <t>2015-1-30 10:37:34.113: RTWSControl - orderStatus -  entering orderStatus id is 1317 status is PreSubmitted</t>
  </si>
  <si>
    <t>2015-1-30 10:37:34.113: OrderManager - UpdateOrderStatus - id 1317 Setting status to PreSubmitted workingOrderCount is now 1 workingQty -464</t>
  </si>
  <si>
    <t>2015-1-30 10:37:34.114: OrderManagerView - UpdateMainSheetOpenOrder - entering UpdateMainSheetOpenOrder order.status is PreSubmitted</t>
  </si>
  <si>
    <t>2015-1-30 10:37:34.116: RTWSControl - OrderStatus - Got OrderStatus Message id:1317 status: PreSubmitted filled: 0</t>
  </si>
  <si>
    <t>2015-1-30 10:37:34.117: RTWSControl - OrderStatus - exiting orderStatus</t>
  </si>
  <si>
    <t>2015-1-30 10:37:35.299: openOrderEx - I am here</t>
  </si>
  <si>
    <t>2015-1-30 10:37:35.300: OrderManagerView - UpdateMainSheetOpenOrder - entering UpdateMainSheetOpenOrder order.status is PreSubmitted</t>
  </si>
  <si>
    <t>2015-1-30 10:37:35.313: RTWSControl - orderStatus -  entering orderStatus id is 1317 status is PreSubmitted</t>
  </si>
  <si>
    <t>2015-1-30 10:37:35.314: OrderManager - UpdateOrderStatus - id 1317 Setting status to PreSubmitted workingOrderCount is now 1 workingQty -464</t>
  </si>
  <si>
    <t>2015-1-30 10:37:35.314: OrderManagerView - UpdateMainSheetOpenOrder - entering UpdateMainSheetOpenOrder order.status is PreSubmitted</t>
  </si>
  <si>
    <t>2015-1-30 10:37:35.317: RTWSControl - OrderStatus - Got OrderStatus Message id:1317 status: PreSubmitted filled: 0</t>
  </si>
  <si>
    <t>2015-1-30 10:37:35.317: RTWSControl - OrderStatus - exiting orderStatus</t>
  </si>
  <si>
    <t>2015-1-30 10:37:39.18: OrderManagerView - UpdateMainSheetOpenOrder - entering UpdateMainSheetOpenOrder order.status is PreSubmitted</t>
  </si>
  <si>
    <t>2015-1-30 10:37:39.24: OrderManagerView - UpdateMainSheetOpenOrder - entering UpdateMainSheetOpenOrder order.status is PreSubmitted</t>
  </si>
  <si>
    <t>2015-1-30 10:37:39.43: OrderManagerView - UpdateMainSheetOpenOrder - entering UpdateMainSheetOpenOrder order.status is PreSubmitted</t>
  </si>
  <si>
    <t>2015-1-30 10:37:39.47: OrderManagerView - UpdateMainSheetOpenOrder - entering UpdateMainSheetOpenOrder order.status is PreSubmitted</t>
  </si>
  <si>
    <t>2015-1-30 10:37:40.936: OrderManager - cancelOrder - cancelling order id 1316</t>
  </si>
  <si>
    <t>2015-1-30 10:37:40.937: OrderManager - PlaceOrder - id 1318 workingQty -436</t>
  </si>
  <si>
    <t>2015-1-30 10:37:40.938: OrderManagerView - UpdateMainSheetOpenOrder - entering UpdateMainSheetOpenOrder order.status is In-Flight</t>
  </si>
  <si>
    <t>2015-1-30 10:37:40.946: OrderManager - sendOrder - exiting place order id 1318 BUY 28 1.5129  - workingQty -436 currentPosition is 21 workingOrderCount is 2</t>
  </si>
  <si>
    <t>2015-1-30 10:37:40.948: OrderManager - cancelOrder - cancelling order id 1317</t>
  </si>
  <si>
    <t>2015-1-30 10:37:40.949: OrderManager - createOrder - exiting without creating order - did not have validID</t>
  </si>
  <si>
    <t>2015-1-30 10:37:41.86: RTWSControl - nextValidId - entering nextValidId id is 1319</t>
  </si>
  <si>
    <t>2015-1-30 10:37:41.252: RTWSControl - orderStatus -  entering orderStatus id is 1316 status is Cancelled</t>
  </si>
  <si>
    <t>2015-1-30 10:37:41.254: OrderManager - UpdateOrderStatus - id 1316 Setting status to Cancelled workingOrderCount is now 2 workingQty -436</t>
  </si>
  <si>
    <t>2015-1-30 10:37:41.256: OrderManagerView - UpdateMainSheetOpenOrder - entering UpdateMainSheetOpenOrder order.status is Cancelled</t>
  </si>
  <si>
    <t>2015-1-30 10:37:41.267: RTWSControl - OrderStatus - Got OrderStatus Message id:1316 status: Cancelled filled: 0</t>
  </si>
  <si>
    <t>2015-1-30 10:37:41.269: RTWSControl - OrderStatus - exiting orderStatus</t>
  </si>
  <si>
    <t>2015-1-30 10:37:41.322: RTWSControl - errMsg - got error message 202:Order Canceled - reason:with id 1316</t>
  </si>
  <si>
    <t>2015-1-30 10:37:41.323: OrderManager - canceledOrder - cleaning up after canceled order 1316BEWARE UNACCOUNTED FOR EXECUTIONS!!!</t>
  </si>
  <si>
    <t>2015-1-30 10:37:41.324: OrderManager - terminateOrder - cleaning up after Canceled 1316  order was supposed to BUY 26 1.5125 STP LMT workingQty/OrderCount now -462/1</t>
  </si>
  <si>
    <t>2015-1-30 10:37:41.327: OrderManagerView - UpdateMainSheetOpenOrder - entering UpdateMainSheetOpenOrder order.status is Canceled</t>
  </si>
  <si>
    <t>2015-1-30 10:37:41.346: RTWSControl - errMsg - got error message 399:Order Message:
BUY 28 GBP MAR'15
Warning: your order will not be placed at the exchange until 2015-01-30 08:30:00 US/Centralwith id 1318</t>
  </si>
  <si>
    <t>2015-1-30 10:37:41.348: RTWSControl - errMsg - Got Error_x000D_id: 1318_x000D_errorCode: 399_x000D_errorMsg: Order Message:
BUY 28 GBP MAR'15
Warning: your order will not be placed at the exchange until 2015-01-30 08:30:00 US/Central</t>
  </si>
  <si>
    <t>2015-1-30 10:37:41.378: openOrderEx - I am here</t>
  </si>
  <si>
    <t>2015-1-30 10:37:41.378: OrderManagerView - UpdateMainSheetOpenOrder - entering UpdateMainSheetOpenOrder order.status is In-Flight</t>
  </si>
  <si>
    <t>2015-1-30 10:37:41.390: RTWSControl - orderStatus -  entering orderStatus id is 1318 status is PreSubmitted</t>
  </si>
  <si>
    <t>2015-1-30 10:37:41.390: OrderManager - UpdateOrderStatus - id 1318 Setting status to PreSubmitted workingOrderCount is now 1 workingQty -462</t>
  </si>
  <si>
    <t>2015-1-30 10:37:41.391: OrderManagerView - UpdateMainSheetOpenOrder - entering UpdateMainSheetOpenOrder order.status is PreSubmitted</t>
  </si>
  <si>
    <t>2015-1-30 10:37:41.393: RTWSControl - OrderStatus - Got OrderStatus Message id:1318 status: PreSubmitted filled: 0</t>
  </si>
  <si>
    <t>2015-1-30 10:37:41.394: RTWSControl - OrderStatus - exiting orderStatus</t>
  </si>
  <si>
    <t>2015-1-30 10:37:41.461: RTWSControl - orderStatus -  entering orderStatus id is 1317 status is Cancelled</t>
  </si>
  <si>
    <t>2015-1-30 10:37:41.462: OrderManager - UpdateOrderStatus - id 1317 Setting status to Cancelled workingOrderCount is now 1 workingQty -462</t>
  </si>
  <si>
    <t>2015-1-30 10:37:41.462: OrderManagerView - UpdateMainSheetOpenOrder - entering UpdateMainSheetOpenOrder order.status is Cancelled</t>
  </si>
  <si>
    <t>2015-1-30 10:37:41.465: RTWSControl - OrderStatus - Got OrderStatus Message id:1317 status: Cancelled filled: 0</t>
  </si>
  <si>
    <t>2015-1-30 10:37:41.465: RTWSControl - OrderStatus - exiting orderStatus</t>
  </si>
  <si>
    <t>2015-1-30 10:37:41.486: RTWSControl - errMsg - got error message 202:Order Canceled - reason:with id 1317</t>
  </si>
  <si>
    <t>2015-1-30 10:37:41.487: OrderManager - canceledOrder - cleaning up after canceled order 1317BEWARE UNACCOUNTED FOR EXECUTIONS!!!</t>
  </si>
  <si>
    <t>2015-1-30 10:37:41.487: OrderManager - terminateOrder - cleaning up after Canceled 1317  order was supposed to SELL 26 1.5064 STP LMT workingQty/OrderCount now -488/0</t>
  </si>
  <si>
    <t>2015-1-30 10:37:41.489: OrderManagerView - UpdateMainSheetOpenOrder - entering UpdateMainSheetOpenOrder order.status is Canceled</t>
  </si>
  <si>
    <t>2015-1-30 10:37:41.503: openOrderEx - I am here</t>
  </si>
  <si>
    <t>2015-1-30 10:37:41.504: OrderManagerView - UpdateMainSheetOpenOrder - entering UpdateMainSheetOpenOrder order.status is PreSubmitted</t>
  </si>
  <si>
    <t>2015-1-30 10:37:41.544: RTWSControl - orderStatus -  entering orderStatus id is 1318 status is PreSubmitted</t>
  </si>
  <si>
    <t>2015-1-30 10:37:41.545: OrderManager - UpdateOrderStatus - id 1318 Setting status to PreSubmitted workingOrderCount is now 0 workingQty -488</t>
  </si>
  <si>
    <t>2015-1-30 10:37:41.545: OrderManagerView - UpdateMainSheetOpenOrder - entering UpdateMainSheetOpenOrder order.status is PreSubmitted</t>
  </si>
  <si>
    <t>2015-1-30 10:37:41.547: RTWSControl - OrderStatus - Got OrderStatus Message id:1318 status: PreSubmitted filled: 0</t>
  </si>
  <si>
    <t>2015-1-30 10:37:41.548: RTWSControl - OrderStatus - exiting orderStatus</t>
  </si>
  <si>
    <t>2015-1-30 10:37:46.9: OrderManagerView - UpdateMainSheetOpenOrder - entering UpdateMainSheetOpenOrder order.status is Canceled</t>
  </si>
  <si>
    <t>2015-1-30 10:37:46.16: OrderManagerView - UpdateMainSheetOpenOrder - entering UpdateMainSheetOpenOrder order.status is PreSubmitted</t>
  </si>
  <si>
    <t>2015-1-30 10:37:46.23: OrderManagerView - UpdateMainSheetOpenOrder - entering UpdateMainSheetOpenOrder order.status is PreSubmitted</t>
  </si>
  <si>
    <t>2015-1-30 10:37:46.39: OrderManagerView - UpdateMainSheetOpenOrder - entering UpdateMainSheetOpenOrder order.status is PreSubmitted</t>
  </si>
  <si>
    <t>2015-1-30 10:37:51.126: OrderManagerView - UpdateMainSheetOpenOrder - entering UpdateMainSheetOpenOrder order.status is PreSubmitted</t>
  </si>
  <si>
    <t>2015-1-30 10:37:51.247: OrderManager - PlaceOrder - id 1319 workingQty -516</t>
  </si>
  <si>
    <t>2015-1-30 10:37:51.248: OrderManagerView - UpdateMainSheetOpenOrder - entering UpdateMainSheetOpenOrder order.status is In-Flight</t>
  </si>
  <si>
    <t>2015-1-30 10:37:51.250: OrderManager - sendOrder - exiting place order id 1319 SELL 28 1.5065  - workingQty -516 currentPosition is 21 workingOrderCount is 1</t>
  </si>
  <si>
    <t>2015-1-30 10:37:51.339: RTWSControl - nextValidId - entering nextValidId id is 1320</t>
  </si>
  <si>
    <t>2015-1-30 10:37:51.560: RTWSControl - errMsg - got error message 399:Order Message:
SELL 28 GBP MAR'15
Warning: your order will not be placed at the exchange until 2015-01-30 08:30:00 US/Centralwith id 1319</t>
  </si>
  <si>
    <t>2015-1-30 10:37:51.562: RTWSControl - errMsg - Got Error_x000D_id: 1319_x000D_errorCode: 399_x000D_errorMsg: Order Message:
SELL 28 GBP MAR'15
Warning: your order will not be placed at the exchange until 2015-01-30 08:30:00 US/Central</t>
  </si>
  <si>
    <t>2015-1-30 10:37:51.587: openOrderEx - I am here</t>
  </si>
  <si>
    <t>2015-1-30 10:37:51.587: OrderManagerView - UpdateMainSheetOpenOrder - entering UpdateMainSheetOpenOrder order.status is In-Flight</t>
  </si>
  <si>
    <t>2015-1-30 10:37:51.606: RTWSControl - orderStatus -  entering orderStatus id is 1319 status is PreSubmitted</t>
  </si>
  <si>
    <t>2015-1-30 10:37:51.607: OrderManager - UpdateOrderStatus - id 1319 Setting status to PreSubmitted workingOrderCount is now 1 workingQty -516</t>
  </si>
  <si>
    <t>2015-1-30 10:37:51.607: OrderManagerView - UpdateMainSheetOpenOrder - entering UpdateMainSheetOpenOrder order.status is PreSubmitted</t>
  </si>
  <si>
    <t>2015-1-30 10:37:51.611: RTWSControl - OrderStatus - Got OrderStatus Message id:1319 status: PreSubmitted filled: 0</t>
  </si>
  <si>
    <t>2015-1-30 10:37:51.612: RTWSControl - OrderStatus - exiting orderStatus</t>
  </si>
  <si>
    <t>2015-1-30 10:37:51.635: openOrderEx - I am here</t>
  </si>
  <si>
    <t>2015-1-30 10:37:51.635: OrderManagerView - UpdateMainSheetOpenOrder - entering UpdateMainSheetOpenOrder order.status is PreSubmitted</t>
  </si>
  <si>
    <t>2015-1-30 10:37:51.673: RTWSControl - orderStatus -  entering orderStatus id is 1319 status is PreSubmitted</t>
  </si>
  <si>
    <t>2015-1-30 10:37:51.674: OrderManager - UpdateOrderStatus - id 1319 Setting status to PreSubmitted workingOrderCount is now 1 workingQty -516</t>
  </si>
  <si>
    <t>2015-1-30 10:37:51.674: OrderManagerView - UpdateMainSheetOpenOrder - entering UpdateMainSheetOpenOrder order.status is PreSubmitted</t>
  </si>
  <si>
    <t>2015-1-30 10:37:51.676: RTWSControl - OrderStatus - Got OrderStatus Message id:1319 status: PreSubmitted filled: 0</t>
  </si>
  <si>
    <t>2015-1-30 10:37:51.677: RTWSControl - OrderStatus - exiting orderStatus</t>
  </si>
  <si>
    <t>2015-1-30 10:37:53.507: OrderManager - cancelOrder - cancelling order id 1318</t>
  </si>
  <si>
    <t>2015-1-30 10:37:53.508: OrderManager - PlaceOrder - id 1320 workingQty -491</t>
  </si>
  <si>
    <t>2015-1-30 10:37:53.508: OrderManagerView - UpdateMainSheetOpenOrder - entering UpdateMainSheetOpenOrder order.status is In-Flight</t>
  </si>
  <si>
    <t>2015-1-30 10:37:53.510: OrderManager - sendOrder - exiting place order id 1320 BUY 25 1.5125  - workingQty -491 currentPosition is 21 workingOrderCount is 2</t>
  </si>
  <si>
    <t>2015-1-30 10:37:53.511: OrderManager - cancelOrder - cancelling order id 1319</t>
  </si>
  <si>
    <t>2015-1-30 10:37:53.511: OrderManager - createOrder - exiting without creating order - did not have validID</t>
  </si>
  <si>
    <t>2015-1-30 10:37:53.623: RTWSControl - nextValidId - entering nextValidId id is 1321</t>
  </si>
  <si>
    <t>2015-1-30 10:37:53.832: RTWSControl - orderStatus -  entering orderStatus id is 1318 status is Cancelled</t>
  </si>
  <si>
    <t>2015-1-30 10:37:53.834: OrderManager - UpdateOrderStatus - id 1318 Setting status to Cancelled workingOrderCount is now 2 workingQty -491</t>
  </si>
  <si>
    <t>2015-1-30 10:37:53.835: OrderManagerView - UpdateMainSheetOpenOrder - entering UpdateMainSheetOpenOrder order.status is Cancelled</t>
  </si>
  <si>
    <t>2015-1-30 10:37:53.842: RTWSControl - OrderStatus - Got OrderStatus Message id:1318 status: Cancelled filled: 0</t>
  </si>
  <si>
    <t>2015-1-30 10:37:53.843: RTWSControl - OrderStatus - exiting orderStatus</t>
  </si>
  <si>
    <t>2015-1-30 10:37:53.920: RTWSControl - errMsg - got error message 202:Order Canceled - reason:with id 1318</t>
  </si>
  <si>
    <t>2015-1-30 10:37:53.922: OrderManager - canceledOrder - cleaning up after canceled order 1318BEWARE UNACCOUNTED FOR EXECUTIONS!!!</t>
  </si>
  <si>
    <t>2015-1-30 10:37:53.924: OrderManager - terminateOrder - cleaning up after Canceled 1318  order was supposed to BUY 28 1.5129 STP LMT workingQty/OrderCount now -519/1</t>
  </si>
  <si>
    <t>2015-1-30 10:37:53.934: OrderManagerView - UpdateMainSheetOpenOrder - entering UpdateMainSheetOpenOrder order.status is Canceled</t>
  </si>
  <si>
    <t>2015-1-30 10:37:53.972: RTWSControl - errMsg - got error message 399:Order Message:
BUY 25 GBP MAR'15
Warning: your order will not be placed at the exchange until 2015-01-30 08:30:00 US/Centralwith id 1320</t>
  </si>
  <si>
    <t>2015-1-30 10:37:53.973: RTWSControl - errMsg - Got Error_x000D_id: 1320_x000D_errorCode: 399_x000D_errorMsg: Order Message:
BUY 25 GBP MAR'15
Warning: your order will not be placed at the exchange until 2015-01-30 08:30:00 US/Central</t>
  </si>
  <si>
    <t>2015-1-30 10:37:54.18: openOrderEx - I am here</t>
  </si>
  <si>
    <t>2015-1-30 10:37:54.19: OrderManagerView - UpdateMainSheetOpenOrder - entering UpdateMainSheetOpenOrder order.status is In-Flight</t>
  </si>
  <si>
    <t>2015-1-30 10:37:54.50: RTWSControl - orderStatus -  entering orderStatus id is 1320 status is PreSubmitted</t>
  </si>
  <si>
    <t>2015-1-30 10:37:54.51: OrderManager - UpdateOrderStatus - id 1320 Setting status to PreSubmitted workingOrderCount is now 1 workingQty -519</t>
  </si>
  <si>
    <t>2015-1-30 10:37:54.52: OrderManagerView - UpdateMainSheetOpenOrder - entering UpdateMainSheetOpenOrder order.status is PreSubmitted</t>
  </si>
  <si>
    <t>2015-1-30 10:37:54.59: RTWSControl - OrderStatus - Got OrderStatus Message id:1320 status: PreSubmitted filled: 0</t>
  </si>
  <si>
    <t>2015-1-30 10:37:54.60: RTWSControl - OrderStatus - exiting orderStatus</t>
  </si>
  <si>
    <t>2015-1-30 10:37:54.89: RTWSControl - orderStatus -  entering orderStatus id is 1319 status is Cancelled</t>
  </si>
  <si>
    <t>2015-1-30 10:37:54.90: OrderManager - UpdateOrderStatus - id 1319 Setting status to Cancelled workingOrderCount is now 1 workingQty -519</t>
  </si>
  <si>
    <t>2015-1-30 10:37:54.90: OrderManagerView - UpdateMainSheetOpenOrder - entering UpdateMainSheetOpenOrder order.status is Cancelled</t>
  </si>
  <si>
    <t>2015-1-30 10:37:54.93: RTWSControl - OrderStatus - Got OrderStatus Message id:1319 status: Cancelled filled: 0</t>
  </si>
  <si>
    <t>2015-1-30 10:37:54.94: RTWSControl - OrderStatus - exiting orderStatus</t>
  </si>
  <si>
    <t>2015-1-30 10:37:54.125: RTWSControl - errMsg - got error message 202:Order Canceled - reason:with id 1319</t>
  </si>
  <si>
    <t>2015-1-30 10:37:54.126: OrderManager - canceledOrder - cleaning up after canceled order 1319BEWARE UNACCOUNTED FOR EXECUTIONS!!!</t>
  </si>
  <si>
    <t>2015-1-30 10:37:54.127: OrderManager - terminateOrder - cleaning up after Canceled 1319  order was supposed to SELL 28 1.5065 STP LMT workingQty/OrderCount now -547/0</t>
  </si>
  <si>
    <t>2015-1-30 10:37:54.128: OrderManagerView - UpdateMainSheetOpenOrder - entering UpdateMainSheetOpenOrder order.status is Canceled</t>
  </si>
  <si>
    <t>2015-1-30 10:37:54.143: openOrderEx - I am here</t>
  </si>
  <si>
    <t>2015-1-30 10:37:54.144: OrderManagerView - UpdateMainSheetOpenOrder - entering UpdateMainSheetOpenOrder order.status is PreSubmitted</t>
  </si>
  <si>
    <t>2015-1-30 10:37:54.171: RTWSControl - orderStatus -  entering orderStatus id is 1320 status is PreSubmitted</t>
  </si>
  <si>
    <t>2015-1-30 10:37:54.172: OrderManager - UpdateOrderStatus - id 1320 Setting status to PreSubmitted workingOrderCount is now 0 workingQty -547</t>
  </si>
  <si>
    <t>2015-1-30 10:37:54.172: OrderManagerView - UpdateMainSheetOpenOrder - entering UpdateMainSheetOpenOrder order.status is PreSubmitted</t>
  </si>
  <si>
    <t>2015-1-30 10:37:54.174: RTWSControl - OrderStatus - Got OrderStatus Message id:1320 status: PreSubmitted filled: 0</t>
  </si>
  <si>
    <t>2015-1-30 10:37:54.175: RTWSControl - OrderStatus - exiting orderStatus</t>
  </si>
  <si>
    <t>2015-1-30 10:37:55.417: OrderManager - cancelOrder - cancelling order id 1320</t>
  </si>
  <si>
    <t>2015-1-30 10:37:55.418: OrderManager - PlaceOrder - id 1321 workingQty -521</t>
  </si>
  <si>
    <t>2015-1-30 10:37:55.418: OrderManagerView - UpdateMainSheetOpenOrder - entering UpdateMainSheetOpenOrder order.status is In-Flight</t>
  </si>
  <si>
    <t>2015-1-30 10:37:55.420: OrderManager - sendOrder - exiting place order id 1321 BUY 26 1.5127  - workingQty -521 currentPosition is 21 workingOrderCount is 1</t>
  </si>
  <si>
    <t>2015-1-30 10:37:55.421: OrderManager - createOrder - exiting without creating order - did not have validID</t>
  </si>
  <si>
    <t>2015-1-30 10:37:55.582: RTWSControl - nextValidId - entering nextValidId id is 1322</t>
  </si>
  <si>
    <t>2015-1-30 10:37:55.715: RTWSControl - orderStatus -  entering orderStatus id is 1320 status is Cancelled</t>
  </si>
  <si>
    <t>2015-1-30 10:37:55.716: OrderManager - UpdateOrderStatus - id 1320 Setting status to Cancelled workingOrderCount is now 1 workingQty -521</t>
  </si>
  <si>
    <t>2015-1-30 10:37:55.716: OrderManagerView - UpdateMainSheetOpenOrder - entering UpdateMainSheetOpenOrder order.status is Cancelled</t>
  </si>
  <si>
    <t>2015-1-30 10:37:55.719: RTWSControl - OrderStatus - Got OrderStatus Message id:1320 status: Cancelled filled: 0</t>
  </si>
  <si>
    <t>2015-1-30 10:37:55.719: RTWSControl - OrderStatus - exiting orderStatus</t>
  </si>
  <si>
    <t>2015-1-30 10:37:55.736: RTWSControl - errMsg - got error message 202:Order Canceled - reason:with id 1320</t>
  </si>
  <si>
    <t>2015-1-30 10:37:55.737: OrderManager - canceledOrder - cleaning up after canceled order 1320BEWARE UNACCOUNTED FOR EXECUTIONS!!!</t>
  </si>
  <si>
    <t>2015-1-30 10:37:55.737: OrderManager - terminateOrder - cleaning up after Canceled 1320  order was supposed to BUY 25 1.5125 STP LMT workingQty/OrderCount now -546/0</t>
  </si>
  <si>
    <t>2015-1-30 10:37:55.739: OrderManagerView - UpdateMainSheetOpenOrder - entering UpdateMainSheetOpenOrder order.status is Canceled</t>
  </si>
  <si>
    <t>2015-1-30 10:37:55.750: RTWSControl - errMsg - got error message 399:Order Message:
BUY 26 GBP MAR'15
Warning: your order will not be placed at the exchange until 2015-01-30 08:30:00 US/Centralwith id 1321</t>
  </si>
  <si>
    <t>2015-1-30 10:37:55.751: RTWSControl - errMsg - Got Error_x000D_id: 1321_x000D_errorCode: 399_x000D_errorMsg: Order Message:
BUY 26 GBP MAR'15
Warning: your order will not be placed at the exchange until 2015-01-30 08:30:00 US/Central</t>
  </si>
  <si>
    <t>2015-1-30 10:37:55.794: openOrderEx - I am here</t>
  </si>
  <si>
    <t>2015-1-30 10:37:55.794: OrderManagerView - UpdateMainSheetOpenOrder - entering UpdateMainSheetOpenOrder order.status is In-Flight</t>
  </si>
  <si>
    <t>2015-1-30 10:37:55.805: RTWSControl - orderStatus -  entering orderStatus id is 1321 status is PreSubmitted</t>
  </si>
  <si>
    <t>2015-1-30 10:37:55.806: OrderManager - UpdateOrderStatus - id 1321 Setting status to PreSubmitted workingOrderCount is now 0 workingQty -546</t>
  </si>
  <si>
    <t>2015-1-30 10:37:55.807: OrderManagerView - UpdateMainSheetOpenOrder - entering UpdateMainSheetOpenOrder order.status is PreSubmitted</t>
  </si>
  <si>
    <t>2015-1-30 10:37:55.809: RTWSControl - OrderStatus - Got OrderStatus Message id:1321 status: PreSubmitted filled: 0</t>
  </si>
  <si>
    <t>2015-1-30 10:37:55.809: RTWSControl - OrderStatus - exiting orderStatus</t>
  </si>
  <si>
    <t>2015-1-30 10:37:55.930: openOrderEx - I am here</t>
  </si>
  <si>
    <t>2015-1-30 10:37:55.930: OrderManagerView - UpdateMainSheetOpenOrder - entering UpdateMainSheetOpenOrder order.status is PreSubmitted</t>
  </si>
  <si>
    <t>2015-1-30 10:37:55.986: RTWSControl - orderStatus -  entering orderStatus id is 1321 status is PreSubmitted</t>
  </si>
  <si>
    <t>2015-1-30 10:37:55.986: OrderManager - UpdateOrderStatus - id 1321 Setting status to PreSubmitted workingOrderCount is now 0 workingQty -546</t>
  </si>
  <si>
    <t>2015-1-30 10:37:55.987: OrderManagerView - UpdateMainSheetOpenOrder - entering UpdateMainSheetOpenOrder order.status is PreSubmitted</t>
  </si>
  <si>
    <t>2015-1-30 10:37:55.989: RTWSControl - OrderStatus - Got OrderStatus Message id:1321 status: PreSubmitted filled: 0</t>
  </si>
  <si>
    <t>2015-1-30 10:37:55.989: RTWSControl - OrderStatus - exiting orderStatus</t>
  </si>
  <si>
    <t>2015-1-30 10:37:58.224: OrderManagerView - UpdateMainSheetOpenOrder - entering UpdateMainSheetOpenOrder order.status is Canceled</t>
  </si>
  <si>
    <t>2015-1-30 10:37:58.235: OrderManagerView - UpdateMainSheetOpenOrder - entering UpdateMainSheetOpenOrder order.status is Canceled</t>
  </si>
  <si>
    <t>2015-1-30 10:37:58.240: OrderManagerView - UpdateMainSheetOpenOrder - entering UpdateMainSheetOpenOrder order.status is PreSubmitted</t>
  </si>
  <si>
    <t>2015-1-30 10:37:58.246: OrderManagerView - UpdateMainSheetOpenOrder - entering UpdateMainSheetOpenOrder order.status is PreSubmitted</t>
  </si>
  <si>
    <t>2015-1-30 10:37:59.240: OrderManagerView - UpdateMainSheetOpenOrder - entering UpdateMainSheetOpenOrder order.status is PreSubmitted</t>
  </si>
  <si>
    <t>2015-1-30 10:38:0.0: OrderManagerView - UpdateMainSheetOpenOrder - entering UpdateMainSheetOpenOrder order.status is PreSubmitted</t>
  </si>
  <si>
    <t>2015-1-30 10:38:3.73: OrderManagerView - UpdateMainSheetOpenOrder - entering UpdateMainSheetOpenOrder order.status is PreSubmitted</t>
  </si>
  <si>
    <t>2015-1-30 10:38:3.86: OrderManagerView - UpdateMainSheetOpenOrder - entering UpdateMainSheetOpenOrder order.status is PreSubmitted</t>
  </si>
  <si>
    <t>2015-1-30 10:38:13.202: OrderManager - cancelOrder - cancelling order id 1321</t>
  </si>
  <si>
    <t>2015-1-30 10:38:13.203: OrderManager - PlaceOrder - id 1322 workingQty -522</t>
  </si>
  <si>
    <t>2015-1-30 10:38:13.204: OrderManagerView - UpdateMainSheetOpenOrder - entering UpdateMainSheetOpenOrder order.status is In-Flight</t>
  </si>
  <si>
    <t>2015-1-30 10:38:13.214: OrderManager - sendOrder - exiting place order id 1322 BUY 24 1.5125  - workingQty -522 currentPosition is 21 workingOrderCount is 1</t>
  </si>
  <si>
    <t>2015-1-30 10:38:13.216: OrderManager - createOrder - exiting without creating order - did not have validID</t>
  </si>
  <si>
    <t>2015-1-30 10:38:13.344: RTWSControl - nextValidId - entering nextValidId id is 1323</t>
  </si>
  <si>
    <t>2015-1-30 10:38:13.540: RTWSControl - orderStatus -  entering orderStatus id is 1321 status is Cancelled</t>
  </si>
  <si>
    <t>2015-1-30 10:38:13.542: OrderManager - UpdateOrderStatus - id 1321 Setting status to Cancelled workingOrderCount is now 1 workingQty -522</t>
  </si>
  <si>
    <t>2015-1-30 10:38:13.544: OrderManagerView - UpdateMainSheetOpenOrder - entering UpdateMainSheetOpenOrder order.status is Cancelled</t>
  </si>
  <si>
    <t>2015-1-30 10:38:13.550: RTWSControl - OrderStatus - Got OrderStatus Message id:1321 status: Cancelled filled: 0</t>
  </si>
  <si>
    <t>2015-1-30 10:38:13.550: RTWSControl - OrderStatus - exiting orderStatus</t>
  </si>
  <si>
    <t>2015-1-30 10:38:13.567: RTWSControl - errMsg - got error message 202:Order Canceled - reason:with id 1321</t>
  </si>
  <si>
    <t>2015-1-30 10:38:13.568: OrderManager - canceledOrder - cleaning up after canceled order 1321BEWARE UNACCOUNTED FOR EXECUTIONS!!!</t>
  </si>
  <si>
    <t>2015-1-30 10:38:13.569: OrderManager - terminateOrder - cleaning up after Canceled 1321  order was supposed to BUY 26 1.5127 STP LMT workingQty/OrderCount now -548/0</t>
  </si>
  <si>
    <t>2015-1-30 10:38:13.573: OrderManagerView - UpdateMainSheetOpenOrder - entering UpdateMainSheetOpenOrder order.status is Canceled</t>
  </si>
  <si>
    <t>2015-1-30 10:38:13.607: RTWSControl - errMsg - got error message 399:Order Message:
BUY 24 GBP MAR'15
Warning: your order will not be placed at the exchange until 2015-01-30 08:30:00 US/Centralwith id 1322</t>
  </si>
  <si>
    <t>2015-1-30 10:38:13.608: RTWSControl - errMsg - Got Error_x000D_id: 1322_x000D_errorCode: 399_x000D_errorMsg: Order Message:
BUY 24 GBP MAR'15
Warning: your order will not be placed at the exchange until 2015-01-30 08:30:00 US/Central</t>
  </si>
  <si>
    <t>2015-1-30 10:38:13.618: openOrderEx - I am here</t>
  </si>
  <si>
    <t>2015-1-30 10:38:13.618: OrderManagerView - UpdateMainSheetOpenOrder - entering UpdateMainSheetOpenOrder order.status is In-Flight</t>
  </si>
  <si>
    <t>2015-1-30 10:38:13.649: RTWSControl - orderStatus -  entering orderStatus id is 1322 status is PreSubmitted</t>
  </si>
  <si>
    <t>2015-1-30 10:38:13.649: OrderManager - UpdateOrderStatus - id 1322 Setting status to PreSubmitted workingOrderCount is now 0 workingQty -548</t>
  </si>
  <si>
    <t>2015-1-30 10:38:13.650: OrderManagerView - UpdateMainSheetOpenOrder - entering UpdateMainSheetOpenOrder order.status is PreSubmitted</t>
  </si>
  <si>
    <t>2015-1-30 10:38:13.652: RTWSControl - OrderStatus - Got OrderStatus Message id:1322 status: PreSubmitted filled: 0</t>
  </si>
  <si>
    <t>2015-1-30 10:38:13.653: RTWSControl - OrderStatus - exiting orderStatus</t>
  </si>
  <si>
    <t>2015-1-30 10:38:13.746: openOrderEx - I am here</t>
  </si>
  <si>
    <t>2015-1-30 10:38:13.747: OrderManagerView - UpdateMainSheetOpenOrder - entering UpdateMainSheetOpenOrder order.status is PreSubmitted</t>
  </si>
  <si>
    <t>2015-1-30 10:38:13.759: RTWSControl - orderStatus -  entering orderStatus id is 1322 status is PreSubmitted</t>
  </si>
  <si>
    <t>2015-1-30 10:38:13.759: OrderManager - UpdateOrderStatus - id 1322 Setting status to PreSubmitted workingOrderCount is now 0 workingQty -548</t>
  </si>
  <si>
    <t>2015-1-30 10:38:13.760: OrderManagerView - UpdateMainSheetOpenOrder - entering UpdateMainSheetOpenOrder order.status is PreSubmitted</t>
  </si>
  <si>
    <t>2015-1-30 10:38:13.762: RTWSControl - OrderStatus - Got OrderStatus Message id:1322 status: PreSubmitted filled: 0</t>
  </si>
  <si>
    <t>2015-1-30 10:38:13.762: RTWSControl - OrderStatus - exiting orderStatus</t>
  </si>
  <si>
    <t>2015-1-30 10:38:14.703: OrderManager - PlaceOrder - id 1323 workingQty -572</t>
  </si>
  <si>
    <t>2015-1-30 10:38:14.705: OrderManagerView - UpdateMainSheetOpenOrder - entering UpdateMainSheetOpenOrder order.status is In-Flight</t>
  </si>
  <si>
    <t>2015-1-30 10:38:14.714: OrderManager - sendOrder - exiting place order id 1323 SELL 24 1.5064  - workingQty -572 currentPosition is 21 workingOrderCount is 1</t>
  </si>
  <si>
    <t>2015-1-30 10:38:14.837: RTWSControl - nextValidId - entering nextValidId id is 1324</t>
  </si>
  <si>
    <t>2015-1-30 10:38:15.5: RTWSControl - errMsg - got error message 399:Order Message:
SELL 24 GBP MAR'15
Warning: your order will not be placed at the exchange until 2015-01-30 08:30:00 US/Centralwith id 1323</t>
  </si>
  <si>
    <t>2015-1-30 10:38:15.8: RTWSControl - errMsg - Got Error_x000D_id: 1323_x000D_errorCode: 399_x000D_errorMsg: Order Message:
SELL 24 GBP MAR'15
Warning: your order will not be placed at the exchange until 2015-01-30 08:30:00 US/Central</t>
  </si>
  <si>
    <t>2015-1-30 10:38:15.47: openOrderEx - I am here</t>
  </si>
  <si>
    <t>2015-1-30 10:38:15.48: OrderManagerView - UpdateMainSheetOpenOrder - entering UpdateMainSheetOpenOrder order.status is In-Flight</t>
  </si>
  <si>
    <t>2015-1-30 10:38:15.68: RTWSControl - orderStatus -  entering orderStatus id is 1323 status is PreSubmitted</t>
  </si>
  <si>
    <t>2015-1-30 10:38:15.68: OrderManager - UpdateOrderStatus - id 1323 Setting status to PreSubmitted workingOrderCount is now 1 workingQty -572</t>
  </si>
  <si>
    <t>2015-1-30 10:38:15.69: OrderManagerView - UpdateMainSheetOpenOrder - entering UpdateMainSheetOpenOrder order.status is PreSubmitted</t>
  </si>
  <si>
    <t>2015-1-30 10:38:15.73: RTWSControl - OrderStatus - Got OrderStatus Message id:1323 status: PreSubmitted filled: 0</t>
  </si>
  <si>
    <t>2015-1-30 10:38:15.73: RTWSControl - OrderStatus - exiting orderStatus</t>
  </si>
  <si>
    <t>2015-1-30 10:38:15.91: openOrderEx - I am here</t>
  </si>
  <si>
    <t>2015-1-30 10:38:15.92: OrderManagerView - UpdateMainSheetOpenOrder - entering UpdateMainSheetOpenOrder order.status is PreSubmitted</t>
  </si>
  <si>
    <t>2015-1-30 10:38:15.125: RTWSControl - orderStatus -  entering orderStatus id is 1323 status is PreSubmitted</t>
  </si>
  <si>
    <t>2015-1-30 10:38:15.126: OrderManager - UpdateOrderStatus - id 1323 Setting status to PreSubmitted workingOrderCount is now 1 workingQty -572</t>
  </si>
  <si>
    <t>2015-1-30 10:38:15.126: OrderManagerView - UpdateMainSheetOpenOrder - entering UpdateMainSheetOpenOrder order.status is PreSubmitted</t>
  </si>
  <si>
    <t>2015-1-30 10:38:15.128: RTWSControl - OrderStatus - Got OrderStatus Message id:1323 status: PreSubmitted filled: 0</t>
  </si>
  <si>
    <t>2015-1-30 10:38:15.128: RTWSControl - OrderStatus - exiting orderStatus</t>
  </si>
  <si>
    <t>2015-1-30 10:38:18.1: OrderManagerView - UpdateMainSheetOpenOrder - entering UpdateMainSheetOpenOrder order.status is PreSubmitted</t>
  </si>
  <si>
    <t>2015-1-30 10:38:18.5: OrderManagerView - UpdateMainSheetOpenOrder - entering UpdateMainSheetOpenOrder order.status is PreSubmitted</t>
  </si>
  <si>
    <t>2015-1-30 10:38:18.7: OrderManagerView - UpdateMainSheetOpenOrder - entering UpdateMainSheetOpenOrder order.status is PreSubmitted</t>
  </si>
  <si>
    <t>2015-1-30 10:38:21.295: OrderManager - cancelOrder - cancelling order id 1323</t>
  </si>
  <si>
    <t>2015-1-30 10:38:21.295: OrderManager - PlaceOrder - id 1324 workingQty -597</t>
  </si>
  <si>
    <t>2015-1-30 10:38:21.295: OrderManagerView - UpdateMainSheetOpenOrder - entering UpdateMainSheetOpenOrder order.status is In-Flight</t>
  </si>
  <si>
    <t>2015-1-30 10:38:21.297: OrderManager - sendOrder - exiting place order id 1324 SELL 25 1.5065  - workingQty -597 currentPosition is 21 workingOrderCount is 2</t>
  </si>
  <si>
    <t>2015-1-30 10:38:21.459: RTWSControl - nextValidId - entering nextValidId id is 1325</t>
  </si>
  <si>
    <t>2015-1-30 10:38:21.568: RTWSControl - orderStatus -  entering orderStatus id is 1323 status is Cancelled</t>
  </si>
  <si>
    <t>2015-1-30 10:38:21.569: OrderManager - UpdateOrderStatus - id 1323 Setting status to Cancelled workingOrderCount is now 2 workingQty -597</t>
  </si>
  <si>
    <t>2015-1-30 10:38:21.569: OrderManagerView - UpdateMainSheetOpenOrder - entering UpdateMainSheetOpenOrder order.status is Cancelled</t>
  </si>
  <si>
    <t>2015-1-30 10:38:21.572: RTWSControl - OrderStatus - Got OrderStatus Message id:1323 status: Cancelled filled: 0</t>
  </si>
  <si>
    <t>2015-1-30 10:38:21.572: RTWSControl - OrderStatus - exiting orderStatus</t>
  </si>
  <si>
    <t>2015-1-30 10:38:21.578: RTWSControl - errMsg - got error message 202:Order Canceled - reason:with id 1323</t>
  </si>
  <si>
    <t>2015-1-30 10:38:21.579: OrderManager - canceledOrder - cleaning up after canceled order 1323BEWARE UNACCOUNTED FOR EXECUTIONS!!!</t>
  </si>
  <si>
    <t>2015-1-30 10:38:21.580: OrderManager - terminateOrder - cleaning up after Canceled 1323  order was supposed to SELL 24 1.5064 STP LMT workingQty/OrderCount now -621/1</t>
  </si>
  <si>
    <t>2015-1-30 10:38:21.581: OrderManagerView - UpdateMainSheetOpenOrder - entering UpdateMainSheetOpenOrder order.status is Canceled</t>
  </si>
  <si>
    <t>2015-1-30 10:38:21.612: RTWSControl - errMsg - got error message 399:Order Message:
SELL 25 GBP MAR'15
Warning: your order will not be placed at the exchange until 2015-01-30 08:30:00 US/Centralwith id 1324</t>
  </si>
  <si>
    <t>2015-1-30 10:38:21.612: RTWSControl - errMsg - Got Error_x000D_id: 1324_x000D_errorCode: 399_x000D_errorMsg: Order Message:
SELL 25 GBP MAR'15
Warning: your order will not be placed at the exchange until 2015-01-30 08:30:00 US/Central</t>
  </si>
  <si>
    <t>2015-1-30 10:38:21.621: openOrderEx - I am here</t>
  </si>
  <si>
    <t>2015-1-30 10:38:21.621: OrderManagerView - UpdateMainSheetOpenOrder - entering UpdateMainSheetOpenOrder order.status is In-Flight</t>
  </si>
  <si>
    <t>2015-1-30 10:38:21.629: RTWSControl - orderStatus -  entering orderStatus id is 1324 status is PreSubmitted</t>
  </si>
  <si>
    <t>2015-1-30 10:38:21.630: OrderManager - UpdateOrderStatus - id 1324 Setting status to PreSubmitted workingOrderCount is now 1 workingQty -621</t>
  </si>
  <si>
    <t>2015-1-30 10:38:21.630: OrderManagerView - UpdateMainSheetOpenOrder - entering UpdateMainSheetOpenOrder order.status is PreSubmitted</t>
  </si>
  <si>
    <t>2015-1-30 10:38:21.632: RTWSControl - OrderStatus - Got OrderStatus Message id:1324 status: PreSubmitted filled: 0</t>
  </si>
  <si>
    <t>2015-1-30 10:38:21.633: RTWSControl - OrderStatus - exiting orderStatus</t>
  </si>
  <si>
    <t>2015-1-30 10:38:21.799: openOrderEx - I am here</t>
  </si>
  <si>
    <t>2015-1-30 10:38:21.799: OrderManagerView - UpdateMainSheetOpenOrder - entering UpdateMainSheetOpenOrder order.status is PreSubmitted</t>
  </si>
  <si>
    <t>2015-1-30 10:38:21.810: RTWSControl - orderStatus -  entering orderStatus id is 1324 status is PreSubmitted</t>
  </si>
  <si>
    <t>2015-1-30 10:38:21.810: OrderManager - UpdateOrderStatus - id 1324 Setting status to PreSubmitted workingOrderCount is now 1 workingQty -621</t>
  </si>
  <si>
    <t>2015-1-30 10:38:21.811: OrderManagerView - UpdateMainSheetOpenOrder - entering UpdateMainSheetOpenOrder order.status is PreSubmitted</t>
  </si>
  <si>
    <t>2015-1-30 10:38:21.813: RTWSControl - OrderStatus - Got OrderStatus Message id:1324 status: PreSubmitted filled: 0</t>
  </si>
  <si>
    <t>2015-1-30 10:38:21.814: RTWSControl - OrderStatus - exiting orderStatus</t>
  </si>
  <si>
    <t>2015-1-30 10:38:21.922: OrderManager - cancelOrder - cancelling order id 1322</t>
  </si>
  <si>
    <t>2015-1-30 10:38:21.922: OrderManager - PlaceOrder - id 1325 workingQty -596</t>
  </si>
  <si>
    <t>2015-1-30 10:38:21.923: OrderManagerView - UpdateMainSheetOpenOrder - entering UpdateMainSheetOpenOrder order.status is In-Flight</t>
  </si>
  <si>
    <t>2015-1-30 10:38:21.924: OrderManager - sendOrder - exiting place order id 1325 BUY 25 1.5126  - workingQty -596 currentPosition is 21 workingOrderCount is 2</t>
  </si>
  <si>
    <t>2015-1-30 10:38:21.925: OrderManager - cancelOrder - cancelling order id 1324</t>
  </si>
  <si>
    <t>2015-1-30 10:38:21.925: OrderManager - createOrder - exiting without creating order - did not have validID</t>
  </si>
  <si>
    <t>2015-1-30 10:38:22.312: RTWSControl - nextValidId - entering nextValidId id is 1326</t>
  </si>
  <si>
    <t>2015-1-30 10:38:22.330: RTWSControl - orderStatus -  entering orderStatus id is 1322 status is Cancelled</t>
  </si>
  <si>
    <t>2015-1-30 10:38:22.330: OrderManager - UpdateOrderStatus - id 1322 Setting status to Cancelled workingOrderCount is now 2 workingQty -596</t>
  </si>
  <si>
    <t>2015-1-30 10:38:22.331: OrderManagerView - UpdateMainSheetOpenOrder - entering UpdateMainSheetOpenOrder order.status is Cancelled</t>
  </si>
  <si>
    <t>2015-1-30 10:38:22.333: RTWSControl - OrderStatus - Got OrderStatus Message id:1322 status: Cancelled filled: 0</t>
  </si>
  <si>
    <t>2015-1-30 10:38:22.333: RTWSControl - OrderStatus - exiting orderStatus</t>
  </si>
  <si>
    <t>2015-1-30 10:38:22.339: RTWSControl - errMsg - got error message 202:Order Canceled - reason:with id 1322</t>
  </si>
  <si>
    <t>2015-1-30 10:38:22.340: OrderManager - canceledOrder - cleaning up after canceled order 1322BEWARE UNACCOUNTED FOR EXECUTIONS!!!</t>
  </si>
  <si>
    <t>2015-1-30 10:38:22.340: OrderManager - terminateOrder - cleaning up after Canceled 1322  order was supposed to BUY 24 1.5125 STP LMT workingQty/OrderCount now -620/1</t>
  </si>
  <si>
    <t>2015-1-30 10:38:22.342: OrderManagerView - UpdateMainSheetOpenOrder - entering UpdateMainSheetOpenOrder order.status is Canceled</t>
  </si>
  <si>
    <t>2015-1-30 10:38:22.349: RTWSControl - errMsg - got error message 399:Order Message:
BUY 25 GBP MAR'15
Warning: your order will not be placed at the exchange until 2015-01-30 08:30:00 US/Centralwith id 1325</t>
  </si>
  <si>
    <t>2015-1-30 10:38:22.350: RTWSControl - errMsg - Got Error_x000D_id: 1325_x000D_errorCode: 399_x000D_errorMsg: Order Message:
BUY 25 GBP MAR'15
Warning: your order will not be placed at the exchange until 2015-01-30 08:30:00 US/Central</t>
  </si>
  <si>
    <t>2015-1-30 10:38:22.377: openOrderEx - I am here</t>
  </si>
  <si>
    <t>2015-1-30 10:38:22.378: OrderManagerView - UpdateMainSheetOpenOrder - entering UpdateMainSheetOpenOrder order.status is In-Flight</t>
  </si>
  <si>
    <t>2015-1-30 10:38:22.496: RTWSControl - orderStatus -  entering orderStatus id is 1325 status is PreSubmitted</t>
  </si>
  <si>
    <t>2015-1-30 10:38:22.498: OrderManager - UpdateOrderStatus - id 1325 Setting status to PreSubmitted workingOrderCount is now 1 workingQty -620</t>
  </si>
  <si>
    <t>2015-1-30 10:38:22.500: OrderManagerView - UpdateMainSheetOpenOrder - entering UpdateMainSheetOpenOrder order.status is PreSubmitted</t>
  </si>
  <si>
    <t>2015-1-30 10:38:22.508: RTWSControl - OrderStatus - Got OrderStatus Message id:1325 status: PreSubmitted filled: 0</t>
  </si>
  <si>
    <t>2015-1-30 10:38:22.509: RTWSControl - OrderStatus - exiting orderStatus</t>
  </si>
  <si>
    <t>2015-1-30 10:38:22.518: RTWSControl - orderStatus -  entering orderStatus id is 1324 status is Cancelled</t>
  </si>
  <si>
    <t>2015-1-30 10:38:22.525: OrderManager - UpdateOrderStatus - id 1324 Setting status to Cancelled workingOrderCount is now 1 workingQty -620</t>
  </si>
  <si>
    <t>2015-1-30 10:38:22.526: OrderManagerView - UpdateMainSheetOpenOrder - entering UpdateMainSheetOpenOrder order.status is Cancelled</t>
  </si>
  <si>
    <t>2015-1-30 10:38:22.530: RTWSControl - OrderStatus - Got OrderStatus Message id:1324 status: Cancelled filled: 0</t>
  </si>
  <si>
    <t>2015-1-30 10:38:22.531: RTWSControl - OrderStatus - exiting orderStatus</t>
  </si>
  <si>
    <t>2015-1-30 10:38:22.536: RTWSControl - errMsg - got error message 202:Order Canceled - reason:with id 1324</t>
  </si>
  <si>
    <t>2015-1-30 10:38:22.537: OrderManager - canceledOrder - cleaning up after canceled order 1324BEWARE UNACCOUNTED FOR EXECUTIONS!!!</t>
  </si>
  <si>
    <t>2015-1-30 10:38:22.537: OrderManager - terminateOrder - cleaning up after Canceled 1324  order was supposed to SELL 25 1.5065 STP LMT workingQty/OrderCount now -645/0</t>
  </si>
  <si>
    <t>2015-1-30 10:38:22.541: OrderManagerView - UpdateMainSheetOpenOrder - entering UpdateMainSheetOpenOrder order.status is Canceled</t>
  </si>
  <si>
    <t>2015-1-30 10:38:22.550: openOrderEx - I am here</t>
  </si>
  <si>
    <t>2015-1-30 10:38:22.550: OrderManagerView - UpdateMainSheetOpenOrder - entering UpdateMainSheetOpenOrder order.status is PreSubmitted</t>
  </si>
  <si>
    <t>2015-1-30 10:38:22.553: RTWSControl - orderStatus -  entering orderStatus id is 1325 status is PreSubmitted</t>
  </si>
  <si>
    <t>2015-1-30 10:38:22.554: OrderManager - UpdateOrderStatus - id 1325 Setting status to PreSubmitted workingOrderCount is now 0 workingQty -645</t>
  </si>
  <si>
    <t>2015-1-30 10:38:22.554: OrderManagerView - UpdateMainSheetOpenOrder - entering UpdateMainSheetOpenOrder order.status is PreSubmitted</t>
  </si>
  <si>
    <t>2015-1-30 10:38:22.556: RTWSControl - OrderStatus - Got OrderStatus Message id:1325 status: PreSubmitted filled: 0</t>
  </si>
  <si>
    <t>2015-1-30 10:38:22.557: RTWSControl - OrderStatus - exiting orderStatus</t>
  </si>
  <si>
    <t>2015-1-30 10:38:26.28: OrderManagerView - UpdateMainSheetOpenOrder - entering UpdateMainSheetOpenOrder order.status is Canceled</t>
  </si>
  <si>
    <t>2015-1-30 10:38:26.31: OrderManagerView - UpdateMainSheetOpenOrder - entering UpdateMainSheetOpenOrder order.status is Canceled</t>
  </si>
  <si>
    <t>2015-1-30 10:38:26.33: OrderManagerView - UpdateMainSheetOpenOrder - entering UpdateMainSheetOpenOrder order.status is PreSubmitted</t>
  </si>
  <si>
    <t>2015-1-30 10:38:26.36: OrderManagerView - UpdateMainSheetOpenOrder - entering UpdateMainSheetOpenOrder order.status is PreSubmitted</t>
  </si>
  <si>
    <t>2015-1-30 10:38:26.551: OrderManager - PlaceOrder - id 1326 workingQty -670</t>
  </si>
  <si>
    <t>2015-1-30 10:38:26.552: OrderManagerView - UpdateMainSheetOpenOrder - entering UpdateMainSheetOpenOrder order.status is In-Flight</t>
  </si>
  <si>
    <t>2015-1-30 10:38:26.556: OrderManager - sendOrder - exiting place order id 1326 SELL 25 1.5066  - workingQty -670 currentPosition is 21 workingOrderCount is 1</t>
  </si>
  <si>
    <t>2015-1-30 10:38:26.655: RTWSControl - nextValidId - entering nextValidId id is 1327</t>
  </si>
  <si>
    <t>2015-1-30 10:38:26.810: RTWSControl - errMsg - got error message 399:Order Message:
SELL 25 GBP MAR'15
Warning: your order will not be placed at the exchange until 2015-01-30 08:30:00 US/Centralwith id 1326</t>
  </si>
  <si>
    <t>2015-1-30 10:38:26.811: RTWSControl - errMsg - Got Error_x000D_id: 1326_x000D_errorCode: 399_x000D_errorMsg: Order Message:
SELL 25 GBP MAR'15
Warning: your order will not be placed at the exchange until 2015-01-30 08:30:00 US/Central</t>
  </si>
  <si>
    <t>2015-1-30 10:38:26.819: openOrderEx - I am here</t>
  </si>
  <si>
    <t>2015-1-30 10:38:26.819: OrderManagerView - UpdateMainSheetOpenOrder - entering UpdateMainSheetOpenOrder order.status is In-Flight</t>
  </si>
  <si>
    <t>2015-1-30 10:38:26.826: RTWSControl - orderStatus -  entering orderStatus id is 1326 status is PreSubmitted</t>
  </si>
  <si>
    <t>2015-1-30 10:38:26.827: OrderManager - UpdateOrderStatus - id 1326 Setting status to PreSubmitted workingOrderCount is now 1 workingQty -670</t>
  </si>
  <si>
    <t>2015-1-30 10:38:26.828: OrderManagerView - UpdateMainSheetOpenOrder - entering UpdateMainSheetOpenOrder order.status is PreSubmitted</t>
  </si>
  <si>
    <t>2015-1-30 10:38:26.832: RTWSControl - OrderStatus - Got OrderStatus Message id:1326 status: PreSubmitted filled: 0</t>
  </si>
  <si>
    <t>2015-1-30 10:38:26.832: RTWSControl - OrderStatus - exiting orderStatus</t>
  </si>
  <si>
    <t>2015-1-30 10:38:26.970: OrderManager - cancelOrder - cancelling order id 1325</t>
  </si>
  <si>
    <t>2015-1-30 10:38:26.971: OrderManager - PlaceOrder - id 1327 workingQty -645</t>
  </si>
  <si>
    <t>2015-1-30 10:38:26.971: OrderManagerView - UpdateMainSheetOpenOrder - entering UpdateMainSheetOpenOrder order.status is In-Flight</t>
  </si>
  <si>
    <t>2015-1-30 10:38:26.974: OrderManager - sendOrder - exiting place order id 1327 BUY 25 1.5127  - workingQty -645 currentPosition is 21 workingOrderCount is 2</t>
  </si>
  <si>
    <t>2015-1-30 10:38:26.974: OrderManager - cancelOrder - cancelling order id 1326</t>
  </si>
  <si>
    <t>2015-1-30 10:38:26.974: OrderManager - createOrder - exiting without creating order - did not have validID</t>
  </si>
  <si>
    <t>2015-1-30 10:38:27.15: OrderManagerView - UpdateMainSheetOpenOrder - entering UpdateMainSheetOpenOrder order.status is PreSubmitted</t>
  </si>
  <si>
    <t>2015-1-30 10:38:27.17: OrderManagerView - UpdateMainSheetOpenOrder - entering UpdateMainSheetOpenOrder order.status is PreSubmitted</t>
  </si>
  <si>
    <t>2015-1-30 10:38:27.18: OrderManagerView - UpdateMainSheetOpenOrder - entering UpdateMainSheetOpenOrder order.status is In-Flight</t>
  </si>
  <si>
    <t>2015-1-30 10:38:27.20: OrderManagerView - UpdateMainSheetOpenOrder - entering UpdateMainSheetOpenOrder order.status is PreSubmitted</t>
  </si>
  <si>
    <t>2015-1-30 10:38:27.21: OrderManagerView - UpdateMainSheetOpenOrder - entering UpdateMainSheetOpenOrder order.status is In-Flight</t>
  </si>
  <si>
    <t>2015-1-30 10:38:27.25: OrderManagerView - UpdateMainSheetOpenOrder - entering UpdateMainSheetOpenOrder order.status is PreSubmitted</t>
  </si>
  <si>
    <t>2015-1-30 10:38:27.27: OrderManagerView - UpdateMainSheetOpenOrder - entering UpdateMainSheetOpenOrder order.status is PreSubmitted</t>
  </si>
  <si>
    <t>2015-1-30 10:38:27.28: OrderManagerView - UpdateMainSheetOpenOrder - entering UpdateMainSheetOpenOrder order.status is In-Flight</t>
  </si>
  <si>
    <t>2015-1-30 10:38:27.50: openOrderEx - I am here</t>
  </si>
  <si>
    <t>2015-1-30 10:38:27.50: OrderManagerView - UpdateMainSheetOpenOrder - entering UpdateMainSheetOpenOrder order.status is PreSubmitted</t>
  </si>
  <si>
    <t>2015-1-30 10:38:27.65: RTWSControl - orderStatus -  entering orderStatus id is 1326 status is PreSubmitted</t>
  </si>
  <si>
    <t>2015-1-30 10:38:27.66: OrderManager - UpdateOrderStatus - id 1326 Setting status to PreSubmitted workingOrderCount is now 2 workingQty -645</t>
  </si>
  <si>
    <t>2015-1-30 10:38:27.66: OrderManagerView - UpdateMainSheetOpenOrder - entering UpdateMainSheetOpenOrder order.status is PreSubmitted</t>
  </si>
  <si>
    <t>2015-1-30 10:38:27.68: RTWSControl - OrderStatus - Got OrderStatus Message id:1326 status: PreSubmitted filled: 0</t>
  </si>
  <si>
    <t>2015-1-30 10:38:27.69: RTWSControl - OrderStatus - exiting orderStatus</t>
  </si>
  <si>
    <t>2015-1-30 10:38:27.156: RTWSControl - nextValidId - entering nextValidId id is 1328</t>
  </si>
  <si>
    <t>2015-1-30 10:38:27.395: RTWSControl - orderStatus -  entering orderStatus id is 1325 status is Cancelled</t>
  </si>
  <si>
    <t>2015-1-30 10:38:27.395: OrderManager - UpdateOrderStatus - id 1325 Setting status to Cancelled workingOrderCount is now 2 workingQty -645</t>
  </si>
  <si>
    <t>2015-1-30 10:38:27.396: OrderManagerView - UpdateMainSheetOpenOrder - entering UpdateMainSheetOpenOrder order.status is Cancelled</t>
  </si>
  <si>
    <t>2015-1-30 10:38:27.398: RTWSControl - OrderStatus - Got OrderStatus Message id:1325 status: Cancelled filled: 0</t>
  </si>
  <si>
    <t>2015-1-30 10:38:27.399: RTWSControl - OrderStatus - exiting orderStatus</t>
  </si>
  <si>
    <t>2015-1-30 10:38:27.406: RTWSControl - errMsg - got error message 202:Order Canceled - reason:with id 1325</t>
  </si>
  <si>
    <t>2015-1-30 10:38:27.407: OrderManager - canceledOrder - cleaning up after canceled order 1325BEWARE UNACCOUNTED FOR EXECUTIONS!!!</t>
  </si>
  <si>
    <t>2015-1-30 10:38:27.407: OrderManager - terminateOrder - cleaning up after Canceled 1325  order was supposed to BUY 25 1.5126 STP LMT workingQty/OrderCount now -670/1</t>
  </si>
  <si>
    <t>2015-1-30 10:38:27.409: OrderManagerView - UpdateMainSheetOpenOrder - entering UpdateMainSheetOpenOrder order.status is Canceled</t>
  </si>
  <si>
    <t>2015-1-30 10:38:27.426: RTWSControl - errMsg - got error message 399:Order Message:
BUY 25 GBP MAR'15
Warning: your order will not be placed at the exchange until 2015-01-30 08:30:00 US/Centralwith id 1327</t>
  </si>
  <si>
    <t>2015-1-30 10:38:27.426: RTWSControl - errMsg - Got Error_x000D_id: 1327_x000D_errorCode: 399_x000D_errorMsg: Order Message:
BUY 25 GBP MAR'15
Warning: your order will not be placed at the exchange until 2015-01-30 08:30:00 US/Central</t>
  </si>
  <si>
    <t>2015-1-30 10:38:27.435: openOrderEx - I am here</t>
  </si>
  <si>
    <t>2015-1-30 10:38:27.435: OrderManagerView - UpdateMainSheetOpenOrder - entering UpdateMainSheetOpenOrder order.status is In-Flight</t>
  </si>
  <si>
    <t>2015-1-30 10:38:27.445: RTWSControl - orderStatus -  entering orderStatus id is 1327 status is PreSubmitted</t>
  </si>
  <si>
    <t>2015-1-30 10:38:27.446: OrderManager - UpdateOrderStatus - id 1327 Setting status to PreSubmitted workingOrderCount is now 1 workingQty -670</t>
  </si>
  <si>
    <t>2015-1-30 10:38:27.446: OrderManagerView - UpdateMainSheetOpenOrder - entering UpdateMainSheetOpenOrder order.status is PreSubmitted</t>
  </si>
  <si>
    <t>2015-1-30 10:38:27.448: RTWSControl - OrderStatus - Got OrderStatus Message id:1327 status: PreSubmitted filled: 0</t>
  </si>
  <si>
    <t>2015-1-30 10:38:27.449: RTWSControl - OrderStatus - exiting orderStatus</t>
  </si>
  <si>
    <t>2015-1-30 10:38:27.460: RTWSControl - orderStatus -  entering orderStatus id is 1326 status is Cancelled</t>
  </si>
  <si>
    <t>2015-1-30 10:38:27.461: OrderManager - UpdateOrderStatus - id 1326 Setting status to Cancelled workingOrderCount is now 1 workingQty -670</t>
  </si>
  <si>
    <t>2015-1-30 10:38:27.461: OrderManagerView - UpdateMainSheetOpenOrder - entering UpdateMainSheetOpenOrder order.status is Cancelled</t>
  </si>
  <si>
    <t>2015-1-30 10:38:27.463: RTWSControl - OrderStatus - Got OrderStatus Message id:1326 status: Cancelled filled: 0</t>
  </si>
  <si>
    <t>2015-1-30 10:38:27.463: RTWSControl - OrderStatus - exiting orderStatus</t>
  </si>
  <si>
    <t>2015-1-30 10:38:27.470: RTWSControl - errMsg - got error message 202:Order Canceled - reason:with id 1326</t>
  </si>
  <si>
    <t>2015-1-30 10:38:27.471: OrderManager - canceledOrder - cleaning up after canceled order 1326BEWARE UNACCOUNTED FOR EXECUTIONS!!!</t>
  </si>
  <si>
    <t>2015-1-30 10:38:27.472: OrderManager - terminateOrder - cleaning up after Canceled 1326  order was supposed to SELL 25 1.5066 STP LMT workingQty/OrderCount now -695/0</t>
  </si>
  <si>
    <t>2015-1-30 10:38:27.473: OrderManagerView - UpdateMainSheetOpenOrder - entering UpdateMainSheetOpenOrder order.status is Canceled</t>
  </si>
  <si>
    <t>2015-1-30 10:38:27.484: openOrderEx - I am here</t>
  </si>
  <si>
    <t>2015-1-30 10:38:27.484: OrderManagerView - UpdateMainSheetOpenOrder - entering UpdateMainSheetOpenOrder order.status is PreSubmitted</t>
  </si>
  <si>
    <t>2015-1-30 10:38:27.503: RTWSControl - orderStatus -  entering orderStatus id is 1327 status is PreSubmitted</t>
  </si>
  <si>
    <t>2015-1-30 10:38:27.504: OrderManager - UpdateOrderStatus - id 1327 Setting status to PreSubmitted workingOrderCount is now 0 workingQty -695</t>
  </si>
  <si>
    <t>2015-1-30 10:38:27.504: OrderManagerView - UpdateMainSheetOpenOrder - entering UpdateMainSheetOpenOrder order.status is PreSubmitted</t>
  </si>
  <si>
    <t>2015-1-30 10:38:27.506: RTWSControl - OrderStatus - Got OrderStatus Message id:1327 status: PreSubmitted filled: 0</t>
  </si>
  <si>
    <t>2015-1-30 10:38:27.507: RTWSControl - OrderStatus - exiting orderStatus</t>
  </si>
  <si>
    <t>2015-1-30 10:38:31.235: OrderManagerView - UpdateMainSheetOpenOrder - entering UpdateMainSheetOpenOrder order.status is Canceled</t>
  </si>
  <si>
    <t>2015-1-30 10:38:31.243: OrderManagerView - UpdateMainSheetOpenOrder - entering UpdateMainSheetOpenOrder order.status is PreSubmitted</t>
  </si>
  <si>
    <t>2015-1-30 10:38:31.250: OrderManagerView - UpdateMainSheetOpenOrder - entering UpdateMainSheetOpenOrder order.status is PreSubmitted</t>
  </si>
  <si>
    <t>2015-1-30 10:38:31.273: OrderManagerView - UpdateMainSheetOpenOrder - entering UpdateMainSheetOpenOrder order.status is PreSubmitted</t>
  </si>
  <si>
    <t>2015-1-30 10:38:32.342: OrderManagerView - UpdateMainSheetOpenOrder - entering UpdateMainSheetOpenOrder order.status is PreSubmitted</t>
  </si>
  <si>
    <t>2015-1-30 10:38:32.366: OrderManagerView - UpdateMainSheetOpenOrder - entering UpdateMainSheetOpenOrder order.status is PreSubmitted</t>
  </si>
  <si>
    <t>2015-1-30 10:38:36.6: OrderManagerView - UpdateMainSheetOpenOrder - entering UpdateMainSheetOpenOrder order.status is PreSubmitted</t>
  </si>
  <si>
    <t>2015-1-30 10:38:38.388: OrderManager - PlaceOrder - id 1328 workingQty -719</t>
  </si>
  <si>
    <t>2015-1-30 10:38:38.388: OrderManagerView - UpdateMainSheetOpenOrder - entering UpdateMainSheetOpenOrder order.status is In-Flight</t>
  </si>
  <si>
    <t>2015-1-30 10:38:38.391: OrderManager - sendOrder - exiting place order id 1328 SELL 24 1.5066  - workingQty -719 currentPosition is 21 workingOrderCount is 1</t>
  </si>
  <si>
    <t>2015-1-30 10:38:38.602: RTWSControl - nextValidId - entering nextValidId id is 1329</t>
  </si>
  <si>
    <t>2015-1-30 10:38:38.696: RTWSControl - errMsg - got error message 399:Order Message:
SELL 24 GBP MAR'15
Warning: your order will not be placed at the exchange until 2015-01-30 08:30:00 US/Centralwith id 1328</t>
  </si>
  <si>
    <t>2015-1-30 10:38:38.697: RTWSControl - errMsg - Got Error_x000D_id: 1328_x000D_errorCode: 399_x000D_errorMsg: Order Message:
SELL 24 GBP MAR'15
Warning: your order will not be placed at the exchange until 2015-01-30 08:30:00 US/Central</t>
  </si>
  <si>
    <t>2015-1-30 10:38:38.707: openOrderEx - I am here</t>
  </si>
  <si>
    <t>2015-1-30 10:38:38.707: OrderManagerView - UpdateMainSheetOpenOrder - entering UpdateMainSheetOpenOrder order.status is In-Flight</t>
  </si>
  <si>
    <t>2015-1-30 10:38:38.738: RTWSControl - orderStatus -  entering orderStatus id is 1328 status is PreSubmitted</t>
  </si>
  <si>
    <t>2015-1-30 10:38:38.739: OrderManager - UpdateOrderStatus - id 1328 Setting status to PreSubmitted workingOrderCount is now 1 workingQty -719</t>
  </si>
  <si>
    <t>2015-1-30 10:38:38.739: OrderManagerView - UpdateMainSheetOpenOrder - entering UpdateMainSheetOpenOrder order.status is PreSubmitted</t>
  </si>
  <si>
    <t>2015-1-30 10:38:38.741: RTWSControl - OrderStatus - Got OrderStatus Message id:1328 status: PreSubmitted filled: 0</t>
  </si>
  <si>
    <t>2015-1-30 10:38:38.742: RTWSControl - OrderStatus - exiting orderStatus</t>
  </si>
  <si>
    <t>2015-1-30 10:38:38.754: openOrderEx - I am here</t>
  </si>
  <si>
    <t>2015-1-30 10:38:38.755: OrderManagerView - UpdateMainSheetOpenOrder - entering UpdateMainSheetOpenOrder order.status is PreSubmitted</t>
  </si>
  <si>
    <t>2015-1-30 10:38:38.798: RTWSControl - orderStatus -  entering orderStatus id is 1328 status is PreSubmitted</t>
  </si>
  <si>
    <t>2015-1-30 10:38:38.798: OrderManager - UpdateOrderStatus - id 1328 Setting status to PreSubmitted workingOrderCount is now 1 workingQty -719</t>
  </si>
  <si>
    <t>2015-1-30 10:38:38.799: OrderManagerView - UpdateMainSheetOpenOrder - entering UpdateMainSheetOpenOrder order.status is PreSubmitted</t>
  </si>
  <si>
    <t>2015-1-30 10:38:38.801: RTWSControl - OrderStatus - Got OrderStatus Message id:1328 status: PreSubmitted filled: 0</t>
  </si>
  <si>
    <t>2015-1-30 10:38:38.801: RTWSControl - OrderStatus - exiting orderStatus</t>
  </si>
  <si>
    <t>2015-1-30 10:38:40.656: OrderManager - cancelOrder - cancelling order id 1327</t>
  </si>
  <si>
    <t>2015-1-30 10:38:40.657: OrderManager - PlaceOrder - id 1329 workingQty -697</t>
  </si>
  <si>
    <t>2015-1-30 10:38:40.658: OrderManagerView - UpdateMainSheetOpenOrder - entering UpdateMainSheetOpenOrder order.status is In-Flight</t>
  </si>
  <si>
    <t>2015-1-30 10:38:40.666: OrderManager - sendOrder - exiting place order id 1329 BUY 22 1.5119  - workingQty -697 currentPosition is 21 workingOrderCount is 2</t>
  </si>
  <si>
    <t>2015-1-30 10:38:40.839: RTWSControl - nextValidId - entering nextValidId id is 1330</t>
  </si>
  <si>
    <t>2015-1-30 10:38:40.970: RTWSControl - orderStatus -  entering orderStatus id is 1327 status is Cancelled</t>
  </si>
  <si>
    <t>2015-1-30 10:38:40.973: OrderManager - UpdateOrderStatus - id 1327 Setting status to Cancelled workingOrderCount is now 2 workingQty -697</t>
  </si>
  <si>
    <t>2015-1-30 10:38:40.974: OrderManagerView - UpdateMainSheetOpenOrder - entering UpdateMainSheetOpenOrder order.status is Cancelled</t>
  </si>
  <si>
    <t>2015-1-30 10:38:40.984: RTWSControl - OrderStatus - Got OrderStatus Message id:1327 status: Cancelled filled: 0</t>
  </si>
  <si>
    <t>2015-1-30 10:38:40.986: RTWSControl - OrderStatus - exiting orderStatus</t>
  </si>
  <si>
    <t>2015-1-30 10:38:41.45: RTWSControl - errMsg - got error message 202:Order Canceled - reason:with id 1327</t>
  </si>
  <si>
    <t>2015-1-30 10:38:41.47: OrderManager - canceledOrder - cleaning up after canceled order 1327BEWARE UNACCOUNTED FOR EXECUTIONS!!!</t>
  </si>
  <si>
    <t>2015-1-30 10:38:41.49: OrderManager - terminateOrder - cleaning up after Canceled 1327  order was supposed to BUY 25 1.5127 STP LMT workingQty/OrderCount now -722/1</t>
  </si>
  <si>
    <t>2015-1-30 10:38:41.54: OrderManagerView - UpdateMainSheetOpenOrder - entering UpdateMainSheetOpenOrder order.status is Canceled</t>
  </si>
  <si>
    <t>2015-1-30 10:38:41.175: RTWSControl - errMsg - got error message 399:Order Message:
BUY 22 GBP MAR'15
Warning: your order will not be placed at the exchange until 2015-01-30 08:30:00 US/Centralwith id 1329</t>
  </si>
  <si>
    <t>2015-1-30 10:38:41.176: RTWSControl - errMsg - Got Error_x000D_id: 1329_x000D_errorCode: 399_x000D_errorMsg: Order Message:
BUY 22 GBP MAR'15
Warning: your order will not be placed at the exchange until 2015-01-30 08:30:00 US/Central</t>
  </si>
  <si>
    <t>2015-1-30 10:38:41.211: openOrderEx - I am here</t>
  </si>
  <si>
    <t>2015-1-30 10:38:41.211: OrderManagerView - UpdateMainSheetOpenOrder - entering UpdateMainSheetOpenOrder order.status is In-Flight</t>
  </si>
  <si>
    <t>2015-1-30 10:38:41.223: RTWSControl - orderStatus -  entering orderStatus id is 1329 status is PreSubmitted</t>
  </si>
  <si>
    <t>2015-1-30 10:38:41.224: OrderManager - UpdateOrderStatus - id 1329 Setting status to PreSubmitted workingOrderCount is now 1 workingQty -722</t>
  </si>
  <si>
    <t>2015-1-30 10:38:41.224: OrderManagerView - UpdateMainSheetOpenOrder - entering UpdateMainSheetOpenOrder order.status is PreSubmitted</t>
  </si>
  <si>
    <t>2015-1-30 10:38:41.227: RTWSControl - OrderStatus - Got OrderStatus Message id:1329 status: PreSubmitted filled: 0</t>
  </si>
  <si>
    <t>2015-1-30 10:38:41.227: RTWSControl - OrderStatus - exiting orderStatus</t>
  </si>
  <si>
    <t>2015-1-30 10:38:41.256: openOrderEx - I am here</t>
  </si>
  <si>
    <t>2015-1-30 10:38:41.256: OrderManagerView - UpdateMainSheetOpenOrder - entering UpdateMainSheetOpenOrder order.status is PreSubmitted</t>
  </si>
  <si>
    <t>2015-1-30 10:38:41.292: RTWSControl - orderStatus -  entering orderStatus id is 1329 status is PreSubmitted</t>
  </si>
  <si>
    <t>2015-1-30 10:38:41.292: OrderManager - UpdateOrderStatus - id 1329 Setting status to PreSubmitted workingOrderCount is now 1 workingQty -722</t>
  </si>
  <si>
    <t>2015-1-30 10:38:41.293: OrderManagerView - UpdateMainSheetOpenOrder - entering UpdateMainSheetOpenOrder order.status is PreSubmitted</t>
  </si>
  <si>
    <t>2015-1-30 10:38:41.295: RTWSControl - OrderStatus - Got OrderStatus Message id:1329 status: PreSubmitted filled: 0</t>
  </si>
  <si>
    <t>2015-1-30 10:38:41.296: RTWSControl - OrderStatus - exiting orderStatus</t>
  </si>
  <si>
    <t>2015-1-30 10:38:45.81: OrderManager - cancelOrder - cancelling order id 1329</t>
  </si>
  <si>
    <t>2015-1-30 10:38:45.82: OrderManager - PlaceOrder - id 1330 workingQty -696</t>
  </si>
  <si>
    <t>2015-1-30 10:38:45.82: OrderManagerView - UpdateMainSheetOpenOrder - entering UpdateMainSheetOpenOrder order.status is In-Flight</t>
  </si>
  <si>
    <t>2015-1-30 10:38:45.84: OrderManager - sendOrder - exiting place order id 1330 BUY 26 1.5125  - workingQty -696 currentPosition is 21 workingOrderCount is 2</t>
  </si>
  <si>
    <t>2015-1-30 10:38:46.0: OrderManagerView - UpdateMainSheetOpenOrder - entering UpdateMainSheetOpenOrder order.status is PreSubmitted</t>
  </si>
  <si>
    <t>2015-1-30 10:38:46.3: OrderManagerView - UpdateMainSheetOpenOrder - entering UpdateMainSheetOpenOrder order.status is PreSubmitted</t>
  </si>
  <si>
    <t>2015-1-30 10:38:46.4: OrderManagerView - UpdateMainSheetOpenOrder - entering UpdateMainSheetOpenOrder order.status is In-Flight</t>
  </si>
  <si>
    <t>2015-1-30 10:38:46.6: OrderManagerView - UpdateMainSheetOpenOrder - entering UpdateMainSheetOpenOrder order.status is PreSubmitted</t>
  </si>
  <si>
    <t>2015-1-30 10:38:46.7: OrderManagerView - UpdateMainSheetOpenOrder - entering UpdateMainSheetOpenOrder order.status is In-Flight</t>
  </si>
  <si>
    <t>2015-1-30 10:38:46.631: Algorithm - FindNextStrikes - price is 1.50815 nextStrikeUp/Down 1.51/1.505</t>
  </si>
  <si>
    <t>2015-1-30 10:38:46.632: Algorithm - getPortfolioForwardDelta - required deltas is 21 currentHedgePosition is 21</t>
  </si>
  <si>
    <t>2015-1-30 10:38:46.632: Algorithm - getHedgeShortfall - required deltas is 21 price is 1.50825 currentHedgePositionDeltas is 21</t>
  </si>
  <si>
    <t>2015-1-30 10:38:46.633: Algorithm - processTransitionPoint - nextUpper/LowerStrikes are 1.51/1.505 requiredDeltas/currentPosition/currentHedgeShortfall/direction/transitionPrice are 21/21/0/1/1.50825</t>
  </si>
  <si>
    <t>2015-1-30 10:38:46.633: TransitionLogger - processTransitionpoint - checking transition - currentHedgeShortfall is 0</t>
  </si>
  <si>
    <t>2015-1-30 10:38:46.634: Algorithm - updatePortfolio - haveAllDetails is True</t>
  </si>
  <si>
    <t>2015-1-30 10:38:46.677: Algorithm - FindNextStrikes - price is 1.50815 nextStrikeUp/Down 1.51/1.505</t>
  </si>
  <si>
    <t>2015-1-30 10:38:46.677: Algorithm - getPortfolioForwardDelta - required deltas is 21 currentHedgePosition is 21</t>
  </si>
  <si>
    <t>2015-1-30 10:38:46.678: Algorithm - getHedgeShortfall - required deltas is 21 price is 1.50825 currentHedgePositionDeltas is 21</t>
  </si>
  <si>
    <t>2015-1-30 10:38:46.678: Algorithm - processTransitionPoint - nextUpper/LowerStrikes are 1.51/1.505 requiredDeltas/currentPosition/currentHedgeShortfall/direction/transitionPrice are 21/21/0/1/1.50825</t>
  </si>
  <si>
    <t>2015-1-30 10:38:46.679: TransitionLogger - processTransitionpoint - checking transition - currentHedgeShortfall is 0</t>
  </si>
  <si>
    <t>2015-1-30 10:38:46.679: Algorithm - updatePortfolio - haveAllDetails is True</t>
  </si>
  <si>
    <t>2015-1-30 10:38:46.726: Algorithm - FindNextStrikes - price is 1.50815 nextStrikeUp/Down 1.51/1.505</t>
  </si>
  <si>
    <t>2015-1-30 10:38:46.727: Algorithm - getPortfolioForwardDelta - required deltas is 21 currentHedgePosition is 21</t>
  </si>
  <si>
    <t>2015-1-30 10:38:46.727: Algorithm - getHedgeShortfall - required deltas is 21 price is 1.50825 currentHedgePositionDeltas is 21</t>
  </si>
  <si>
    <t>2015-1-30 10:38:46.728: Algorithm - processTransitionPoint - nextUpper/LowerStrikes are 1.51/1.505 requiredDeltas/currentPosition/currentHedgeShortfall/direction/transitionPrice are 21/21/0/1/1.50825</t>
  </si>
  <si>
    <t>2015-1-30 10:38:46.728: TransitionLogger - processTransitionpoint - checking transition - currentHedgeShortfall is 0</t>
  </si>
  <si>
    <t>2015-1-30 10:38:46.729: Algorithm - updatePortfolio - haveAllDetails is True</t>
  </si>
  <si>
    <t>2015-1-30 10:38:46.767: Algorithm - FindNextStrikes - price is 1.50815 nextStrikeUp/Down 1.51/1.505</t>
  </si>
  <si>
    <t>2015-1-30 10:38:46.768: Algorithm - getPortfolioForwardDelta - required deltas is 21 currentHedgePosition is 21</t>
  </si>
  <si>
    <t>2015-1-30 10:38:46.768: Algorithm - getHedgeShortfall - required deltas is 21 price is 1.50825 currentHedgePositionDeltas is 21</t>
  </si>
  <si>
    <t>2015-1-30 10:38:46.768: Algorithm - processTransitionPoint - nextUpper/LowerStrikes are 1.51/1.505 requiredDeltas/currentPosition/currentHedgeShortfall/direction/transitionPrice are 21/21/0/1/1.50825</t>
  </si>
  <si>
    <t>2015-1-30 10:38:46.769: TransitionLogger - processTransitionpoint - checking transition - currentHedgeShortfall is 0</t>
  </si>
  <si>
    <t>2015-1-30 10:38:46.770: Algorithm - updatePortfolio - haveAllDetails is True</t>
  </si>
  <si>
    <t>2015-1-30 10:38:46.834: Algorithm - FindNextStrikes - price is 1.50815 nextStrikeUp/Down 1.51/1.505</t>
  </si>
  <si>
    <t>2015-1-30 10:38:46.835: Algorithm - getPortfolioForwardDelta - required deltas is 21 currentHedgePosition is 21</t>
  </si>
  <si>
    <t>2015-1-30 10:38:46.835: Algorithm - getHedgeShortfall - required deltas is 21 price is 1.50825 currentHedgePositionDeltas is 21</t>
  </si>
  <si>
    <t>2015-1-30 10:38:46.835: Algorithm - processTransitionPoint - nextUpper/LowerStrikes are 1.51/1.505 requiredDeltas/currentPosition/currentHedgeShortfall/direction/transitionPrice are 21/21/0/1/1.50825</t>
  </si>
  <si>
    <t>2015-1-30 10:38:46.836: TransitionLogger - processTransitionpoint - checking transition - currentHedgeShortfall is 0</t>
  </si>
  <si>
    <t>2015-1-30 10:38:46.836: Algorithm - updatePortfolio - haveAllDetails is True</t>
  </si>
  <si>
    <t>2015-1-30 10:38:46.887: Algorithm - FindNextStrikes - price is 1.50815 nextStrikeUp/Down 1.51/1.505</t>
  </si>
  <si>
    <t>2015-1-30 10:38:46.888: Algorithm - getPortfolioForwardDelta - required deltas is 21 currentHedgePosition is 21</t>
  </si>
  <si>
    <t>2015-1-30 10:38:46.888: Algorithm - getHedgeShortfall - required deltas is 21 price is 1.50825 currentHedgePositionDeltas is 21</t>
  </si>
  <si>
    <t>2015-1-30 10:38:46.889: Algorithm - processTransitionPoint - nextUpper/LowerStrikes are 1.51/1.505 requiredDeltas/currentPosition/currentHedgeShortfall/direction/transitionPrice are 21/21/0/1/1.50825</t>
  </si>
  <si>
    <t>2015-1-30 10:38:46.889: TransitionLogger - processTransitionpoint - checking transition - currentHedgeShortfall is 0</t>
  </si>
  <si>
    <t>2015-1-30 10:38:46.890: Algorithm - updatePortfolio - haveAllDetails is True</t>
  </si>
  <si>
    <t>2015-1-30 10:38:46.935: Algorithm - FindNextStrikes - price is 1.50815 nextStrikeUp/Down 1.51/1.505</t>
  </si>
  <si>
    <t>2015-1-30 10:38:46.936: Algorithm - getPortfolioForwardDelta - required deltas is 21 currentHedgePosition is 21</t>
  </si>
  <si>
    <t>2015-1-30 10:38:46.936: Algorithm - getHedgeShortfall - required deltas is 21 price is 1.50825 currentHedgePositionDeltas is 21</t>
  </si>
  <si>
    <t>2015-1-30 10:38:46.936: Algorithm - processTransitionPoint - nextUpper/LowerStrikes are 1.51/1.505 requiredDeltas/currentPosition/currentHedgeShortfall/direction/transitionPrice are 21/21/0/1/1.50825</t>
  </si>
  <si>
    <t>2015-1-30 10:38:46.937: TransitionLogger - processTransitionpoint - checking transition - currentHedgeShortfall is 0</t>
  </si>
  <si>
    <t>2015-1-30 10:38:46.937: Algorithm - updatePortfolio - haveAllDetails is True</t>
  </si>
  <si>
    <t>2015-1-30 10:38:47.1: Algorithm - FindNextStrikes - price is 1.50815 nextStrikeUp/Down 1.51/1.505</t>
  </si>
  <si>
    <t>2015-1-30 10:38:47.1: Algorithm - getPortfolioForwardDelta - required deltas is 21 currentHedgePosition is 21</t>
  </si>
  <si>
    <t>2015-1-30 10:38:47.2: Algorithm - getHedgeShortfall - required deltas is 21 price is 1.50825 currentHedgePositionDeltas is 21</t>
  </si>
  <si>
    <t>2015-1-30 10:38:47.2: Algorithm - processTransitionPoint - nextUpper/LowerStrikes are 1.51/1.505 requiredDeltas/currentPosition/currentHedgeShortfall/direction/transitionPrice are 21/21/0/1/1.50825</t>
  </si>
  <si>
    <t>2015-1-30 10:38:47.2: TransitionLogger - processTransitionpoint - checking transition - currentHedgeShortfall is 0</t>
  </si>
  <si>
    <t>2015-1-30 10:38:47.3: Algorithm - updatePortfolio - haveAllDetails is True</t>
  </si>
  <si>
    <t>2015-1-30 10:38:47.55: Algorithm - FindNextStrikes - price is 1.50815 nextStrikeUp/Down 1.51/1.505</t>
  </si>
  <si>
    <t>2015-1-30 10:38:47.56: Algorithm - getPortfolioForwardDelta - required deltas is 21 currentHedgePosition is 21</t>
  </si>
  <si>
    <t>2015-1-30 10:38:47.56: Algorithm - getHedgeShortfall - required deltas is 21 price is 1.50825 currentHedgePositionDeltas is 21</t>
  </si>
  <si>
    <t>2015-1-30 10:38:47.56: Algorithm - processTransitionPoint - nextUpper/LowerStrikes are 1.51/1.505 requiredDeltas/currentPosition/currentHedgeShortfall/direction/transitionPrice are 21/21/0/1/1.50825</t>
  </si>
  <si>
    <t>2015-1-30 10:38:47.57: TransitionLogger - processTransitionpoint - checking transition - currentHedgeShortfall is 0</t>
  </si>
  <si>
    <t>2015-1-30 10:38:47.57: Algorithm - updatePortfolio - haveAllDetails is True</t>
  </si>
  <si>
    <t>2015-1-30 10:38:47.103: Algorithm - FindNextStrikes - price is 1.50815 nextStrikeUp/Down 1.51/1.505</t>
  </si>
  <si>
    <t>2015-1-30 10:38:47.103: Algorithm - getPortfolioForwardDelta - required deltas is 21 currentHedgePosition is 21</t>
  </si>
  <si>
    <t>2015-1-30 10:38:47.104: Algorithm - getHedgeShortfall - required deltas is 21 price is 1.50825 currentHedgePositionDeltas is 21</t>
  </si>
  <si>
    <t>2015-1-30 10:38:47.104: Algorithm - processTransitionPoint - nextUpper/LowerStrikes are 1.51/1.505 requiredDeltas/currentPosition/currentHedgeShortfall/direction/transitionPrice are 21/21/0/1/1.50825</t>
  </si>
  <si>
    <t>2015-1-30 10:38:47.104: TransitionLogger - processTransitionpoint - checking transition - currentHedgeShortfall is 0</t>
  </si>
  <si>
    <t>2015-1-30 10:38:47.105: Algorithm - updatePortfolio - haveAllDetails is True</t>
  </si>
  <si>
    <t>2015-1-30 10:38:47.168: Algorithm - FindNextStrikes - price is 1.50815 nextStrikeUp/Down 1.51/1.505</t>
  </si>
  <si>
    <t>2015-1-30 10:38:47.169: Algorithm - getPortfolioForwardDelta - required deltas is 21 currentHedgePosition is 21</t>
  </si>
  <si>
    <t>2015-1-30 10:38:47.169: Algorithm - getHedgeShortfall - required deltas is 21 price is 1.50825 currentHedgePositionDeltas is 21</t>
  </si>
  <si>
    <t>2015-1-30 10:38:47.170: Algorithm - processTransitionPoint - nextUpper/LowerStrikes are 1.51/1.505 requiredDeltas/currentPosition/currentHedgeShortfall/direction/transitionPrice are 21/21/0/1/1.50825</t>
  </si>
  <si>
    <t>2015-1-30 10:38:47.170: TransitionLogger - processTransitionpoint - checking transition - currentHedgeShortfall is 0</t>
  </si>
  <si>
    <t>2015-1-30 10:38:47.171: Algorithm - updatePortfolio - haveAllDetails is True</t>
  </si>
  <si>
    <t>2015-1-30 10:38:47.224: Algorithm - FindNextStrikes - price is 1.50815 nextStrikeUp/Down 1.51/1.505</t>
  </si>
  <si>
    <t>2015-1-30 10:38:47.224: Algorithm - getPortfolioForwardDelta - required deltas is 21 currentHedgePosition is 21</t>
  </si>
  <si>
    <t>2015-1-30 10:38:47.225: Algorithm - getHedgeShortfall - required deltas is 21 price is 1.50825 currentHedgePositionDeltas is 21</t>
  </si>
  <si>
    <t>2015-1-30 10:38:47.225: Algorithm - processTransitionPoint - nextUpper/LowerStrikes are 1.51/1.505 requiredDeltas/currentPosition/currentHedgeShortfall/direction/transitionPrice are 21/21/0/1/1.50825</t>
  </si>
  <si>
    <t>2015-1-30 10:38:47.225: TransitionLogger - processTransitionpoint - checking transition - currentHedgeShortfall is 0</t>
  </si>
  <si>
    <t>2015-1-30 10:38:47.226: Algorithm - updatePortfolio - haveAllDetails is True</t>
  </si>
  <si>
    <t>2015-1-30 10:38:47.269: Algorithm - FindNextStrikes - price is 1.50815 nextStrikeUp/Down 1.51/1.505</t>
  </si>
  <si>
    <t>2015-1-30 10:38:47.269: Algorithm - getPortfolioForwardDelta - required deltas is 21 currentHedgePosition is 21</t>
  </si>
  <si>
    <t>2015-1-30 10:38:47.270: Algorithm - getHedgeShortfall - required deltas is 21 price is 1.50825 currentHedgePositionDeltas is 21</t>
  </si>
  <si>
    <t>2015-1-30 10:38:47.270: Algorithm - processTransitionPoint - nextUpper/LowerStrikes are 1.51/1.505 requiredDeltas/currentPosition/currentHedgeShortfall/direction/transitionPrice are 21/21/0/1/1.50825</t>
  </si>
  <si>
    <t>2015-1-30 10:38:47.270: TransitionLogger - processTransitionpoint - checking transition - currentHedgeShortfall is 0</t>
  </si>
  <si>
    <t>2015-1-30 10:38:47.271: Algorithm - updatePortfolio - haveAllDetails is True</t>
  </si>
  <si>
    <t>2015-1-30 10:38:48.837: RTWSControl - nextValidId - entering nextValidId id is 1331</t>
  </si>
  <si>
    <t>2015-1-30 10:38:48.844: RTWSControl - orderStatus -  entering orderStatus id is 1329 status is Cancelled</t>
  </si>
  <si>
    <t>2015-1-30 10:38:48.844: OrderManager - UpdateOrderStatus - id 1329 Setting status to Cancelled workingOrderCount is now 2 workingQty -696</t>
  </si>
  <si>
    <t>2015-1-30 10:38:48.845: OrderManagerView - UpdateMainSheetOpenOrder - entering UpdateMainSheetOpenOrder order.status is Cancelled</t>
  </si>
  <si>
    <t>2015-1-30 10:38:48.847: RTWSControl - OrderStatus - Got OrderStatus Message id:1329 status: Cancelled filled: 0</t>
  </si>
  <si>
    <t>2015-1-30 10:38:48.847: RTWSControl - OrderStatus - exiting orderStatus</t>
  </si>
  <si>
    <t>2015-1-30 10:38:48.875: RTWSControl - errMsg - got error message 202:Order Canceled - reason:with id 1329</t>
  </si>
  <si>
    <t>2015-1-30 10:38:48.875: OrderManager - canceledOrder - cleaning up after canceled order 1329BEWARE UNACCOUNTED FOR EXECUTIONS!!!</t>
  </si>
  <si>
    <t>2015-1-30 10:38:48.876: OrderManager - terminateOrder - cleaning up after Canceled 1329  order was supposed to BUY 22 1.5119 STP LMT workingQty/OrderCount now -718/1</t>
  </si>
  <si>
    <t>2015-1-30 10:38:48.877: OrderManagerView - UpdateMainSheetOpenOrder - entering UpdateMainSheetOpenOrder order.status is Canceled</t>
  </si>
  <si>
    <t>2015-1-30 10:38:49.4: RTWSControl - errMsg - got error message 399:Order Message:
BUY 26 GBP MAR'15
Warning: your order will not be placed at the exchange until 2015-01-30 08:30:00 US/Centralwith id 1330</t>
  </si>
  <si>
    <t>2015-1-30 10:38:49.4: RTWSControl - errMsg - Got Error_x000D_id: 1330_x000D_errorCode: 399_x000D_errorMsg: Order Message:
BUY 26 GBP MAR'15
Warning: your order will not be placed at the exchange until 2015-01-30 08:30:00 US/Central</t>
  </si>
  <si>
    <t>2015-1-30 10:38:49.13: openOrderEx - I am here</t>
  </si>
  <si>
    <t>2015-1-30 10:38:49.13: OrderManagerView - UpdateMainSheetOpenOrder - entering UpdateMainSheetOpenOrder order.status is In-Flight</t>
  </si>
  <si>
    <t>2015-1-30 10:38:49.45: RTWSControl - orderStatus -  entering orderStatus id is 1330 status is PreSubmitted</t>
  </si>
  <si>
    <t>2015-1-30 10:38:49.46: OrderManager - UpdateOrderStatus - id 1330 Setting status to PreSubmitted workingOrderCount is now 1 workingQty -718</t>
  </si>
  <si>
    <t>2015-1-30 10:38:49.46: OrderManagerView - UpdateMainSheetOpenOrder - entering UpdateMainSheetOpenOrder order.status is PreSubmitted</t>
  </si>
  <si>
    <t>2015-1-30 10:38:49.49: RTWSControl - OrderStatus - Got OrderStatus Message id:1330 status: PreSubmitted filled: 0</t>
  </si>
  <si>
    <t>2015-1-30 10:38:49.49: RTWSControl - OrderStatus - exiting orderStatus</t>
  </si>
  <si>
    <t>2015-1-30 10:38:49.178: openOrderEx - I am here</t>
  </si>
  <si>
    <t>2015-1-30 10:38:49.179: OrderManagerView - UpdateMainSheetOpenOrder - entering UpdateMainSheetOpenOrder order.status is PreSubmitted</t>
  </si>
  <si>
    <t>2015-1-30 10:38:49.211: RTWSControl - orderStatus -  entering orderStatus id is 1330 status is PreSubmitted</t>
  </si>
  <si>
    <t>2015-1-30 10:38:49.211: OrderManager - UpdateOrderStatus - id 1330 Setting status to PreSubmitted workingOrderCount is now 1 workingQty -718</t>
  </si>
  <si>
    <t>2015-1-30 10:38:49.212: OrderManagerView - UpdateMainSheetOpenOrder - entering UpdateMainSheetOpenOrder order.status is PreSubmitted</t>
  </si>
  <si>
    <t>2015-1-30 10:38:49.214: RTWSControl - OrderStatus - Got OrderStatus Message id:1330 status: PreSubmitted filled: 0</t>
  </si>
  <si>
    <t>2015-1-30 10:38:49.215: RTWSControl - OrderStatus - exiting orderStatus</t>
  </si>
  <si>
    <t>2015-1-30 10:38:52.5: OrderManager - cancelOrder - cancelling order id 1330</t>
  </si>
  <si>
    <t>2015-1-30 10:38:52.5: OrderManager - PlaceOrder - id 1331 workingQty -695</t>
  </si>
  <si>
    <t>2015-1-30 10:38:52.5: OrderManagerView - UpdateMainSheetOpenOrder - entering UpdateMainSheetOpenOrder order.status is In-Flight</t>
  </si>
  <si>
    <t>2015-1-30 10:38:52.7: OrderManager - sendOrder - exiting place order id 1331 BUY 23 1.5125  - workingQty -695 currentPosition is 21 workingOrderCount is 2</t>
  </si>
  <si>
    <t>2015-1-30 10:38:53.14: OrderManagerView - UpdateMainSheetOpenOrder - entering UpdateMainSheetOpenOrder order.status is PreSubmitted</t>
  </si>
  <si>
    <t>2015-1-30 10:38:53.15: OrderManagerView - UpdateMainSheetOpenOrder - entering UpdateMainSheetOpenOrder order.status is PreSubmitted</t>
  </si>
  <si>
    <t>2015-1-30 10:38:53.17: OrderManagerView - UpdateMainSheetOpenOrder - entering UpdateMainSheetOpenOrder order.status is In-Flight</t>
  </si>
  <si>
    <t>2015-1-30 10:38:53.19: OrderManagerView - UpdateMainSheetOpenOrder - entering UpdateMainSheetOpenOrder order.status is In-Flight</t>
  </si>
  <si>
    <t>2015-1-30 10:38:53.92: RTWSControl - nextValidId - entering nextValidId id is 1332</t>
  </si>
  <si>
    <t>2015-1-30 10:38:53.125: RTWSControl - orderStatus -  entering orderStatus id is 1330 status is Cancelled</t>
  </si>
  <si>
    <t>2015-1-30 10:38:53.126: OrderManager - UpdateOrderStatus - id 1330 Setting status to Cancelled workingOrderCount is now 2 workingQty -695</t>
  </si>
  <si>
    <t>2015-1-30 10:38:53.127: OrderManagerView - UpdateMainSheetOpenOrder - entering UpdateMainSheetOpenOrder order.status is Cancelled</t>
  </si>
  <si>
    <t>2015-1-30 10:38:53.128: RTWSControl - OrderStatus - Got OrderStatus Message id:1330 status: Cancelled filled: 0</t>
  </si>
  <si>
    <t>2015-1-30 10:38:53.129: RTWSControl - OrderStatus - exiting orderStatus</t>
  </si>
  <si>
    <t>2015-1-30 10:38:53.138: RTWSControl - errMsg - got error message 202:Order Canceled - reason:with id 1330</t>
  </si>
  <si>
    <t>2015-1-30 10:38:53.139: OrderManager - canceledOrder - cleaning up after canceled order 1330BEWARE UNACCOUNTED FOR EXECUTIONS!!!</t>
  </si>
  <si>
    <t>2015-1-30 10:38:53.140: OrderManager - terminateOrder - cleaning up after Canceled 1330  order was supposed to BUY 26 1.5125 STP LMT workingQty/OrderCount now -721/1</t>
  </si>
  <si>
    <t>2015-1-30 10:38:53.141: OrderManagerView - UpdateMainSheetOpenOrder - entering UpdateMainSheetOpenOrder order.status is Canceled</t>
  </si>
  <si>
    <t>2015-1-30 10:38:53.172: RTWSControl - errMsg - got error message 399:Order Message:
BUY 23 GBP MAR'15
Warning: your order will not be placed at the exchange until 2015-01-30 08:30:00 US/Centralwith id 1331</t>
  </si>
  <si>
    <t>2015-1-30 10:38:53.173: RTWSControl - errMsg - Got Error_x000D_id: 1331_x000D_errorCode: 399_x000D_errorMsg: Order Message:
BUY 23 GBP MAR'15
Warning: your order will not be placed at the exchange until 2015-01-30 08:30:00 US/Central</t>
  </si>
  <si>
    <t>2015-1-30 10:38:53.181: openOrderEx - I am here</t>
  </si>
  <si>
    <t>2015-1-30 10:38:53.181: OrderManagerView - UpdateMainSheetOpenOrder - entering UpdateMainSheetOpenOrder order.status is In-Flight</t>
  </si>
  <si>
    <t>2015-1-30 10:38:53.213: RTWSControl - orderStatus -  entering orderStatus id is 1331 status is PreSubmitted</t>
  </si>
  <si>
    <t>2015-1-30 10:38:53.214: OrderManager - UpdateOrderStatus - id 1331 Setting status to PreSubmitted workingOrderCount is now 1 workingQty -721</t>
  </si>
  <si>
    <t>2015-1-30 10:38:53.215: OrderManagerView - UpdateMainSheetOpenOrder - entering UpdateMainSheetOpenOrder order.status is PreSubmitted</t>
  </si>
  <si>
    <t>2015-1-30 10:38:53.216: RTWSControl - OrderStatus - Got OrderStatus Message id:1331 status: PreSubmitted filled: 0</t>
  </si>
  <si>
    <t>2015-1-30 10:38:53.217: RTWSControl - OrderStatus - exiting orderStatus</t>
  </si>
  <si>
    <t>2015-1-30 10:38:53.253: openOrderEx - I am here</t>
  </si>
  <si>
    <t>2015-1-30 10:38:53.254: OrderManagerView - UpdateMainSheetOpenOrder - entering UpdateMainSheetOpenOrder order.status is PreSubmitted</t>
  </si>
  <si>
    <t>2015-1-30 10:38:53.265: RTWSControl - orderStatus -  entering orderStatus id is 1331 status is PreSubmitted</t>
  </si>
  <si>
    <t>2015-1-30 10:38:53.266: OrderManager - UpdateOrderStatus - id 1331 Setting status to PreSubmitted workingOrderCount is now 1 workingQty -721</t>
  </si>
  <si>
    <t>2015-1-30 10:38:53.266: OrderManagerView - UpdateMainSheetOpenOrder - entering UpdateMainSheetOpenOrder order.status is PreSubmitted</t>
  </si>
  <si>
    <t>2015-1-30 10:38:53.268: RTWSControl - OrderStatus - Got OrderStatus Message id:1331 status: PreSubmitted filled: 0</t>
  </si>
  <si>
    <t>2015-1-30 10:38:53.268: RTWSControl - OrderStatus - exiting orderStatus</t>
  </si>
  <si>
    <t>2015-1-30 10:38:58.52: OrderManagerView - UpdateMainSheetOpenOrder - entering UpdateMainSheetOpenOrder order.status is PreSubmitted</t>
  </si>
  <si>
    <t>2015-1-30 10:38:58.60: OrderManagerView - UpdateMainSheetOpenOrder - entering UpdateMainSheetOpenOrder order.status is PreSubmitted</t>
  </si>
  <si>
    <t>2015-1-30 10:39:29.470: OrderManager - cancelOrder - cancelling order id 1331</t>
  </si>
  <si>
    <t>2015-1-30 10:39:29.470: OrderManager - PlaceOrder - id 1332 workingQty -695</t>
  </si>
  <si>
    <t>2015-1-30 10:39:29.471: OrderManagerView - UpdateMainSheetOpenOrder - entering UpdateMainSheetOpenOrder order.status is In-Flight</t>
  </si>
  <si>
    <t>2015-1-30 10:39:29.472: OrderManager - sendOrder - exiting place order id 1332 BUY 26 1.5129  - workingQty -695 currentPosition is 21 workingOrderCount is 2</t>
  </si>
  <si>
    <t>2015-1-30 10:39:29.885: RTWSControl - nextValidId - entering nextValidId id is 1333</t>
  </si>
  <si>
    <t>2015-1-30 10:39:29.890: RTWSControl - orderStatus -  entering orderStatus id is 1331 status is Cancelled</t>
  </si>
  <si>
    <t>2015-1-30 10:39:29.891: OrderManager - UpdateOrderStatus - id 1331 Setting status to Cancelled workingOrderCount is now 2 workingQty -695</t>
  </si>
  <si>
    <t>2015-1-30 10:39:29.891: OrderManagerView - UpdateMainSheetOpenOrder - entering UpdateMainSheetOpenOrder order.status is Cancelled</t>
  </si>
  <si>
    <t>2015-1-30 10:39:29.893: RTWSControl - OrderStatus - Got OrderStatus Message id:1331 status: Cancelled filled: 0</t>
  </si>
  <si>
    <t>2015-1-30 10:39:29.894: RTWSControl - OrderStatus - exiting orderStatus</t>
  </si>
  <si>
    <t>2015-1-30 10:39:29.921: RTWSControl - errMsg - got error message 202:Order Canceled - reason:with id 1331</t>
  </si>
  <si>
    <t>2015-1-30 10:39:29.922: OrderManager - canceledOrder - cleaning up after canceled order 1331BEWARE UNACCOUNTED FOR EXECUTIONS!!!</t>
  </si>
  <si>
    <t>2015-1-30 10:39:29.922: OrderManager - terminateOrder - cleaning up after Canceled 1331  order was supposed to BUY 23 1.5125 STP LMT workingQty/OrderCount now -718/1</t>
  </si>
  <si>
    <t>2015-1-30 10:39:29.923: OrderManagerView - UpdateMainSheetOpenOrder - entering UpdateMainSheetOpenOrder order.status is Canceled</t>
  </si>
  <si>
    <t>2015-1-30 10:39:29.958: RTWSControl - errMsg - got error message 399:Order Message:
BUY 26 GBP MAR'15
Warning: your order will not be placed at the exchange until 2015-01-30 08:30:00 US/Centralwith id 1332</t>
  </si>
  <si>
    <t>2015-1-30 10:39:29.959: RTWSControl - errMsg - Got Error_x000D_id: 1332_x000D_errorCode: 399_x000D_errorMsg: Order Message:
BUY 26 GBP MAR'15
Warning: your order will not be placed at the exchange until 2015-01-30 08:30:00 US/Central</t>
  </si>
  <si>
    <t>2015-1-30 10:39:29.967: openOrderEx - I am here</t>
  </si>
  <si>
    <t>2015-1-30 10:39:29.967: OrderManagerView - UpdateMainSheetOpenOrder - entering UpdateMainSheetOpenOrder order.status is In-Flight</t>
  </si>
  <si>
    <t>2015-1-30 10:39:30.2: RTWSControl - orderStatus -  entering orderStatus id is 1332 status is PreSubmitted</t>
  </si>
  <si>
    <t>2015-1-30 10:39:30.3: OrderManager - UpdateOrderStatus - id 1332 Setting status to PreSubmitted workingOrderCount is now 1 workingQty -718</t>
  </si>
  <si>
    <t>2015-1-30 10:39:30.3: OrderManagerView - UpdateMainSheetOpenOrder - entering UpdateMainSheetOpenOrder order.status is PreSubmitted</t>
  </si>
  <si>
    <t>2015-1-30 10:39:30.5: RTWSControl - OrderStatus - Got OrderStatus Message id:1332 status: PreSubmitted filled: 0</t>
  </si>
  <si>
    <t>2015-1-30 10:39:30.5: RTWSControl - OrderStatus - exiting orderStatus</t>
  </si>
  <si>
    <t>2015-1-30 10:39:30.18: openOrderEx - I am here</t>
  </si>
  <si>
    <t>2015-1-30 10:39:30.18: OrderManagerView - UpdateMainSheetOpenOrder - entering UpdateMainSheetOpenOrder order.status is PreSubmitted</t>
  </si>
  <si>
    <t>2015-1-30 10:39:30.47: RTWSControl - orderStatus -  entering orderStatus id is 1332 status is PreSubmitted</t>
  </si>
  <si>
    <t>2015-1-30 10:39:30.48: OrderManager - UpdateOrderStatus - id 1332 Setting status to PreSubmitted workingOrderCount is now 1 workingQty -718</t>
  </si>
  <si>
    <t>2015-1-30 10:39:30.48: OrderManagerView - UpdateMainSheetOpenOrder - entering UpdateMainSheetOpenOrder order.status is PreSubmitted</t>
  </si>
  <si>
    <t>2015-1-30 10:39:30.50: RTWSControl - OrderStatus - Got OrderStatus Message id:1332 status: PreSubmitted filled: 0</t>
  </si>
  <si>
    <t>2015-1-30 10:39:30.51: RTWSControl - OrderStatus - exiting orderStatus</t>
  </si>
  <si>
    <t>2015-1-30 10:39:33.392: OrderManager - cancelOrder - cancelling order id 1332</t>
  </si>
  <si>
    <t>2015-1-30 10:39:33.392: OrderManager - PlaceOrder - id 1333 workingQty -697</t>
  </si>
  <si>
    <t>2015-1-30 10:39:33.392: OrderManagerView - UpdateMainSheetOpenOrder - entering UpdateMainSheetOpenOrder order.status is In-Flight</t>
  </si>
  <si>
    <t>2015-1-30 10:39:33.394: OrderManager - sendOrder - exiting place order id 1333 BUY 21 1.5123  - workingQty -697 currentPosition is 21 workingOrderCount is 2</t>
  </si>
  <si>
    <t>2015-1-30 10:39:33.394: OrderManager - cancelOrder - cancelling order id 1328</t>
  </si>
  <si>
    <t>2015-1-30 10:39:33.394: OrderManager - createOrder - exiting without creating order - did not have validID</t>
  </si>
  <si>
    <t>2015-1-30 10:39:33.568: RTWSControl - nextValidId - entering nextValidId id is 1334</t>
  </si>
  <si>
    <t>2015-1-30 10:39:33.701: RTWSControl - orderStatus -  entering orderStatus id is 1332 status is Cancelled</t>
  </si>
  <si>
    <t>2015-1-30 10:39:33.702: OrderManager - UpdateOrderStatus - id 1332 Setting status to Cancelled workingOrderCount is now 2 workingQty -697</t>
  </si>
  <si>
    <t>2015-1-30 10:39:33.702: OrderManagerView - UpdateMainSheetOpenOrder - entering UpdateMainSheetOpenOrder order.status is Cancelled</t>
  </si>
  <si>
    <t>2015-1-30 10:39:33.704: RTWSControl - OrderStatus - Got OrderStatus Message id:1332 status: Cancelled filled: 0</t>
  </si>
  <si>
    <t>2015-1-30 10:39:33.705: RTWSControl - OrderStatus - exiting orderStatus</t>
  </si>
  <si>
    <t>2015-1-30 10:39:33.714: RTWSControl - errMsg - got error message 202:Order Canceled - reason:with id 1332</t>
  </si>
  <si>
    <t>2015-1-30 10:39:33.715: OrderManager - canceledOrder - cleaning up after canceled order 1332BEWARE UNACCOUNTED FOR EXECUTIONS!!!</t>
  </si>
  <si>
    <t>2015-1-30 10:39:33.716: OrderManager - terminateOrder - cleaning up after Canceled 1332  order was supposed to BUY 26 1.5129 STP LMT workingQty/OrderCount now -723/1</t>
  </si>
  <si>
    <t>2015-1-30 10:39:33.718: OrderManagerView - UpdateMainSheetOpenOrder - entering UpdateMainSheetOpenOrder order.status is Canceled</t>
  </si>
  <si>
    <t>2015-1-30 10:39:33.746: RTWSControl - errMsg - got error message 399:Order Message:
BUY 21 GBP MAR'15
Warning: your order will not be placed at the exchange until 2015-01-30 08:30:00 US/Centralwith id 1333</t>
  </si>
  <si>
    <t>2015-1-30 10:39:33.747: RTWSControl - errMsg - Got Error_x000D_id: 1333_x000D_errorCode: 399_x000D_errorMsg: Order Message:
BUY 21 GBP MAR'15
Warning: your order will not be placed at the exchange until 2015-01-30 08:30:00 US/Central</t>
  </si>
  <si>
    <t>2015-1-30 10:39:33.755: openOrderEx - I am here</t>
  </si>
  <si>
    <t>2015-1-30 10:39:33.756: OrderManagerView - UpdateMainSheetOpenOrder - entering UpdateMainSheetOpenOrder order.status is In-Flight</t>
  </si>
  <si>
    <t>2015-1-30 10:39:33.796: RTWSControl - orderStatus -  entering orderStatus id is 1333 status is PreSubmitted</t>
  </si>
  <si>
    <t>2015-1-30 10:39:33.796: OrderManager - UpdateOrderStatus - id 1333 Setting status to PreSubmitted workingOrderCount is now 1 workingQty -723</t>
  </si>
  <si>
    <t>2015-1-30 10:39:33.797: OrderManagerView - UpdateMainSheetOpenOrder - entering UpdateMainSheetOpenOrder order.status is PreSubmitted</t>
  </si>
  <si>
    <t>2015-1-30 10:39:33.799: RTWSControl - OrderStatus - Got OrderStatus Message id:1333 status: PreSubmitted filled: 0</t>
  </si>
  <si>
    <t>2015-1-30 10:39:33.799: RTWSControl - OrderStatus - exiting orderStatus</t>
  </si>
  <si>
    <t>2015-1-30 10:39:33.915: RTWSControl - orderStatus -  entering orderStatus id is 1328 status is Cancelled</t>
  </si>
  <si>
    <t>2015-1-30 10:39:33.915: OrderManager - UpdateOrderStatus - id 1328 Setting status to Cancelled workingOrderCount is now 1 workingQty -723</t>
  </si>
  <si>
    <t>2015-1-30 10:39:33.915: OrderManagerView - UpdateMainSheetOpenOrder - entering UpdateMainSheetOpenOrder order.status is Cancelled</t>
  </si>
  <si>
    <t>2015-1-30 10:39:33.920: RTWSControl - OrderStatus - Got OrderStatus Message id:1328 status: Cancelled filled: 0</t>
  </si>
  <si>
    <t>2015-1-30 10:39:33.921: RTWSControl - OrderStatus - exiting orderStatus</t>
  </si>
  <si>
    <t>2015-1-30 10:39:33.952: RTWSControl - errMsg - got error message 202:Order Canceled - reason:with id 1328</t>
  </si>
  <si>
    <t>2015-1-30 10:39:33.953: OrderManager - canceledOrder - cleaning up after canceled order 1328BEWARE UNACCOUNTED FOR EXECUTIONS!!!</t>
  </si>
  <si>
    <t>2015-1-30 10:39:33.954: OrderManager - terminateOrder - cleaning up after Canceled 1328  order was supposed to SELL 24 1.5066 STP LMT workingQty/OrderCount now -747/0</t>
  </si>
  <si>
    <t>2015-1-30 10:39:33.957: OrderManagerView - UpdateMainSheetOpenOrder - entering UpdateMainSheetOpenOrder order.status is Canceled</t>
  </si>
  <si>
    <t>2015-1-30 10:39:33.999: openOrderEx - I am here</t>
  </si>
  <si>
    <t>2015-1-30 10:39:33.999: OrderManagerView - UpdateMainSheetOpenOrder - entering UpdateMainSheetOpenOrder order.status is PreSubmitted</t>
  </si>
  <si>
    <t>2015-1-30 10:39:34.42: OrderManagerView - UpdateMainSheetOpenOrder - entering UpdateMainSheetOpenOrder order.status is Canceled</t>
  </si>
  <si>
    <t>2015-1-30 10:39:34.44: OrderManagerView - UpdateMainSheetOpenOrder - entering UpdateMainSheetOpenOrder order.status is Canceled</t>
  </si>
  <si>
    <t>2015-1-30 10:39:34.46: OrderManagerView - UpdateMainSheetOpenOrder - entering UpdateMainSheetOpenOrder order.status is PreSubmitted</t>
  </si>
  <si>
    <t>2015-1-30 10:39:34.47: OrderManagerView - UpdateMainSheetOpenOrder - entering UpdateMainSheetOpenOrder order.status is PreSubmitted</t>
  </si>
  <si>
    <t>2015-1-30 10:39:34.61: RTWSControl - orderStatus -  entering orderStatus id is 1333 status is PreSubmitted</t>
  </si>
  <si>
    <t>2015-1-30 10:39:34.62: OrderManager - UpdateOrderStatus - id 1333 Setting status to PreSubmitted workingOrderCount is now 0 workingQty -747</t>
  </si>
  <si>
    <t>2015-1-30 10:39:34.62: OrderManagerView - UpdateMainSheetOpenOrder - entering UpdateMainSheetOpenOrder order.status is PreSubmitted</t>
  </si>
  <si>
    <t>2015-1-30 10:39:34.64: RTWSControl - OrderStatus - Got OrderStatus Message id:1333 status: PreSubmitted filled: 0</t>
  </si>
  <si>
    <t>2015-1-30 10:39:34.65: RTWSControl - OrderStatus - exiting orderStatus</t>
  </si>
  <si>
    <t>2015-1-30 10:39:38.192: OrderManagerView - UpdateMainSheetOpenOrder - entering UpdateMainSheetOpenOrder order.status is PreSubmitted</t>
  </si>
  <si>
    <t>2015-1-30 10:39:38.225: OrderManagerView - UpdateMainSheetOpenOrder - entering UpdateMainSheetOpenOrder order.status is PreSubmitted</t>
  </si>
  <si>
    <t>2015-1-30 10:39:39.319: OrderManagerView - UpdateMainSheetOpenOrder - entering UpdateMainSheetOpenOrder order.status is PreSubmitted</t>
  </si>
  <si>
    <t>2015-1-30 10:39:39.359: OrderManagerView - UpdateMainSheetOpenOrder - entering UpdateMainSheetOpenOrder order.status is PreSubmitted</t>
  </si>
  <si>
    <t>2015-1-30 10:39:43.54: OrderManager - cancelOrder - cancelling order id 1333</t>
  </si>
  <si>
    <t>2015-1-30 10:39:43.54: OrderManager - PlaceOrder - id 1334 workingQty -722</t>
  </si>
  <si>
    <t>2015-1-30 10:39:43.55: OrderManagerView - UpdateMainSheetOpenOrder - entering UpdateMainSheetOpenOrder order.status is In-Flight</t>
  </si>
  <si>
    <t>2015-1-30 10:39:43.56: OrderManager - sendOrder - exiting place order id 1334 BUY 25 1.5127  - workingQty -722 currentPosition is 21 workingOrderCount is 1</t>
  </si>
  <si>
    <t>2015-1-30 10:39:43.57: OrderManager - createOrder - exiting without creating order - did not have validID</t>
  </si>
  <si>
    <t>2015-1-30 10:39:43.628: RTWSControl - nextValidId - entering nextValidId id is 1335</t>
  </si>
  <si>
    <t>2015-1-30 10:39:43.634: RTWSControl - orderStatus -  entering orderStatus id is 1333 status is Cancelled</t>
  </si>
  <si>
    <t>2015-1-30 10:39:43.635: OrderManager - UpdateOrderStatus - id 1333 Setting status to Cancelled workingOrderCount is now 1 workingQty -722</t>
  </si>
  <si>
    <t>2015-1-30 10:39:43.635: OrderManagerView - UpdateMainSheetOpenOrder - entering UpdateMainSheetOpenOrder order.status is Cancelled</t>
  </si>
  <si>
    <t>2015-1-30 10:39:43.637: RTWSControl - OrderStatus - Got OrderStatus Message id:1333 status: Cancelled filled: 0</t>
  </si>
  <si>
    <t>2015-1-30 10:39:43.638: RTWSControl - OrderStatus - exiting orderStatus</t>
  </si>
  <si>
    <t>2015-1-30 10:39:43.671: RTWSControl - errMsg - got error message 202:Order Canceled - reason:with id 1333</t>
  </si>
  <si>
    <t>2015-1-30 10:39:43.671: OrderManager - canceledOrder - cleaning up after canceled order 1333BEWARE UNACCOUNTED FOR EXECUTIONS!!!</t>
  </si>
  <si>
    <t>2015-1-30 10:39:43.672: OrderManager - terminateOrder - cleaning up after Canceled 1333  order was supposed to BUY 21 1.5123 STP LMT workingQty/OrderCount now -743/0</t>
  </si>
  <si>
    <t>2015-1-30 10:39:43.674: OrderManagerView - UpdateMainSheetOpenOrder - entering UpdateMainSheetOpenOrder order.status is Canceled</t>
  </si>
  <si>
    <t>2015-1-30 10:39:43.750: RTWSControl - errMsg - got error message 399:Order Message:
BUY 25 GBP MAR'15
Warning: your order will not be placed at the exchange until 2015-01-30 08:30:00 US/Centralwith id 1334</t>
  </si>
  <si>
    <t>2015-1-30 10:39:43.750: RTWSControl - errMsg - Got Error_x000D_id: 1334_x000D_errorCode: 399_x000D_errorMsg: Order Message:
BUY 25 GBP MAR'15
Warning: your order will not be placed at the exchange until 2015-01-30 08:30:00 US/Central</t>
  </si>
  <si>
    <t>2015-1-30 10:39:43.758: openOrderEx - I am here</t>
  </si>
  <si>
    <t>2015-1-30 10:39:43.759: OrderManagerView - UpdateMainSheetOpenOrder - entering UpdateMainSheetOpenOrder order.status is In-Flight</t>
  </si>
  <si>
    <t>2015-1-30 10:39:43.791: RTWSControl - orderStatus -  entering orderStatus id is 1334 status is PreSubmitted</t>
  </si>
  <si>
    <t>2015-1-30 10:39:43.792: OrderManager - UpdateOrderStatus - id 1334 Setting status to PreSubmitted workingOrderCount is now 0 workingQty -743</t>
  </si>
  <si>
    <t>2015-1-30 10:39:43.792: OrderManagerView - UpdateMainSheetOpenOrder - entering UpdateMainSheetOpenOrder order.status is PreSubmitted</t>
  </si>
  <si>
    <t>2015-1-30 10:39:43.794: RTWSControl - OrderStatus - Got OrderStatus Message id:1334 status: PreSubmitted filled: 0</t>
  </si>
  <si>
    <t>2015-1-30 10:39:43.794: RTWSControl - OrderStatus - exiting orderStatus</t>
  </si>
  <si>
    <t>2015-1-30 10:39:43.806: OrderManager - cancelOrder - cancelling order id 1334</t>
  </si>
  <si>
    <t>2015-1-30 10:39:43.806: OrderManager - PlaceOrder - id 1335 workingQty -722</t>
  </si>
  <si>
    <t>2015-1-30 10:39:43.806: OrderManagerView - UpdateMainSheetOpenOrder - entering UpdateMainSheetOpenOrder order.status is In-Flight</t>
  </si>
  <si>
    <t>2015-1-30 10:39:43.808: OrderManager - sendOrder - exiting place order id 1335 BUY 21 1.5122  - workingQty -722 currentPosition is 21 workingOrderCount is 1</t>
  </si>
  <si>
    <t>2015-1-30 10:39:43.808: OrderManager - createOrder - exiting without creating order - did not have validID</t>
  </si>
  <si>
    <t>2015-1-30 10:39:43.922: openOrderEx - I am here</t>
  </si>
  <si>
    <t>2015-1-30 10:39:43.923: OrderManagerView - UpdateMainSheetOpenOrder - entering UpdateMainSheetOpenOrder order.status is PreSubmitted</t>
  </si>
  <si>
    <t>2015-1-30 10:39:43.958: RTWSControl - orderStatus -  entering orderStatus id is 1334 status is PreSubmitted</t>
  </si>
  <si>
    <t>2015-1-30 10:39:43.959: OrderManager - UpdateOrderStatus - id 1334 Setting status to PreSubmitted workingOrderCount is now 1 workingQty -722</t>
  </si>
  <si>
    <t>2015-1-30 10:39:43.959: OrderManagerView - UpdateMainSheetOpenOrder - entering UpdateMainSheetOpenOrder order.status is PreSubmitted</t>
  </si>
  <si>
    <t>2015-1-30 10:39:43.961: RTWSControl - OrderStatus - Got OrderStatus Message id:1334 status: PreSubmitted filled: 0</t>
  </si>
  <si>
    <t>2015-1-30 10:39:43.961: RTWSControl - OrderStatus - exiting orderStatus</t>
  </si>
  <si>
    <t>2015-1-30 10:39:43.972: OrderManager - createOrder - exiting without creating order - did not have validID</t>
  </si>
  <si>
    <t>2015-1-30 10:39:44.87: RTWSControl - nextValidId - entering nextValidId id is 1336</t>
  </si>
  <si>
    <t>2015-1-30 10:39:44.92: RTWSControl - orderStatus -  entering orderStatus id is 1334 status is Cancelled</t>
  </si>
  <si>
    <t>2015-1-30 10:39:44.93: OrderManager - UpdateOrderStatus - id 1334 Setting status to Cancelled workingOrderCount is now 1 workingQty -722</t>
  </si>
  <si>
    <t>2015-1-30 10:39:44.93: OrderManagerView - UpdateMainSheetOpenOrder - entering UpdateMainSheetOpenOrder order.status is Cancelled</t>
  </si>
  <si>
    <t>2015-1-30 10:39:44.95: RTWSControl - OrderStatus - Got OrderStatus Message id:1334 status: Cancelled filled: 0</t>
  </si>
  <si>
    <t>2015-1-30 10:39:44.95: RTWSControl - OrderStatus - exiting orderStatus</t>
  </si>
  <si>
    <t>2015-1-30 10:39:44.128: RTWSControl - errMsg - got error message 202:Order Canceled - reason:with id 1334</t>
  </si>
  <si>
    <t>2015-1-30 10:39:44.129: OrderManager - canceledOrder - cleaning up after canceled order 1334BEWARE UNACCOUNTED FOR EXECUTIONS!!!</t>
  </si>
  <si>
    <t>2015-1-30 10:39:44.130: OrderManager - terminateOrder - cleaning up after Canceled 1334  order was supposed to BUY 25 1.5127 STP LMT workingQty/OrderCount now -747/0</t>
  </si>
  <si>
    <t>2015-1-30 10:39:44.132: OrderManagerView - UpdateMainSheetOpenOrder - entering UpdateMainSheetOpenOrder order.status is Canceled</t>
  </si>
  <si>
    <t>2015-1-30 10:39:44.167: RTWSControl - errMsg - got error message 399:Order Message:
BUY 21 GBP MAR'15
Warning: your order will not be placed at the exchange until 2015-01-30 08:30:00 US/Centralwith id 1335</t>
  </si>
  <si>
    <t>2015-1-30 10:39:44.168: RTWSControl - errMsg - Got Error_x000D_id: 1335_x000D_errorCode: 399_x000D_errorMsg: Order Message:
BUY 21 GBP MAR'15
Warning: your order will not be placed at the exchange until 2015-01-30 08:30:00 US/Central</t>
  </si>
  <si>
    <t>2015-1-30 10:39:44.177: openOrderEx - I am here</t>
  </si>
  <si>
    <t>2015-1-30 10:39:44.177: OrderManagerView - UpdateMainSheetOpenOrder - entering UpdateMainSheetOpenOrder order.status is In-Flight</t>
  </si>
  <si>
    <t>2015-1-30 10:39:44.208: RTWSControl - orderStatus -  entering orderStatus id is 1335 status is PreSubmitted</t>
  </si>
  <si>
    <t>2015-1-30 10:39:44.209: OrderManager - UpdateOrderStatus - id 1335 Setting status to PreSubmitted workingOrderCount is now 0 workingQty -747</t>
  </si>
  <si>
    <t>2015-1-30 10:39:44.209: OrderManagerView - UpdateMainSheetOpenOrder - entering UpdateMainSheetOpenOrder order.status is PreSubmitted</t>
  </si>
  <si>
    <t>2015-1-30 10:39:44.211: RTWSControl - OrderStatus - Got OrderStatus Message id:1335 status: PreSubmitted filled: 0</t>
  </si>
  <si>
    <t>2015-1-30 10:39:44.211: RTWSControl - OrderStatus - exiting orderStatus</t>
  </si>
  <si>
    <t>2015-1-30 10:39:45.387: openOrderEx - I am here</t>
  </si>
  <si>
    <t>2015-1-30 10:39:45.387: OrderManagerView - UpdateMainSheetOpenOrder - entering UpdateMainSheetOpenOrder order.status is PreSubmitted</t>
  </si>
  <si>
    <t>2015-1-30 10:39:45.420: RTWSControl - orderStatus -  entering orderStatus id is 1335 status is PreSubmitted</t>
  </si>
  <si>
    <t>2015-1-30 10:39:45.420: OrderManager - UpdateOrderStatus - id 1335 Setting status to PreSubmitted workingOrderCount is now 0 workingQty -747</t>
  </si>
  <si>
    <t>2015-1-30 10:39:45.420: OrderManagerView - UpdateMainSheetOpenOrder - entering UpdateMainSheetOpenOrder order.status is PreSubmitted</t>
  </si>
  <si>
    <t>2015-1-30 10:39:45.422: RTWSControl - OrderStatus - Got OrderStatus Message id:1335 status: PreSubmitted filled: 0</t>
  </si>
  <si>
    <t>2015-1-30 10:39:45.423: RTWSControl - OrderStatus - exiting orderStatus</t>
  </si>
  <si>
    <t>2015-1-30 10:39:48.80: OrderManagerView - UpdateMainSheetOpenOrder - entering UpdateMainSheetOpenOrder order.status is Canceled</t>
  </si>
  <si>
    <t>2015-1-30 10:39:48.89: OrderManagerView - UpdateMainSheetOpenOrder - entering UpdateMainSheetOpenOrder order.status is PreSubmitted</t>
  </si>
  <si>
    <t>2015-1-30 10:39:48.98: OrderManagerView - UpdateMainSheetOpenOrder - entering UpdateMainSheetOpenOrder order.status is PreSubmitted</t>
  </si>
  <si>
    <t>2015-1-30 10:39:49.178: OrderManagerView - UpdateMainSheetOpenOrder - entering UpdateMainSheetOpenOrder order.status is PreSubmitted</t>
  </si>
  <si>
    <t>2015-1-30 10:39:50.457: OrderManager - PlaceOrder - id 1336 workingQty -769</t>
  </si>
  <si>
    <t>2015-1-30 10:39:50.457: OrderManagerView - UpdateMainSheetOpenOrder - entering UpdateMainSheetOpenOrder order.status is In-Flight</t>
  </si>
  <si>
    <t>2015-1-30 10:39:50.459: OrderManager - sendOrder - exiting place order id 1336 SELL 22 1.5066  - workingQty -769 currentPosition is 21 workingOrderCount is 1</t>
  </si>
  <si>
    <t>2015-1-30 10:39:50.670: RTWSControl - nextValidId - entering nextValidId id is 1337</t>
  </si>
  <si>
    <t>2015-1-30 10:39:50.760: RTWSControl - errMsg - got error message 399:Order Message:
SELL 22 GBP MAR'15
Warning: your order will not be placed at the exchange until 2015-01-30 08:30:00 US/Centralwith id 1336</t>
  </si>
  <si>
    <t>2015-1-30 10:39:50.761: RTWSControl - errMsg - Got Error_x000D_id: 1336_x000D_errorCode: 399_x000D_errorMsg: Order Message:
SELL 22 GBP MAR'15
Warning: your order will not be placed at the exchange until 2015-01-30 08:30:00 US/Central</t>
  </si>
  <si>
    <t>2015-1-30 10:39:50.770: openOrderEx - I am here</t>
  </si>
  <si>
    <t>2015-1-30 10:39:50.770: OrderManagerView - UpdateMainSheetOpenOrder - entering UpdateMainSheetOpenOrder order.status is In-Flight</t>
  </si>
  <si>
    <t>2015-1-30 10:39:50.782: RTWSControl - orderStatus -  entering orderStatus id is 1336 status is PreSubmitted</t>
  </si>
  <si>
    <t>2015-1-30 10:39:50.783: OrderManager - UpdateOrderStatus - id 1336 Setting status to PreSubmitted workingOrderCount is now 1 workingQty -769</t>
  </si>
  <si>
    <t>2015-1-30 10:39:50.783: OrderManagerView - UpdateMainSheetOpenOrder - entering UpdateMainSheetOpenOrder order.status is PreSubmitted</t>
  </si>
  <si>
    <t>2015-1-30 10:39:50.785: RTWSControl - OrderStatus - Got OrderStatus Message id:1336 status: PreSubmitted filled: 0</t>
  </si>
  <si>
    <t>2015-1-30 10:39:50.786: RTWSControl - OrderStatus - exiting orderStatus</t>
  </si>
  <si>
    <t>2015-1-30 10:39:50.834: openOrderEx - I am here</t>
  </si>
  <si>
    <t>2015-1-30 10:39:50.834: OrderManagerView - UpdateMainSheetOpenOrder - entering UpdateMainSheetOpenOrder order.status is PreSubmitted</t>
  </si>
  <si>
    <t>2015-1-30 10:39:50.875: RTWSControl - orderStatus -  entering orderStatus id is 1336 status is PreSubmitted</t>
  </si>
  <si>
    <t>2015-1-30 10:39:50.875: OrderManager - UpdateOrderStatus - id 1336 Setting status to PreSubmitted workingOrderCount is now 1 workingQty -769</t>
  </si>
  <si>
    <t>2015-1-30 10:39:50.876: OrderManagerView - UpdateMainSheetOpenOrder - entering UpdateMainSheetOpenOrder order.status is PreSubmitted</t>
  </si>
  <si>
    <t>2015-1-30 10:39:50.878: RTWSControl - OrderStatus - Got OrderStatus Message id:1336 status: PreSubmitted filled: 0</t>
  </si>
  <si>
    <t>2015-1-30 10:39:50.878: RTWSControl - OrderStatus - exiting orderStatus</t>
  </si>
  <si>
    <t>2015-1-30 10:39:53.8: OrderManagerView - UpdateMainSheetOpenOrder - entering UpdateMainSheetOpenOrder order.status is PreSubmitted</t>
  </si>
  <si>
    <t>2015-1-30 10:39:53.10: OrderManagerView - UpdateMainSheetOpenOrder - entering UpdateMainSheetOpenOrder order.status is PreSubmitted</t>
  </si>
  <si>
    <t>2015-1-30 10:40:3.210: OrderManager - cancelOrder - cancelling order id 1335</t>
  </si>
  <si>
    <t>2015-1-30 10:40:3.211: OrderManager - PlaceOrder - id 1337 workingQty -745</t>
  </si>
  <si>
    <t>2015-1-30 10:40:3.212: OrderManagerView - UpdateMainSheetOpenOrder - entering UpdateMainSheetOpenOrder order.status is In-Flight</t>
  </si>
  <si>
    <t>2015-1-30 10:40:3.219: OrderManager - sendOrder - exiting place order id 1337 BUY 24 1.5125  - workingQty -745 currentPosition is 21 workingOrderCount is 2</t>
  </si>
  <si>
    <t>2015-1-30 10:40:3.687: RTWSControl - nextValidId - entering nextValidId id is 1338</t>
  </si>
  <si>
    <t>2015-1-30 10:40:3.706: RTWSControl - orderStatus -  entering orderStatus id is 1335 status is Cancelled</t>
  </si>
  <si>
    <t>2015-1-30 10:40:3.707: OrderManager - UpdateOrderStatus - id 1335 Setting status to Cancelled workingOrderCount is now 2 workingQty -745</t>
  </si>
  <si>
    <t>2015-1-30 10:40:3.707: OrderManagerView - UpdateMainSheetOpenOrder - entering UpdateMainSheetOpenOrder order.status is Cancelled</t>
  </si>
  <si>
    <t>2015-1-30 10:40:3.709: RTWSControl - OrderStatus - Got OrderStatus Message id:1335 status: Cancelled filled: 0</t>
  </si>
  <si>
    <t>2015-1-30 10:40:3.709: RTWSControl - OrderStatus - exiting orderStatus</t>
  </si>
  <si>
    <t>2015-1-30 10:40:3.719: RTWSControl - errMsg - got error message 202:Order Canceled - reason:with id 1335</t>
  </si>
  <si>
    <t>2015-1-30 10:40:3.720: OrderManager - canceledOrder - cleaning up after canceled order 1335BEWARE UNACCOUNTED FOR EXECUTIONS!!!</t>
  </si>
  <si>
    <t>2015-1-30 10:40:3.720: OrderManager - terminateOrder - cleaning up after Canceled 1335  order was supposed to BUY 21 1.5122 STP LMT workingQty/OrderCount now -766/1</t>
  </si>
  <si>
    <t>2015-1-30 10:40:3.721: OrderManagerView - UpdateMainSheetOpenOrder - entering UpdateMainSheetOpenOrder order.status is Canceled</t>
  </si>
  <si>
    <t>2015-1-30 10:40:3.754: RTWSControl - errMsg - got error message 399:Order Message:
BUY 24 GBP MAR'15
Warning: your order will not be placed at the exchange until 2015-01-30 08:30:00 US/Centralwith id 1337</t>
  </si>
  <si>
    <t>2015-1-30 10:40:3.755: RTWSControl - errMsg - Got Error_x000D_id: 1337_x000D_errorCode: 399_x000D_errorMsg: Order Message:
BUY 24 GBP MAR'15
Warning: your order will not be placed at the exchange until 2015-01-30 08:30:00 US/Central</t>
  </si>
  <si>
    <t>2015-1-30 10:40:3.763: openOrderEx - I am here</t>
  </si>
  <si>
    <t>2015-1-30 10:40:3.763: OrderManagerView - UpdateMainSheetOpenOrder - entering UpdateMainSheetOpenOrder order.status is In-Flight</t>
  </si>
  <si>
    <t>2015-1-30 10:40:3.797: RTWSControl - orderStatus -  entering orderStatus id is 1337 status is PreSubmitted</t>
  </si>
  <si>
    <t>2015-1-30 10:40:3.797: OrderManager - UpdateOrderStatus - id 1337 Setting status to PreSubmitted workingOrderCount is now 1 workingQty -766</t>
  </si>
  <si>
    <t>2015-1-30 10:40:3.798: OrderManagerView - UpdateMainSheetOpenOrder - entering UpdateMainSheetOpenOrder order.status is PreSubmitted</t>
  </si>
  <si>
    <t>2015-1-30 10:40:3.800: RTWSControl - OrderStatus - Got OrderStatus Message id:1337 status: PreSubmitted filled: 0</t>
  </si>
  <si>
    <t>2015-1-30 10:40:3.800: RTWSControl - OrderStatus - exiting orderStatus</t>
  </si>
  <si>
    <t>2015-1-30 10:40:3.837: openOrderEx - I am here</t>
  </si>
  <si>
    <t>2015-1-30 10:40:3.838: OrderManagerView - UpdateMainSheetOpenOrder - entering UpdateMainSheetOpenOrder order.status is PreSubmitted</t>
  </si>
  <si>
    <t>2015-1-30 10:40:3.849: RTWSControl - orderStatus -  entering orderStatus id is 1337 status is PreSubmitted</t>
  </si>
  <si>
    <t>2015-1-30 10:40:3.850: OrderManager - UpdateOrderStatus - id 1337 Setting status to PreSubmitted workingOrderCount is now 1 workingQty -766</t>
  </si>
  <si>
    <t>2015-1-30 10:40:3.850: OrderManagerView - UpdateMainSheetOpenOrder - entering UpdateMainSheetOpenOrder order.status is PreSubmitted</t>
  </si>
  <si>
    <t>2015-1-30 10:40:3.852: RTWSControl - OrderStatus - Got OrderStatus Message id:1337 status: PreSubmitted filled: 0</t>
  </si>
  <si>
    <t>2015-1-30 10:40:3.852: RTWSControl - OrderStatus - exiting orderStatus</t>
  </si>
  <si>
    <t>2015-1-30 10:40:4.790: OrderManager - cancelOrder - cancelling order id 1336</t>
  </si>
  <si>
    <t>2015-1-30 10:40:4.791: OrderManager - PlaceOrder - id 1338 workingQty -791</t>
  </si>
  <si>
    <t>2015-1-30 10:40:4.791: OrderManagerView - UpdateMainSheetOpenOrder - entering UpdateMainSheetOpenOrder order.status is In-Flight</t>
  </si>
  <si>
    <t>2015-1-30 10:40:4.792: OrderManager - sendOrder - exiting place order id 1338 SELL 25 1.5067  - workingQty -791 currentPosition is 21 workingOrderCount is 2</t>
  </si>
  <si>
    <t>2015-1-30 10:40:5.6: RTWSControl - nextValidId - entering nextValidId id is 1339</t>
  </si>
  <si>
    <t>2015-1-30 10:40:5.84: RTWSControl - orderStatus -  entering orderStatus id is 1336 status is Cancelled</t>
  </si>
  <si>
    <t>2015-1-30 10:40:5.85: OrderManager - UpdateOrderStatus - id 1336 Setting status to Cancelled workingOrderCount is now 2 workingQty -791</t>
  </si>
  <si>
    <t>2015-1-30 10:40:5.85: OrderManagerView - UpdateMainSheetOpenOrder - entering UpdateMainSheetOpenOrder order.status is Cancelled</t>
  </si>
  <si>
    <t>2015-1-30 10:40:5.87: RTWSControl - OrderStatus - Got OrderStatus Message id:1336 status: Cancelled filled: 0</t>
  </si>
  <si>
    <t>2015-1-30 10:40:5.87: RTWSControl - OrderStatus - exiting orderStatus</t>
  </si>
  <si>
    <t>2015-1-30 10:40:5.110: RTWSControl - errMsg - got error message 202:Order Canceled - reason:with id 1336</t>
  </si>
  <si>
    <t>2015-1-30 10:40:5.110: OrderManager - canceledOrder - cleaning up after canceled order 1336BEWARE UNACCOUNTED FOR EXECUTIONS!!!</t>
  </si>
  <si>
    <t>2015-1-30 10:40:5.111: OrderManager - terminateOrder - cleaning up after Canceled 1336  order was supposed to SELL 22 1.5066 STP LMT workingQty/OrderCount now -813/1</t>
  </si>
  <si>
    <t>2015-1-30 10:40:5.112: OrderManagerView - UpdateMainSheetOpenOrder - entering UpdateMainSheetOpenOrder order.status is Canceled</t>
  </si>
  <si>
    <t>2015-1-30 10:40:5.190: RTWSControl - errMsg - got error message 399:Order Message:
SELL 25 GBP MAR'15
Warning: your order will not be placed at the exchange until 2015-01-30 08:30:00 US/Centralwith id 1338</t>
  </si>
  <si>
    <t>2015-1-30 10:40:5.192: RTWSControl - errMsg - Got Error_x000D_id: 1338_x000D_errorCode: 399_x000D_errorMsg: Order Message:
SELL 25 GBP MAR'15
Warning: your order will not be placed at the exchange until 2015-01-30 08:30:00 US/Central</t>
  </si>
  <si>
    <t>2015-1-30 10:40:5.210: openOrderEx - I am here</t>
  </si>
  <si>
    <t>2015-1-30 10:40:5.210: OrderManagerView - UpdateMainSheetOpenOrder - entering UpdateMainSheetOpenOrder order.status is In-Flight</t>
  </si>
  <si>
    <t>2015-1-30 10:40:5.254: RTWSControl - orderStatus -  entering orderStatus id is 1338 status is PreSubmitted</t>
  </si>
  <si>
    <t>2015-1-30 10:40:5.255: OrderManager - UpdateOrderStatus - id 1338 Setting status to PreSubmitted workingOrderCount is now 1 workingQty -813</t>
  </si>
  <si>
    <t>2015-1-30 10:40:5.255: OrderManagerView - UpdateMainSheetOpenOrder - entering UpdateMainSheetOpenOrder order.status is PreSubmitted</t>
  </si>
  <si>
    <t>2015-1-30 10:40:5.257: RTWSControl - OrderStatus - Got OrderStatus Message id:1338 status: PreSubmitted filled: 0</t>
  </si>
  <si>
    <t>2015-1-30 10:40:5.258: RTWSControl - OrderStatus - exiting orderStatus</t>
  </si>
  <si>
    <t>2015-1-30 10:40:5.298: openOrderEx - I am here</t>
  </si>
  <si>
    <t>2015-1-30 10:40:5.298: OrderManagerView - UpdateMainSheetOpenOrder - entering UpdateMainSheetOpenOrder order.status is PreSubmitted</t>
  </si>
  <si>
    <t>2015-1-30 10:40:5.320: RTWSControl - orderStatus -  entering orderStatus id is 1338 status is PreSubmitted</t>
  </si>
  <si>
    <t>2015-1-30 10:40:5.320: OrderManager - UpdateOrderStatus - id 1338 Setting status to PreSubmitted workingOrderCount is now 1 workingQty -813</t>
  </si>
  <si>
    <t>2015-1-30 10:40:5.321: OrderManagerView - UpdateMainSheetOpenOrder - entering UpdateMainSheetOpenOrder order.status is PreSubmitted</t>
  </si>
  <si>
    <t>2015-1-30 10:40:5.323: RTWSControl - OrderStatus - Got OrderStatus Message id:1338 status: PreSubmitted filled: 0</t>
  </si>
  <si>
    <t>2015-1-30 10:40:5.323: RTWSControl - OrderStatus - exiting orderStatus</t>
  </si>
  <si>
    <t>2015-1-30 10:40:8.0: OrderManagerView - UpdateMainSheetOpenOrder - entering UpdateMainSheetOpenOrder order.status is Canceled</t>
  </si>
  <si>
    <t>2015-1-30 10:40:8.3: OrderManagerView - UpdateMainSheetOpenOrder - entering UpdateMainSheetOpenOrder order.status is PreSubmitted</t>
  </si>
  <si>
    <t>2015-1-30 10:40:8.4: OrderManagerView - UpdateMainSheetOpenOrder - entering UpdateMainSheetOpenOrder order.status is PreSubmitted</t>
  </si>
  <si>
    <t>2015-1-30 10:40:8.6: OrderManagerView - UpdateMainSheetOpenOrder - entering UpdateMainSheetOpenOrder order.status is PreSubmitted</t>
  </si>
  <si>
    <t>2015-1-30 10:40:8.7: OrderManagerView - UpdateMainSheetOpenOrder - entering UpdateMainSheetOpenOrder order.status is PreSubmitted</t>
  </si>
  <si>
    <t>2015-1-30 10:40:10.47: OrderManagerView - UpdateMainSheetOpenOrder - entering UpdateMainSheetOpenOrder order.status is PreSubmitted</t>
  </si>
  <si>
    <t>2015-1-30 10:40:10.59: OrderManagerView - UpdateMainSheetOpenOrder - entering UpdateMainSheetOpenOrder order.status is PreSubmitted</t>
  </si>
  <si>
    <t>2015-1-30 10:40:10.67: OrderManagerView - UpdateMainSheetOpenOrder - entering UpdateMainSheetOpenOrder order.status is PreSubmitted</t>
  </si>
  <si>
    <t>2015-1-30 10:40:13.89: OrderManagerView - UpdateMainSheetOpenOrder - entering UpdateMainSheetOpenOrder order.status is PreSubmitted</t>
  </si>
  <si>
    <t>2015-1-30 10:40:13.98: OrderManagerView - UpdateMainSheetOpenOrder - entering UpdateMainSheetOpenOrder order.status is PreSubmitted</t>
  </si>
  <si>
    <t>2015-1-30 10:40:36.984: OrderManager - cancelOrder - cancelling order id 1338</t>
  </si>
  <si>
    <t>2015-1-30 10:40:36.985: OrderManager - PlaceOrder - id 1339 workingQty -835</t>
  </si>
  <si>
    <t>2015-1-30 10:40:36.985: OrderManagerView - UpdateMainSheetOpenOrder - entering UpdateMainSheetOpenOrder order.status is In-Flight</t>
  </si>
  <si>
    <t>2015-1-30 10:40:36.986: OrderManager - sendOrder - exiting place order id 1339 SELL 22 1.5068  - workingQty -835 currentPosition is 21 workingOrderCount is 2</t>
  </si>
  <si>
    <t>2015-1-30 10:40:37.208: RTWSControl - nextValidId - entering nextValidId id is 1340</t>
  </si>
  <si>
    <t>2015-1-30 10:40:37.308: RTWSControl - orderStatus -  entering orderStatus id is 1338 status is Cancelled</t>
  </si>
  <si>
    <t>2015-1-30 10:40:37.309: OrderManager - UpdateOrderStatus - id 1338 Setting status to Cancelled workingOrderCount is now 2 workingQty -835</t>
  </si>
  <si>
    <t>2015-1-30 10:40:37.309: OrderManagerView - UpdateMainSheetOpenOrder - entering UpdateMainSheetOpenOrder order.status is Cancelled</t>
  </si>
  <si>
    <t>2015-1-30 10:40:37.311: RTWSControl - OrderStatus - Got OrderStatus Message id:1338 status: Cancelled filled: 0</t>
  </si>
  <si>
    <t>2015-1-30 10:40:37.312: RTWSControl - OrderStatus - exiting orderStatus</t>
  </si>
  <si>
    <t>2015-1-30 10:40:37.362: RTWSControl - errMsg - got error message 202:Order Canceled - reason:with id 1338</t>
  </si>
  <si>
    <t>2015-1-30 10:40:37.362: OrderManager - canceledOrder - cleaning up after canceled order 1338BEWARE UNACCOUNTED FOR EXECUTIONS!!!</t>
  </si>
  <si>
    <t>2015-1-30 10:40:37.363: OrderManager - terminateOrder - cleaning up after Canceled 1338  order was supposed to SELL 25 1.5067 STP LMT workingQty/OrderCount now -860/1</t>
  </si>
  <si>
    <t>2015-1-30 10:40:37.364: OrderManagerView - UpdateMainSheetOpenOrder - entering UpdateMainSheetOpenOrder order.status is Canceled</t>
  </si>
  <si>
    <t>2015-1-30 10:40:37.374: RTWSControl - errMsg - got error message 399:Order Message:
SELL 22 GBP MAR'15
Warning: your order will not be placed at the exchange until 2015-01-30 08:30:00 US/Centralwith id 1339</t>
  </si>
  <si>
    <t>2015-1-30 10:40:37.375: RTWSControl - errMsg - Got Error_x000D_id: 1339_x000D_errorCode: 399_x000D_errorMsg: Order Message:
SELL 22 GBP MAR'15
Warning: your order will not be placed at the exchange until 2015-01-30 08:30:00 US/Central</t>
  </si>
  <si>
    <t>2015-1-30 10:40:37.421: openOrderEx - I am here</t>
  </si>
  <si>
    <t>2015-1-30 10:40:37.421: OrderManagerView - UpdateMainSheetOpenOrder - entering UpdateMainSheetOpenOrder order.status is In-Flight</t>
  </si>
  <si>
    <t>2015-1-30 10:40:37.433: RTWSControl - orderStatus -  entering orderStatus id is 1339 status is PreSubmitted</t>
  </si>
  <si>
    <t>2015-1-30 10:40:37.433: OrderManager - UpdateOrderStatus - id 1339 Setting status to PreSubmitted workingOrderCount is now 1 workingQty -860</t>
  </si>
  <si>
    <t>2015-1-30 10:40:37.434: OrderManagerView - UpdateMainSheetOpenOrder - entering UpdateMainSheetOpenOrder order.status is PreSubmitted</t>
  </si>
  <si>
    <t>2015-1-30 10:40:37.436: RTWSControl - OrderStatus - Got OrderStatus Message id:1339 status: PreSubmitted filled: 0</t>
  </si>
  <si>
    <t>2015-1-30 10:40:37.436: RTWSControl - OrderStatus - exiting orderStatus</t>
  </si>
  <si>
    <t>2015-1-30 10:40:37.466: openOrderEx - I am here</t>
  </si>
  <si>
    <t>2015-1-30 10:40:37.467: OrderManagerView - UpdateMainSheetOpenOrder - entering UpdateMainSheetOpenOrder order.status is PreSubmitted</t>
  </si>
  <si>
    <t>2015-1-30 10:40:37.501: RTWSControl - orderStatus -  entering orderStatus id is 1339 status is PreSubmitted</t>
  </si>
  <si>
    <t>2015-1-30 10:40:37.502: OrderManager - UpdateOrderStatus - id 1339 Setting status to PreSubmitted workingOrderCount is now 1 workingQty -860</t>
  </si>
  <si>
    <t>2015-1-30 10:40:37.502: OrderManagerView - UpdateMainSheetOpenOrder - entering UpdateMainSheetOpenOrder order.status is PreSubmitted</t>
  </si>
  <si>
    <t>2015-1-30 10:40:37.504: RTWSControl - OrderStatus - Got OrderStatus Message id:1339 status: PreSubmitted filled: 0</t>
  </si>
  <si>
    <t>2015-1-30 10:40:37.504: RTWSControl - OrderStatus - exiting orderStatus</t>
  </si>
  <si>
    <t>2015-1-30 10:40:42.419: OrderManagerView - UpdateMainSheetOpenOrder - entering UpdateMainSheetOpenOrder order.status is PreSubmitted</t>
  </si>
  <si>
    <t>2015-1-30 10:40:42.425: OrderManagerView - UpdateMainSheetOpenOrder - entering UpdateMainSheetOpenOrder order.status is PreSubmitted</t>
  </si>
  <si>
    <t>2015-1-30 10:41:9.833: OrderManager - cancelOrder - cancelling order id 1337</t>
  </si>
  <si>
    <t>2015-1-30 10:41:9.834: OrderManager - PlaceOrder - id 1340 workingQty -839</t>
  </si>
  <si>
    <t>2015-1-30 10:41:9.835: OrderManagerView - UpdateMainSheetOpenOrder - entering UpdateMainSheetOpenOrder order.status is In-Flight</t>
  </si>
  <si>
    <t>2015-1-30 10:41:9.840: OrderManager - sendOrder - exiting place order id 1340 BUY 21 1.5122  - workingQty -839 currentPosition is 21 workingOrderCount is 2</t>
  </si>
  <si>
    <t>2015-1-30 10:41:9.963: RTWSControl - nextValidId - entering nextValidId id is 1341</t>
  </si>
  <si>
    <t>2015-1-30 10:41:10.92: RTWSControl - orderStatus -  entering orderStatus id is 1337 status is Cancelled</t>
  </si>
  <si>
    <t>2015-1-30 10:41:10.94: OrderManager - UpdateOrderStatus - id 1337 Setting status to Cancelled workingOrderCount is now 2 workingQty -839</t>
  </si>
  <si>
    <t>2015-1-30 10:41:10.96: OrderManagerView - UpdateMainSheetOpenOrder - entering UpdateMainSheetOpenOrder order.status is Cancelled</t>
  </si>
  <si>
    <t>2015-1-30 10:41:10.104: RTWSControl - OrderStatus - Got OrderStatus Message id:1337 status: Cancelled filled: 0</t>
  </si>
  <si>
    <t>2015-1-30 10:41:10.105: RTWSControl - OrderStatus - exiting orderStatus</t>
  </si>
  <si>
    <t>2015-1-30 10:41:10.157: RTWSControl - errMsg - got error message 202:Order Canceled - reason:with id 1337</t>
  </si>
  <si>
    <t>2015-1-30 10:41:10.158: OrderManager - canceledOrder - cleaning up after canceled order 1337BEWARE UNACCOUNTED FOR EXECUTIONS!!!</t>
  </si>
  <si>
    <t>2015-1-30 10:41:10.159: OrderManager - terminateOrder - cleaning up after Canceled 1337  order was supposed to BUY 24 1.5125 STP LMT workingQty/OrderCount now -863/1</t>
  </si>
  <si>
    <t>2015-1-30 10:41:10.161: OrderManagerView - UpdateMainSheetOpenOrder - entering UpdateMainSheetOpenOrder order.status is Canceled</t>
  </si>
  <si>
    <t>2015-1-30 10:41:10.209: RTWSControl - errMsg - got error message 399:Order Message:
BUY 21 GBP MAR'15
Warning: your order will not be placed at the exchange until 2015-01-30 08:30:00 US/Centralwith id 1340</t>
  </si>
  <si>
    <t>2015-1-30 10:41:10.210: RTWSControl - errMsg - Got Error_x000D_id: 1340_x000D_errorCode: 399_x000D_errorMsg: Order Message:
BUY 21 GBP MAR'15
Warning: your order will not be placed at the exchange until 2015-01-30 08:30:00 US/Central</t>
  </si>
  <si>
    <t>2015-1-30 10:41:10.219: openOrderEx - I am here</t>
  </si>
  <si>
    <t>2015-1-30 10:41:10.219: OrderManagerView - UpdateMainSheetOpenOrder - entering UpdateMainSheetOpenOrder order.status is In-Flight</t>
  </si>
  <si>
    <t>2015-1-30 10:41:10.250: RTWSControl - orderStatus -  entering orderStatus id is 1340 status is PreSubmitted</t>
  </si>
  <si>
    <t>2015-1-30 10:41:10.251: OrderManager - UpdateOrderStatus - id 1340 Setting status to PreSubmitted workingOrderCount is now 1 workingQty -863</t>
  </si>
  <si>
    <t>2015-1-30 10:41:10.251: OrderManagerView - UpdateMainSheetOpenOrder - entering UpdateMainSheetOpenOrder order.status is PreSubmitted</t>
  </si>
  <si>
    <t>2015-1-30 10:41:10.253: RTWSControl - OrderStatus - Got OrderStatus Message id:1340 status: PreSubmitted filled: 0</t>
  </si>
  <si>
    <t>2015-1-30 10:41:10.254: RTWSControl - OrderStatus - exiting orderStatus</t>
  </si>
  <si>
    <t>2015-1-30 10:41:10.967: openOrderEx - I am here</t>
  </si>
  <si>
    <t>2015-1-30 10:41:10.968: OrderManagerView - UpdateMainSheetOpenOrder - entering UpdateMainSheetOpenOrder order.status is PreSubmitted</t>
  </si>
  <si>
    <t>2015-1-30 10:41:10.980: RTWSControl - orderStatus -  entering orderStatus id is 1340 status is PreSubmitted</t>
  </si>
  <si>
    <t>2015-1-30 10:41:10.981: OrderManager - UpdateOrderStatus - id 1340 Setting status to PreSubmitted workingOrderCount is now 1 workingQty -863</t>
  </si>
  <si>
    <t>2015-1-30 10:41:10.982: OrderManagerView - UpdateMainSheetOpenOrder - entering UpdateMainSheetOpenOrder order.status is PreSubmitted</t>
  </si>
  <si>
    <t>2015-1-30 10:41:10.983: RTWSControl - OrderStatus - Got OrderStatus Message id:1340 status: PreSubmitted filled: 0</t>
  </si>
  <si>
    <t>2015-1-30 10:41:10.984: RTWSControl - OrderStatus - exiting orderStatus</t>
  </si>
  <si>
    <t>2015-1-30 10:41:13.263: OrderManager - cancelOrder - cancelling order id 1340</t>
  </si>
  <si>
    <t>2015-1-30 10:41:13.263: OrderManager - PlaceOrder - id 1341 workingQty -839</t>
  </si>
  <si>
    <t>2015-1-30 10:41:13.264: OrderManagerView - UpdateMainSheetOpenOrder - entering UpdateMainSheetOpenOrder order.status is In-Flight</t>
  </si>
  <si>
    <t>2015-1-30 10:41:13.265: OrderManager - sendOrder - exiting place order id 1341 BUY 24 1.5126  - workingQty -839 currentPosition is 21 workingOrderCount is 2</t>
  </si>
  <si>
    <t>2015-1-30 10:41:14.178: RTWSControl - nextValidId - entering nextValidId id is 1342</t>
  </si>
  <si>
    <t>2015-1-30 10:41:14.210: RTWSControl - orderStatus -  entering orderStatus id is 1340 status is Cancelled</t>
  </si>
  <si>
    <t>2015-1-30 10:41:14.210: OrderManager - UpdateOrderStatus - id 1340 Setting status to Cancelled workingOrderCount is now 2 workingQty -839</t>
  </si>
  <si>
    <t>2015-1-30 10:41:14.211: OrderManagerView - UpdateMainSheetOpenOrder - entering UpdateMainSheetOpenOrder order.status is Cancelled</t>
  </si>
  <si>
    <t>2015-1-30 10:41:14.212: RTWSControl - OrderStatus - Got OrderStatus Message id:1340 status: Cancelled filled: 0</t>
  </si>
  <si>
    <t>2015-1-30 10:41:14.213: RTWSControl - OrderStatus - exiting orderStatus</t>
  </si>
  <si>
    <t>2015-1-30 10:41:14.222: RTWSControl - errMsg - got error message 202:Order Canceled - reason:with id 1340</t>
  </si>
  <si>
    <t>2015-1-30 10:41:14.223: OrderManager - canceledOrder - cleaning up after canceled order 1340BEWARE UNACCOUNTED FOR EXECUTIONS!!!</t>
  </si>
  <si>
    <t>2015-1-30 10:41:14.224: OrderManager - terminateOrder - cleaning up after Canceled 1340  order was supposed to BUY 21 1.5122 STP LMT workingQty/OrderCount now -860/1</t>
  </si>
  <si>
    <t>2015-1-30 10:41:14.225: OrderManagerView - UpdateMainSheetOpenOrder - entering UpdateMainSheetOpenOrder order.status is Canceled</t>
  </si>
  <si>
    <t>2015-1-30 10:41:14.255: RTWSControl - errMsg - got error message 399:Order Message:
BUY 24 GBP MAR'15
Warning: your order will not be placed at the exchange until 2015-01-30 08:30:00 US/Centralwith id 1341</t>
  </si>
  <si>
    <t>2015-1-30 10:41:14.256: RTWSControl - errMsg - Got Error_x000D_id: 1341_x000D_errorCode: 399_x000D_errorMsg: Order Message:
BUY 24 GBP MAR'15
Warning: your order will not be placed at the exchange until 2015-01-30 08:30:00 US/Central</t>
  </si>
  <si>
    <t>2015-1-30 10:41:14.264: openOrderEx - I am here</t>
  </si>
  <si>
    <t>2015-1-30 10:41:14.264: OrderManagerView - UpdateMainSheetOpenOrder - entering UpdateMainSheetOpenOrder order.status is In-Flight</t>
  </si>
  <si>
    <t>2015-1-30 10:41:14.298: RTWSControl - orderStatus -  entering orderStatus id is 1341 status is PreSubmitted</t>
  </si>
  <si>
    <t>2015-1-30 10:41:14.299: OrderManager - UpdateOrderStatus - id 1341 Setting status to PreSubmitted workingOrderCount is now 1 workingQty -860</t>
  </si>
  <si>
    <t>2015-1-30 10:41:14.300: OrderManagerView - UpdateMainSheetOpenOrder - entering UpdateMainSheetOpenOrder order.status is PreSubmitted</t>
  </si>
  <si>
    <t>2015-1-30 10:41:14.301: RTWSControl - OrderStatus - Got OrderStatus Message id:1341 status: PreSubmitted filled: 0</t>
  </si>
  <si>
    <t>2015-1-30 10:41:14.302: RTWSControl - OrderStatus - exiting orderStatus</t>
  </si>
  <si>
    <t>2015-1-30 10:41:14.339: openOrderEx - I am here</t>
  </si>
  <si>
    <t>2015-1-30 10:41:14.339: OrderManagerView - UpdateMainSheetOpenOrder - entering UpdateMainSheetOpenOrder order.status is PreSubmitted</t>
  </si>
  <si>
    <t>2015-1-30 10:41:14.351: RTWSControl - orderStatus -  entering orderStatus id is 1341 status is PreSubmitted</t>
  </si>
  <si>
    <t>2015-1-30 10:41:14.351: OrderManager - UpdateOrderStatus - id 1341 Setting status to PreSubmitted workingOrderCount is now 1 workingQty -860</t>
  </si>
  <si>
    <t>2015-1-30 10:41:14.352: OrderManagerView - UpdateMainSheetOpenOrder - entering UpdateMainSheetOpenOrder order.status is PreSubmitted</t>
  </si>
  <si>
    <t>2015-1-30 10:41:14.354: RTWSControl - OrderStatus - Got OrderStatus Message id:1341 status: PreSubmitted filled: 0</t>
  </si>
  <si>
    <t>2015-1-30 10:41:14.354: RTWSControl - OrderStatus - exiting orderStatus</t>
  </si>
  <si>
    <t>2015-1-30 10:41:15.19: OrderManagerView - UpdateMainSheetOpenOrder - entering UpdateMainSheetOpenOrder order.status is PreSubmitted</t>
  </si>
  <si>
    <t>2015-1-30 10:41:15.22: OrderManagerView - UpdateMainSheetOpenOrder - entering UpdateMainSheetOpenOrder order.status is Canceled</t>
  </si>
  <si>
    <t>2015-1-30 10:41:15.23: OrderManagerView - UpdateMainSheetOpenOrder - entering UpdateMainSheetOpenOrder order.status is PreSubmitted</t>
  </si>
  <si>
    <t>2015-1-30 10:41:15.25: OrderManagerView - UpdateMainSheetOpenOrder - entering UpdateMainSheetOpenOrder order.status is PreSubmitted</t>
  </si>
  <si>
    <t>2015-1-30 10:41:16.12: OrderManager - cancelOrder - cancelling order id 1339</t>
  </si>
  <si>
    <t>2015-1-30 10:41:16.12: OrderManager - PlaceOrder - id 1342 workingQty -885</t>
  </si>
  <si>
    <t>2015-1-30 10:41:16.12: OrderManagerView - UpdateMainSheetOpenOrder - entering UpdateMainSheetOpenOrder order.status is In-Flight</t>
  </si>
  <si>
    <t>2015-1-30 10:41:16.14: OrderManager - sendOrder - exiting place order id 1342 SELL 25 1.5068  - workingQty -885 currentPosition is 21 workingOrderCount is 2</t>
  </si>
  <si>
    <t>2015-1-30 10:41:16.818: RTWSControl - nextValidId - entering nextValidId id is 1343</t>
  </si>
  <si>
    <t>2015-1-30 10:41:16.842: RTWSControl - orderStatus -  entering orderStatus id is 1339 status is Cancelled</t>
  </si>
  <si>
    <t>2015-1-30 10:41:16.843: OrderManager - UpdateOrderStatus - id 1339 Setting status to Cancelled workingOrderCount is now 2 workingQty -885</t>
  </si>
  <si>
    <t>2015-1-30 10:41:16.843: OrderManagerView - UpdateMainSheetOpenOrder - entering UpdateMainSheetOpenOrder order.status is Cancelled</t>
  </si>
  <si>
    <t>2015-1-30 10:41:16.845: RTWSControl - OrderStatus - Got OrderStatus Message id:1339 status: Cancelled filled: 0</t>
  </si>
  <si>
    <t>2015-1-30 10:41:16.845: RTWSControl - OrderStatus - exiting orderStatus</t>
  </si>
  <si>
    <t>2015-1-30 10:41:16.856: RTWSControl - errMsg - got error message 202:Order Canceled - reason:with id 1339</t>
  </si>
  <si>
    <t>2015-1-30 10:41:16.857: OrderManager - canceledOrder - cleaning up after canceled order 1339BEWARE UNACCOUNTED FOR EXECUTIONS!!!</t>
  </si>
  <si>
    <t>2015-1-30 10:41:16.857: OrderManager - terminateOrder - cleaning up after Canceled 1339  order was supposed to SELL 22 1.5068 STP LMT workingQty/OrderCount now -907/1</t>
  </si>
  <si>
    <t>2015-1-30 10:41:16.858: OrderManagerView - UpdateMainSheetOpenOrder - entering UpdateMainSheetOpenOrder order.status is Canceled</t>
  </si>
  <si>
    <t>2015-1-30 10:41:16.881: RTWSControl - errMsg - got error message 399:Order Message:
SELL 25 GBP MAR'15
Warning: your order will not be placed at the exchange until 2015-01-30 08:30:00 US/Centralwith id 1342</t>
  </si>
  <si>
    <t>2015-1-30 10:41:16.882: RTWSControl - errMsg - Got Error_x000D_id: 1342_x000D_errorCode: 399_x000D_errorMsg: Order Message:
SELL 25 GBP MAR'15
Warning: your order will not be placed at the exchange until 2015-01-30 08:30:00 US/Central</t>
  </si>
  <si>
    <t>2015-1-30 10:41:16.890: openOrderEx - I am here</t>
  </si>
  <si>
    <t>2015-1-30 10:41:16.891: OrderManagerView - UpdateMainSheetOpenOrder - entering UpdateMainSheetOpenOrder order.status is In-Flight</t>
  </si>
  <si>
    <t>2015-1-30 10:41:16.922: RTWSControl - orderStatus -  entering orderStatus id is 1342 status is PreSubmitted</t>
  </si>
  <si>
    <t>2015-1-30 10:41:16.922: OrderManager - UpdateOrderStatus - id 1342 Setting status to PreSubmitted workingOrderCount is now 1 workingQty -907</t>
  </si>
  <si>
    <t>2015-1-30 10:41:16.923: OrderManagerView - UpdateMainSheetOpenOrder - entering UpdateMainSheetOpenOrder order.status is PreSubmitted</t>
  </si>
  <si>
    <t>2015-1-30 10:41:16.925: RTWSControl - OrderStatus - Got OrderStatus Message id:1342 status: PreSubmitted filled: 0</t>
  </si>
  <si>
    <t>2015-1-30 10:41:16.925: RTWSControl - OrderStatus - exiting orderStatus</t>
  </si>
  <si>
    <t>2015-1-30 10:41:16.964: openOrderEx - I am here</t>
  </si>
  <si>
    <t>2015-1-30 10:41:16.964: OrderManagerView - UpdateMainSheetOpenOrder - entering UpdateMainSheetOpenOrder order.status is PreSubmitted</t>
  </si>
  <si>
    <t>2015-1-30 10:41:16.976: RTWSControl - orderStatus -  entering orderStatus id is 1342 status is PreSubmitted</t>
  </si>
  <si>
    <t>2015-1-30 10:41:16.976: OrderManager - UpdateOrderStatus - id 1342 Setting status to PreSubmitted workingOrderCount is now 1 workingQty -907</t>
  </si>
  <si>
    <t>2015-1-30 10:41:16.977: OrderManagerView - UpdateMainSheetOpenOrder - entering UpdateMainSheetOpenOrder order.status is PreSubmitted</t>
  </si>
  <si>
    <t>2015-1-30 10:41:16.979: RTWSControl - OrderStatus - Got OrderStatus Message id:1342 status: PreSubmitted filled: 0</t>
  </si>
  <si>
    <t>2015-1-30 10:41:16.979: RTWSControl - OrderStatus - exiting orderStatus</t>
  </si>
  <si>
    <t>2015-1-30 10:41:19.441: OrderManagerView - UpdateMainSheetOpenOrder - entering UpdateMainSheetOpenOrder order.status is PreSubmitted</t>
  </si>
  <si>
    <t>2015-1-30 10:41:19.451: OrderManagerView - UpdateMainSheetOpenOrder - entering UpdateMainSheetOpenOrder order.status is PreSubmitted</t>
  </si>
  <si>
    <t>2015-1-30 10:41:19.457: OrderManagerView - UpdateMainSheetOpenOrder - entering UpdateMainSheetOpenOrder order.status is PreSubmitted</t>
  </si>
  <si>
    <t>2015-1-30 10:41:19.851: OrderManager - cancelOrder - cancelling order id 1342</t>
  </si>
  <si>
    <t>2015-1-30 10:41:19.852: OrderManager - PlaceOrder - id 1343 workingQty -929</t>
  </si>
  <si>
    <t>2015-1-30 10:41:19.852: OrderManagerView - UpdateMainSheetOpenOrder - entering UpdateMainSheetOpenOrder order.status is In-Flight</t>
  </si>
  <si>
    <t>2015-1-30 10:41:19.855: OrderManager - sendOrder - exiting place order id 1343 SELL 22 1.5068  - workingQty -929 currentPosition is 21 workingOrderCount is 2</t>
  </si>
  <si>
    <t>2015-1-30 10:41:20.11: OrderManagerView - UpdateMainSheetOpenOrder - entering UpdateMainSheetOpenOrder order.status is PreSubmitted</t>
  </si>
  <si>
    <t>2015-1-30 10:41:20.13: OrderManagerView - UpdateMainSheetOpenOrder - entering UpdateMainSheetOpenOrder order.status is PreSubmitted</t>
  </si>
  <si>
    <t>2015-1-30 10:41:20.14: OrderManagerView - UpdateMainSheetOpenOrder - entering UpdateMainSheetOpenOrder order.status is In-Flight</t>
  </si>
  <si>
    <t>2015-1-30 10:41:20.372: RTWSControl - nextValidId - entering nextValidId id is 1344</t>
  </si>
  <si>
    <t>2015-1-30 10:41:20.378: RTWSControl - orderStatus -  entering orderStatus id is 1342 status is Cancelled</t>
  </si>
  <si>
    <t>2015-1-30 10:41:20.379: OrderManager - UpdateOrderStatus - id 1342 Setting status to Cancelled workingOrderCount is now 2 workingQty -929</t>
  </si>
  <si>
    <t>2015-1-30 10:41:20.380: OrderManagerView - UpdateMainSheetOpenOrder - entering UpdateMainSheetOpenOrder order.status is Cancelled</t>
  </si>
  <si>
    <t>2015-1-30 10:41:20.381: RTWSControl - OrderStatus - Got OrderStatus Message id:1342 status: Cancelled filled: 0</t>
  </si>
  <si>
    <t>2015-1-30 10:41:20.382: RTWSControl - OrderStatus - exiting orderStatus</t>
  </si>
  <si>
    <t>2015-1-30 10:41:20.418: RTWSControl - errMsg - got error message 202:Order Canceled - reason:with id 1342</t>
  </si>
  <si>
    <t>2015-1-30 10:41:20.419: OrderManager - canceledOrder - cleaning up after canceled order 1342BEWARE UNACCOUNTED FOR EXECUTIONS!!!</t>
  </si>
  <si>
    <t>2015-1-30 10:41:20.419: OrderManager - terminateOrder - cleaning up after Canceled 1342  order was supposed to SELL 25 1.5068 STP LMT workingQty/OrderCount now -954/1</t>
  </si>
  <si>
    <t>2015-1-30 10:41:20.420: OrderManagerView - UpdateMainSheetOpenOrder - entering UpdateMainSheetOpenOrder order.status is Canceled</t>
  </si>
  <si>
    <t>2015-1-30 10:41:20.430: RTWSControl - errMsg - got error message 399:Order Message:
SELL 22 GBP MAR'15
Warning: your order will not be placed at the exchange until 2015-01-30 08:30:00 US/Centralwith id 1343</t>
  </si>
  <si>
    <t>2015-1-30 10:41:20.431: RTWSControl - errMsg - Got Error_x000D_id: 1343_x000D_errorCode: 399_x000D_errorMsg: Order Message:
SELL 22 GBP MAR'15
Warning: your order will not be placed at the exchange until 2015-01-30 08:30:00 US/Central</t>
  </si>
  <si>
    <t>2015-1-30 10:41:20.463: openOrderEx - I am here</t>
  </si>
  <si>
    <t>2015-1-30 10:41:20.463: OrderManagerView - UpdateMainSheetOpenOrder - entering UpdateMainSheetOpenOrder order.status is In-Flight</t>
  </si>
  <si>
    <t>2015-1-30 10:41:20.474: RTWSControl - orderStatus -  entering orderStatus id is 1343 status is PreSubmitted</t>
  </si>
  <si>
    <t>2015-1-30 10:41:20.475: OrderManager - UpdateOrderStatus - id 1343 Setting status to PreSubmitted workingOrderCount is now 1 workingQty -954</t>
  </si>
  <si>
    <t>2015-1-30 10:41:20.475: OrderManagerView - UpdateMainSheetOpenOrder - entering UpdateMainSheetOpenOrder order.status is PreSubmitted</t>
  </si>
  <si>
    <t>2015-1-30 10:41:20.477: RTWSControl - OrderStatus - Got OrderStatus Message id:1343 status: PreSubmitted filled: 0</t>
  </si>
  <si>
    <t>2015-1-30 10:41:20.477: RTWSControl - OrderStatus - exiting orderStatus</t>
  </si>
  <si>
    <t>2015-1-30 10:41:20.507: openOrderEx - I am here</t>
  </si>
  <si>
    <t>2015-1-30 10:41:20.508: OrderManagerView - UpdateMainSheetOpenOrder - entering UpdateMainSheetOpenOrder order.status is PreSubmitted</t>
  </si>
  <si>
    <t>2015-1-30 10:41:20.543: RTWSControl - orderStatus -  entering orderStatus id is 1343 status is PreSubmitted</t>
  </si>
  <si>
    <t>2015-1-30 10:41:20.544: OrderManager - UpdateOrderStatus - id 1343 Setting status to PreSubmitted workingOrderCount is now 1 workingQty -954</t>
  </si>
  <si>
    <t>2015-1-30 10:41:20.544: OrderManagerView - UpdateMainSheetOpenOrder - entering UpdateMainSheetOpenOrder order.status is PreSubmitted</t>
  </si>
  <si>
    <t>2015-1-30 10:41:20.546: RTWSControl - OrderStatus - Got OrderStatus Message id:1343 status: PreSubmitted filled: 0</t>
  </si>
  <si>
    <t>2015-1-30 10:41:20.546: RTWSControl - OrderStatus - exiting orderStatus</t>
  </si>
  <si>
    <t>2015-1-30 10:41:21.27: OrderManagerView - UpdateMainSheetOpenOrder - entering UpdateMainSheetOpenOrder order.status is PreSubmitted</t>
  </si>
  <si>
    <t>2015-1-30 10:41:21.35: OrderManagerView - UpdateMainSheetOpenOrder - entering UpdateMainSheetOpenOrder order.status is PreSubmitted</t>
  </si>
  <si>
    <t>2015-1-30 10:41:25.0: OrderManagerView - UpdateMainSheetOpenOrder - entering UpdateMainSheetOpenOrder order.status is PreSubmitted</t>
  </si>
  <si>
    <t>2015-1-30 10:41:25.2: OrderManagerView - UpdateMainSheetOpenOrder - entering UpdateMainSheetOpenOrder order.status is PreSubmitted</t>
  </si>
  <si>
    <t>2015-1-30 10:41:25.180: OrderManager - cancelOrder - cancelling order id 1341</t>
  </si>
  <si>
    <t>2015-1-30 10:41:25.181: OrderManager - PlaceOrder - id 1344 workingQty -935</t>
  </si>
  <si>
    <t>2015-1-30 10:41:25.181: OrderManagerView - UpdateMainSheetOpenOrder - entering UpdateMainSheetOpenOrder order.status is In-Flight</t>
  </si>
  <si>
    <t>2015-1-30 10:41:25.182: OrderManager - sendOrder - exiting place order id 1344 BUY 19 1.512  - workingQty -935 currentPosition is 21 workingOrderCount is 2</t>
  </si>
  <si>
    <t>2015-1-30 10:41:25.183: OrderManager - cancelOrder - cancelling order id 1343</t>
  </si>
  <si>
    <t>2015-1-30 10:41:25.183: OrderManager - createOrder - exiting without creating order - did not have validID</t>
  </si>
  <si>
    <t>2015-1-30 10:41:25.884: OrderManager - createOrder - exiting without creating order - did not have validID</t>
  </si>
  <si>
    <t>2015-1-30 10:41:26.375: RTWSControl - nextValidId - entering nextValidId id is 1345</t>
  </si>
  <si>
    <t>2015-1-30 10:41:26.381: RTWSControl - orderStatus -  entering orderStatus id is 1341 status is Cancelled</t>
  </si>
  <si>
    <t>2015-1-30 10:41:26.382: OrderManager - UpdateOrderStatus - id 1341 Setting status to Cancelled workingOrderCount is now 2 workingQty -935</t>
  </si>
  <si>
    <t>2015-1-30 10:41:26.382: OrderManagerView - UpdateMainSheetOpenOrder - entering UpdateMainSheetOpenOrder order.status is Cancelled</t>
  </si>
  <si>
    <t>2015-1-30 10:41:26.384: RTWSControl - OrderStatus - Got OrderStatus Message id:1341 status: Cancelled filled: 0</t>
  </si>
  <si>
    <t>2015-1-30 10:41:26.384: RTWSControl - OrderStatus - exiting orderStatus</t>
  </si>
  <si>
    <t>2015-1-30 10:41:26.418: RTWSControl - errMsg - got error message 202:Order Canceled - reason:with id 1341</t>
  </si>
  <si>
    <t>2015-1-30 10:41:26.419: OrderManager - canceledOrder - cleaning up after canceled order 1341BEWARE UNACCOUNTED FOR EXECUTIONS!!!</t>
  </si>
  <si>
    <t>2015-1-30 10:41:26.419: OrderManager - terminateOrder - cleaning up after Canceled 1341  order was supposed to BUY 24 1.5126 STP LMT workingQty/OrderCount now -959/1</t>
  </si>
  <si>
    <t>2015-1-30 10:41:26.421: OrderManagerView - UpdateMainSheetOpenOrder - entering UpdateMainSheetOpenOrder order.status is Canceled</t>
  </si>
  <si>
    <t>2015-1-30 10:41:26.432: RTWSControl - errMsg - got error message 399:Order Message:
BUY 19 GBP MAR'15
Warning: your order will not be placed at the exchange until 2015-01-30 08:30:00 US/Centralwith id 1344</t>
  </si>
  <si>
    <t>2015-1-30 10:41:26.433: RTWSControl - errMsg - Got Error_x000D_id: 1344_x000D_errorCode: 399_x000D_errorMsg: Order Message:
BUY 19 GBP MAR'15
Warning: your order will not be placed at the exchange until 2015-01-30 08:30:00 US/Central</t>
  </si>
  <si>
    <t>2015-1-30 10:41:26.462: openOrderEx - I am here</t>
  </si>
  <si>
    <t>2015-1-30 10:41:26.463: OrderManagerView - UpdateMainSheetOpenOrder - entering UpdateMainSheetOpenOrder order.status is In-Flight</t>
  </si>
  <si>
    <t>2015-1-30 10:41:26.474: RTWSControl - orderStatus -  entering orderStatus id is 1344 status is PreSubmitted</t>
  </si>
  <si>
    <t>2015-1-30 10:41:26.475: OrderManager - UpdateOrderStatus - id 1344 Setting status to PreSubmitted workingOrderCount is now 1 workingQty -959</t>
  </si>
  <si>
    <t>2015-1-30 10:41:26.475: OrderManagerView - UpdateMainSheetOpenOrder - entering UpdateMainSheetOpenOrder order.status is PreSubmitted</t>
  </si>
  <si>
    <t>2015-1-30 10:41:26.477: RTWSControl - OrderStatus - Got OrderStatus Message id:1344 status: PreSubmitted filled: 0</t>
  </si>
  <si>
    <t>2015-1-30 10:41:26.477: RTWSControl - OrderStatus - exiting orderStatus</t>
  </si>
  <si>
    <t>2015-1-30 10:41:26.506: RTWSControl - orderStatus -  entering orderStatus id is 1343 status is Cancelled</t>
  </si>
  <si>
    <t>2015-1-30 10:41:26.506: OrderManager - UpdateOrderStatus - id 1343 Setting status to Cancelled workingOrderCount is now 1 workingQty -959</t>
  </si>
  <si>
    <t>2015-1-30 10:41:26.507: OrderManagerView - UpdateMainSheetOpenOrder - entering UpdateMainSheetOpenOrder order.status is Cancelled</t>
  </si>
  <si>
    <t>2015-1-30 10:41:26.508: RTWSControl - OrderStatus - Got OrderStatus Message id:1343 status: Cancelled filled: 0</t>
  </si>
  <si>
    <t>2015-1-30 10:41:26.509: RTWSControl - OrderStatus - exiting orderStatus</t>
  </si>
  <si>
    <t>2015-1-30 10:41:26.542: RTWSControl - errMsg - got error message 202:Order Canceled - reason:with id 1343</t>
  </si>
  <si>
    <t>2015-1-30 10:41:26.543: OrderManager - canceledOrder - cleaning up after canceled order 1343BEWARE UNACCOUNTED FOR EXECUTIONS!!!</t>
  </si>
  <si>
    <t>2015-1-30 10:41:26.543: OrderManager - terminateOrder - cleaning up after Canceled 1343  order was supposed to SELL 22 1.5068 STP LMT workingQty/OrderCount now -981/0</t>
  </si>
  <si>
    <t>2015-1-30 10:41:26.545: OrderManagerView - UpdateMainSheetOpenOrder - entering UpdateMainSheetOpenOrder order.status is Canceled</t>
  </si>
  <si>
    <t>2015-1-30 10:41:26.558: openOrderEx - I am here</t>
  </si>
  <si>
    <t>2015-1-30 10:41:26.558: OrderManagerView - UpdateMainSheetOpenOrder - entering UpdateMainSheetOpenOrder order.status is PreSubmitted</t>
  </si>
  <si>
    <t>2015-1-30 10:41:26.589: RTWSControl - orderStatus -  entering orderStatus id is 1344 status is PreSubmitted</t>
  </si>
  <si>
    <t>2015-1-30 10:41:26.590: OrderManager - UpdateOrderStatus - id 1344 Setting status to PreSubmitted workingOrderCount is now 0 workingQty -981</t>
  </si>
  <si>
    <t>2015-1-30 10:41:26.591: OrderManagerView - UpdateMainSheetOpenOrder - entering UpdateMainSheetOpenOrder order.status is PreSubmitted</t>
  </si>
  <si>
    <t>2015-1-30 10:41:26.592: RTWSControl - OrderStatus - Got OrderStatus Message id:1344 status: PreSubmitted filled: 0</t>
  </si>
  <si>
    <t>2015-1-30 10:41:26.593: RTWSControl - OrderStatus - exiting orderStatus</t>
  </si>
  <si>
    <t>2015-1-30 10:41:28.630: OrderManager - cancelOrder - cancelling order id 1344</t>
  </si>
  <si>
    <t>2015-1-30 10:41:28.630: OrderManager - PlaceOrder - id 1345 workingQty -957</t>
  </si>
  <si>
    <t>2015-1-30 10:41:28.631: OrderManagerView - UpdateMainSheetOpenOrder - entering UpdateMainSheetOpenOrder order.status is In-Flight</t>
  </si>
  <si>
    <t>2015-1-30 10:41:28.633: OrderManager - sendOrder - exiting place order id 1345 BUY 24 1.5125  - workingQty -957 currentPosition is 21 workingOrderCount is 1</t>
  </si>
  <si>
    <t>2015-1-30 10:41:28.633: OrderManager - createOrder - exiting without creating order - did not have validID</t>
  </si>
  <si>
    <t>2015-1-30 10:41:28.750: RTWSControl - nextValidId - entering nextValidId id is 1346</t>
  </si>
  <si>
    <t>2015-1-30 10:41:28.927: RTWSControl - orderStatus -  entering orderStatus id is 1344 status is Cancelled</t>
  </si>
  <si>
    <t>2015-1-30 10:41:28.929: OrderManager - UpdateOrderStatus - id 1344 Setting status to Cancelled workingOrderCount is now 1 workingQty -957</t>
  </si>
  <si>
    <t>2015-1-30 10:41:28.930: OrderManagerView - UpdateMainSheetOpenOrder - entering UpdateMainSheetOpenOrder order.status is Cancelled</t>
  </si>
  <si>
    <t>2015-1-30 10:41:28.938: RTWSControl - OrderStatus - Got OrderStatus Message id:1344 status: Cancelled filled: 0</t>
  </si>
  <si>
    <t>2015-1-30 10:41:28.940: RTWSControl - OrderStatus - exiting orderStatus</t>
  </si>
  <si>
    <t>2015-1-30 10:41:28.994: RTWSControl - errMsg - got error message 202:Order Canceled - reason:with id 1344</t>
  </si>
  <si>
    <t>2015-1-30 10:41:28.995: OrderManager - canceledOrder - cleaning up after canceled order 1344BEWARE UNACCOUNTED FOR EXECUTIONS!!!</t>
  </si>
  <si>
    <t>2015-1-30 10:41:28.995: OrderManager - terminateOrder - cleaning up after Canceled 1344  order was supposed to BUY 19 1.512 STP LMT workingQty/OrderCount now -976/0</t>
  </si>
  <si>
    <t>2015-1-30 10:41:28.999: OrderManagerView - UpdateMainSheetOpenOrder - entering UpdateMainSheetOpenOrder order.status is Canceled</t>
  </si>
  <si>
    <t>2015-1-30 10:41:29.15: RTWSControl - errMsg - got error message 399:Order Message:
BUY 24 GBP MAR'15
Warning: your order will not be placed at the exchange until 2015-01-30 08:30:00 US/Centralwith id 1345</t>
  </si>
  <si>
    <t>2015-1-30 10:41:29.16: RTWSControl - errMsg - Got Error_x000D_id: 1345_x000D_errorCode: 399_x000D_errorMsg: Order Message:
BUY 24 GBP MAR'15
Warning: your order will not be placed at the exchange until 2015-01-30 08:30:00 US/Central</t>
  </si>
  <si>
    <t>2015-1-30 10:41:29.47: openOrderEx - I am here</t>
  </si>
  <si>
    <t>2015-1-30 10:41:29.48: OrderManagerView - UpdateMainSheetOpenOrder - entering UpdateMainSheetOpenOrder order.status is In-Flight</t>
  </si>
  <si>
    <t>2015-1-30 10:41:29.59: RTWSControl - orderStatus -  entering orderStatus id is 1345 status is PreSubmitted</t>
  </si>
  <si>
    <t>2015-1-30 10:41:29.60: OrderManager - UpdateOrderStatus - id 1345 Setting status to PreSubmitted workingOrderCount is now 0 workingQty -976</t>
  </si>
  <si>
    <t>2015-1-30 10:41:29.61: OrderManagerView - UpdateMainSheetOpenOrder - entering UpdateMainSheetOpenOrder order.status is PreSubmitted</t>
  </si>
  <si>
    <t>2015-1-30 10:41:29.62: RTWSControl - OrderStatus - Got OrderStatus Message id:1345 status: PreSubmitted filled: 0</t>
  </si>
  <si>
    <t>2015-1-30 10:41:29.63: RTWSControl - OrderStatus - exiting orderStatus</t>
  </si>
  <si>
    <t>2015-1-30 10:41:29.92: openOrderEx - I am here</t>
  </si>
  <si>
    <t>2015-1-30 10:41:29.93: OrderManagerView - UpdateMainSheetOpenOrder - entering UpdateMainSheetOpenOrder order.status is PreSubmitted</t>
  </si>
  <si>
    <t>2015-1-30 10:41:29.127: RTWSControl - orderStatus -  entering orderStatus id is 1345 status is PreSubmitted</t>
  </si>
  <si>
    <t>2015-1-30 10:41:29.127: OrderManager - UpdateOrderStatus - id 1345 Setting status to PreSubmitted workingOrderCount is now 0 workingQty -976</t>
  </si>
  <si>
    <t>2015-1-30 10:41:29.127: OrderManagerView - UpdateMainSheetOpenOrder - entering UpdateMainSheetOpenOrder order.status is PreSubmitted</t>
  </si>
  <si>
    <t>2015-1-30 10:41:29.129: RTWSControl - OrderStatus - Got OrderStatus Message id:1345 status: PreSubmitted filled: 0</t>
  </si>
  <si>
    <t>2015-1-30 10:41:29.130: RTWSControl - OrderStatus - exiting orderStatus</t>
  </si>
  <si>
    <t>2015-1-30 10:41:29.769: OrderManager - cancelOrder - cancelling order id 1345</t>
  </si>
  <si>
    <t>2015-1-30 10:41:29.771: OrderManager - PlaceOrder - id 1346 workingQty -956</t>
  </si>
  <si>
    <t>2015-1-30 10:41:29.772: OrderManagerView - UpdateMainSheetOpenOrder - entering UpdateMainSheetOpenOrder order.status is In-Flight</t>
  </si>
  <si>
    <t>2015-1-30 10:41:29.777: OrderManager - sendOrder - exiting place order id 1346 BUY 20 1.5123  - workingQty -956 currentPosition is 21 workingOrderCount is 1</t>
  </si>
  <si>
    <t>2015-1-30 10:41:29.779: OrderManager - createOrder - exiting without creating order - did not have validID</t>
  </si>
  <si>
    <t>2015-1-30 10:41:29.885: RTWSControl - nextValidId - entering nextValidId id is 1347</t>
  </si>
  <si>
    <t>2015-1-30 10:41:30.60: RTWSControl - orderStatus -  entering orderStatus id is 1345 status is Cancelled</t>
  </si>
  <si>
    <t>2015-1-30 10:41:30.62: OrderManager - UpdateOrderStatus - id 1345 Setting status to Cancelled workingOrderCount is now 1 workingQty -956</t>
  </si>
  <si>
    <t>2015-1-30 10:41:30.64: OrderManagerView - UpdateMainSheetOpenOrder - entering UpdateMainSheetOpenOrder order.status is Cancelled</t>
  </si>
  <si>
    <t>2015-1-30 10:41:30.72: RTWSControl - OrderStatus - Got OrderStatus Message id:1345 status: Cancelled filled: 0</t>
  </si>
  <si>
    <t>2015-1-30 10:41:30.73: RTWSControl - OrderStatus - exiting orderStatus</t>
  </si>
  <si>
    <t>2015-1-30 10:41:30.97: RTWSControl - errMsg - got error message 202:Order Canceled - reason:with id 1345</t>
  </si>
  <si>
    <t>2015-1-30 10:41:30.98: OrderManager - canceledOrder - cleaning up after canceled order 1345BEWARE UNACCOUNTED FOR EXECUTIONS!!!</t>
  </si>
  <si>
    <t>2015-1-30 10:41:30.99: OrderManager - terminateOrder - cleaning up after Canceled 1345  order was supposed to BUY 24 1.5125 STP LMT workingQty/OrderCount now -980/0</t>
  </si>
  <si>
    <t>2015-1-30 10:41:30.104: OrderManagerView - UpdateMainSheetOpenOrder - entering UpdateMainSheetOpenOrder order.status is Canceled</t>
  </si>
  <si>
    <t>2015-1-30 10:41:30.177: RTWSControl - errMsg - got error message 399:Order Message:
BUY 20 GBP MAR'15
Warning: your order will not be placed at the exchange until 2015-01-30 08:30:00 US/Centralwith id 1346</t>
  </si>
  <si>
    <t>2015-1-30 10:41:30.178: RTWSControl - errMsg - Got Error_x000D_id: 1346_x000D_errorCode: 399_x000D_errorMsg: Order Message:
BUY 20 GBP MAR'15
Warning: your order will not be placed at the exchange until 2015-01-30 08:30:00 US/Central</t>
  </si>
  <si>
    <t>2015-1-30 10:41:30.212: openOrderEx - I am here</t>
  </si>
  <si>
    <t>2015-1-30 10:41:30.212: OrderManagerView - UpdateMainSheetOpenOrder - entering UpdateMainSheetOpenOrder order.status is In-Flight</t>
  </si>
  <si>
    <t>2015-1-30 10:41:30.224: RTWSControl - orderStatus -  entering orderStatus id is 1346 status is PreSubmitted</t>
  </si>
  <si>
    <t>2015-1-30 10:41:30.225: OrderManager - UpdateOrderStatus - id 1346 Setting status to PreSubmitted workingOrderCount is now 0 workingQty -980</t>
  </si>
  <si>
    <t>2015-1-30 10:41:30.225: OrderManagerView - UpdateMainSheetOpenOrder - entering UpdateMainSheetOpenOrder order.status is PreSubmitted</t>
  </si>
  <si>
    <t>2015-1-30 10:41:30.227: RTWSControl - OrderStatus - Got OrderStatus Message id:1346 status: PreSubmitted filled: 0</t>
  </si>
  <si>
    <t>2015-1-30 10:41:30.227: RTWSControl - OrderStatus - exiting orderStatus</t>
  </si>
  <si>
    <t>2015-1-30 10:41:30.259: openOrderEx - I am here</t>
  </si>
  <si>
    <t>2015-1-30 10:41:30.259: OrderManagerView - UpdateMainSheetOpenOrder - entering UpdateMainSheetOpenOrder order.status is PreSubmitted</t>
  </si>
  <si>
    <t>2015-1-30 10:41:30.293: RTWSControl - orderStatus -  entering orderStatus id is 1346 status is PreSubmitted</t>
  </si>
  <si>
    <t>2015-1-30 10:41:30.293: OrderManager - UpdateOrderStatus - id 1346 Setting status to PreSubmitted workingOrderCount is now 0 workingQty -980</t>
  </si>
  <si>
    <t>2015-1-30 10:41:30.294: OrderManagerView - UpdateMainSheetOpenOrder - entering UpdateMainSheetOpenOrder order.status is PreSubmitted</t>
  </si>
  <si>
    <t>2015-1-30 10:41:30.296: RTWSControl - OrderStatus - Got OrderStatus Message id:1346 status: PreSubmitted filled: 0</t>
  </si>
  <si>
    <t>2015-1-30 10:41:30.296: RTWSControl - OrderStatus - exiting orderStatus</t>
  </si>
  <si>
    <t>2015-1-30 10:41:31.168: OrderManagerView - UpdateMainSheetOpenOrder - entering UpdateMainSheetOpenOrder order.status is Canceled</t>
  </si>
  <si>
    <t>2015-1-30 10:41:31.177: OrderManagerView - UpdateMainSheetOpenOrder - entering UpdateMainSheetOpenOrder order.status is Canceled</t>
  </si>
  <si>
    <t>2015-1-30 10:41:31.182: OrderManagerView - UpdateMainSheetOpenOrder - entering UpdateMainSheetOpenOrder order.status is Canceled</t>
  </si>
  <si>
    <t>2015-1-30 10:41:31.187: OrderManagerView - UpdateMainSheetOpenOrder - entering UpdateMainSheetOpenOrder order.status is PreSubmitted</t>
  </si>
  <si>
    <t>2015-1-30 10:41:31.191: OrderManagerView - UpdateMainSheetOpenOrder - entering UpdateMainSheetOpenOrder order.status is Canceled</t>
  </si>
  <si>
    <t>2015-1-30 10:41:31.193: OrderManagerView - UpdateMainSheetOpenOrder - entering UpdateMainSheetOpenOrder order.status is PreSubmitted</t>
  </si>
  <si>
    <t>2015-1-30 10:41:31.196: OrderManagerView - UpdateMainSheetOpenOrder - entering UpdateMainSheetOpenOrder order.status is PreSubmitted</t>
  </si>
  <si>
    <t>2015-1-30 10:41:31.204: OrderManagerView - UpdateMainSheetOpenOrder - entering UpdateMainSheetOpenOrder order.status is Canceled</t>
  </si>
  <si>
    <t>2015-1-30 10:41:31.208: OrderManagerView - UpdateMainSheetOpenOrder - entering UpdateMainSheetOpenOrder order.status is PreSubmitted</t>
  </si>
  <si>
    <t>2015-1-30 10:41:31.212: OrderManagerView - UpdateMainSheetOpenOrder - entering UpdateMainSheetOpenOrder order.status is PreSubmitted</t>
  </si>
  <si>
    <t>2015-1-30 10:41:33.20: OrderManagerView - UpdateMainSheetOpenOrder - entering UpdateMainSheetOpenOrder order.status is PreSubmitted</t>
  </si>
  <si>
    <t>2015-1-30 10:41:33.74: OrderManager - PlaceOrder - id 1347 workingQty -1000</t>
  </si>
  <si>
    <t>2015-1-30 10:41:33.75: OrderManagerView - UpdateMainSheetOpenOrder - entering UpdateMainSheetOpenOrder order.status is In-Flight</t>
  </si>
  <si>
    <t>2015-1-30 10:41:33.77: OrderManager - sendOrder - exiting place order id 1347 SELL 20 1.5069  - workingQty -1000 currentPosition is 21 workingOrderCount is 1</t>
  </si>
  <si>
    <t>2015-1-30 10:41:33.691: RTWSControl - nextValidId - entering nextValidId id is 1348</t>
  </si>
  <si>
    <t>2015-1-30 10:41:33.717: RTWSControl - errMsg - got error message 399:Order Message:
SELL 20 GBP MAR'15
Warning: your order will not be placed at the exchange until 2015-01-30 08:30:00 US/Centralwith id 1347</t>
  </si>
  <si>
    <t>2015-1-30 10:41:33.718: RTWSControl - errMsg - Got Error_x000D_id: 1347_x000D_errorCode: 399_x000D_errorMsg: Order Message:
SELL 20 GBP MAR'15
Warning: your order will not be placed at the exchange until 2015-01-30 08:30:00 US/Central</t>
  </si>
  <si>
    <t>2015-1-30 10:41:33.726: openOrderEx - I am here</t>
  </si>
  <si>
    <t>2015-1-30 10:41:33.727: OrderManagerView - UpdateMainSheetOpenOrder - entering UpdateMainSheetOpenOrder order.status is In-Flight</t>
  </si>
  <si>
    <t>2015-1-30 10:41:33.753: RTWSControl - orderStatus -  entering orderStatus id is 1347 status is PreSubmitted</t>
  </si>
  <si>
    <t>2015-1-30 10:41:33.754: OrderManager - UpdateOrderStatus - id 1347 Setting status to PreSubmitted workingOrderCount is now 1 workingQty -1000</t>
  </si>
  <si>
    <t>2015-1-30 10:41:33.754: OrderManagerView - UpdateMainSheetOpenOrder - entering UpdateMainSheetOpenOrder order.status is PreSubmitted</t>
  </si>
  <si>
    <t>2015-1-30 10:41:33.756: RTWSControl - OrderStatus - Got OrderStatus Message id:1347 status: PreSubmitted filled: 0</t>
  </si>
  <si>
    <t>2015-1-30 10:41:33.756: RTWSControl - OrderStatus - exiting orderStatus</t>
  </si>
  <si>
    <t>2015-1-30 10:41:33.837: openOrderEx - I am here</t>
  </si>
  <si>
    <t>2015-1-30 10:41:33.838: OrderManagerView - UpdateMainSheetOpenOrder - entering UpdateMainSheetOpenOrder order.status is PreSubmitted</t>
  </si>
  <si>
    <t>2015-1-30 10:41:33.849: RTWSControl - orderStatus -  entering orderStatus id is 1347 status is PreSubmitted</t>
  </si>
  <si>
    <t>2015-1-30 10:41:33.850: OrderManager - UpdateOrderStatus - id 1347 Setting status to PreSubmitted workingOrderCount is now 1 workingQty -1000</t>
  </si>
  <si>
    <t>2015-1-30 10:41:33.850: OrderManagerView - UpdateMainSheetOpenOrder - entering UpdateMainSheetOpenOrder order.status is PreSubmitted</t>
  </si>
  <si>
    <t>2015-1-30 10:41:33.852: RTWSControl - OrderStatus - Got OrderStatus Message id:1347 status: PreSubmitted filled: 0</t>
  </si>
  <si>
    <t>2015-1-30 10:41:33.853: RTWSControl - OrderStatus - exiting orderStatus</t>
  </si>
  <si>
    <t>2015-1-30 10:41:35.191: OrderManagerView - UpdateMainSheetOpenOrder - entering UpdateMainSheetOpenOrder order.status is PreSubmitted</t>
  </si>
  <si>
    <t>2015-1-30 10:41:35.195: OrderManagerView - UpdateMainSheetOpenOrder - entering UpdateMainSheetOpenOrder order.status is PreSubmitted</t>
  </si>
  <si>
    <t>2015-1-30 10:41:36.145: OrderManagerView - UpdateMainSheetOpenOrder - entering UpdateMainSheetOpenOrder order.status is PreSubmitted</t>
  </si>
  <si>
    <t>2015-1-30 10:41:36.151: OrderManagerView - UpdateMainSheetOpenOrder - entering UpdateMainSheetOpenOrder order.status is PreSubmitted</t>
  </si>
  <si>
    <t>2015-1-30 10:41:36.172: OrderManagerView - UpdateMainSheetOpenOrder - entering UpdateMainSheetOpenOrder order.status is PreSubmitted</t>
  </si>
  <si>
    <t>2015-1-30 10:41:36.175: OrderManagerView - UpdateMainSheetOpenOrder - entering UpdateMainSheetOpenOrder order.status is PreSubmitted</t>
  </si>
  <si>
    <t>2015-1-30 10:41:36.187: OrderManagerView - UpdateMainSheetOpenOrder - entering UpdateMainSheetOpenOrder order.status is PreSubmitted</t>
  </si>
  <si>
    <t>2015-1-30 10:41:36.190: OrderManagerView - UpdateMainSheetOpenOrder - entering UpdateMainSheetOpenOrder order.status is PreSubmitted</t>
  </si>
  <si>
    <t>2015-1-30 10:41:36.199: OrderManagerView - UpdateMainSheetOpenOrder - entering UpdateMainSheetOpenOrder order.status is PreSubmitted</t>
  </si>
  <si>
    <t>2015-1-30 10:41:36.201: OrderManagerView - UpdateMainSheetOpenOrder - entering UpdateMainSheetOpenOrder order.status is PreSubmitted</t>
  </si>
  <si>
    <t>2015-1-30 10:41:36.206: OrderManagerView - UpdateMainSheetOpenOrder - entering UpdateMainSheetOpenOrder order.status is PreSubmitted</t>
  </si>
  <si>
    <t>2015-1-30 10:41:36.207: OrderManagerView - UpdateMainSheetOpenOrder - entering UpdateMainSheetOpenOrder order.status is PreSubmitted</t>
  </si>
  <si>
    <t>2015-1-30 10:41:47.138: Algorithm - FindNextStrikes - price is 1.5084 nextStrikeUp/Down 1.51/1.505</t>
  </si>
  <si>
    <t>2015-1-30 10:41:47.139: Algorithm - getPortfolioForwardDelta - required deltas is 21 currentHedgePosition is 21</t>
  </si>
  <si>
    <t>2015-1-30 10:41:47.139: Algorithm - getHedgeShortfall - required deltas is 21 price is 1.5085 currentHedgePositionDeltas is 21</t>
  </si>
  <si>
    <t>2015-1-30 10:41:47.140: Algorithm - processTransitionPoint - nextUpper/LowerStrikes are 1.51/1.505 requiredDeltas/currentPosition/currentHedgeShortfall/direction/transitionPrice are 21/21/0/1/1.5085</t>
  </si>
  <si>
    <t>2015-1-30 10:41:47.140: TransitionLogger - processTransitionpoint - checking transition - currentHedgeShortfall is 0</t>
  </si>
  <si>
    <t>2015-1-30 10:41:47.142: Algorithm - updatePortfolio - haveAllDetails is True</t>
  </si>
  <si>
    <t>2015-1-30 10:41:47.182: Algorithm - FindNextStrikes - price is 1.5084 nextStrikeUp/Down 1.51/1.505</t>
  </si>
  <si>
    <t>2015-1-30 10:41:47.183: Algorithm - getPortfolioForwardDelta - required deltas is 21 currentHedgePosition is 21</t>
  </si>
  <si>
    <t>2015-1-30 10:41:47.183: Algorithm - getHedgeShortfall - required deltas is 21 price is 1.5085 currentHedgePositionDeltas is 21</t>
  </si>
  <si>
    <t>2015-1-30 10:41:47.184: Algorithm - processTransitionPoint - nextUpper/LowerStrikes are 1.51/1.505 requiredDeltas/currentPosition/currentHedgeShortfall/direction/transitionPrice are 21/21/0/1/1.5085</t>
  </si>
  <si>
    <t>2015-1-30 10:41:47.184: TransitionLogger - processTransitionpoint - checking transition - currentHedgeShortfall is 0</t>
  </si>
  <si>
    <t>2015-1-30 10:41:47.185: Algorithm - updatePortfolio - haveAllDetails is True</t>
  </si>
  <si>
    <t>2015-1-30 10:41:47.231: Algorithm - FindNextStrikes - price is 1.5084 nextStrikeUp/Down 1.51/1.505</t>
  </si>
  <si>
    <t>2015-1-30 10:41:47.232: Algorithm - getPortfolioForwardDelta - required deltas is 21 currentHedgePosition is 21</t>
  </si>
  <si>
    <t>2015-1-30 10:41:47.232: Algorithm - getHedgeShortfall - required deltas is 21 price is 1.5085 currentHedgePositionDeltas is 21</t>
  </si>
  <si>
    <t>2015-1-30 10:41:47.232: Algorithm - processTransitionPoint - nextUpper/LowerStrikes are 1.51/1.505 requiredDeltas/currentPosition/currentHedgeShortfall/direction/transitionPrice are 21/21/0/1/1.5085</t>
  </si>
  <si>
    <t>2015-1-30 10:41:47.233: TransitionLogger - processTransitionpoint - checking transition - currentHedgeShortfall is 0</t>
  </si>
  <si>
    <t>2015-1-30 10:41:47.234: Algorithm - updatePortfolio - haveAllDetails is True</t>
  </si>
  <si>
    <t>2015-1-30 10:41:47.294: Algorithm - FindNextStrikes - price is 1.5084 nextStrikeUp/Down 1.51/1.505</t>
  </si>
  <si>
    <t>2015-1-30 10:41:47.295: Algorithm - getPortfolioForwardDelta - required deltas is 21 currentHedgePosition is 21</t>
  </si>
  <si>
    <t>2015-1-30 10:41:47.295: Algorithm - getHedgeShortfall - required deltas is 21 price is 1.5085 currentHedgePositionDeltas is 21</t>
  </si>
  <si>
    <t>2015-1-30 10:41:47.295: Algorithm - processTransitionPoint - nextUpper/LowerStrikes are 1.51/1.505 requiredDeltas/currentPosition/currentHedgeShortfall/direction/transitionPrice are 21/21/0/1/1.5085</t>
  </si>
  <si>
    <t>2015-1-30 10:41:47.296: TransitionLogger - processTransitionpoint - checking transition - currentHedgeShortfall is 0</t>
  </si>
  <si>
    <t>2015-1-30 10:41:47.297: Algorithm - updatePortfolio - haveAllDetails is True</t>
  </si>
  <si>
    <t>2015-1-30 10:41:47.347: Algorithm - FindNextStrikes - price is 1.5084 nextStrikeUp/Down 1.51/1.505</t>
  </si>
  <si>
    <t>2015-1-30 10:41:47.347: Algorithm - getPortfolioForwardDelta - required deltas is 21 currentHedgePosition is 21</t>
  </si>
  <si>
    <t>2015-1-30 10:41:47.348: Algorithm - getHedgeShortfall - required deltas is 21 price is 1.5085 currentHedgePositionDeltas is 21</t>
  </si>
  <si>
    <t>2015-1-30 10:41:47.348: Algorithm - processTransitionPoint - nextUpper/LowerStrikes are 1.51/1.505 requiredDeltas/currentPosition/currentHedgeShortfall/direction/transitionPrice are 21/21/0/1/1.5085</t>
  </si>
  <si>
    <t>2015-1-30 10:41:47.348: TransitionLogger - processTransitionpoint - checking transition - currentHedgeShortfall is 0</t>
  </si>
  <si>
    <t>2015-1-30 10:41:47.349: Algorithm - updatePortfolio - haveAllDetails is True</t>
  </si>
  <si>
    <t>2015-1-30 10:41:47.396: Algorithm - FindNextStrikes - price is 1.5084 nextStrikeUp/Down 1.51/1.505</t>
  </si>
  <si>
    <t>2015-1-30 10:41:47.396: Algorithm - getPortfolioForwardDelta - required deltas is 21 currentHedgePosition is 21</t>
  </si>
  <si>
    <t>2015-1-30 10:41:47.397: Algorithm - getHedgeShortfall - required deltas is 21 price is 1.5085 currentHedgePositionDeltas is 21</t>
  </si>
  <si>
    <t>2015-1-30 10:41:47.397: Algorithm - processTransitionPoint - nextUpper/LowerStrikes are 1.51/1.505 requiredDeltas/currentPosition/currentHedgeShortfall/direction/transitionPrice are 21/21/0/1/1.5085</t>
  </si>
  <si>
    <t>2015-1-30 10:41:47.397: TransitionLogger - processTransitionpoint - checking transition - currentHedgeShortfall is 0</t>
  </si>
  <si>
    <t>2015-1-30 10:41:47.398: Algorithm - updatePortfolio - haveAllDetails is True</t>
  </si>
  <si>
    <t>2015-1-30 10:41:47.460: Algorithm - FindNextStrikes - price is 1.5084 nextStrikeUp/Down 1.51/1.505</t>
  </si>
  <si>
    <t>2015-1-30 10:41:47.461: Algorithm - getPortfolioForwardDelta - required deltas is 21 currentHedgePosition is 21</t>
  </si>
  <si>
    <t>2015-1-30 10:41:47.461: Algorithm - getHedgeShortfall - required deltas is 21 price is 1.5085 currentHedgePositionDeltas is 21</t>
  </si>
  <si>
    <t>2015-1-30 10:41:47.461: Algorithm - processTransitionPoint - nextUpper/LowerStrikes are 1.51/1.505 requiredDeltas/currentPosition/currentHedgeShortfall/direction/transitionPrice are 21/21/0/1/1.5085</t>
  </si>
  <si>
    <t>2015-1-30 10:41:47.462: TransitionLogger - processTransitionpoint - checking transition - currentHedgeShortfall is 0</t>
  </si>
  <si>
    <t>2015-1-30 10:41:47.462: Algorithm - updatePortfolio - haveAllDetails is True</t>
  </si>
  <si>
    <t>2015-1-30 10:41:47.515: Algorithm - FindNextStrikes - price is 1.5084 nextStrikeUp/Down 1.51/1.505</t>
  </si>
  <si>
    <t>2015-1-30 10:41:47.516: Algorithm - getPortfolioForwardDelta - required deltas is 21 currentHedgePosition is 21</t>
  </si>
  <si>
    <t>2015-1-30 10:41:47.516: Algorithm - getHedgeShortfall - required deltas is 21 price is 1.5085 currentHedgePositionDeltas is 21</t>
  </si>
  <si>
    <t>2015-1-30 10:41:47.516: Algorithm - processTransitionPoint - nextUpper/LowerStrikes are 1.51/1.505 requiredDeltas/currentPosition/currentHedgeShortfall/direction/transitionPrice are 21/21/0/1/1.5085</t>
  </si>
  <si>
    <t>2015-1-30 10:41:47.517: TransitionLogger - processTransitionpoint - checking transition - currentHedgeShortfall is 0</t>
  </si>
  <si>
    <t>2015-1-30 10:41:47.517: Algorithm - updatePortfolio - haveAllDetails is True</t>
  </si>
  <si>
    <t>2015-1-30 10:41:47.562: Algorithm - FindNextStrikes - price is 1.5084 nextStrikeUp/Down 1.51/1.505</t>
  </si>
  <si>
    <t>2015-1-30 10:41:47.562: Algorithm - getPortfolioForwardDelta - required deltas is 21 currentHedgePosition is 21</t>
  </si>
  <si>
    <t>2015-1-30 10:41:47.563: Algorithm - getHedgeShortfall - required deltas is 21 price is 1.5085 currentHedgePositionDeltas is 21</t>
  </si>
  <si>
    <t>2015-1-30 10:41:47.563: Algorithm - processTransitionPoint - nextUpper/LowerStrikes are 1.51/1.505 requiredDeltas/currentPosition/currentHedgeShortfall/direction/transitionPrice are 21/21/0/1/1.5085</t>
  </si>
  <si>
    <t>2015-1-30 10:41:47.563: TransitionLogger - processTransitionpoint - checking transition - currentHedgeShortfall is 0</t>
  </si>
  <si>
    <t>2015-1-30 10:41:47.564: Algorithm - updatePortfolio - haveAllDetails is True</t>
  </si>
  <si>
    <t>2015-1-30 10:41:47.628: Algorithm - FindNextStrikes - price is 1.5084 nextStrikeUp/Down 1.51/1.505</t>
  </si>
  <si>
    <t>2015-1-30 10:41:47.629: Algorithm - getPortfolioForwardDelta - required deltas is 21 currentHedgePosition is 21</t>
  </si>
  <si>
    <t>2015-1-30 10:41:47.629: Algorithm - getHedgeShortfall - required deltas is 21 price is 1.5085 currentHedgePositionDeltas is 21</t>
  </si>
  <si>
    <t>2015-1-30 10:41:47.630: Algorithm - processTransitionPoint - nextUpper/LowerStrikes are 1.51/1.505 requiredDeltas/currentPosition/currentHedgeShortfall/direction/transitionPrice are 21/21/0/1/1.5085</t>
  </si>
  <si>
    <t>2015-1-30 10:41:47.630: TransitionLogger - processTransitionpoint - checking transition - currentHedgeShortfall is 0</t>
  </si>
  <si>
    <t>2015-1-30 10:41:47.631: Algorithm - updatePortfolio - haveAllDetails is True</t>
  </si>
  <si>
    <t>2015-1-30 10:41:47.682: Algorithm - FindNextStrikes - price is 1.5084 nextStrikeUp/Down 1.51/1.505</t>
  </si>
  <si>
    <t>2015-1-30 10:41:47.682: Algorithm - getPortfolioForwardDelta - required deltas is 21 currentHedgePosition is 21</t>
  </si>
  <si>
    <t>2015-1-30 10:41:47.682: Algorithm - getHedgeShortfall - required deltas is 21 price is 1.5085 currentHedgePositionDeltas is 21</t>
  </si>
  <si>
    <t>2015-1-30 10:41:47.683: Algorithm - processTransitionPoint - nextUpper/LowerStrikes are 1.51/1.505 requiredDeltas/currentPosition/currentHedgeShortfall/direction/transitionPrice are 21/21/0/1/1.5085</t>
  </si>
  <si>
    <t>2015-1-30 10:41:47.683: TransitionLogger - processTransitionpoint - checking transition - currentHedgeShortfall is 0</t>
  </si>
  <si>
    <t>2015-1-30 10:41:47.684: Algorithm - updatePortfolio - haveAllDetails is True</t>
  </si>
  <si>
    <t>2015-1-30 10:41:47.729: Algorithm - FindNextStrikes - price is 1.5084 nextStrikeUp/Down 1.51/1.505</t>
  </si>
  <si>
    <t>2015-1-30 10:41:47.729: Algorithm - getPortfolioForwardDelta - required deltas is 21 currentHedgePosition is 21</t>
  </si>
  <si>
    <t>2015-1-30 10:41:47.730: Algorithm - getHedgeShortfall - required deltas is 21 price is 1.5085 currentHedgePositionDeltas is 21</t>
  </si>
  <si>
    <t>2015-1-30 10:41:47.730: Algorithm - processTransitionPoint - nextUpper/LowerStrikes are 1.51/1.505 requiredDeltas/currentPosition/currentHedgeShortfall/direction/transitionPrice are 21/21/0/1/1.5085</t>
  </si>
  <si>
    <t>2015-1-30 10:41:47.731: TransitionLogger - processTransitionpoint - checking transition - currentHedgeShortfall is 0</t>
  </si>
  <si>
    <t>2015-1-30 10:41:47.731: Algorithm - updatePortfolio - haveAllDetails is True</t>
  </si>
  <si>
    <t>2015-1-30 10:41:47.794: Algorithm - FindNextStrikes - price is 1.5084 nextStrikeUp/Down 1.51/1.505</t>
  </si>
  <si>
    <t>2015-1-30 10:41:47.795: Algorithm - getPortfolioForwardDelta - required deltas is 21 currentHedgePosition is 21</t>
  </si>
  <si>
    <t>2015-1-30 10:41:47.795: Algorithm - getHedgeShortfall - required deltas is 21 price is 1.5085 currentHedgePositionDeltas is 21</t>
  </si>
  <si>
    <t>2015-1-30 10:41:47.796: Algorithm - processTransitionPoint - nextUpper/LowerStrikes are 1.51/1.505 requiredDeltas/currentPosition/currentHedgeShortfall/direction/transitionPrice are 21/21/0/1/1.5085</t>
  </si>
  <si>
    <t>2015-1-30 10:41:47.796: TransitionLogger - processTransitionpoint - checking transition - currentHedgeShortfall is 0</t>
  </si>
  <si>
    <t>2015-1-30 10:41:47.797: Algorithm - updatePortfolio - haveAllDetails is True</t>
  </si>
  <si>
    <t>2015-1-30 10:41:49.103: OrderManager - cancelOrder - cancelling order id 1346</t>
  </si>
  <si>
    <t>2015-1-30 10:41:49.104: OrderManager - PlaceOrder - id 1348 workingQty -976</t>
  </si>
  <si>
    <t>2015-1-30 10:41:49.105: OrderManagerView - UpdateMainSheetOpenOrder - entering UpdateMainSheetOpenOrder order.status is In-Flight</t>
  </si>
  <si>
    <t>2015-1-30 10:41:49.109: OrderManager - sendOrder - exiting place order id 1348 BUY 24 1.5128  - workingQty -976 currentPosition is 21 workingOrderCount is 2</t>
  </si>
  <si>
    <t>2015-1-30 10:41:49.110: OrderManager - cancelOrder - cancelling order id 1347</t>
  </si>
  <si>
    <t>2015-1-30 10:41:49.111: OrderManager - createOrder - exiting without creating order - did not have validID</t>
  </si>
  <si>
    <t>2015-1-30 10:41:49.223: RTWSControl - nextValidId - entering nextValidId id is 1349</t>
  </si>
  <si>
    <t>2015-1-30 10:41:49.424: RTWSControl - orderStatus -  entering orderStatus id is 1346 status is Cancelled</t>
  </si>
  <si>
    <t>2015-1-30 10:41:49.426: OrderManager - UpdateOrderStatus - id 1346 Setting status to Cancelled workingOrderCount is now 2 workingQty -976</t>
  </si>
  <si>
    <t>2015-1-30 10:41:49.428: OrderManagerView - UpdateMainSheetOpenOrder - entering UpdateMainSheetOpenOrder order.status is Cancelled</t>
  </si>
  <si>
    <t>2015-1-30 10:41:49.433: RTWSControl - OrderStatus - Got OrderStatus Message id:1346 status: Cancelled filled: 0</t>
  </si>
  <si>
    <t>2015-1-30 10:41:49.434: RTWSControl - OrderStatus - exiting orderStatus</t>
  </si>
  <si>
    <t>2015-1-30 10:41:49.458: RTWSControl - errMsg - got error message 202:Order Canceled - reason:with id 1346</t>
  </si>
  <si>
    <t>2015-1-30 10:41:49.459: OrderManager - canceledOrder - cleaning up after canceled order 1346BEWARE UNACCOUNTED FOR EXECUTIONS!!!</t>
  </si>
  <si>
    <t>2015-1-30 10:41:49.459: OrderManager - terminateOrder - cleaning up after Canceled 1346  order was supposed to BUY 20 1.5123 STP LMT workingQty/OrderCount now -996/1</t>
  </si>
  <si>
    <t>2015-1-30 10:41:49.462: OrderManagerView - UpdateMainSheetOpenOrder - entering UpdateMainSheetOpenOrder order.status is Canceled</t>
  </si>
  <si>
    <t>2015-1-30 10:41:49.553: RTWSControl - errMsg - got error message 399:Order Message:
BUY 24 GBP MAR'15
Warning: your order will not be placed at the exchange until 2015-01-30 08:30:00 US/Centralwith id 1348</t>
  </si>
  <si>
    <t>2015-1-30 10:41:49.553: RTWSControl - errMsg - Got Error_x000D_id: 1348_x000D_errorCode: 399_x000D_errorMsg: Order Message:
BUY 24 GBP MAR'15
Warning: your order will not be placed at the exchange until 2015-01-30 08:30:00 US/Central</t>
  </si>
  <si>
    <t>2015-1-30 10:41:49.588: openOrderEx - I am here</t>
  </si>
  <si>
    <t>2015-1-30 10:41:49.589: OrderManagerView - UpdateMainSheetOpenOrder - entering UpdateMainSheetOpenOrder order.status is In-Flight</t>
  </si>
  <si>
    <t>2015-1-30 10:41:49.600: RTWSControl - orderStatus -  entering orderStatus id is 1348 status is PreSubmitted</t>
  </si>
  <si>
    <t>2015-1-30 10:41:49.601: OrderManager - UpdateOrderStatus - id 1348 Setting status to PreSubmitted workingOrderCount is now 1 workingQty -996</t>
  </si>
  <si>
    <t>2015-1-30 10:41:49.601: OrderManagerView - UpdateMainSheetOpenOrder - entering UpdateMainSheetOpenOrder order.status is PreSubmitted</t>
  </si>
  <si>
    <t>2015-1-30 10:41:49.603: RTWSControl - OrderStatus - Got OrderStatus Message id:1348 status: PreSubmitted filled: 0</t>
  </si>
  <si>
    <t>2015-1-30 10:41:49.603: RTWSControl - OrderStatus - exiting orderStatus</t>
  </si>
  <si>
    <t>2015-1-30 10:41:49.631: RTWSControl - orderStatus -  entering orderStatus id is 1347 status is Cancelled</t>
  </si>
  <si>
    <t>2015-1-30 10:41:49.632: OrderManager - UpdateOrderStatus - id 1347 Setting status to Cancelled workingOrderCount is now 1 workingQty -996</t>
  </si>
  <si>
    <t>2015-1-30 10:41:49.632: OrderManagerView - UpdateMainSheetOpenOrder - entering UpdateMainSheetOpenOrder order.status is Cancelled</t>
  </si>
  <si>
    <t>2015-1-30 10:41:49.634: RTWSControl - OrderStatus - Got OrderStatus Message id:1347 status: Cancelled filled: 0</t>
  </si>
  <si>
    <t>2015-1-30 10:41:49.635: RTWSControl - OrderStatus - exiting orderStatus</t>
  </si>
  <si>
    <t>2015-1-30 10:41:49.669: RTWSControl - errMsg - got error message 202:Order Canceled - reason:with id 1347</t>
  </si>
  <si>
    <t>2015-1-30 10:41:49.669: OrderManager - canceledOrder - cleaning up after canceled order 1347BEWARE UNACCOUNTED FOR EXECUTIONS!!!</t>
  </si>
  <si>
    <t>2015-1-30 10:41:49.670: OrderManager - terminateOrder - cleaning up after Canceled 1347  order was supposed to SELL 20 1.5069 STP LMT workingQty/OrderCount now -1016/0</t>
  </si>
  <si>
    <t>2015-1-30 10:41:49.672: OrderManagerView - UpdateMainSheetOpenOrder - entering UpdateMainSheetOpenOrder order.status is Canceled</t>
  </si>
  <si>
    <t>2015-1-30 10:41:49.685: openOrderEx - I am here</t>
  </si>
  <si>
    <t>2015-1-30 10:41:49.686: OrderManagerView - UpdateMainSheetOpenOrder - entering UpdateMainSheetOpenOrder order.status is PreSubmitted</t>
  </si>
  <si>
    <t>2015-1-30 10:41:49.714: RTWSControl - orderStatus -  entering orderStatus id is 1348 status is PreSubmitted</t>
  </si>
  <si>
    <t>2015-1-30 10:41:49.715: OrderManager - UpdateOrderStatus - id 1348 Setting status to PreSubmitted workingOrderCount is now 0 workingQty -1016</t>
  </si>
  <si>
    <t>2015-1-30 10:41:49.716: OrderManagerView - UpdateMainSheetOpenOrder - entering UpdateMainSheetOpenOrder order.status is PreSubmitted</t>
  </si>
  <si>
    <t>2015-1-30 10:41:49.717: RTWSControl - OrderStatus - Got OrderStatus Message id:1348 status: PreSubmitted filled: 0</t>
  </si>
  <si>
    <t>2015-1-30 10:41:49.718: RTWSControl - OrderStatus - exiting orderStatus</t>
  </si>
  <si>
    <t>2015-1-30 10:41:54.242: OrderManagerView - UpdateMainSheetOpenOrder - entering UpdateMainSheetOpenOrder order.status is Canceled</t>
  </si>
  <si>
    <t>2015-1-30 10:41:54.250: OrderManagerView - UpdateMainSheetOpenOrder - entering UpdateMainSheetOpenOrder order.status is PreSubmitted</t>
  </si>
  <si>
    <t>2015-1-30 10:41:54.257: OrderManagerView - UpdateMainSheetOpenOrder - entering UpdateMainSheetOpenOrder order.status is PreSubmitted</t>
  </si>
  <si>
    <t>2015-1-30 10:41:54.269: OrderManagerView - UpdateMainSheetOpenOrder - entering UpdateMainSheetOpenOrder order.status is PreSubmitted</t>
  </si>
  <si>
    <t>2015-1-30 10:41:59.291: OrderManagerView - UpdateMainSheetOpenOrder - entering UpdateMainSheetOpenOrder order.status is PreSubmitted</t>
  </si>
  <si>
    <t>2015-1-30 10:42:7.461: OrderManager - PlaceOrder - id 1349 workingQty -1040</t>
  </si>
  <si>
    <t>2015-1-30 10:42:7.462: OrderManagerView - UpdateMainSheetOpenOrder - entering UpdateMainSheetOpenOrder order.status is In-Flight</t>
  </si>
  <si>
    <t>2015-1-30 10:42:7.463: OrderManager - sendOrder - exiting place order id 1349 SELL 24 1.5069  - workingQty -1040 currentPosition is 21 workingOrderCount is 1</t>
  </si>
  <si>
    <t>2015-1-30 10:42:7.757: RTWSControl - nextValidId - entering nextValidId id is 1350</t>
  </si>
  <si>
    <t>2015-1-30 10:42:7.772: RTWSControl - errMsg - got error message 399:Order Message:
SELL 24 GBP MAR'15
Warning: your order will not be placed at the exchange until 2015-01-30 08:30:00 US/Centralwith id 1349</t>
  </si>
  <si>
    <t>2015-1-30 10:42:7.773: RTWSControl - errMsg - Got Error_x000D_id: 1349_x000D_errorCode: 399_x000D_errorMsg: Order Message:
SELL 24 GBP MAR'15
Warning: your order will not be placed at the exchange until 2015-01-30 08:30:00 US/Central</t>
  </si>
  <si>
    <t>2015-1-30 10:42:7.782: openOrderEx - I am here</t>
  </si>
  <si>
    <t>2015-1-30 10:42:7.783: OrderManagerView - UpdateMainSheetOpenOrder - entering UpdateMainSheetOpenOrder order.status is In-Flight</t>
  </si>
  <si>
    <t>2015-1-30 10:42:7.799: RTWSControl - orderStatus -  entering orderStatus id is 1349 status is PreSubmitted</t>
  </si>
  <si>
    <t>2015-1-30 10:42:7.799: OrderManager - UpdateOrderStatus - id 1349 Setting status to PreSubmitted workingOrderCount is now 1 workingQty -1040</t>
  </si>
  <si>
    <t>2015-1-30 10:42:7.800: OrderManagerView - UpdateMainSheetOpenOrder - entering UpdateMainSheetOpenOrder order.status is PreSubmitted</t>
  </si>
  <si>
    <t>2015-1-30 10:42:7.802: RTWSControl - OrderStatus - Got OrderStatus Message id:1349 status: PreSubmitted filled: 0</t>
  </si>
  <si>
    <t>2015-1-30 10:42:7.802: RTWSControl - OrderStatus - exiting orderStatus</t>
  </si>
  <si>
    <t>2015-1-30 10:42:7.839: openOrderEx - I am here</t>
  </si>
  <si>
    <t>2015-1-30 10:42:7.839: OrderManagerView - UpdateMainSheetOpenOrder - entering UpdateMainSheetOpenOrder order.status is PreSubmitted</t>
  </si>
  <si>
    <t>2015-1-30 10:42:7.850: RTWSControl - orderStatus -  entering orderStatus id is 1349 status is PreSubmitted</t>
  </si>
  <si>
    <t>2015-1-30 10:42:7.851: OrderManager - UpdateOrderStatus - id 1349 Setting status to PreSubmitted workingOrderCount is now 1 workingQty -1040</t>
  </si>
  <si>
    <t>2015-1-30 10:42:7.852: OrderManagerView - UpdateMainSheetOpenOrder - entering UpdateMainSheetOpenOrder order.status is PreSubmitted</t>
  </si>
  <si>
    <t>2015-1-30 10:42:7.853: RTWSControl - OrderStatus - Got OrderStatus Message id:1349 status: PreSubmitted filled: 0</t>
  </si>
  <si>
    <t>2015-1-30 10:42:7.854: RTWSControl - OrderStatus - exiting orderStatus</t>
  </si>
  <si>
    <t>2015-1-30 10:42:8.834: OrderManager - cancelOrder - cancelling order id 1348</t>
  </si>
  <si>
    <t>2015-1-30 10:42:8.834: OrderManager - PlaceOrder - id 1350 workingQty -1019</t>
  </si>
  <si>
    <t>2015-1-30 10:42:8.834: OrderManagerView - UpdateMainSheetOpenOrder - entering UpdateMainSheetOpenOrder order.status is In-Flight</t>
  </si>
  <si>
    <t>2015-1-30 10:42:8.836: OrderManager - sendOrder - exiting place order id 1350 BUY 21 1.5125  - workingQty -1019 currentPosition is 21 workingOrderCount is 2</t>
  </si>
  <si>
    <t>2015-1-30 10:42:8.836: OrderManager - cancelOrder - cancelling order id 1349</t>
  </si>
  <si>
    <t>2015-1-30 10:42:8.837: OrderManager - createOrder - exiting without creating order - did not have validID</t>
  </si>
  <si>
    <t>2015-1-30 10:42:9.387: RTWSControl - nextValidId - entering nextValidId id is 1351</t>
  </si>
  <si>
    <t>2015-1-30 10:42:9.394: RTWSControl - orderStatus -  entering orderStatus id is 1348 status is Cancelled</t>
  </si>
  <si>
    <t>2015-1-30 10:42:9.394: OrderManager - UpdateOrderStatus - id 1348 Setting status to Cancelled workingOrderCount is now 2 workingQty -1019</t>
  </si>
  <si>
    <t>2015-1-30 10:42:9.395: OrderManagerView - UpdateMainSheetOpenOrder - entering UpdateMainSheetOpenOrder order.status is Cancelled</t>
  </si>
  <si>
    <t>2015-1-30 10:42:9.397: RTWSControl - OrderStatus - Got OrderStatus Message id:1348 status: Cancelled filled: 0</t>
  </si>
  <si>
    <t>2015-1-30 10:42:9.397: RTWSControl - OrderStatus - exiting orderStatus</t>
  </si>
  <si>
    <t>2015-1-30 10:42:9.423: RTWSControl - errMsg - got error message 202:Order Canceled - reason:with id 1348</t>
  </si>
  <si>
    <t>2015-1-30 10:42:9.423: OrderManager - canceledOrder - cleaning up after canceled order 1348BEWARE UNACCOUNTED FOR EXECUTIONS!!!</t>
  </si>
  <si>
    <t>2015-1-30 10:42:9.424: OrderManager - terminateOrder - cleaning up after Canceled 1348  order was supposed to BUY 24 1.5128 STP LMT workingQty/OrderCount now -1043/1</t>
  </si>
  <si>
    <t>2015-1-30 10:42:9.426: OrderManagerView - UpdateMainSheetOpenOrder - entering UpdateMainSheetOpenOrder order.status is Canceled</t>
  </si>
  <si>
    <t>2015-1-30 10:42:9.506: RTWSControl - errMsg - got error message 399:Order Message:
BUY 21 GBP MAR'15
Warning: your order will not be placed at the exchange until 2015-01-30 08:30:00 US/Centralwith id 1350</t>
  </si>
  <si>
    <t>2015-1-30 10:42:9.506: RTWSControl - errMsg - Got Error_x000D_id: 1350_x000D_errorCode: 399_x000D_errorMsg: Order Message:
BUY 21 GBP MAR'15
Warning: your order will not be placed at the exchange until 2015-01-30 08:30:00 US/Central</t>
  </si>
  <si>
    <t>2015-1-30 10:42:9.515: openOrderEx - I am here</t>
  </si>
  <si>
    <t>2015-1-30 10:42:9.515: OrderManagerView - UpdateMainSheetOpenOrder - entering UpdateMainSheetOpenOrder order.status is In-Flight</t>
  </si>
  <si>
    <t>2015-1-30 10:42:9.548: RTWSControl - orderStatus -  entering orderStatus id is 1350 status is PreSubmitted</t>
  </si>
  <si>
    <t>2015-1-30 10:42:9.549: OrderManager - UpdateOrderStatus - id 1350 Setting status to PreSubmitted workingOrderCount is now 1 workingQty -1043</t>
  </si>
  <si>
    <t>2015-1-30 10:42:9.550: OrderManagerView - UpdateMainSheetOpenOrder - entering UpdateMainSheetOpenOrder order.status is PreSubmitted</t>
  </si>
  <si>
    <t>2015-1-30 10:42:9.551: RTWSControl - OrderStatus - Got OrderStatus Message id:1350 status: PreSubmitted filled: 0</t>
  </si>
  <si>
    <t>2015-1-30 10:42:9.552: RTWSControl - OrderStatus - exiting orderStatus</t>
  </si>
  <si>
    <t>2015-1-30 10:42:9.585: RTWSControl - orderStatus -  entering orderStatus id is 1349 status is Cancelled</t>
  </si>
  <si>
    <t>2015-1-30 10:42:9.586: OrderManager - UpdateOrderStatus - id 1349 Setting status to Cancelled workingOrderCount is now 1 workingQty -1043</t>
  </si>
  <si>
    <t>2015-1-30 10:42:9.586: OrderManagerView - UpdateMainSheetOpenOrder - entering UpdateMainSheetOpenOrder order.status is Cancelled</t>
  </si>
  <si>
    <t>2015-1-30 10:42:9.588: RTWSControl - OrderStatus - Got OrderStatus Message id:1349 status: Cancelled filled: 0</t>
  </si>
  <si>
    <t>2015-1-30 10:42:9.588: RTWSControl - OrderStatus - exiting orderStatus</t>
  </si>
  <si>
    <t>2015-1-30 10:42:9.598: RTWSControl - errMsg - got error message 202:Order Canceled - reason:with id 1349</t>
  </si>
  <si>
    <t>2015-1-30 10:42:9.598: OrderManager - canceledOrder - cleaning up after canceled order 1349BEWARE UNACCOUNTED FOR EXECUTIONS!!!</t>
  </si>
  <si>
    <t>2015-1-30 10:42:9.599: OrderManager - terminateOrder - cleaning up after Canceled 1349  order was supposed to SELL 24 1.5069 STP LMT workingQty/OrderCount now -1067/0</t>
  </si>
  <si>
    <t>2015-1-30 10:42:9.601: OrderManagerView - UpdateMainSheetOpenOrder - entering UpdateMainSheetOpenOrder order.status is Canceled</t>
  </si>
  <si>
    <t>2015-1-30 10:42:9.634: openOrderEx - I am here</t>
  </si>
  <si>
    <t>2015-1-30 10:42:9.634: OrderManagerView - UpdateMainSheetOpenOrder - entering UpdateMainSheetOpenOrder order.status is PreSubmitted</t>
  </si>
  <si>
    <t>2015-1-30 10:42:9.670: RTWSControl - orderStatus -  entering orderStatus id is 1350 status is PreSubmitted</t>
  </si>
  <si>
    <t>2015-1-30 10:42:9.671: OrderManager - UpdateOrderStatus - id 1350 Setting status to PreSubmitted workingOrderCount is now 0 workingQty -1067</t>
  </si>
  <si>
    <t>2015-1-30 10:42:9.671: OrderManagerView - UpdateMainSheetOpenOrder - entering UpdateMainSheetOpenOrder order.status is PreSubmitted</t>
  </si>
  <si>
    <t>2015-1-30 10:42:9.673: RTWSControl - OrderStatus - Got OrderStatus Message id:1350 status: PreSubmitted filled: 0</t>
  </si>
  <si>
    <t>2015-1-30 10:42:9.673: RTWSControl - OrderStatus - exiting orderStatus</t>
  </si>
  <si>
    <t>2015-1-30 10:42:9.757: OrderManager - PlaceOrder - id 1351 workingQty -1087</t>
  </si>
  <si>
    <t>2015-1-30 10:42:9.757: OrderManagerView - UpdateMainSheetOpenOrder - entering UpdateMainSheetOpenOrder order.status is In-Flight</t>
  </si>
  <si>
    <t>2015-1-30 10:42:9.759: OrderManager - sendOrder - exiting place order id 1351 SELL 20 1.5069  - workingQty -1087 currentPosition is 21 workingOrderCount is 1</t>
  </si>
  <si>
    <t>2015-1-30 10:42:9.969: RTWSControl - nextValidId - entering nextValidId id is 1352</t>
  </si>
  <si>
    <t>2015-1-30 10:42:10.2: RTWSControl - errMsg - got error message 399:Order Message:
SELL 20 GBP MAR'15
Warning: your order will not be placed at the exchange until 2015-01-30 08:30:00 US/Centralwith id 1351</t>
  </si>
  <si>
    <t>2015-1-30 10:42:10.3: RTWSControl - errMsg - Got Error_x000D_id: 1351_x000D_errorCode: 399_x000D_errorMsg: Order Message:
SELL 20 GBP MAR'15
Warning: your order will not be placed at the exchange until 2015-01-30 08:30:00 US/Central</t>
  </si>
  <si>
    <t>2015-1-30 10:42:10.11: openOrderEx - I am here</t>
  </si>
  <si>
    <t>2015-1-30 10:42:10.11: OrderManagerView - UpdateMainSheetOpenOrder - entering UpdateMainSheetOpenOrder order.status is In-Flight</t>
  </si>
  <si>
    <t>2015-1-30 10:42:10.43: RTWSControl - orderStatus -  entering orderStatus id is 1351 status is PreSubmitted</t>
  </si>
  <si>
    <t>2015-1-30 10:42:10.44: OrderManager - UpdateOrderStatus - id 1351 Setting status to PreSubmitted workingOrderCount is now 1 workingQty -1087</t>
  </si>
  <si>
    <t>2015-1-30 10:42:10.44: OrderManagerView - UpdateMainSheetOpenOrder - entering UpdateMainSheetOpenOrder order.status is PreSubmitted</t>
  </si>
  <si>
    <t>2015-1-30 10:42:10.46: RTWSControl - OrderStatus - Got OrderStatus Message id:1351 status: PreSubmitted filled: 0</t>
  </si>
  <si>
    <t>2015-1-30 10:42:10.46: RTWSControl - OrderStatus - exiting orderStatus</t>
  </si>
  <si>
    <t>2015-1-30 10:42:10.959: openOrderEx - I am here</t>
  </si>
  <si>
    <t>2015-1-30 10:42:10.959: OrderManagerView - UpdateMainSheetOpenOrder - entering UpdateMainSheetOpenOrder order.status is PreSubmitted</t>
  </si>
  <si>
    <t>2015-1-30 10:42:10.972: RTWSControl - orderStatus -  entering orderStatus id is 1351 status is PreSubmitted</t>
  </si>
  <si>
    <t>2015-1-30 10:42:10.972: OrderManager - UpdateOrderStatus - id 1351 Setting status to PreSubmitted workingOrderCount is now 1 workingQty -1087</t>
  </si>
  <si>
    <t>2015-1-30 10:42:10.973: OrderManagerView - UpdateMainSheetOpenOrder - entering UpdateMainSheetOpenOrder order.status is PreSubmitted</t>
  </si>
  <si>
    <t>2015-1-30 10:42:10.975: RTWSControl - OrderStatus - Got OrderStatus Message id:1351 status: PreSubmitted filled: 0</t>
  </si>
  <si>
    <t>2015-1-30 10:42:10.975: RTWSControl - OrderStatus - exiting orderStatus</t>
  </si>
  <si>
    <t>2015-1-30 10:42:11.135: OrderManager - cancelOrder - cancelling order id 1351</t>
  </si>
  <si>
    <t>2015-1-30 10:42:11.136: OrderManager - PlaceOrder - id 1352 workingQty -1110</t>
  </si>
  <si>
    <t>2015-1-30 10:42:11.136: OrderManagerView - UpdateMainSheetOpenOrder - entering UpdateMainSheetOpenOrder order.status is In-Flight</t>
  </si>
  <si>
    <t>2015-1-30 10:42:11.137: OrderManager - sendOrder - exiting place order id 1352 SELL 23 1.5069  - workingQty -1110 currentPosition is 21 workingOrderCount is 2</t>
  </si>
  <si>
    <t>2015-1-30 10:42:11.235: RTWSControl - nextValidId - entering nextValidId id is 1353</t>
  </si>
  <si>
    <t>2015-1-30 10:42:11.451: RTWSControl - orderStatus -  entering orderStatus id is 1351 status is Cancelled</t>
  </si>
  <si>
    <t>2015-1-30 10:42:11.453: OrderManager - UpdateOrderStatus - id 1351 Setting status to Cancelled workingOrderCount is now 2 workingQty -1110</t>
  </si>
  <si>
    <t>2015-1-30 10:42:11.455: OrderManagerView - UpdateMainSheetOpenOrder - entering UpdateMainSheetOpenOrder order.status is Cancelled</t>
  </si>
  <si>
    <t>2015-1-30 10:42:11.464: RTWSControl - OrderStatus - Got OrderStatus Message id:1351 status: Cancelled filled: 0</t>
  </si>
  <si>
    <t>2015-1-30 10:42:11.465: RTWSControl - OrderStatus - exiting orderStatus</t>
  </si>
  <si>
    <t>2015-1-30 10:42:11.492: RTWSControl - errMsg - got error message 202:Order Canceled - reason:with id 1351</t>
  </si>
  <si>
    <t>2015-1-30 10:42:11.493: OrderManager - canceledOrder - cleaning up after canceled order 1351BEWARE UNACCOUNTED FOR EXECUTIONS!!!</t>
  </si>
  <si>
    <t>2015-1-30 10:42:11.494: OrderManager - terminateOrder - cleaning up after Canceled 1351  order was supposed to SELL 20 1.5069 STP LMT workingQty/OrderCount now -1130/1</t>
  </si>
  <si>
    <t>2015-1-30 10:42:11.496: OrderManagerView - UpdateMainSheetOpenOrder - entering UpdateMainSheetOpenOrder order.status is Canceled</t>
  </si>
  <si>
    <t>2015-1-30 10:42:11.540: RTWSControl - errMsg - got error message 399:Order Message:
SELL 23 GBP MAR'15
Warning: your order will not be placed at the exchange until 2015-01-30 08:30:00 US/Centralwith id 1352</t>
  </si>
  <si>
    <t>2015-1-30 10:42:11.540: RTWSControl - errMsg - Got Error_x000D_id: 1352_x000D_errorCode: 399_x000D_errorMsg: Order Message:
SELL 23 GBP MAR'15
Warning: your order will not be placed at the exchange until 2015-01-30 08:30:00 US/Central</t>
  </si>
  <si>
    <t>2015-1-30 10:42:11.549: openOrderEx - I am here</t>
  </si>
  <si>
    <t>2015-1-30 10:42:11.550: OrderManagerView - UpdateMainSheetOpenOrder - entering UpdateMainSheetOpenOrder order.status is In-Flight</t>
  </si>
  <si>
    <t>2015-1-30 10:42:11.590: RTWSControl - orderStatus -  entering orderStatus id is 1352 status is PreSubmitted</t>
  </si>
  <si>
    <t>2015-1-30 10:42:11.590: OrderManager - UpdateOrderStatus - id 1352 Setting status to PreSubmitted workingOrderCount is now 1 workingQty -1130</t>
  </si>
  <si>
    <t>2015-1-30 10:42:11.591: OrderManagerView - UpdateMainSheetOpenOrder - entering UpdateMainSheetOpenOrder order.status is PreSubmitted</t>
  </si>
  <si>
    <t>2015-1-30 10:42:11.592: RTWSControl - OrderStatus - Got OrderStatus Message id:1352 status: PreSubmitted filled: 0</t>
  </si>
  <si>
    <t>2015-1-30 10:42:11.593: RTWSControl - OrderStatus - exiting orderStatus</t>
  </si>
  <si>
    <t>2015-1-30 10:42:11.660: openOrderEx - I am here</t>
  </si>
  <si>
    <t>2015-1-30 10:42:11.660: OrderManagerView - UpdateMainSheetOpenOrder - entering UpdateMainSheetOpenOrder order.status is PreSubmitted</t>
  </si>
  <si>
    <t>2015-1-30 10:42:11.672: RTWSControl - orderStatus -  entering orderStatus id is 1352 status is PreSubmitted</t>
  </si>
  <si>
    <t>2015-1-30 10:42:11.673: OrderManager - UpdateOrderStatus - id 1352 Setting status to PreSubmitted workingOrderCount is now 1 workingQty -1130</t>
  </si>
  <si>
    <t>2015-1-30 10:42:11.673: OrderManagerView - UpdateMainSheetOpenOrder - entering UpdateMainSheetOpenOrder order.status is PreSubmitted</t>
  </si>
  <si>
    <t>2015-1-30 10:42:11.675: RTWSControl - OrderStatus - Got OrderStatus Message id:1352 status: PreSubmitted filled: 0</t>
  </si>
  <si>
    <t>2015-1-30 10:42:11.675: RTWSControl - OrderStatus - exiting orderStatus</t>
  </si>
  <si>
    <t>2015-1-30 10:42:13.883: OrderManager - cancelOrder - cancelling order id 1352</t>
  </si>
  <si>
    <t>2015-1-30 10:42:13.885: OrderManager - PlaceOrder - id 1353 workingQty -1150</t>
  </si>
  <si>
    <t>2015-1-30 10:42:13.886: OrderManagerView - UpdateMainSheetOpenOrder - entering UpdateMainSheetOpenOrder order.status is In-Flight</t>
  </si>
  <si>
    <t>2015-1-30 10:42:13.887: OrderManagerView - findNextOORow - there are no available OpenOrderView Rows!!!!!!</t>
  </si>
  <si>
    <t>2015-1-30 10:42:13.893: OrderManager - sendOrder - exiting place order id 1353 SELL 20 1.5068  - workingQty -1150 currentPosition is 21 workingOrderCount is 2</t>
  </si>
  <si>
    <t>2015-1-30 10:42:14.16: OrderManagerView - UpdateMainSheetOpenOrder - entering UpdateMainSheetOpenOrder order.status is In-Flight</t>
  </si>
  <si>
    <t>2015-1-30 10:42:14.18: OrderManagerView - UpdateMainSheetOpenOrder - entering UpdateMainSheetOpenOrder order.status is PreSubmitted</t>
  </si>
  <si>
    <t>2015-1-30 10:42:14.21: OrderManagerView - UpdateMainSheetOpenOrder - entering UpdateMainSheetOpenOrder order.status is Canceled</t>
  </si>
  <si>
    <t>2015-1-30 10:42:14.23: OrderManagerView - UpdateMainSheetOpenOrder - entering UpdateMainSheetOpenOrder order.status is PreSubmitted</t>
  </si>
  <si>
    <t>2015-1-30 10:42:14.26: OrderManagerView - UpdateMainSheetOpenOrder - entering UpdateMainSheetOpenOrder order.status is PreSubmitted</t>
  </si>
  <si>
    <t>2015-1-30 10:42:14.36: OrderManagerView - UpdateMainSheetOpenOrder - entering UpdateMainSheetOpenOrder order.status is In-Flight</t>
  </si>
  <si>
    <t>2015-1-30 10:42:14.38: OrderManagerView - UpdateMainSheetOpenOrder - entering UpdateMainSheetOpenOrder order.status is PreSubmitted</t>
  </si>
  <si>
    <t>2015-1-30 10:42:14.40: OrderManagerView - UpdateMainSheetOpenOrder - entering UpdateMainSheetOpenOrder order.status is PreSubmitted</t>
  </si>
  <si>
    <t>2015-1-30 10:42:14.84: RTWSControl - nextValidId - entering nextValidId id is 1354</t>
  </si>
  <si>
    <t>2015-1-30 10:42:14.204: RTWSControl - orderStatus -  entering orderStatus id is 1352 status is Cancelled</t>
  </si>
  <si>
    <t>2015-1-30 10:42:14.205: OrderManager - UpdateOrderStatus - id 1352 Setting status to Cancelled workingOrderCount is now 2 workingQty -1150</t>
  </si>
  <si>
    <t>2015-1-30 10:42:14.206: OrderManagerView - UpdateMainSheetOpenOrder - entering UpdateMainSheetOpenOrder order.status is Cancelled</t>
  </si>
  <si>
    <t>2015-1-30 10:42:14.207: RTWSControl - OrderStatus - Got OrderStatus Message id:1352 status: Cancelled filled: 0</t>
  </si>
  <si>
    <t>2015-1-30 10:42:14.208: RTWSControl - OrderStatus - exiting orderStatus</t>
  </si>
  <si>
    <t>2015-1-30 10:42:14.218: RTWSControl - errMsg - got error message 202:Order Canceled - reason:with id 1352</t>
  </si>
  <si>
    <t>2015-1-30 10:42:14.219: OrderManager - canceledOrder - cleaning up after canceled order 1352BEWARE UNACCOUNTED FOR EXECUTIONS!!!</t>
  </si>
  <si>
    <t>2015-1-30 10:42:14.220: OrderManager - terminateOrder - cleaning up after Canceled 1352  order was supposed to SELL 23 1.5069 STP LMT workingQty/OrderCount now -1173/1</t>
  </si>
  <si>
    <t>2015-1-30 10:42:14.221: OrderManagerView - UpdateMainSheetOpenOrder - entering UpdateMainSheetOpenOrder order.status is Canceled</t>
  </si>
  <si>
    <t>2015-1-30 10:42:14.354: RTWSControl - errMsg - got error message 399:Order Message:
SELL 20 GBP MAR'15
Warning: your order will not be placed at the exchange until 2015-01-30 08:30:00 US/Centralwith id 1353</t>
  </si>
  <si>
    <t>2015-1-30 10:42:14.355: RTWSControl - errMsg - Got Error_x000D_id: 1353_x000D_errorCode: 399_x000D_errorMsg: Order Message:
SELL 20 GBP MAR'15
Warning: your order will not be placed at the exchange until 2015-01-30 08:30:00 US/Central</t>
  </si>
  <si>
    <t>2015-1-30 10:42:14.376: openOrderEx - I am here</t>
  </si>
  <si>
    <t>2015-1-30 10:42:14.376: OrderManagerView - UpdateMainSheetOpenOrder - entering UpdateMainSheetOpenOrder order.status is In-Flight</t>
  </si>
  <si>
    <t>2015-1-30 10:42:14.387: RTWSControl - orderStatus -  entering orderStatus id is 1353 status is PreSubmitted</t>
  </si>
  <si>
    <t>2015-1-30 10:42:14.388: OrderManager - UpdateOrderStatus - id 1353 Setting status to PreSubmitted workingOrderCount is now 1 workingQty -1173</t>
  </si>
  <si>
    <t>2015-1-30 10:42:14.388: OrderManagerView - UpdateMainSheetOpenOrder - entering UpdateMainSheetOpenOrder order.status is PreSubmitted</t>
  </si>
  <si>
    <t>2015-1-30 10:42:14.390: RTWSControl - OrderStatus - Got OrderStatus Message id:1353 status: PreSubmitted filled: 0</t>
  </si>
  <si>
    <t>2015-1-30 10:42:14.391: RTWSControl - OrderStatus - exiting orderStatus</t>
  </si>
  <si>
    <t>2015-1-30 10:42:14.426: openOrderEx - I am here</t>
  </si>
  <si>
    <t>2015-1-30 10:42:14.427: OrderManagerView - UpdateMainSheetOpenOrder - entering UpdateMainSheetOpenOrder order.status is PreSubmitted</t>
  </si>
  <si>
    <t>2015-1-30 10:42:14.460: RTWSControl - orderStatus -  entering orderStatus id is 1353 status is PreSubmitted</t>
  </si>
  <si>
    <t>2015-1-30 10:42:14.461: OrderManager - UpdateOrderStatus - id 1353 Setting status to PreSubmitted workingOrderCount is now 1 workingQty -1173</t>
  </si>
  <si>
    <t>2015-1-30 10:42:14.461: OrderManagerView - UpdateMainSheetOpenOrder - entering UpdateMainSheetOpenOrder order.status is PreSubmitted</t>
  </si>
  <si>
    <t>2015-1-30 10:42:14.463: RTWSControl - OrderStatus - Got OrderStatus Message id:1353 status: PreSubmitted filled: 0</t>
  </si>
  <si>
    <t>2015-1-30 10:42:14.463: RTWSControl - OrderStatus - exiting orderStatus</t>
  </si>
  <si>
    <t>2015-1-30 10:42:16.11: OrderManagerView - UpdateMainSheetOpenOrder - entering UpdateMainSheetOpenOrder order.status is PreSubmitted</t>
  </si>
  <si>
    <t>2015-1-30 10:42:16.12: OrderManagerView - UpdateMainSheetOpenOrder - entering UpdateMainSheetOpenOrder order.status is PreSubmitted</t>
  </si>
  <si>
    <t>2015-1-30 10:42:19.10: OrderManagerView - UpdateMainSheetOpenOrder - entering UpdateMainSheetOpenOrder order.status is PreSubmitted</t>
  </si>
  <si>
    <t>2015-1-30 10:42:19.11: OrderManagerView - UpdateMainSheetOpenOrder - entering UpdateMainSheetOpenOrder order.status is PreSubmitted</t>
  </si>
  <si>
    <t>2015-1-30 10:42:19.17: OrderManagerView - UpdateMainSheetOpenOrder - entering UpdateMainSheetOpenOrder order.status is PreSubmitted</t>
  </si>
  <si>
    <t>2015-1-30 10:42:19.19: OrderManagerView - UpdateMainSheetOpenOrder - entering UpdateMainSheetOpenOrder order.status is PreSubmitted</t>
  </si>
  <si>
    <t>2015-1-30 10:42:34.757: OrderManager - cancelOrder - cancelling order id 1353</t>
  </si>
  <si>
    <t>2015-1-30 10:42:34.757: OrderManager - PlaceOrder - id 1354 workingQty -1196</t>
  </si>
  <si>
    <t>2015-1-30 10:42:34.758: OrderManagerView - UpdateMainSheetOpenOrder - entering UpdateMainSheetOpenOrder order.status is In-Flight</t>
  </si>
  <si>
    <t>2015-1-30 10:42:34.759: OrderManager - sendOrder - exiting place order id 1354 SELL 23 1.5069  - workingQty -1196 currentPosition is 21 workingOrderCount is 2</t>
  </si>
  <si>
    <t>2015-1-30 10:42:34.971: RTWSControl - nextValidId - entering nextValidId id is 1355</t>
  </si>
  <si>
    <t>2015-1-30 10:42:35.109: RTWSControl - orderStatus -  entering orderStatus id is 1353 status is Cancelled</t>
  </si>
  <si>
    <t>2015-1-30 10:42:35.110: OrderManager - UpdateOrderStatus - id 1353 Setting status to Cancelled workingOrderCount is now 2 workingQty -1196</t>
  </si>
  <si>
    <t>2015-1-30 10:42:35.110: OrderManagerView - UpdateMainSheetOpenOrder - entering UpdateMainSheetOpenOrder order.status is Cancelled</t>
  </si>
  <si>
    <t>2015-1-30 10:42:35.112: RTWSControl - OrderStatus - Got OrderStatus Message id:1353 status: Cancelled filled: 0</t>
  </si>
  <si>
    <t>2015-1-30 10:42:35.113: RTWSControl - OrderStatus - exiting orderStatus</t>
  </si>
  <si>
    <t>2015-1-30 10:42:35.122: RTWSControl - errMsg - got error message 202:Order Canceled - reason:with id 1353</t>
  </si>
  <si>
    <t>2015-1-30 10:42:35.123: OrderManager - canceledOrder - cleaning up after canceled order 1353BEWARE UNACCOUNTED FOR EXECUTIONS!!!</t>
  </si>
  <si>
    <t>2015-1-30 10:42:35.124: OrderManager - terminateOrder - cleaning up after Canceled 1353  order was supposed to SELL 20 1.5068 STP LMT workingQty/OrderCount now -1216/1</t>
  </si>
  <si>
    <t>2015-1-30 10:42:35.125: OrderManagerView - UpdateMainSheetOpenOrder - entering UpdateMainSheetOpenOrder order.status is Canceled</t>
  </si>
  <si>
    <t>2015-1-30 10:42:35.164: RTWSControl - errMsg - got error message 399:Order Message:
SELL 23 GBP MAR'15
Warning: your order will not be placed at the exchange until 2015-01-30 08:30:00 US/Centralwith id 1354</t>
  </si>
  <si>
    <t>2015-1-30 10:42:35.165: RTWSControl - errMsg - Got Error_x000D_id: 1354_x000D_errorCode: 399_x000D_errorMsg: Order Message:
SELL 23 GBP MAR'15
Warning: your order will not be placed at the exchange until 2015-01-30 08:30:00 US/Central</t>
  </si>
  <si>
    <t>2015-1-30 10:42:35.174: openOrderEx - I am here</t>
  </si>
  <si>
    <t>2015-1-30 10:42:35.174: OrderManagerView - UpdateMainSheetOpenOrder - entering UpdateMainSheetOpenOrder order.status is In-Flight</t>
  </si>
  <si>
    <t>2015-1-30 10:42:35.214: RTWSControl - orderStatus -  entering orderStatus id is 1354 status is PreSubmitted</t>
  </si>
  <si>
    <t>2015-1-30 10:42:35.214: OrderManager - UpdateOrderStatus - id 1354 Setting status to PreSubmitted workingOrderCount is now 1 workingQty -1216</t>
  </si>
  <si>
    <t>2015-1-30 10:42:35.215: OrderManagerView - UpdateMainSheetOpenOrder - entering UpdateMainSheetOpenOrder order.status is PreSubmitted</t>
  </si>
  <si>
    <t>2015-1-30 10:42:35.217: RTWSControl - OrderStatus - Got OrderStatus Message id:1354 status: PreSubmitted filled: 0</t>
  </si>
  <si>
    <t>2015-1-30 10:42:35.217: RTWSControl - OrderStatus - exiting orderStatus</t>
  </si>
  <si>
    <t>2015-1-30 10:42:35.301: openOrderEx - I am here</t>
  </si>
  <si>
    <t>2015-1-30 10:42:35.301: OrderManagerView - UpdateMainSheetOpenOrder - entering UpdateMainSheetOpenOrder order.status is PreSubmitted</t>
  </si>
  <si>
    <t>2015-1-30 10:42:35.336: RTWSControl - orderStatus -  entering orderStatus id is 1354 status is PreSubmitted</t>
  </si>
  <si>
    <t>2015-1-30 10:42:35.336: OrderManager - UpdateOrderStatus - id 1354 Setting status to PreSubmitted workingOrderCount is now 1 workingQty -1216</t>
  </si>
  <si>
    <t>2015-1-30 10:42:35.337: OrderManagerView - UpdateMainSheetOpenOrder - entering UpdateMainSheetOpenOrder order.status is PreSubmitted</t>
  </si>
  <si>
    <t>2015-1-30 10:42:35.339: RTWSControl - OrderStatus - Got OrderStatus Message id:1354 status: PreSubmitted filled: 0</t>
  </si>
  <si>
    <t>2015-1-30 10:42:35.339: RTWSControl - OrderStatus - exiting orderStatus</t>
  </si>
  <si>
    <t>2015-1-30 10:42:40.87: OrderManagerView - UpdateMainSheetOpenOrder - entering UpdateMainSheetOpenOrder order.status is PreSubmitted</t>
  </si>
  <si>
    <t>2015-1-30 10:42:40.97: OrderManagerView - UpdateMainSheetOpenOrder - entering UpdateMainSheetOpenOrder order.status is PreSubmitted</t>
  </si>
  <si>
    <t>2015-1-30 10:42:40.106: OrderManagerView - UpdateMainSheetOpenOrder - entering UpdateMainSheetOpenOrder order.status is PreSubmitted</t>
  </si>
  <si>
    <t>2015-1-30 10:42:51.669: OrderManager - cancelOrder - cancelling order id 1350</t>
  </si>
  <si>
    <t>2015-1-30 10:42:51.670: OrderManager - PlaceOrder - id 1355 workingQty -1189</t>
  </si>
  <si>
    <t>2015-1-30 10:42:51.670: OrderManagerView - UpdateMainSheetOpenOrder - entering UpdateMainSheetOpenOrder order.status is In-Flight</t>
  </si>
  <si>
    <t>2015-1-30 10:42:51.671: OrderManager - sendOrder - exiting place order id 1355 BUY 27 1.5128  - workingQty -1189 currentPosition is 21 workingOrderCount is 2</t>
  </si>
  <si>
    <t>2015-1-30 10:42:51.672: OrderManager - cancelOrder - cancelling order id 1354</t>
  </si>
  <si>
    <t>2015-1-30 10:42:51.672: OrderManager - createOrder - exiting without creating order - did not have validID</t>
  </si>
  <si>
    <t>2015-1-30 10:42:51.775: RTWSControl - nextValidId - entering nextValidId id is 1356</t>
  </si>
  <si>
    <t>2015-1-30 10:42:51.883: RTWSControl - orderStatus -  entering orderStatus id is 1350 status is Cancelled</t>
  </si>
  <si>
    <t>2015-1-30 10:42:51.883: OrderManager - UpdateOrderStatus - id 1350 Setting status to Cancelled workingOrderCount is now 2 workingQty -1189</t>
  </si>
  <si>
    <t>2015-1-30 10:42:51.884: OrderManagerView - UpdateMainSheetOpenOrder - entering UpdateMainSheetOpenOrder order.status is Cancelled</t>
  </si>
  <si>
    <t>2015-1-30 10:42:51.885: RTWSControl - OrderStatus - Got OrderStatus Message id:1350 status: Cancelled filled: 0</t>
  </si>
  <si>
    <t>2015-1-30 10:42:51.886: RTWSControl - OrderStatus - exiting orderStatus</t>
  </si>
  <si>
    <t>2015-1-30 10:42:51.904: RTWSControl - errMsg - got error message 202:Order Canceled - reason:with id 1350</t>
  </si>
  <si>
    <t>2015-1-30 10:42:51.905: OrderManager - canceledOrder - cleaning up after canceled order 1350BEWARE UNACCOUNTED FOR EXECUTIONS!!!</t>
  </si>
  <si>
    <t>2015-1-30 10:42:51.906: OrderManager - terminateOrder - cleaning up after Canceled 1350  order was supposed to BUY 21 1.5125 STP LMT workingQty/OrderCount now -1210/1</t>
  </si>
  <si>
    <t>2015-1-30 10:42:51.907: OrderManagerView - UpdateMainSheetOpenOrder - entering UpdateMainSheetOpenOrder order.status is Canceled</t>
  </si>
  <si>
    <t>2015-1-30 10:42:52.638: RTWSControl - errMsg - got error message 399:Order Message:
BUY 27 GBP MAR'15
Warning: your order will not be placed at the exchange until 2015-01-30 08:30:00 US/Centralwith id 1355</t>
  </si>
  <si>
    <t>2015-1-30 10:42:52.638: RTWSControl - errMsg - Got Error_x000D_id: 1355_x000D_errorCode: 399_x000D_errorMsg: Order Message:
BUY 27 GBP MAR'15
Warning: your order will not be placed at the exchange until 2015-01-30 08:30:00 US/Central</t>
  </si>
  <si>
    <t>2015-1-30 10:42:52.672: openOrderEx - I am here</t>
  </si>
  <si>
    <t>2015-1-30 10:42:52.673: OrderManagerView - UpdateMainSheetOpenOrder - entering UpdateMainSheetOpenOrder order.status is In-Flight</t>
  </si>
  <si>
    <t>2015-1-30 10:42:52.684: RTWSControl - orderStatus -  entering orderStatus id is 1355 status is PreSubmitted</t>
  </si>
  <si>
    <t>2015-1-30 10:42:52.685: OrderManager - UpdateOrderStatus - id 1355 Setting status to PreSubmitted workingOrderCount is now 1 workingQty -1210</t>
  </si>
  <si>
    <t>2015-1-30 10:42:52.685: OrderManagerView - UpdateMainSheetOpenOrder - entering UpdateMainSheetOpenOrder order.status is PreSubmitted</t>
  </si>
  <si>
    <t>2015-1-30 10:42:52.687: RTWSControl - OrderStatus - Got OrderStatus Message id:1355 status: PreSubmitted filled: 0</t>
  </si>
  <si>
    <t>2015-1-30 10:42:52.687: RTWSControl - OrderStatus - exiting orderStatus</t>
  </si>
  <si>
    <t>2015-1-30 10:42:52.714: RTWSControl - orderStatus -  entering orderStatus id is 1354 status is Cancelled</t>
  </si>
  <si>
    <t>2015-1-30 10:42:52.715: OrderManager - UpdateOrderStatus - id 1354 Setting status to Cancelled workingOrderCount is now 1 workingQty -1210</t>
  </si>
  <si>
    <t>2015-1-30 10:42:52.715: OrderManagerView - UpdateMainSheetOpenOrder - entering UpdateMainSheetOpenOrder order.status is Cancelled</t>
  </si>
  <si>
    <t>2015-1-30 10:42:52.717: RTWSControl - OrderStatus - Got OrderStatus Message id:1354 status: Cancelled filled: 0</t>
  </si>
  <si>
    <t>2015-1-30 10:42:52.718: RTWSControl - OrderStatus - exiting orderStatus</t>
  </si>
  <si>
    <t>2015-1-30 10:42:52.752: RTWSControl - errMsg - got error message 202:Order Canceled - reason:with id 1354</t>
  </si>
  <si>
    <t>2015-1-30 10:42:52.753: OrderManager - canceledOrder - cleaning up after canceled order 1354BEWARE UNACCOUNTED FOR EXECUTIONS!!!</t>
  </si>
  <si>
    <t>2015-1-30 10:42:52.753: OrderManager - terminateOrder - cleaning up after Canceled 1354  order was supposed to SELL 23 1.5069 STP LMT workingQty/OrderCount now -1233/0</t>
  </si>
  <si>
    <t>2015-1-30 10:42:52.755: OrderManagerView - UpdateMainSheetOpenOrder - entering UpdateMainSheetOpenOrder order.status is Canceled</t>
  </si>
  <si>
    <t>2015-1-30 10:42:52.769: openOrderEx - I am here</t>
  </si>
  <si>
    <t>2015-1-30 10:42:52.769: OrderManagerView - UpdateMainSheetOpenOrder - entering UpdateMainSheetOpenOrder order.status is PreSubmitted</t>
  </si>
  <si>
    <t>2015-1-30 10:42:52.799: RTWSControl - orderStatus -  entering orderStatus id is 1355 status is PreSubmitted</t>
  </si>
  <si>
    <t>2015-1-30 10:42:52.800: OrderManager - UpdateOrderStatus - id 1355 Setting status to PreSubmitted workingOrderCount is now 0 workingQty -1233</t>
  </si>
  <si>
    <t>2015-1-30 10:42:52.800: OrderManagerView - UpdateMainSheetOpenOrder - entering UpdateMainSheetOpenOrder order.status is PreSubmitted</t>
  </si>
  <si>
    <t>2015-1-30 10:42:52.802: RTWSControl - OrderStatus - Got OrderStatus Message id:1355 status: PreSubmitted filled: 0</t>
  </si>
  <si>
    <t>2015-1-30 10:42:52.802: RTWSControl - OrderStatus - exiting orderStatus</t>
  </si>
  <si>
    <t>2015-1-30 10:42:56.49: OrderManagerView - UpdateMainSheetOpenOrder - entering UpdateMainSheetOpenOrder order.status is Canceled</t>
  </si>
  <si>
    <t>2015-1-30 10:42:56.51: OrderManagerView - UpdateMainSheetOpenOrder - entering UpdateMainSheetOpenOrder order.status is PreSubmitted</t>
  </si>
  <si>
    <t>2015-1-30 10:42:56.53: OrderManagerView - UpdateMainSheetOpenOrder - entering UpdateMainSheetOpenOrder order.status is PreSubmitted</t>
  </si>
  <si>
    <t>2015-1-30 10:42:57.121: OrderManagerView - UpdateMainSheetOpenOrder - entering UpdateMainSheetOpenOrder order.status is PreSubmitted</t>
  </si>
  <si>
    <t>2015-1-30 10:42:58.360: OrderManager - cancelOrder - cancelling order id 1355</t>
  </si>
  <si>
    <t>2015-1-30 10:42:58.360: OrderManager - PlaceOrder - id 1356 workingQty -1209</t>
  </si>
  <si>
    <t>2015-1-30 10:42:58.361: OrderManagerView - UpdateMainSheetOpenOrder - entering UpdateMainSheetOpenOrder order.status is In-Flight</t>
  </si>
  <si>
    <t>2015-1-30 10:42:58.362: OrderManager - sendOrder - exiting place order id 1356 BUY 24 1.5125  - workingQty -1209 currentPosition is 21 workingOrderCount is 1</t>
  </si>
  <si>
    <t>2015-1-30 10:42:58.362: OrderManager - createOrder - exiting without creating order - did not have validID</t>
  </si>
  <si>
    <t>2015-1-30 10:42:58.799: RTWSControl - nextValidId - entering nextValidId id is 1357</t>
  </si>
  <si>
    <t>2015-1-30 10:42:58.805: RTWSControl - orderStatus -  entering orderStatus id is 1355 status is Cancelled</t>
  </si>
  <si>
    <t>2015-1-30 10:42:58.806: OrderManager - UpdateOrderStatus - id 1355 Setting status to Cancelled workingOrderCount is now 1 workingQty -1209</t>
  </si>
  <si>
    <t>2015-1-30 10:42:58.806: OrderManagerView - UpdateMainSheetOpenOrder - entering UpdateMainSheetOpenOrder order.status is Cancelled</t>
  </si>
  <si>
    <t>2015-1-30 10:42:58.808: RTWSControl - OrderStatus - Got OrderStatus Message id:1355 status: Cancelled filled: 0</t>
  </si>
  <si>
    <t>2015-1-30 10:42:58.808: RTWSControl - OrderStatus - exiting orderStatus</t>
  </si>
  <si>
    <t>2015-1-30 10:42:58.835: RTWSControl - errMsg - got error message 202:Order Canceled - reason:with id 1355</t>
  </si>
  <si>
    <t>2015-1-30 10:42:58.836: OrderManager - canceledOrder - cleaning up after canceled order 1355BEWARE UNACCOUNTED FOR EXECUTIONS!!!</t>
  </si>
  <si>
    <t>2015-1-30 10:42:58.836: OrderManager - terminateOrder - cleaning up after Canceled 1355  order was supposed to BUY 27 1.5128 STP LMT workingQty/OrderCount now -1236/0</t>
  </si>
  <si>
    <t>2015-1-30 10:42:58.838: OrderManagerView - UpdateMainSheetOpenOrder - entering UpdateMainSheetOpenOrder order.status is Canceled</t>
  </si>
  <si>
    <t>2015-1-30 10:42:59.9: RTWSControl - errMsg - got error message 399:Order Message:
BUY 24 GBP MAR'15
Warning: your order will not be placed at the exchange until 2015-01-30 08:30:00 US/Centralwith id 1356</t>
  </si>
  <si>
    <t>2015-1-30 10:42:59.10: RTWSControl - errMsg - Got Error_x000D_id: 1356_x000D_errorCode: 399_x000D_errorMsg: Order Message:
BUY 24 GBP MAR'15
Warning: your order will not be placed at the exchange until 2015-01-30 08:30:00 US/Central</t>
  </si>
  <si>
    <t>2015-1-30 10:42:59.19: openOrderEx - I am here</t>
  </si>
  <si>
    <t>2015-1-30 10:42:59.19: OrderManagerView - UpdateMainSheetOpenOrder - entering UpdateMainSheetOpenOrder order.status is In-Flight</t>
  </si>
  <si>
    <t>2015-1-30 10:42:59.49: RTWSControl - orderStatus -  entering orderStatus id is 1356 status is PreSubmitted</t>
  </si>
  <si>
    <t>2015-1-30 10:42:59.50: OrderManager - UpdateOrderStatus - id 1356 Setting status to PreSubmitted workingOrderCount is now 0 workingQty -1236</t>
  </si>
  <si>
    <t>2015-1-30 10:42:59.50: OrderManagerView - UpdateMainSheetOpenOrder - entering UpdateMainSheetOpenOrder order.status is PreSubmitted</t>
  </si>
  <si>
    <t>2015-1-30 10:42:59.52: RTWSControl - OrderStatus - Got OrderStatus Message id:1356 status: PreSubmitted filled: 0</t>
  </si>
  <si>
    <t>2015-1-30 10:42:59.52: RTWSControl - OrderStatus - exiting orderStatus</t>
  </si>
  <si>
    <t>2015-1-30 10:42:59.89: openOrderEx - I am here</t>
  </si>
  <si>
    <t>2015-1-30 10:42:59.89: OrderManagerView - UpdateMainSheetOpenOrder - entering UpdateMainSheetOpenOrder order.status is PreSubmitted</t>
  </si>
  <si>
    <t>2015-1-30 10:42:59.100: RTWSControl - orderStatus -  entering orderStatus id is 1356 status is PreSubmitted</t>
  </si>
  <si>
    <t>2015-1-30 10:42:59.101: OrderManager - UpdateOrderStatus - id 1356 Setting status to PreSubmitted workingOrderCount is now 0 workingQty -1236</t>
  </si>
  <si>
    <t>2015-1-30 10:42:59.102: OrderManagerView - UpdateMainSheetOpenOrder - entering UpdateMainSheetOpenOrder order.status is PreSubmitted</t>
  </si>
  <si>
    <t>2015-1-30 10:42:59.103: RTWSControl - OrderStatus - Got OrderStatus Message id:1356 status: PreSubmitted filled: 0</t>
  </si>
  <si>
    <t>2015-1-30 10:42:59.104: RTWSControl - OrderStatus - exiting orderStatus</t>
  </si>
  <si>
    <t>2015-1-30 10:42:59.362: OrderManager - PlaceOrder - id 1357 workingQty -1260</t>
  </si>
  <si>
    <t>2015-1-30 10:42:59.363: OrderManagerView - UpdateMainSheetOpenOrder - entering UpdateMainSheetOpenOrder order.status is In-Flight</t>
  </si>
  <si>
    <t>2015-1-30 10:42:59.369: OrderManager - sendOrder - exiting place order id 1357 SELL 24 1.5064  - workingQty -1260 currentPosition is 21 workingOrderCount is 1</t>
  </si>
  <si>
    <t>2015-1-30 10:42:59.507: RTWSControl - nextValidId - entering nextValidId id is 1358</t>
  </si>
  <si>
    <t>2015-1-30 10:42:59.667: RTWSControl - errMsg - got error message 399:Order Message:
SELL 24 GBP MAR'15
Warning: your order will not be placed at the exchange until 2015-01-30 08:30:00 US/Centralwith id 1357</t>
  </si>
  <si>
    <t>2015-1-30 10:42:59.669: RTWSControl - errMsg - Got Error_x000D_id: 1357_x000D_errorCode: 399_x000D_errorMsg: Order Message:
SELL 24 GBP MAR'15
Warning: your order will not be placed at the exchange until 2015-01-30 08:30:00 US/Central</t>
  </si>
  <si>
    <t>2015-1-30 10:42:59.697: openOrderEx - I am here</t>
  </si>
  <si>
    <t>2015-1-30 10:42:59.697: OrderManagerView - UpdateMainSheetOpenOrder - entering UpdateMainSheetOpenOrder order.status is In-Flight</t>
  </si>
  <si>
    <t>2015-1-30 10:42:59.720: RTWSControl - orderStatus -  entering orderStatus id is 1357 status is PreSubmitted</t>
  </si>
  <si>
    <t>2015-1-30 10:42:59.720: OrderManager - UpdateOrderStatus - id 1357 Setting status to PreSubmitted workingOrderCount is now 1 workingQty -1260</t>
  </si>
  <si>
    <t>2015-1-30 10:42:59.721: OrderManagerView - UpdateMainSheetOpenOrder - entering UpdateMainSheetOpenOrder order.status is PreSubmitted</t>
  </si>
  <si>
    <t>2015-1-30 10:42:59.722: RTWSControl - OrderStatus - Got OrderStatus Message id:1357 status: PreSubmitted filled: 0</t>
  </si>
  <si>
    <t>2015-1-30 10:42:59.723: RTWSControl - OrderStatus - exiting orderStatus</t>
  </si>
  <si>
    <t>2015-1-30 10:42:59.897: openOrderEx - I am here</t>
  </si>
  <si>
    <t>2015-1-30 10:42:59.898: OrderManagerView - UpdateMainSheetOpenOrder - entering UpdateMainSheetOpenOrder order.status is PreSubmitted</t>
  </si>
  <si>
    <t>2015-1-30 10:42:59.952: RTWSControl - orderStatus -  entering orderStatus id is 1357 status is PreSubmitted</t>
  </si>
  <si>
    <t>2015-1-30 10:42:59.953: OrderManager - UpdateOrderStatus - id 1357 Setting status to PreSubmitted workingOrderCount is now 1 workingQty -1260</t>
  </si>
  <si>
    <t>2015-1-30 10:42:59.954: OrderManagerView - UpdateMainSheetOpenOrder - entering UpdateMainSheetOpenOrder order.status is PreSubmitted</t>
  </si>
  <si>
    <t>2015-1-30 10:42:59.958: RTWSControl - OrderStatus - Got OrderStatus Message id:1357 status: PreSubmitted filled: 0</t>
  </si>
  <si>
    <t>2015-1-30 10:42:59.958: RTWSControl - OrderStatus - exiting orderStatus</t>
  </si>
  <si>
    <t>2015-1-30 10:43:1.10: OrderManagerView - UpdateMainSheetOpenOrder - entering UpdateMainSheetOpenOrder order.status is PreSubmitted</t>
  </si>
  <si>
    <t>2015-1-30 10:43:1.13: OrderManagerView - UpdateMainSheetOpenOrder - entering UpdateMainSheetOpenOrder order.status is PreSubmitted</t>
  </si>
  <si>
    <t>2015-1-30 10:43:1.15: OrderManagerView - UpdateMainSheetOpenOrder - entering UpdateMainSheetOpenOrder order.status is PreSubmitted</t>
  </si>
  <si>
    <t>2015-1-30 10:43:3.222: OrderManagerView - UpdateMainSheetOpenOrder - entering UpdateMainSheetOpenOrder order.status is PreSubmitted</t>
  </si>
  <si>
    <t>2015-1-30 10:43:3.227: OrderManagerView - UpdateMainSheetOpenOrder - entering UpdateMainSheetOpenOrder order.status is PreSubmitted</t>
  </si>
  <si>
    <t>2015-1-30 10:43:42.751: OrderManager - cancelOrder - cancelling order id 1356</t>
  </si>
  <si>
    <t>2015-1-30 10:43:42.751: OrderManager - PlaceOrder - id 1358 workingQty -1233</t>
  </si>
  <si>
    <t>2015-1-30 10:43:42.752: OrderManagerView - UpdateMainSheetOpenOrder - entering UpdateMainSheetOpenOrder order.status is In-Flight</t>
  </si>
  <si>
    <t>2015-1-30 10:43:42.753: OrderManager - sendOrder - exiting place order id 1358 BUY 27 1.513  - workingQty -1233 currentPosition is 21 workingOrderCount is 2</t>
  </si>
  <si>
    <t>2015-1-30 10:43:42.754: OrderManager - cancelOrder - cancelling order id 1357</t>
  </si>
  <si>
    <t>2015-1-30 10:43:42.754: OrderManager - createOrder - exiting without creating order - did not have validID</t>
  </si>
  <si>
    <t>2015-1-30 10:43:43.221: RTWSControl - nextValidId - entering nextValidId id is 1359</t>
  </si>
  <si>
    <t>2015-1-30 10:43:43.226: RTWSControl - orderStatus -  entering orderStatus id is 1356 status is Cancelled</t>
  </si>
  <si>
    <t>2015-1-30 10:43:43.227: OrderManager - UpdateOrderStatus - id 1356 Setting status to Cancelled workingOrderCount is now 2 workingQty -1233</t>
  </si>
  <si>
    <t>2015-1-30 10:43:43.227: OrderManagerView - UpdateMainSheetOpenOrder - entering UpdateMainSheetOpenOrder order.status is Cancelled</t>
  </si>
  <si>
    <t>2015-1-30 10:43:43.229: RTWSControl - OrderStatus - Got OrderStatus Message id:1356 status: Cancelled filled: 0</t>
  </si>
  <si>
    <t>2015-1-30 10:43:43.229: RTWSControl - OrderStatus - exiting orderStatus</t>
  </si>
  <si>
    <t>2015-1-30 10:43:43.256: RTWSControl - errMsg - got error message 202:Order Canceled - reason:with id 1356</t>
  </si>
  <si>
    <t>2015-1-30 10:43:43.257: OrderManager - canceledOrder - cleaning up after canceled order 1356BEWARE UNACCOUNTED FOR EXECUTIONS!!!</t>
  </si>
  <si>
    <t>2015-1-30 10:43:43.257: OrderManager - terminateOrder - cleaning up after Canceled 1356  order was supposed to BUY 24 1.5125 STP LMT workingQty/OrderCount now -1257/1</t>
  </si>
  <si>
    <t>2015-1-30 10:43:43.259: OrderManagerView - UpdateMainSheetOpenOrder - entering UpdateMainSheetOpenOrder order.status is Canceled</t>
  </si>
  <si>
    <t>2015-1-30 10:43:43.295: RTWSControl - errMsg - got error message 399:Order Message:
BUY 27 GBP MAR'15
Warning: your order will not be placed at the exchange until 2015-01-30 08:30:00 US/Centralwith id 1358</t>
  </si>
  <si>
    <t>2015-1-30 10:43:43.296: RTWSControl - errMsg - Got Error_x000D_id: 1358_x000D_errorCode: 399_x000D_errorMsg: Order Message:
BUY 27 GBP MAR'15
Warning: your order will not be placed at the exchange until 2015-01-30 08:30:00 US/Central</t>
  </si>
  <si>
    <t>2015-1-30 10:43:43.304: openOrderEx - I am here</t>
  </si>
  <si>
    <t>2015-1-30 10:43:43.304: OrderManagerView - UpdateMainSheetOpenOrder - entering UpdateMainSheetOpenOrder order.status is In-Flight</t>
  </si>
  <si>
    <t>2015-1-30 10:43:43.336: RTWSControl - orderStatus -  entering orderStatus id is 1358 status is PreSubmitted</t>
  </si>
  <si>
    <t>2015-1-30 10:43:43.337: OrderManager - UpdateOrderStatus - id 1358 Setting status to PreSubmitted workingOrderCount is now 1 workingQty -1257</t>
  </si>
  <si>
    <t>2015-1-30 10:43:43.337: OrderManagerView - UpdateMainSheetOpenOrder - entering UpdateMainSheetOpenOrder order.status is PreSubmitted</t>
  </si>
  <si>
    <t>2015-1-30 10:43:43.339: RTWSControl - OrderStatus - Got OrderStatus Message id:1358 status: PreSubmitted filled: 0</t>
  </si>
  <si>
    <t>2015-1-30 10:43:43.339: RTWSControl - OrderStatus - exiting orderStatus</t>
  </si>
  <si>
    <t>2015-1-30 10:43:43.349: RTWSControl - orderStatus -  entering orderStatus id is 1357 status is Cancelled</t>
  </si>
  <si>
    <t>2015-1-30 10:43:43.349: OrderManager - UpdateOrderStatus - id 1357 Setting status to Cancelled workingOrderCount is now 1 workingQty -1257</t>
  </si>
  <si>
    <t>2015-1-30 10:43:43.350: OrderManagerView - UpdateMainSheetOpenOrder - entering UpdateMainSheetOpenOrder order.status is Cancelled</t>
  </si>
  <si>
    <t>2015-1-30 10:43:43.352: RTWSControl - OrderStatus - Got OrderStatus Message id:1357 status: Cancelled filled: 0</t>
  </si>
  <si>
    <t>2015-1-30 10:43:43.352: RTWSControl - OrderStatus - exiting orderStatus</t>
  </si>
  <si>
    <t>2015-1-30 10:43:43.382: RTWSControl - errMsg - got error message 202:Order Canceled - reason:with id 1357</t>
  </si>
  <si>
    <t>2015-1-30 10:43:43.383: OrderManager - canceledOrder - cleaning up after canceled order 1357BEWARE UNACCOUNTED FOR EXECUTIONS!!!</t>
  </si>
  <si>
    <t>2015-1-30 10:43:43.383: OrderManager - terminateOrder - cleaning up after Canceled 1357  order was supposed to SELL 24 1.5064 STP LMT workingQty/OrderCount now -1281/0</t>
  </si>
  <si>
    <t>2015-1-30 10:43:43.385: OrderManagerView - UpdateMainSheetOpenOrder - entering UpdateMainSheetOpenOrder order.status is Canceled</t>
  </si>
  <si>
    <t>2015-1-30 10:43:43.421: openOrderEx - I am here</t>
  </si>
  <si>
    <t>2015-1-30 10:43:43.422: OrderManagerView - UpdateMainSheetOpenOrder - entering UpdateMainSheetOpenOrder order.status is PreSubmitted</t>
  </si>
  <si>
    <t>2015-1-30 10:43:43.433: RTWSControl - orderStatus -  entering orderStatus id is 1358 status is PreSubmitted</t>
  </si>
  <si>
    <t>2015-1-30 10:43:43.434: OrderManager - UpdateOrderStatus - id 1358 Setting status to PreSubmitted workingOrderCount is now 0 workingQty -1281</t>
  </si>
  <si>
    <t>2015-1-30 10:43:43.434: OrderManagerView - UpdateMainSheetOpenOrder - entering UpdateMainSheetOpenOrder order.status is PreSubmitted</t>
  </si>
  <si>
    <t>2015-1-30 10:43:43.436: RTWSControl - OrderStatus - Got OrderStatus Message id:1358 status: PreSubmitted filled: 0</t>
  </si>
  <si>
    <t>2015-1-30 10:43:43.436: RTWSControl - OrderStatus - exiting orderStatus</t>
  </si>
  <si>
    <t>2015-1-30 10:43:44.849: OrderManager - PlaceOrder - id 1359 workingQty -1307</t>
  </si>
  <si>
    <t>2015-1-30 10:43:44.850: OrderManagerView - UpdateMainSheetOpenOrder - entering UpdateMainSheetOpenOrder order.status is In-Flight</t>
  </si>
  <si>
    <t>2015-1-30 10:43:44.851: OrderManager - sendOrder - exiting place order id 1359 SELL 26 1.5065  - workingQty -1307 currentPosition is 21 workingOrderCount is 1</t>
  </si>
  <si>
    <t>2015-1-30 10:43:45.21: RTWSControl - nextValidId - entering nextValidId id is 1360</t>
  </si>
  <si>
    <t>2015-1-30 10:43:45.28: RTWSControl - errMsg - got error message 399:Order Message:
SELL 26 GBP MAR'15
Warning: your order will not be placed at the exchange until 2015-01-30 08:30:00 US/Centralwith id 1359</t>
  </si>
  <si>
    <t>2015-1-30 10:43:45.28: RTWSControl - errMsg - Got Error_x000D_id: 1359_x000D_errorCode: 399_x000D_errorMsg: Order Message:
SELL 26 GBP MAR'15
Warning: your order will not be placed at the exchange until 2015-01-30 08:30:00 US/Central</t>
  </si>
  <si>
    <t>2015-1-30 10:43:45.38: openOrderEx - I am here</t>
  </si>
  <si>
    <t>2015-1-30 10:43:45.38: OrderManagerView - UpdateMainSheetOpenOrder - entering UpdateMainSheetOpenOrder order.status is In-Flight</t>
  </si>
  <si>
    <t>2015-1-30 10:43:45.85: RTWSControl - orderStatus -  entering orderStatus id is 1359 status is PreSubmitted</t>
  </si>
  <si>
    <t>2015-1-30 10:43:45.86: OrderManager - UpdateOrderStatus - id 1359 Setting status to PreSubmitted workingOrderCount is now 1 workingQty -1307</t>
  </si>
  <si>
    <t>2015-1-30 10:43:45.87: OrderManagerView - UpdateMainSheetOpenOrder - entering UpdateMainSheetOpenOrder order.status is PreSubmitted</t>
  </si>
  <si>
    <t>2015-1-30 10:43:45.92: RTWSControl - OrderStatus - Got OrderStatus Message id:1359 status: PreSubmitted filled: 0</t>
  </si>
  <si>
    <t>2015-1-30 10:43:45.93: RTWSControl - OrderStatus - exiting orderStatus</t>
  </si>
  <si>
    <t>2015-1-30 10:43:45.260: openOrderEx - I am here</t>
  </si>
  <si>
    <t>2015-1-30 10:43:45.261: OrderManagerView - UpdateMainSheetOpenOrder - entering UpdateMainSheetOpenOrder order.status is PreSubmitted</t>
  </si>
  <si>
    <t>2015-1-30 10:43:45.328: RTWSControl - orderStatus -  entering orderStatus id is 1359 status is PreSubmitted</t>
  </si>
  <si>
    <t>2015-1-30 10:43:45.331: OrderManager - UpdateOrderStatus - id 1359 Setting status to PreSubmitted workingOrderCount is now 1 workingQty -1307</t>
  </si>
  <si>
    <t>2015-1-30 10:43:45.332: OrderManagerView - UpdateMainSheetOpenOrder - entering UpdateMainSheetOpenOrder order.status is PreSubmitted</t>
  </si>
  <si>
    <t>2015-1-30 10:43:45.341: RTWSControl - OrderStatus - Got OrderStatus Message id:1359 status: PreSubmitted filled: 0</t>
  </si>
  <si>
    <t>2015-1-30 10:43:45.342: RTWSControl - OrderStatus - exiting orderStatus</t>
  </si>
  <si>
    <t>2015-1-30 10:43:48.7: OrderManagerView - UpdateMainSheetOpenOrder - entering UpdateMainSheetOpenOrder order.status is Canceled</t>
  </si>
  <si>
    <t>2015-1-30 10:43:48.9: OrderManagerView - UpdateMainSheetOpenOrder - entering UpdateMainSheetOpenOrder order.status is PreSubmitted</t>
  </si>
  <si>
    <t>2015-1-30 10:43:48.11: OrderManagerView - UpdateMainSheetOpenOrder - entering UpdateMainSheetOpenOrder order.status is PreSubmitted</t>
  </si>
  <si>
    <t>2015-1-30 10:43:48.12: OrderManagerView - UpdateMainSheetOpenOrder - entering UpdateMainSheetOpenOrder order.status is PreSubmitted</t>
  </si>
  <si>
    <t>2015-1-30 10:43:48.13: OrderManagerView - UpdateMainSheetOpenOrder - entering UpdateMainSheetOpenOrder order.status is PreSubmitted</t>
  </si>
  <si>
    <t>2015-1-30 10:43:48.17: OrderManagerView - UpdateMainSheetOpenOrder - entering UpdateMainSheetOpenOrder order.status is PreSubmitted</t>
  </si>
  <si>
    <t>2015-1-30 10:43:48.19: OrderManagerView - UpdateMainSheetOpenOrder - entering UpdateMainSheetOpenOrder order.status is PreSubmitted</t>
  </si>
  <si>
    <t>2015-1-30 10:43:48.21: OrderManagerView - UpdateMainSheetOpenOrder - entering UpdateMainSheetOpenOrder order.status is PreSubmitted</t>
  </si>
  <si>
    <t>2015-1-30 10:43:53.24: OrderManagerView - UpdateMainSheetOpenOrder - entering UpdateMainSheetOpenOrder order.status is PreSubmitted</t>
  </si>
  <si>
    <t>2015-1-30 10:43:53.30: OrderManagerView - UpdateMainSheetOpenOrder - entering UpdateMainSheetOpenOrder order.status is PreSubmitted</t>
  </si>
  <si>
    <t>2015-1-30 10:44:19.463: OrderManager - cancelOrder - cancelling order id 1359</t>
  </si>
  <si>
    <t>2015-1-30 10:44:19.463: OrderManager - PlaceOrder - id 1360 workingQty -1336</t>
  </si>
  <si>
    <t>2015-1-30 10:44:19.463: OrderManagerView - UpdateMainSheetOpenOrder - entering UpdateMainSheetOpenOrder order.status is In-Flight</t>
  </si>
  <si>
    <t>2015-1-30 10:44:19.465: OrderManager - sendOrder - exiting place order id 1360 SELL 29 1.5061  - workingQty -1336 currentPosition is 21 workingOrderCount is 2</t>
  </si>
  <si>
    <t>2015-1-30 10:44:19.840: RTWSControl - nextValidId - entering nextValidId id is 1361</t>
  </si>
  <si>
    <t>2015-1-30 10:44:19.846: RTWSControl - orderStatus -  entering orderStatus id is 1359 status is Cancelled</t>
  </si>
  <si>
    <t>2015-1-30 10:44:19.847: OrderManager - UpdateOrderStatus - id 1359 Setting status to Cancelled workingOrderCount is now 2 workingQty -1336</t>
  </si>
  <si>
    <t>2015-1-30 10:44:19.847: OrderManagerView - UpdateMainSheetOpenOrder - entering UpdateMainSheetOpenOrder order.status is Cancelled</t>
  </si>
  <si>
    <t>2015-1-30 10:44:19.849: RTWSControl - OrderStatus - Got OrderStatus Message id:1359 status: Cancelled filled: 0</t>
  </si>
  <si>
    <t>2015-1-30 10:44:19.850: RTWSControl - OrderStatus - exiting orderStatus</t>
  </si>
  <si>
    <t>2015-1-30 10:44:19.881: RTWSControl - errMsg - got error message 202:Order Canceled - reason:with id 1359</t>
  </si>
  <si>
    <t>2015-1-30 10:44:19.882: OrderManager - canceledOrder - cleaning up after canceled order 1359BEWARE UNACCOUNTED FOR EXECUTIONS!!!</t>
  </si>
  <si>
    <t>2015-1-30 10:44:19.882: OrderManager - terminateOrder - cleaning up after Canceled 1359  order was supposed to SELL 26 1.5065 STP LMT workingQty/OrderCount now -1362/1</t>
  </si>
  <si>
    <t>2015-1-30 10:44:19.883: OrderManagerView - UpdateMainSheetOpenOrder - entering UpdateMainSheetOpenOrder order.status is Canceled</t>
  </si>
  <si>
    <t>2015-1-30 10:44:19.920: RTWSControl - errMsg - got error message 399:Order Message:
SELL 29 GBP MAR'15
Warning: your order will not be placed at the exchange until 2015-01-30 08:30:00 US/Centralwith id 1360</t>
  </si>
  <si>
    <t>2015-1-30 10:44:19.920: RTWSControl - errMsg - Got Error_x000D_id: 1360_x000D_errorCode: 399_x000D_errorMsg: Order Message:
SELL 29 GBP MAR'15
Warning: your order will not be placed at the exchange until 2015-01-30 08:30:00 US/Central</t>
  </si>
  <si>
    <t>2015-1-30 10:44:19.929: openOrderEx - I am here</t>
  </si>
  <si>
    <t>2015-1-30 10:44:19.929: OrderManagerView - UpdateMainSheetOpenOrder - entering UpdateMainSheetOpenOrder order.status is In-Flight</t>
  </si>
  <si>
    <t>2015-1-30 10:44:19.961: RTWSControl - orderStatus -  entering orderStatus id is 1360 status is PreSubmitted</t>
  </si>
  <si>
    <t>2015-1-30 10:44:19.962: OrderManager - UpdateOrderStatus - id 1360 Setting status to PreSubmitted workingOrderCount is now 1 workingQty -1362</t>
  </si>
  <si>
    <t>2015-1-30 10:44:19.962: OrderManagerView - UpdateMainSheetOpenOrder - entering UpdateMainSheetOpenOrder order.status is PreSubmitted</t>
  </si>
  <si>
    <t>2015-1-30 10:44:19.964: RTWSControl - OrderStatus - Got OrderStatus Message id:1360 status: PreSubmitted filled: 0</t>
  </si>
  <si>
    <t>2015-1-30 10:44:19.964: RTWSControl - OrderStatus - exiting orderStatus</t>
  </si>
  <si>
    <t>2015-1-30 10:44:19.978: openOrderEx - I am here</t>
  </si>
  <si>
    <t>2015-1-30 10:44:19.978: OrderManagerView - UpdateMainSheetOpenOrder - entering UpdateMainSheetOpenOrder order.status is PreSubmitted</t>
  </si>
  <si>
    <t>2015-1-30 10:44:20.8: RTWSControl - orderStatus -  entering orderStatus id is 1360 status is PreSubmitted</t>
  </si>
  <si>
    <t>2015-1-30 10:44:20.9: OrderManager - UpdateOrderStatus - id 1360 Setting status to PreSubmitted workingOrderCount is now 1 workingQty -1362</t>
  </si>
  <si>
    <t>2015-1-30 10:44:20.9: OrderManagerView - UpdateMainSheetOpenOrder - entering UpdateMainSheetOpenOrder order.status is PreSubmitted</t>
  </si>
  <si>
    <t>2015-1-30 10:44:20.11: RTWSControl - OrderStatus - Got OrderStatus Message id:1360 status: PreSubmitted filled: 0</t>
  </si>
  <si>
    <t>2015-1-30 10:44:20.11: RTWSControl - OrderStatus - exiting orderStatus</t>
  </si>
  <si>
    <t>2015-1-30 10:44:24.27: OrderManagerView - UpdateMainSheetOpenOrder - entering UpdateMainSheetOpenOrder order.status is PreSubmitted</t>
  </si>
  <si>
    <t>2015-1-30 10:44:24.33: OrderManagerView - UpdateMainSheetOpenOrder - entering UpdateMainSheetOpenOrder order.status is PreSubmitted</t>
  </si>
  <si>
    <t>2015-1-30 10:44:35.338: OrderManager - cancelOrder - cancelling order id 1358</t>
  </si>
  <si>
    <t>2015-1-30 10:44:35.338: OrderManager - PlaceOrder - id 1361 workingQty -1332</t>
  </si>
  <si>
    <t>2015-1-30 10:44:35.339: OrderManagerView - UpdateMainSheetOpenOrder - entering UpdateMainSheetOpenOrder order.status is In-Flight</t>
  </si>
  <si>
    <t>2015-1-30 10:44:35.340: OrderManager - sendOrder - exiting place order id 1361 BUY 30 1.5128  - workingQty -1332 currentPosition is 21 workingOrderCount is 2</t>
  </si>
  <si>
    <t>2015-1-30 10:44:35.465: RTWSControl - nextValidId - entering nextValidId id is 1362</t>
  </si>
  <si>
    <t>2015-1-30 10:44:35.623: RTWSControl - orderStatus -  entering orderStatus id is 1358 status is Cancelled</t>
  </si>
  <si>
    <t>2015-1-30 10:44:35.624: OrderManager - UpdateOrderStatus - id 1358 Setting status to Cancelled workingOrderCount is now 2 workingQty -1332</t>
  </si>
  <si>
    <t>2015-1-30 10:44:35.625: OrderManagerView - UpdateMainSheetOpenOrder - entering UpdateMainSheetOpenOrder order.status is Cancelled</t>
  </si>
  <si>
    <t>2015-1-30 10:44:35.628: RTWSControl - OrderStatus - Got OrderStatus Message id:1358 status: Cancelled filled: 0</t>
  </si>
  <si>
    <t>2015-1-30 10:44:35.628: RTWSControl - OrderStatus - exiting orderStatus</t>
  </si>
  <si>
    <t>2015-1-30 10:44:35.656: RTWSControl - errMsg - got error message 202:Order Canceled - reason:with id 1358</t>
  </si>
  <si>
    <t>2015-1-30 10:44:35.656: OrderManager - canceledOrder - cleaning up after canceled order 1358BEWARE UNACCOUNTED FOR EXECUTIONS!!!</t>
  </si>
  <si>
    <t>2015-1-30 10:44:35.657: OrderManager - terminateOrder - cleaning up after Canceled 1358  order was supposed to BUY 27 1.513 STP LMT workingQty/OrderCount now -1359/1</t>
  </si>
  <si>
    <t>2015-1-30 10:44:35.658: OrderManagerView - UpdateMainSheetOpenOrder - entering UpdateMainSheetOpenOrder order.status is Canceled</t>
  </si>
  <si>
    <t>2015-1-30 10:44:35.712: RTWSControl - errMsg - got error message 399:Order Message:
BUY 30 GBP MAR'15
Warning: your order will not be placed at the exchange until 2015-01-30 08:30:00 US/Centralwith id 1361</t>
  </si>
  <si>
    <t>2015-1-30 10:44:35.713: RTWSControl - errMsg - Got Error_x000D_id: 1361_x000D_errorCode: 399_x000D_errorMsg: Order Message:
BUY 30 GBP MAR'15
Warning: your order will not be placed at the exchange until 2015-01-30 08:30:00 US/Central</t>
  </si>
  <si>
    <t>2015-1-30 10:44:35.722: openOrderEx - I am here</t>
  </si>
  <si>
    <t>2015-1-30 10:44:35.723: OrderManagerView - UpdateMainSheetOpenOrder - entering UpdateMainSheetOpenOrder order.status is In-Flight</t>
  </si>
  <si>
    <t>2015-1-30 10:44:35.754: RTWSControl - orderStatus -  entering orderStatus id is 1361 status is PreSubmitted</t>
  </si>
  <si>
    <t>2015-1-30 10:44:35.755: OrderManager - UpdateOrderStatus - id 1361 Setting status to PreSubmitted workingOrderCount is now 1 workingQty -1359</t>
  </si>
  <si>
    <t>2015-1-30 10:44:35.755: OrderManagerView - UpdateMainSheetOpenOrder - entering UpdateMainSheetOpenOrder order.status is PreSubmitted</t>
  </si>
  <si>
    <t>2015-1-30 10:44:35.757: RTWSControl - OrderStatus - Got OrderStatus Message id:1361 status: PreSubmitted filled: 0</t>
  </si>
  <si>
    <t>2015-1-30 10:44:35.757: RTWSControl - OrderStatus - exiting orderStatus</t>
  </si>
  <si>
    <t>2015-1-30 10:44:35.770: openOrderEx - I am here</t>
  </si>
  <si>
    <t>2015-1-30 10:44:35.770: OrderManagerView - UpdateMainSheetOpenOrder - entering UpdateMainSheetOpenOrder order.status is PreSubmitted</t>
  </si>
  <si>
    <t>2015-1-30 10:44:35.799: RTWSControl - orderStatus -  entering orderStatus id is 1361 status is PreSubmitted</t>
  </si>
  <si>
    <t>2015-1-30 10:44:35.799: OrderManager - UpdateOrderStatus - id 1361 Setting status to PreSubmitted workingOrderCount is now 1 workingQty -1359</t>
  </si>
  <si>
    <t>2015-1-30 10:44:35.800: OrderManagerView - UpdateMainSheetOpenOrder - entering UpdateMainSheetOpenOrder order.status is PreSubmitted</t>
  </si>
  <si>
    <t>2015-1-30 10:44:35.802: RTWSControl - OrderStatus - Got OrderStatus Message id:1361 status: PreSubmitted filled: 0</t>
  </si>
  <si>
    <t>2015-1-30 10:44:35.802: RTWSControl - OrderStatus - exiting orderStatus</t>
  </si>
  <si>
    <t>2015-1-30 10:44:40.5: OrderManagerView - UpdateMainSheetOpenOrder - entering UpdateMainSheetOpenOrder order.status is PreSubmitted</t>
  </si>
  <si>
    <t>2015-1-30 10:44:40.7: OrderManagerView - UpdateMainSheetOpenOrder - entering UpdateMainSheetOpenOrder order.status is PreSubmitted</t>
  </si>
  <si>
    <t>2015-1-30 10:44:40.9: OrderManagerView - UpdateMainSheetOpenOrder - entering UpdateMainSheetOpenOrder order.status is PreSubmitted</t>
  </si>
  <si>
    <t>2015-1-30 10:44:46.12: Algorithm - FindNextStrikes - price is 1.5075 nextStrikeUp/Down 1.51/1.505</t>
  </si>
  <si>
    <t>2015-1-30 10:44:46.12: Algorithm - getPortfolioForwardDelta - required deltas is 21 currentHedgePosition is 21</t>
  </si>
  <si>
    <t>2015-1-30 10:44:46.13: Algorithm - getHedgeShortfall - required deltas is 21 price is 1.5074 currentHedgePositionDeltas is 21</t>
  </si>
  <si>
    <t>2015-1-30 10:44:46.13: Algorithm - processTransitionPoint - nextUpper/LowerStrikes are 1.51/1.505 requiredDeltas/currentPosition/currentHedgeShortfall/direction/transitionPrice are 21/21/0/-1/1.5074</t>
  </si>
  <si>
    <t>2015-1-30 10:44:46.14: TransitionLogger - processTransitionpoint - checking transition - currentHedgeShortfall is 0</t>
  </si>
  <si>
    <t>2015-1-30 10:44:46.15: Algorithm - updatePortfolio - haveAllDetails is True</t>
  </si>
  <si>
    <t>2015-1-30 10:44:46.57: Algorithm - FindNextStrikes - price is 1.5075 nextStrikeUp/Down 1.51/1.505</t>
  </si>
  <si>
    <t>2015-1-30 10:44:46.58: Algorithm - getPortfolioForwardDelta - required deltas is 21 currentHedgePosition is 21</t>
  </si>
  <si>
    <t>2015-1-30 10:44:46.58: Algorithm - getHedgeShortfall - required deltas is 21 price is 1.5074 currentHedgePositionDeltas is 21</t>
  </si>
  <si>
    <t>2015-1-30 10:44:46.58: Algorithm - processTransitionPoint - nextUpper/LowerStrikes are 1.51/1.505 requiredDeltas/currentPosition/currentHedgeShortfall/direction/transitionPrice are 21/21/0/-1/1.5074</t>
  </si>
  <si>
    <t>2015-1-30 10:44:46.59: TransitionLogger - processTransitionpoint - checking transition - currentHedgeShortfall is 0</t>
  </si>
  <si>
    <t>2015-1-30 10:44:46.60: Algorithm - updatePortfolio - haveAllDetails is True</t>
  </si>
  <si>
    <t>2015-1-30 10:44:46.106: Algorithm - FindNextStrikes - price is 1.5075 nextStrikeUp/Down 1.51/1.505</t>
  </si>
  <si>
    <t>2015-1-30 10:44:46.106: Algorithm - getPortfolioForwardDelta - required deltas is 21 currentHedgePosition is 21</t>
  </si>
  <si>
    <t>2015-1-30 10:44:46.107: Algorithm - getHedgeShortfall - required deltas is 21 price is 1.5074 currentHedgePositionDeltas is 21</t>
  </si>
  <si>
    <t>2015-1-30 10:44:46.107: Algorithm - processTransitionPoint - nextUpper/LowerStrikes are 1.51/1.505 requiredDeltas/currentPosition/currentHedgeShortfall/direction/transitionPrice are 21/21/0/-1/1.5074</t>
  </si>
  <si>
    <t>2015-1-30 10:44:46.107: TransitionLogger - processTransitionpoint - checking transition - currentHedgeShortfall is 0</t>
  </si>
  <si>
    <t>2015-1-30 10:44:46.108: Algorithm - updatePortfolio - haveAllDetails is True</t>
  </si>
  <si>
    <t>2015-1-30 10:44:46.146: Algorithm - FindNextStrikes - price is 1.5075 nextStrikeUp/Down 1.51/1.505</t>
  </si>
  <si>
    <t>2015-1-30 10:44:46.147: Algorithm - getPortfolioForwardDelta - required deltas is 21 currentHedgePosition is 21</t>
  </si>
  <si>
    <t>2015-1-30 10:44:46.147: Algorithm - getHedgeShortfall - required deltas is 21 price is 1.5074 currentHedgePositionDeltas is 21</t>
  </si>
  <si>
    <t>2015-1-30 10:44:46.148: Algorithm - processTransitionPoint - nextUpper/LowerStrikes are 1.51/1.505 requiredDeltas/currentPosition/currentHedgeShortfall/direction/transitionPrice are 21/21/0/-1/1.5074</t>
  </si>
  <si>
    <t>2015-1-30 10:44:46.148: TransitionLogger - processTransitionpoint - checking transition - currentHedgeShortfall is 0</t>
  </si>
  <si>
    <t>2015-1-30 10:44:46.149: Algorithm - updatePortfolio - haveAllDetails is True</t>
  </si>
  <si>
    <t>2015-1-30 10:44:46.214: Algorithm - FindNextStrikes - price is 1.5075 nextStrikeUp/Down 1.51/1.505</t>
  </si>
  <si>
    <t>2015-1-30 10:44:46.214: Algorithm - getPortfolioForwardDelta - required deltas is 21 currentHedgePosition is 21</t>
  </si>
  <si>
    <t>2015-1-30 10:44:46.215: Algorithm - getHedgeShortfall - required deltas is 21 price is 1.5074 currentHedgePositionDeltas is 21</t>
  </si>
  <si>
    <t>2015-1-30 10:44:46.215: Algorithm - processTransitionPoint - nextUpper/LowerStrikes are 1.51/1.505 requiredDeltas/currentPosition/currentHedgeShortfall/direction/transitionPrice are 21/21/0/-1/1.5074</t>
  </si>
  <si>
    <t>2015-1-30 10:44:46.215: TransitionLogger - processTransitionpoint - checking transition - currentHedgeShortfall is 0</t>
  </si>
  <si>
    <t>2015-1-30 10:44:46.216: Algorithm - updatePortfolio - haveAllDetails is True</t>
  </si>
  <si>
    <t>2015-1-30 10:44:46.267: Algorithm - FindNextStrikes - price is 1.5075 nextStrikeUp/Down 1.51/1.505</t>
  </si>
  <si>
    <t>2015-1-30 10:44:46.268: Algorithm - getPortfolioForwardDelta - required deltas is 21 currentHedgePosition is 21</t>
  </si>
  <si>
    <t>2015-1-30 10:44:46.268: Algorithm - getHedgeShortfall - required deltas is 21 price is 1.5074 currentHedgePositionDeltas is 21</t>
  </si>
  <si>
    <t>2015-1-30 10:44:46.269: Algorithm - processTransitionPoint - nextUpper/LowerStrikes are 1.51/1.505 requiredDeltas/currentPosition/currentHedgeShortfall/direction/transitionPrice are 21/21/0/-1/1.5074</t>
  </si>
  <si>
    <t>2015-1-30 10:44:46.269: TransitionLogger - processTransitionpoint - checking transition - currentHedgeShortfall is 0</t>
  </si>
  <si>
    <t>2015-1-30 10:44:46.270: Algorithm - updatePortfolio - haveAllDetails is True</t>
  </si>
  <si>
    <t>2015-1-30 10:44:46.314: Algorithm - FindNextStrikes - price is 1.5075 nextStrikeUp/Down 1.51/1.505</t>
  </si>
  <si>
    <t>2015-1-30 10:44:46.315: Algorithm - getPortfolioForwardDelta - required deltas is 21 currentHedgePosition is 21</t>
  </si>
  <si>
    <t>2015-1-30 10:44:46.315: Algorithm - getHedgeShortfall - required deltas is 21 price is 1.5074 currentHedgePositionDeltas is 21</t>
  </si>
  <si>
    <t>2015-1-30 10:44:46.316: Algorithm - processTransitionPoint - nextUpper/LowerStrikes are 1.51/1.505 requiredDeltas/currentPosition/currentHedgeShortfall/direction/transitionPrice are 21/21/0/-1/1.5074</t>
  </si>
  <si>
    <t>2015-1-30 10:44:46.316: TransitionLogger - processTransitionpoint - checking transition - currentHedgeShortfall is 0</t>
  </si>
  <si>
    <t>2015-1-30 10:44:46.317: Algorithm - updatePortfolio - haveAllDetails is True</t>
  </si>
  <si>
    <t>2015-1-30 10:44:46.380: Algorithm - FindNextStrikes - price is 1.5075 nextStrikeUp/Down 1.51/1.505</t>
  </si>
  <si>
    <t>2015-1-30 10:44:46.381: Algorithm - getPortfolioForwardDelta - required deltas is 21 currentHedgePosition is 21</t>
  </si>
  <si>
    <t>2015-1-30 10:44:46.381: Algorithm - getHedgeShortfall - required deltas is 21 price is 1.5074 currentHedgePositionDeltas is 21</t>
  </si>
  <si>
    <t>2015-1-30 10:44:46.381: Algorithm - processTransitionPoint - nextUpper/LowerStrikes are 1.51/1.505 requiredDeltas/currentPosition/currentHedgeShortfall/direction/transitionPrice are 21/21/0/-1/1.5074</t>
  </si>
  <si>
    <t>2015-1-30 10:44:46.382: TransitionLogger - processTransitionpoint - checking transition - currentHedgeShortfall is 0</t>
  </si>
  <si>
    <t>2015-1-30 10:44:46.382: Algorithm - updatePortfolio - haveAllDetails is True</t>
  </si>
  <si>
    <t>2015-1-30 10:44:46.434: Algorithm - FindNextStrikes - price is 1.5075 nextStrikeUp/Down 1.51/1.505</t>
  </si>
  <si>
    <t>2015-1-30 10:44:46.434: Algorithm - getPortfolioForwardDelta - required deltas is 21 currentHedgePosition is 21</t>
  </si>
  <si>
    <t>2015-1-30 10:44:46.435: Algorithm - getHedgeShortfall - required deltas is 21 price is 1.5074 currentHedgePositionDeltas is 21</t>
  </si>
  <si>
    <t>2015-1-30 10:44:46.435: Algorithm - processTransitionPoint - nextUpper/LowerStrikes are 1.51/1.505 requiredDeltas/currentPosition/currentHedgeShortfall/direction/transitionPrice are 21/21/0/-1/1.5074</t>
  </si>
  <si>
    <t>2015-1-30 10:44:46.435: TransitionLogger - processTransitionpoint - checking transition - currentHedgeShortfall is 0</t>
  </si>
  <si>
    <t>2015-1-30 10:44:46.436: Algorithm - updatePortfolio - haveAllDetails is True</t>
  </si>
  <si>
    <t>2015-1-30 10:44:46.480: Algorithm - FindNextStrikes - price is 1.5075 nextStrikeUp/Down 1.51/1.505</t>
  </si>
  <si>
    <t>2015-1-30 10:44:46.480: Algorithm - getPortfolioForwardDelta - required deltas is 21 currentHedgePosition is 21</t>
  </si>
  <si>
    <t>2015-1-30 10:44:46.481: Algorithm - getHedgeShortfall - required deltas is 21 price is 1.5074 currentHedgePositionDeltas is 21</t>
  </si>
  <si>
    <t>2015-1-30 10:44:46.481: Algorithm - processTransitionPoint - nextUpper/LowerStrikes are 1.51/1.505 requiredDeltas/currentPosition/currentHedgeShortfall/direction/transitionPrice are 21/21/0/-1/1.5074</t>
  </si>
  <si>
    <t>2015-1-30 10:44:46.481: TransitionLogger - processTransitionpoint - checking transition - currentHedgeShortfall is 0</t>
  </si>
  <si>
    <t>2015-1-30 10:44:46.482: Algorithm - updatePortfolio - haveAllDetails is True</t>
  </si>
  <si>
    <t>2015-1-30 10:44:46.546: Algorithm - FindNextStrikes - price is 1.5075 nextStrikeUp/Down 1.51/1.505</t>
  </si>
  <si>
    <t>2015-1-30 10:44:46.547: Algorithm - getPortfolioForwardDelta - required deltas is 21 currentHedgePosition is 21</t>
  </si>
  <si>
    <t>2015-1-30 10:44:46.547: Algorithm - getHedgeShortfall - required deltas is 21 price is 1.5074 currentHedgePositionDeltas is 21</t>
  </si>
  <si>
    <t>2015-1-30 10:44:46.548: Algorithm - processTransitionPoint - nextUpper/LowerStrikes are 1.51/1.505 requiredDeltas/currentPosition/currentHedgeShortfall/direction/transitionPrice are 21/21/0/-1/1.5074</t>
  </si>
  <si>
    <t>2015-1-30 10:44:46.548: TransitionLogger - processTransitionpoint - checking transition - currentHedgeShortfall is 0</t>
  </si>
  <si>
    <t>2015-1-30 10:44:46.549: Algorithm - updatePortfolio - haveAllDetails is True</t>
  </si>
  <si>
    <t>2015-1-30 10:44:46.601: Algorithm - FindNextStrikes - price is 1.5075 nextStrikeUp/Down 1.51/1.505</t>
  </si>
  <si>
    <t>2015-1-30 10:44:46.602: Algorithm - getPortfolioForwardDelta - required deltas is 21 currentHedgePosition is 21</t>
  </si>
  <si>
    <t>2015-1-30 10:44:46.602: Algorithm - getHedgeShortfall - required deltas is 21 price is 1.5074 currentHedgePositionDeltas is 21</t>
  </si>
  <si>
    <t>2015-1-30 10:44:46.603: Algorithm - processTransitionPoint - nextUpper/LowerStrikes are 1.51/1.505 requiredDeltas/currentPosition/currentHedgeShortfall/direction/transitionPrice are 21/21/0/-1/1.5074</t>
  </si>
  <si>
    <t>2015-1-30 10:44:46.603: TransitionLogger - processTransitionpoint - checking transition - currentHedgeShortfall is 0</t>
  </si>
  <si>
    <t>2015-1-30 10:44:46.604: Algorithm - updatePortfolio - haveAllDetails is True</t>
  </si>
  <si>
    <t>2015-1-30 10:44:46.645: Algorithm - FindNextStrikes - price is 1.5075 nextStrikeUp/Down 1.51/1.505</t>
  </si>
  <si>
    <t>2015-1-30 10:44:46.646: Algorithm - getPortfolioForwardDelta - required deltas is 21 currentHedgePosition is 21</t>
  </si>
  <si>
    <t>2015-1-30 10:44:46.646: Algorithm - getHedgeShortfall - required deltas is 21 price is 1.5074 currentHedgePositionDeltas is 21</t>
  </si>
  <si>
    <t>2015-1-30 10:44:46.647: Algorithm - processTransitionPoint - nextUpper/LowerStrikes are 1.51/1.505 requiredDeltas/currentPosition/currentHedgeShortfall/direction/transitionPrice are 21/21/0/-1/1.5074</t>
  </si>
  <si>
    <t>2015-1-30 10:44:46.647: TransitionLogger - processTransitionpoint - checking transition - currentHedgeShortfall is 0</t>
  </si>
  <si>
    <t>2015-1-30 10:44:46.648: Algorithm - updatePortfolio - haveAllDetails is True</t>
  </si>
  <si>
    <t>2015-1-30 10:45:8.844: OrderManager - cancelOrder - cancelling order id 1361</t>
  </si>
  <si>
    <t>2015-1-30 10:45:8.845: OrderManager - PlaceOrder - id 1362 workingQty -1337</t>
  </si>
  <si>
    <t>2015-1-30 10:45:8.846: OrderManagerView - UpdateMainSheetOpenOrder - entering UpdateMainSheetOpenOrder order.status is In-Flight</t>
  </si>
  <si>
    <t>2015-1-30 10:45:8.852: OrderManager - sendOrder - exiting place order id 1362 BUY 22 1.5117  - workingQty -1337 currentPosition is 21 workingOrderCount is 2</t>
  </si>
  <si>
    <t>2015-1-30 10:45:8.853: OrderManager - cancelOrder - cancelling order id 1360</t>
  </si>
  <si>
    <t>2015-1-30 10:45:8.854: OrderManager - createOrder - exiting without creating order - did not have validID</t>
  </si>
  <si>
    <t>2015-1-30 10:45:9.28: RTWSControl - nextValidId - entering nextValidId id is 1363</t>
  </si>
  <si>
    <t>2015-1-30 10:45:9.183: RTWSControl - orderStatus -  entering orderStatus id is 1361 status is Cancelled</t>
  </si>
  <si>
    <t>2015-1-30 10:45:9.184: OrderManager - UpdateOrderStatus - id 1361 Setting status to Cancelled workingOrderCount is now 2 workingQty -1337</t>
  </si>
  <si>
    <t>2015-1-30 10:45:9.185: OrderManagerView - UpdateMainSheetOpenOrder - entering UpdateMainSheetOpenOrder order.status is Cancelled</t>
  </si>
  <si>
    <t>2015-1-30 10:45:9.190: RTWSControl - OrderStatus - Got OrderStatus Message id:1361 status: Cancelled filled: 0</t>
  </si>
  <si>
    <t>2015-1-30 10:45:9.192: RTWSControl - OrderStatus - exiting orderStatus</t>
  </si>
  <si>
    <t>2015-1-30 10:45:9.218: RTWSControl - errMsg - got error message 202:Order Canceled - reason:with id 1361</t>
  </si>
  <si>
    <t>2015-1-30 10:45:9.219: OrderManager - canceledOrder - cleaning up after canceled order 1361BEWARE UNACCOUNTED FOR EXECUTIONS!!!</t>
  </si>
  <si>
    <t>2015-1-30 10:45:9.220: OrderManager - terminateOrder - cleaning up after Canceled 1361  order was supposed to BUY 30 1.5128 STP LMT workingQty/OrderCount now -1367/1</t>
  </si>
  <si>
    <t>2015-1-30 10:45:9.226: OrderManagerView - UpdateMainSheetOpenOrder - entering UpdateMainSheetOpenOrder order.status is Canceled</t>
  </si>
  <si>
    <t>2015-1-30 10:45:9.253: RTWSControl - errMsg - got error message 399:Order Message:
BUY 22 GBP MAR'15
Warning: your order will not be placed at the exchange until 2015-01-30 08:30:00 US/Centralwith id 1362</t>
  </si>
  <si>
    <t>2015-1-30 10:45:9.253: RTWSControl - errMsg - Got Error_x000D_id: 1362_x000D_errorCode: 399_x000D_errorMsg: Order Message:
BUY 22 GBP MAR'15
Warning: your order will not be placed at the exchange until 2015-01-30 08:30:00 US/Central</t>
  </si>
  <si>
    <t>2015-1-30 10:45:9.264: openOrderEx - I am here</t>
  </si>
  <si>
    <t>2015-1-30 10:45:9.264: OrderManagerView - UpdateMainSheetOpenOrder - entering UpdateMainSheetOpenOrder order.status is In-Flight</t>
  </si>
  <si>
    <t>2015-1-30 10:45:9.301: RTWSControl - orderStatus -  entering orderStatus id is 1362 status is PreSubmitted</t>
  </si>
  <si>
    <t>2015-1-30 10:45:9.301: OrderManager - UpdateOrderStatus - id 1362 Setting status to PreSubmitted workingOrderCount is now 1 workingQty -1367</t>
  </si>
  <si>
    <t>2015-1-30 10:45:9.302: OrderManagerView - UpdateMainSheetOpenOrder - entering UpdateMainSheetOpenOrder order.status is PreSubmitted</t>
  </si>
  <si>
    <t>2015-1-30 10:45:9.304: RTWSControl - OrderStatus - Got OrderStatus Message id:1362 status: PreSubmitted filled: 0</t>
  </si>
  <si>
    <t>2015-1-30 10:45:9.304: RTWSControl - OrderStatus - exiting orderStatus</t>
  </si>
  <si>
    <t>2015-1-30 10:45:9.340: openOrderEx - I am here</t>
  </si>
  <si>
    <t>2015-1-30 10:45:9.340: OrderManagerView - UpdateMainSheetOpenOrder - entering UpdateMainSheetOpenOrder order.status is PreSubmitted</t>
  </si>
  <si>
    <t>2015-1-30 10:45:9.352: RTWSControl - orderStatus -  entering orderStatus id is 1362 status is PreSubmitted</t>
  </si>
  <si>
    <t>2015-1-30 10:45:9.352: OrderManager - UpdateOrderStatus - id 1362 Setting status to PreSubmitted workingOrderCount is now 1 workingQty -1367</t>
  </si>
  <si>
    <t>2015-1-30 10:45:9.353: OrderManagerView - UpdateMainSheetOpenOrder - entering UpdateMainSheetOpenOrder order.status is PreSubmitted</t>
  </si>
  <si>
    <t>2015-1-30 10:45:9.354: RTWSControl - OrderStatus - Got OrderStatus Message id:1362 status: PreSubmitted filled: 0</t>
  </si>
  <si>
    <t>2015-1-30 10:45:9.355: RTWSControl - OrderStatus - exiting orderStatus</t>
  </si>
  <si>
    <t>2015-1-30 10:45:9.385: OrderManager - PlaceOrder - id 1363 workingQty -1389</t>
  </si>
  <si>
    <t>2015-1-30 10:45:9.385: OrderManagerView - UpdateMainSheetOpenOrder - entering UpdateMainSheetOpenOrder order.status is In-Flight</t>
  </si>
  <si>
    <t>2015-1-30 10:45:9.387: OrderManager - sendOrder - exiting place order id 1363 SELL 22 1.5059  - workingQty -1389 currentPosition is 21 workingOrderCount is 2</t>
  </si>
  <si>
    <t>2015-1-30 10:45:9.567: RTWSControl - orderStatus -  entering orderStatus id is 1360 status is Cancelled</t>
  </si>
  <si>
    <t>2015-1-30 10:45:9.567: OrderManager - UpdateOrderStatus - id 1360 Setting status to Cancelled workingOrderCount is now 2 workingQty -1389</t>
  </si>
  <si>
    <t>2015-1-30 10:45:9.568: OrderManagerView - UpdateMainSheetOpenOrder - entering UpdateMainSheetOpenOrder order.status is Cancelled</t>
  </si>
  <si>
    <t>2015-1-30 10:45:9.569: RTWSControl - OrderStatus - Got OrderStatus Message id:1360 status: Cancelled filled: 0</t>
  </si>
  <si>
    <t>2015-1-30 10:45:9.570: RTWSControl - OrderStatus - exiting orderStatus</t>
  </si>
  <si>
    <t>2015-1-30 10:45:9.589: RTWSControl - errMsg - got error message 202:Order Canceled - reason:with id 1360</t>
  </si>
  <si>
    <t>2015-1-30 10:45:9.589: OrderManager - canceledOrder - cleaning up after canceled order 1360BEWARE UNACCOUNTED FOR EXECUTIONS!!!</t>
  </si>
  <si>
    <t>2015-1-30 10:45:9.590: OrderManager - terminateOrder - cleaning up after Canceled 1360  order was supposed to SELL 29 1.5061 STP LMT workingQty/OrderCount now -1418/1</t>
  </si>
  <si>
    <t>2015-1-30 10:45:9.591: OrderManagerView - UpdateMainSheetOpenOrder - entering UpdateMainSheetOpenOrder order.status is Canceled</t>
  </si>
  <si>
    <t>2015-1-30 10:45:9.628: RTWSControl - nextValidId - entering nextValidId id is 1364</t>
  </si>
  <si>
    <t>2015-1-30 10:45:9.644: RTWSControl - errMsg - got error message 399:Order Message:
SELL 22 GBP MAR'15
Warning: your order will not be placed at the exchange until 2015-01-30 08:30:00 US/Centralwith id 1363</t>
  </si>
  <si>
    <t>2015-1-30 10:45:9.645: RTWSControl - errMsg - Got Error_x000D_id: 1363_x000D_errorCode: 399_x000D_errorMsg: Order Message:
SELL 22 GBP MAR'15
Warning: your order will not be placed at the exchange until 2015-01-30 08:30:00 US/Central</t>
  </si>
  <si>
    <t>2015-1-30 10:45:9.653: openOrderEx - I am here</t>
  </si>
  <si>
    <t>2015-1-30 10:45:9.654: OrderManagerView - UpdateMainSheetOpenOrder - entering UpdateMainSheetOpenOrder order.status is In-Flight</t>
  </si>
  <si>
    <t>2015-1-30 10:45:9.675: RTWSControl - orderStatus -  entering orderStatus id is 1363 status is PreSubmitted</t>
  </si>
  <si>
    <t>2015-1-30 10:45:9.675: OrderManager - UpdateOrderStatus - id 1363 Setting status to PreSubmitted workingOrderCount is now 1 workingQty -1418</t>
  </si>
  <si>
    <t>2015-1-30 10:45:9.676: OrderManagerView - UpdateMainSheetOpenOrder - entering UpdateMainSheetOpenOrder order.status is PreSubmitted</t>
  </si>
  <si>
    <t>2015-1-30 10:45:9.678: RTWSControl - OrderStatus - Got OrderStatus Message id:1363 status: PreSubmitted filled: 0</t>
  </si>
  <si>
    <t>2015-1-30 10:45:9.678: RTWSControl - OrderStatus - exiting orderStatus</t>
  </si>
  <si>
    <t>2015-1-30 10:45:9.715: openOrderEx - I am here</t>
  </si>
  <si>
    <t>2015-1-30 10:45:9.716: OrderManagerView - UpdateMainSheetOpenOrder - entering UpdateMainSheetOpenOrder order.status is PreSubmitted</t>
  </si>
  <si>
    <t>2015-1-30 10:45:9.727: RTWSControl - orderStatus -  entering orderStatus id is 1363 status is PreSubmitted</t>
  </si>
  <si>
    <t>2015-1-30 10:45:9.728: OrderManager - UpdateOrderStatus - id 1363 Setting status to PreSubmitted workingOrderCount is now 1 workingQty -1418</t>
  </si>
  <si>
    <t>2015-1-30 10:45:9.728: OrderManagerView - UpdateMainSheetOpenOrder - entering UpdateMainSheetOpenOrder order.status is PreSubmitted</t>
  </si>
  <si>
    <t>2015-1-30 10:45:9.730: RTWSControl - OrderStatus - Got OrderStatus Message id:1363 status: PreSubmitted filled: 0</t>
  </si>
  <si>
    <t>2015-1-30 10:45:9.730: RTWSControl - OrderStatus - exiting orderStatus</t>
  </si>
  <si>
    <t>2015-1-30 10:45:14.249: OrderManagerView - UpdateMainSheetOpenOrder - entering UpdateMainSheetOpenOrder order.status is Canceled</t>
  </si>
  <si>
    <t>2015-1-30 10:45:14.258: OrderManagerView - UpdateMainSheetOpenOrder - entering UpdateMainSheetOpenOrder order.status is PreSubmitted</t>
  </si>
  <si>
    <t>2015-1-30 10:45:14.265: OrderManagerView - UpdateMainSheetOpenOrder - entering UpdateMainSheetOpenOrder order.status is PreSubmitted</t>
  </si>
  <si>
    <t>2015-1-30 10:45:14.269: OrderManagerView - UpdateMainSheetOpenOrder - entering UpdateMainSheetOpenOrder order.status is PreSubmitted</t>
  </si>
  <si>
    <t>2015-1-30 10:45:14.271: OrderManagerView - UpdateMainSheetOpenOrder - entering UpdateMainSheetOpenOrder order.status is PreSubmitted</t>
  </si>
  <si>
    <t>2015-1-30 10:45:14.282: OrderManagerView - UpdateMainSheetOpenOrder - entering UpdateMainSheetOpenOrder order.status is PreSubmitted</t>
  </si>
  <si>
    <t>2015-1-30 10:45:14.287: OrderManagerView - UpdateMainSheetOpenOrder - entering UpdateMainSheetOpenOrder order.status is PreSubmitted</t>
  </si>
  <si>
    <t>2015-1-30 10:45:14.290: OrderManagerView - UpdateMainSheetOpenOrder - entering UpdateMainSheetOpenOrder order.status is PreSubmitted</t>
  </si>
  <si>
    <t>2015-1-30 10:45:15.379: OrderManager - cancelOrder - cancelling order id 1362</t>
  </si>
  <si>
    <t>2015-1-30 10:45:15.380: OrderManager - PlaceOrder - id 1364 workingQty -1389</t>
  </si>
  <si>
    <t>2015-1-30 10:45:15.380: OrderManagerView - UpdateMainSheetOpenOrder - entering UpdateMainSheetOpenOrder order.status is In-Flight</t>
  </si>
  <si>
    <t>2015-1-30 10:45:15.382: OrderManager - sendOrder - exiting place order id 1364 BUY 29 1.5123  - workingQty -1389 currentPosition is 21 workingOrderCount is 2</t>
  </si>
  <si>
    <t>2015-1-30 10:45:15.382: OrderManager - cancelOrder - cancelling order id 1363</t>
  </si>
  <si>
    <t>2015-1-30 10:45:15.383: OrderManager - createOrder - exiting without creating order - did not have validID</t>
  </si>
  <si>
    <t>2015-1-30 10:45:15.504: OrderManager - createOrder - exiting without creating order - did not have validID</t>
  </si>
  <si>
    <t>2015-1-30 10:45:15.753: RTWSControl - nextValidId - entering nextValidId id is 1365</t>
  </si>
  <si>
    <t>2015-1-30 10:45:15.758: RTWSControl - orderStatus -  entering orderStatus id is 1362 status is Cancelled</t>
  </si>
  <si>
    <t>2015-1-30 10:45:15.759: OrderManager - UpdateOrderStatus - id 1362 Setting status to Cancelled workingOrderCount is now 2 workingQty -1389</t>
  </si>
  <si>
    <t>2015-1-30 10:45:15.760: OrderManagerView - UpdateMainSheetOpenOrder - entering UpdateMainSheetOpenOrder order.status is Cancelled</t>
  </si>
  <si>
    <t>2015-1-30 10:45:15.762: RTWSControl - OrderStatus - Got OrderStatus Message id:1362 status: Cancelled filled: 0</t>
  </si>
  <si>
    <t>2015-1-30 10:45:15.762: RTWSControl - OrderStatus - exiting orderStatus</t>
  </si>
  <si>
    <t>2015-1-30 10:45:15.795: RTWSControl - errMsg - got error message 202:Order Canceled - reason:with id 1362</t>
  </si>
  <si>
    <t>2015-1-30 10:45:15.795: OrderManager - canceledOrder - cleaning up after canceled order 1362BEWARE UNACCOUNTED FOR EXECUTIONS!!!</t>
  </si>
  <si>
    <t>2015-1-30 10:45:15.796: OrderManager - terminateOrder - cleaning up after Canceled 1362  order was supposed to BUY 22 1.5117 STP LMT workingQty/OrderCount now -1411/1</t>
  </si>
  <si>
    <t>2015-1-30 10:45:15.798: OrderManagerView - UpdateMainSheetOpenOrder - entering UpdateMainSheetOpenOrder order.status is Canceled</t>
  </si>
  <si>
    <t>2015-1-30 10:45:15.808: RTWSControl - errMsg - got error message 399:Order Message:
BUY 29 GBP MAR'15
Warning: your order will not be placed at the exchange until 2015-01-30 08:30:00 US/Centralwith id 1364</t>
  </si>
  <si>
    <t>2015-1-30 10:45:15.809: RTWSControl - errMsg - Got Error_x000D_id: 1364_x000D_errorCode: 399_x000D_errorMsg: Order Message:
BUY 29 GBP MAR'15
Warning: your order will not be placed at the exchange until 2015-01-30 08:30:00 US/Central</t>
  </si>
  <si>
    <t>2015-1-30 10:45:15.840: openOrderEx - I am here</t>
  </si>
  <si>
    <t>2015-1-30 10:45:15.841: OrderManagerView - UpdateMainSheetOpenOrder - entering UpdateMainSheetOpenOrder order.status is In-Flight</t>
  </si>
  <si>
    <t>2015-1-30 10:45:15.852: RTWSControl - orderStatus -  entering orderStatus id is 1364 status is PreSubmitted</t>
  </si>
  <si>
    <t>2015-1-30 10:45:15.853: OrderManager - UpdateOrderStatus - id 1364 Setting status to PreSubmitted workingOrderCount is now 1 workingQty -1411</t>
  </si>
  <si>
    <t>2015-1-30 10:45:15.853: OrderManagerView - UpdateMainSheetOpenOrder - entering UpdateMainSheetOpenOrder order.status is PreSubmitted</t>
  </si>
  <si>
    <t>2015-1-30 10:45:15.855: RTWSControl - OrderStatus - Got OrderStatus Message id:1364 status: PreSubmitted filled: 0</t>
  </si>
  <si>
    <t>2015-1-30 10:45:15.855: RTWSControl - OrderStatus - exiting orderStatus</t>
  </si>
  <si>
    <t>2015-1-30 10:45:15.883: RTWSControl - orderStatus -  entering orderStatus id is 1363 status is Cancelled</t>
  </si>
  <si>
    <t>2015-1-30 10:45:15.883: OrderManager - UpdateOrderStatus - id 1363 Setting status to Cancelled workingOrderCount is now 1 workingQty -1411</t>
  </si>
  <si>
    <t>2015-1-30 10:45:15.884: OrderManagerView - UpdateMainSheetOpenOrder - entering UpdateMainSheetOpenOrder order.status is Cancelled</t>
  </si>
  <si>
    <t>2015-1-30 10:45:15.885: RTWSControl - OrderStatus - Got OrderStatus Message id:1363 status: Cancelled filled: 0</t>
  </si>
  <si>
    <t>2015-1-30 10:45:15.886: RTWSControl - OrderStatus - exiting orderStatus</t>
  </si>
  <si>
    <t>2015-1-30 10:45:15.919: RTWSControl - errMsg - got error message 202:Order Canceled - reason:with id 1363</t>
  </si>
  <si>
    <t>2015-1-30 10:45:15.920: OrderManager - canceledOrder - cleaning up after canceled order 1363BEWARE UNACCOUNTED FOR EXECUTIONS!!!</t>
  </si>
  <si>
    <t>2015-1-30 10:45:15.920: OrderManager - terminateOrder - cleaning up after Canceled 1363  order was supposed to SELL 22 1.5059 STP LMT workingQty/OrderCount now -1433/0</t>
  </si>
  <si>
    <t>2015-1-30 10:45:15.922: OrderManagerView - UpdateMainSheetOpenOrder - entering UpdateMainSheetOpenOrder order.status is Canceled</t>
  </si>
  <si>
    <t>2015-1-30 10:45:15.935: openOrderEx - I am here</t>
  </si>
  <si>
    <t>2015-1-30 10:45:15.935: OrderManagerView - UpdateMainSheetOpenOrder - entering UpdateMainSheetOpenOrder order.status is PreSubmitted</t>
  </si>
  <si>
    <t>2015-1-30 10:45:15.967: RTWSControl - orderStatus -  entering orderStatus id is 1364 status is PreSubmitted</t>
  </si>
  <si>
    <t>2015-1-30 10:45:15.967: OrderManager - UpdateOrderStatus - id 1364 Setting status to PreSubmitted workingOrderCount is now 0 workingQty -1433</t>
  </si>
  <si>
    <t>2015-1-30 10:45:15.968: OrderManagerView - UpdateMainSheetOpenOrder - entering UpdateMainSheetOpenOrder order.status is PreSubmitted</t>
  </si>
  <si>
    <t>2015-1-30 10:45:15.970: RTWSControl - OrderStatus - Got OrderStatus Message id:1364 status: PreSubmitted filled: 0</t>
  </si>
  <si>
    <t>2015-1-30 10:45:15.970: RTWSControl - OrderStatus - exiting orderStatus</t>
  </si>
  <si>
    <t>2015-1-30 10:45:19.52: OrderManagerView - UpdateMainSheetOpenOrder - entering UpdateMainSheetOpenOrder order.status is Canceled</t>
  </si>
  <si>
    <t>2015-1-30 10:45:19.60: OrderManagerView - UpdateMainSheetOpenOrder - entering UpdateMainSheetOpenOrder order.status is PreSubmitted</t>
  </si>
  <si>
    <t>2015-1-30 10:45:19.68: OrderManagerView - UpdateMainSheetOpenOrder - entering UpdateMainSheetOpenOrder order.status is PreSubmitted</t>
  </si>
  <si>
    <t>2015-1-30 10:45:20.8: OrderManagerView - UpdateMainSheetOpenOrder - entering UpdateMainSheetOpenOrder order.status is PreSubmitted</t>
  </si>
  <si>
    <t>2015-1-30 10:45:20.17: OrderManagerView - UpdateMainSheetOpenOrder - entering UpdateMainSheetOpenOrder order.status is PreSubmitted</t>
  </si>
  <si>
    <t>2015-1-30 10:45:24.263: OrderManagerView - UpdateMainSheetOpenOrder - entering UpdateMainSheetOpenOrder order.status is PreSubmitted</t>
  </si>
  <si>
    <t>2015-1-30 10:45:26.473: OrderManager - PlaceOrder - id 1365 workingQty -1463</t>
  </si>
  <si>
    <t>2015-1-30 10:45:26.473: OrderManagerView - UpdateMainSheetOpenOrder - entering UpdateMainSheetOpenOrder order.status is In-Flight</t>
  </si>
  <si>
    <t>2015-1-30 10:45:26.475: OrderManager - sendOrder - exiting place order id 1365 SELL 30 1.506  - workingQty -1463 currentPosition is 21 workingOrderCount is 1</t>
  </si>
  <si>
    <t>2015-1-30 10:45:26.888: RTWSControl - nextValidId - entering nextValidId id is 1366</t>
  </si>
  <si>
    <t>2015-1-30 10:45:26.920: RTWSControl - errMsg - got error message 399:Order Message:
SELL 30 GBP MAR'15
Warning: your order will not be placed at the exchange until 2015-01-30 08:30:00 US/Centralwith id 1365</t>
  </si>
  <si>
    <t>2015-1-30 10:45:26.920: RTWSControl - errMsg - Got Error_x000D_id: 1365_x000D_errorCode: 399_x000D_errorMsg: Order Message:
SELL 30 GBP MAR'15
Warning: your order will not be placed at the exchange until 2015-01-30 08:30:00 US/Central</t>
  </si>
  <si>
    <t>2015-1-30 10:45:26.929: openOrderEx - I am here</t>
  </si>
  <si>
    <t>2015-1-30 10:45:26.929: OrderManagerView - UpdateMainSheetOpenOrder - entering UpdateMainSheetOpenOrder order.status is In-Flight</t>
  </si>
  <si>
    <t>2015-1-30 10:45:26.962: RTWSControl - orderStatus -  entering orderStatus id is 1365 status is PreSubmitted</t>
  </si>
  <si>
    <t>2015-1-30 10:45:26.963: OrderManager - UpdateOrderStatus - id 1365 Setting status to PreSubmitted workingOrderCount is now 1 workingQty -1463</t>
  </si>
  <si>
    <t>2015-1-30 10:45:26.963: OrderManagerView - UpdateMainSheetOpenOrder - entering UpdateMainSheetOpenOrder order.status is PreSubmitted</t>
  </si>
  <si>
    <t>2015-1-30 10:45:26.965: RTWSControl - OrderStatus - Got OrderStatus Message id:1365 status: PreSubmitted filled: 0</t>
  </si>
  <si>
    <t>2015-1-30 10:45:26.965: RTWSControl - OrderStatus - exiting orderStatus</t>
  </si>
  <si>
    <t>2015-1-30 10:45:27.48: openOrderEx - I am here</t>
  </si>
  <si>
    <t>2015-1-30 10:45:27.48: OrderManagerView - UpdateMainSheetOpenOrder - entering UpdateMainSheetOpenOrder order.status is PreSubmitted</t>
  </si>
  <si>
    <t>2015-1-30 10:45:27.59: RTWSControl - orderStatus -  entering orderStatus id is 1365 status is PreSubmitted</t>
  </si>
  <si>
    <t>2015-1-30 10:45:27.60: OrderManager - UpdateOrderStatus - id 1365 Setting status to PreSubmitted workingOrderCount is now 1 workingQty -1463</t>
  </si>
  <si>
    <t>2015-1-30 10:45:27.60: OrderManagerView - UpdateMainSheetOpenOrder - entering UpdateMainSheetOpenOrder order.status is PreSubmitted</t>
  </si>
  <si>
    <t>2015-1-30 10:45:27.62: RTWSControl - OrderStatus - Got OrderStatus Message id:1365 status: PreSubmitted filled: 0</t>
  </si>
  <si>
    <t>2015-1-30 10:45:27.63: RTWSControl - OrderStatus - exiting orderStatus</t>
  </si>
  <si>
    <t>2015-1-30 10:45:55.699: OrderManager - cancelOrder - cancelling order id 1364</t>
  </si>
  <si>
    <t>2015-1-30 10:45:55.700: OrderManager - PlaceOrder - id 1366 workingQty -1437</t>
  </si>
  <si>
    <t>2015-1-30 10:45:55.700: OrderManagerView - UpdateMainSheetOpenOrder - entering UpdateMainSheetOpenOrder order.status is In-Flight</t>
  </si>
  <si>
    <t>2015-1-30 10:45:55.702: OrderManager - sendOrder - exiting place order id 1366 BUY 26 1.5119  - workingQty -1437 currentPosition is 21 workingOrderCount is 2</t>
  </si>
  <si>
    <t>2015-1-30 10:45:55.702: OrderManager - cancelOrder - cancelling order id 1365</t>
  </si>
  <si>
    <t>2015-1-30 10:45:55.703: OrderManager - createOrder - exiting without creating order - did not have validID</t>
  </si>
  <si>
    <t>2015-1-30 10:45:55.763: OrderManager - createOrder - exiting without creating order - did not have validID</t>
  </si>
  <si>
    <t>2015-1-30 10:45:56.296: RTWSControl - nextValidId - entering nextValidId id is 1367</t>
  </si>
  <si>
    <t>2015-1-30 10:45:56.301: RTWSControl - orderStatus -  entering orderStatus id is 1364 status is Cancelled</t>
  </si>
  <si>
    <t>2015-1-30 10:45:56.302: OrderManager - UpdateOrderStatus - id 1364 Setting status to Cancelled workingOrderCount is now 2 workingQty -1437</t>
  </si>
  <si>
    <t>2015-1-30 10:45:56.302: OrderManagerView - UpdateMainSheetOpenOrder - entering UpdateMainSheetOpenOrder order.status is Cancelled</t>
  </si>
  <si>
    <t>2015-1-30 10:45:56.304: RTWSControl - OrderStatus - Got OrderStatus Message id:1364 status: Cancelled filled: 0</t>
  </si>
  <si>
    <t>2015-1-30 10:45:56.304: RTWSControl - OrderStatus - exiting orderStatus</t>
  </si>
  <si>
    <t>2015-1-30 10:45:56.338: RTWSControl - errMsg - got error message 202:Order Canceled - reason:with id 1364</t>
  </si>
  <si>
    <t>2015-1-30 10:45:56.338: OrderManager - canceledOrder - cleaning up after canceled order 1364BEWARE UNACCOUNTED FOR EXECUTIONS!!!</t>
  </si>
  <si>
    <t>2015-1-30 10:45:56.339: OrderManager - terminateOrder - cleaning up after Canceled 1364  order was supposed to BUY 29 1.5123 STP LMT workingQty/OrderCount now -1466/1</t>
  </si>
  <si>
    <t>2015-1-30 10:45:56.341: OrderManagerView - UpdateMainSheetOpenOrder - entering UpdateMainSheetOpenOrder order.status is Canceled</t>
  </si>
  <si>
    <t>2015-1-30 10:45:57.220: RTWSControl - errMsg - got error message 399:Order Message:
BUY 26 GBP MAR'15
Warning: your order will not be placed at the exchange until 2015-01-30 08:30:00 US/Centralwith id 1366</t>
  </si>
  <si>
    <t>2015-1-30 10:45:57.221: RTWSControl - errMsg - Got Error_x000D_id: 1366_x000D_errorCode: 399_x000D_errorMsg: Order Message:
BUY 26 GBP MAR'15
Warning: your order will not be placed at the exchange until 2015-01-30 08:30:00 US/Central</t>
  </si>
  <si>
    <t>2015-1-30 10:45:57.230: openOrderEx - I am here</t>
  </si>
  <si>
    <t>2015-1-30 10:45:57.230: OrderManagerView - UpdateMainSheetOpenOrder - entering UpdateMainSheetOpenOrder order.status is In-Flight</t>
  </si>
  <si>
    <t>2015-1-30 10:45:57.259: RTWSControl - orderStatus -  entering orderStatus id is 1366 status is PreSubmitted</t>
  </si>
  <si>
    <t>2015-1-30 10:45:57.259: OrderManager - UpdateOrderStatus - id 1366 Setting status to PreSubmitted workingOrderCount is now 1 workingQty -1466</t>
  </si>
  <si>
    <t>2015-1-30 10:45:57.260: OrderManagerView - UpdateMainSheetOpenOrder - entering UpdateMainSheetOpenOrder order.status is PreSubmitted</t>
  </si>
  <si>
    <t>2015-1-30 10:45:57.262: RTWSControl - OrderStatus - Got OrderStatus Message id:1366 status: PreSubmitted filled: 0</t>
  </si>
  <si>
    <t>2015-1-30 10:45:57.262: RTWSControl - OrderStatus - exiting orderStatus</t>
  </si>
  <si>
    <t>2015-1-30 10:45:57.296: RTWSControl - orderStatus -  entering orderStatus id is 1365 status is Cancelled</t>
  </si>
  <si>
    <t>2015-1-30 10:45:57.297: OrderManager - UpdateOrderStatus - id 1365 Setting status to Cancelled workingOrderCount is now 1 workingQty -1466</t>
  </si>
  <si>
    <t>2015-1-30 10:45:57.297: OrderManagerView - UpdateMainSheetOpenOrder - entering UpdateMainSheetOpenOrder order.status is Cancelled</t>
  </si>
  <si>
    <t>2015-1-30 10:45:57.299: RTWSControl - OrderStatus - Got OrderStatus Message id:1365 status: Cancelled filled: 0</t>
  </si>
  <si>
    <t>2015-1-30 10:45:57.299: RTWSControl - OrderStatus - exiting orderStatus</t>
  </si>
  <si>
    <t>2015-1-30 10:45:57.309: RTWSControl - errMsg - got error message 202:Order Canceled - reason:with id 1365</t>
  </si>
  <si>
    <t>2015-1-30 10:45:57.310: OrderManager - canceledOrder - cleaning up after canceled order 1365BEWARE UNACCOUNTED FOR EXECUTIONS!!!</t>
  </si>
  <si>
    <t>2015-1-30 10:45:57.310: OrderManager - terminateOrder - cleaning up after Canceled 1365  order was supposed to SELL 30 1.506 STP LMT workingQty/OrderCount now -1496/0</t>
  </si>
  <si>
    <t>2015-1-30 10:45:57.312: OrderManagerView - UpdateMainSheetOpenOrder - entering UpdateMainSheetOpenOrder order.status is Canceled</t>
  </si>
  <si>
    <t>2015-1-30 10:45:57.345: openOrderEx - I am here</t>
  </si>
  <si>
    <t>2015-1-30 10:45:57.345: OrderManagerView - UpdateMainSheetOpenOrder - entering UpdateMainSheetOpenOrder order.status is PreSubmitted</t>
  </si>
  <si>
    <t>2015-1-30 10:45:57.379: RTWSControl - orderStatus -  entering orderStatus id is 1366 status is PreSubmitted</t>
  </si>
  <si>
    <t>2015-1-30 10:45:57.379: OrderManager - UpdateOrderStatus - id 1366 Setting status to PreSubmitted workingOrderCount is now 0 workingQty -1496</t>
  </si>
  <si>
    <t>2015-1-30 10:45:57.380: OrderManagerView - UpdateMainSheetOpenOrder - entering UpdateMainSheetOpenOrder order.status is PreSubmitted</t>
  </si>
  <si>
    <t>2015-1-30 10:45:57.382: RTWSControl - OrderStatus - Got OrderStatus Message id:1366 status: PreSubmitted filled: 0</t>
  </si>
  <si>
    <t>2015-1-30 10:45:57.382: RTWSControl - OrderStatus - exiting orderStatus</t>
  </si>
  <si>
    <t>2015-1-30 10:45:57.517: OrderManager - cancelOrder - cancelling order id 1366</t>
  </si>
  <si>
    <t>2015-1-30 10:45:57.517: OrderManager - PlaceOrder - id 1367 workingQty -1466</t>
  </si>
  <si>
    <t>2015-1-30 10:45:57.517: OrderManagerView - UpdateMainSheetOpenOrder - entering UpdateMainSheetOpenOrder order.status is In-Flight</t>
  </si>
  <si>
    <t>2015-1-30 10:45:57.519: OrderManager - sendOrder - exiting place order id 1367 BUY 30 1.5126  - workingQty -1466 currentPosition is 21 workingOrderCount is 1</t>
  </si>
  <si>
    <t>2015-1-30 10:45:57.519: OrderManager - createOrder - exiting without creating order - did not have validID</t>
  </si>
  <si>
    <t>2015-1-30 10:45:58.53: OrderManager - createOrder - exiting without creating order - did not have validID</t>
  </si>
  <si>
    <t>2015-1-30 10:45:58.99: OrderManager - createOrder - exiting without creating order - did not have validID</t>
  </si>
  <si>
    <t>2015-1-30 10:45:58.213: RTWSControl - nextValidId - entering nextValidId id is 1368</t>
  </si>
  <si>
    <t>2015-1-30 10:45:58.264: RTWSControl - orderStatus -  entering orderStatus id is 1366 status is Cancelled</t>
  </si>
  <si>
    <t>2015-1-30 10:45:58.265: OrderManager - UpdateOrderStatus - id 1366 Setting status to Cancelled workingOrderCount is now 1 workingQty -1466</t>
  </si>
  <si>
    <t>2015-1-30 10:45:58.266: OrderManagerView - UpdateMainSheetOpenOrder - entering UpdateMainSheetOpenOrder order.status is Cancelled</t>
  </si>
  <si>
    <t>2015-1-30 10:45:58.267: RTWSControl - OrderStatus - Got OrderStatus Message id:1366 status: Cancelled filled: 0</t>
  </si>
  <si>
    <t>2015-1-30 10:45:58.268: RTWSControl - OrderStatus - exiting orderStatus</t>
  </si>
  <si>
    <t>2015-1-30 10:45:58.300: RTWSControl - errMsg - got error message 202:Order Canceled - reason:with id 1366</t>
  </si>
  <si>
    <t>2015-1-30 10:45:58.300: OrderManager - canceledOrder - cleaning up after canceled order 1366BEWARE UNACCOUNTED FOR EXECUTIONS!!!</t>
  </si>
  <si>
    <t>2015-1-30 10:45:58.301: OrderManager - terminateOrder - cleaning up after Canceled 1366  order was supposed to BUY 26 1.5119 STP LMT workingQty/OrderCount now -1492/0</t>
  </si>
  <si>
    <t>2015-1-30 10:45:58.302: OrderManagerView - UpdateMainSheetOpenOrder - entering UpdateMainSheetOpenOrder order.status is Canceled</t>
  </si>
  <si>
    <t>2015-1-30 10:45:58.338: RTWSControl - errMsg - got error message 399:Order Message:
BUY 30 GBP MAR'15
Warning: your order will not be placed at the exchange until 2015-01-30 08:30:00 US/Centralwith id 1367</t>
  </si>
  <si>
    <t>2015-1-30 10:45:58.339: RTWSControl - errMsg - Got Error_x000D_id: 1367_x000D_errorCode: 399_x000D_errorMsg: Order Message:
BUY 30 GBP MAR'15
Warning: your order will not be placed at the exchange until 2015-01-30 08:30:00 US/Central</t>
  </si>
  <si>
    <t>2015-1-30 10:45:58.348: openOrderEx - I am here</t>
  </si>
  <si>
    <t>2015-1-30 10:45:58.348: OrderManagerView - UpdateMainSheetOpenOrder - entering UpdateMainSheetOpenOrder order.status is In-Flight</t>
  </si>
  <si>
    <t>2015-1-30 10:45:58.379: RTWSControl - orderStatus -  entering orderStatus id is 1367 status is PreSubmitted</t>
  </si>
  <si>
    <t>2015-1-30 10:45:58.380: OrderManager - UpdateOrderStatus - id 1367 Setting status to PreSubmitted workingOrderCount is now 0 workingQty -1492</t>
  </si>
  <si>
    <t>2015-1-30 10:45:58.380: OrderManagerView - UpdateMainSheetOpenOrder - entering UpdateMainSheetOpenOrder order.status is PreSubmitted</t>
  </si>
  <si>
    <t>2015-1-30 10:45:58.382: RTWSControl - OrderStatus - Got OrderStatus Message id:1367 status: PreSubmitted filled: 0</t>
  </si>
  <si>
    <t>2015-1-30 10:45:58.382: RTWSControl - OrderStatus - exiting orderStatus</t>
  </si>
  <si>
    <t>2015-1-30 10:45:58.395: openOrderEx - I am here</t>
  </si>
  <si>
    <t>2015-1-30 10:45:58.395: OrderManagerView - UpdateMainSheetOpenOrder - entering UpdateMainSheetOpenOrder order.status is PreSubmitted</t>
  </si>
  <si>
    <t>2015-1-30 10:45:58.426: RTWSControl - orderStatus -  entering orderStatus id is 1367 status is PreSubmitted</t>
  </si>
  <si>
    <t>2015-1-30 10:45:58.426: OrderManager - UpdateOrderStatus - id 1367 Setting status to PreSubmitted workingOrderCount is now 0 workingQty -1492</t>
  </si>
  <si>
    <t>2015-1-30 10:45:58.427: OrderManagerView - UpdateMainSheetOpenOrder - entering UpdateMainSheetOpenOrder order.status is PreSubmitted</t>
  </si>
  <si>
    <t>2015-1-30 10:45:58.429: RTWSControl - OrderStatus - Got OrderStatus Message id:1367 status: PreSubmitted filled: 0</t>
  </si>
  <si>
    <t>2015-1-30 10:45:58.429: RTWSControl - OrderStatus - exiting orderStatus</t>
  </si>
  <si>
    <t>2015-1-30 10:46:0.647: OrderManager - cancelOrder - cancelling order id 1367</t>
  </si>
  <si>
    <t>2015-1-30 10:46:0.648: OrderManager - PlaceOrder - id 1368 workingQty -1459</t>
  </si>
  <si>
    <t>2015-1-30 10:46:0.648: OrderManagerView - UpdateMainSheetOpenOrder - entering UpdateMainSheetOpenOrder order.status is In-Flight</t>
  </si>
  <si>
    <t>2015-1-30 10:46:0.650: OrderManager - sendOrder - exiting place order id 1368 BUY 33 1.5131  - workingQty -1459 currentPosition is 21 workingOrderCount is 1</t>
  </si>
  <si>
    <t>2015-1-30 10:46:0.650: OrderManager - createOrder - exiting without creating order - did not have validID</t>
  </si>
  <si>
    <t>2015-1-30 10:46:0.785: RTWSControl - nextValidId - entering nextValidId id is 1369</t>
  </si>
  <si>
    <t>2015-1-30 10:46:0.953: RTWSControl - orderStatus -  entering orderStatus id is 1367 status is Cancelled</t>
  </si>
  <si>
    <t>2015-1-30 10:46:0.955: OrderManager - UpdateOrderStatus - id 1367 Setting status to Cancelled workingOrderCount is now 1 workingQty -1459</t>
  </si>
  <si>
    <t>2015-1-30 10:46:0.957: OrderManagerView - UpdateMainSheetOpenOrder - entering UpdateMainSheetOpenOrder order.status is Cancelled</t>
  </si>
  <si>
    <t>2015-1-30 10:46:0.964: RTWSControl - OrderStatus - Got OrderStatus Message id:1367 status: Cancelled filled: 0</t>
  </si>
  <si>
    <t>2015-1-30 10:46:0.966: RTWSControl - OrderStatus - exiting orderStatus</t>
  </si>
  <si>
    <t>2015-1-30 10:46:1.3: OrderManagerView - UpdateMainSheetOpenOrder - entering UpdateMainSheetOpenOrder order.status is Canceled</t>
  </si>
  <si>
    <t>2015-1-30 10:46:1.9: OrderManagerView - UpdateMainSheetOpenOrder - entering UpdateMainSheetOpenOrder order.status is Canceled</t>
  </si>
  <si>
    <t>2015-1-30 10:46:1.11: OrderManagerView - UpdateMainSheetOpenOrder - entering UpdateMainSheetOpenOrder order.status is Cancelled</t>
  </si>
  <si>
    <t>2015-1-30 10:46:1.14: OrderManagerView - UpdateMainSheetOpenOrder - entering UpdateMainSheetOpenOrder order.status is In-Flight</t>
  </si>
  <si>
    <t>2015-1-30 10:46:1.16: OrderManagerView - UpdateMainSheetOpenOrder - entering UpdateMainSheetOpenOrder order.status is Cancelled</t>
  </si>
  <si>
    <t>2015-1-30 10:46:1.20: OrderManagerView - UpdateMainSheetOpenOrder - entering UpdateMainSheetOpenOrder order.status is In-Flight</t>
  </si>
  <si>
    <t>2015-1-30 10:46:1.23: OrderManagerView - UpdateMainSheetOpenOrder - entering UpdateMainSheetOpenOrder order.status is In-Flight</t>
  </si>
  <si>
    <t>2015-1-30 10:46:1.52: RTWSControl - errMsg - got error message 202:Order Canceled - reason:with id 1367</t>
  </si>
  <si>
    <t>2015-1-30 10:46:1.53: OrderManager - canceledOrder - cleaning up after canceled order 1367BEWARE UNACCOUNTED FOR EXECUTIONS!!!</t>
  </si>
  <si>
    <t>2015-1-30 10:46:1.53: OrderManager - terminateOrder - cleaning up after Canceled 1367  order was supposed to BUY 30 1.5126 STP LMT workingQty/OrderCount now -1489/0</t>
  </si>
  <si>
    <t>2015-1-30 10:46:1.55: OrderManagerView - UpdateMainSheetOpenOrder - entering UpdateMainSheetOpenOrder order.status is Canceled</t>
  </si>
  <si>
    <t>2015-1-30 10:46:1.133: RTWSControl - errMsg - got error message 399:Order Message:
BUY 33 GBP MAR'15
Warning: your order will not be placed at the exchange until 2015-01-30 08:30:00 US/Centralwith id 1368</t>
  </si>
  <si>
    <t>2015-1-30 10:46:1.134: RTWSControl - errMsg - Got Error_x000D_id: 1368_x000D_errorCode: 399_x000D_errorMsg: Order Message:
BUY 33 GBP MAR'15
Warning: your order will not be placed at the exchange until 2015-01-30 08:30:00 US/Central</t>
  </si>
  <si>
    <t>2015-1-30 10:46:1.142: openOrderEx - I am here</t>
  </si>
  <si>
    <t>2015-1-30 10:46:1.143: OrderManagerView - UpdateMainSheetOpenOrder - entering UpdateMainSheetOpenOrder order.status is In-Flight</t>
  </si>
  <si>
    <t>2015-1-30 10:46:1.175: RTWSControl - orderStatus -  entering orderStatus id is 1368 status is PreSubmitted</t>
  </si>
  <si>
    <t>2015-1-30 10:46:1.175: OrderManager - UpdateOrderStatus - id 1368 Setting status to PreSubmitted workingOrderCount is now 0 workingQty -1489</t>
  </si>
  <si>
    <t>2015-1-30 10:46:1.176: OrderManagerView - UpdateMainSheetOpenOrder - entering UpdateMainSheetOpenOrder order.status is PreSubmitted</t>
  </si>
  <si>
    <t>2015-1-30 10:46:1.178: RTWSControl - OrderStatus - Got OrderStatus Message id:1368 status: PreSubmitted filled: 0</t>
  </si>
  <si>
    <t>2015-1-30 10:46:1.178: RTWSControl - OrderStatus - exiting orderStatus</t>
  </si>
  <si>
    <t>2015-1-30 10:46:1.215: openOrderEx - I am here</t>
  </si>
  <si>
    <t>2015-1-30 10:46:1.216: OrderManagerView - UpdateMainSheetOpenOrder - entering UpdateMainSheetOpenOrder order.status is PreSubmitted</t>
  </si>
  <si>
    <t>2015-1-30 10:46:1.227: RTWSControl - orderStatus -  entering orderStatus id is 1368 status is PreSubmitted</t>
  </si>
  <si>
    <t>2015-1-30 10:46:1.228: OrderManager - UpdateOrderStatus - id 1368 Setting status to PreSubmitted workingOrderCount is now 0 workingQty -1489</t>
  </si>
  <si>
    <t>2015-1-30 10:46:1.228: OrderManagerView - UpdateMainSheetOpenOrder - entering UpdateMainSheetOpenOrder order.status is PreSubmitted</t>
  </si>
  <si>
    <t>2015-1-30 10:46:1.230: RTWSControl - OrderStatus - Got OrderStatus Message id:1368 status: PreSubmitted filled: 0</t>
  </si>
  <si>
    <t>2015-1-30 10:46:1.230: RTWSControl - OrderStatus - exiting orderStatus</t>
  </si>
  <si>
    <t>2015-1-30 10:46:2.52: OrderManagerView - UpdateMainSheetOpenOrder - entering UpdateMainSheetOpenOrder order.status is Canceled</t>
  </si>
  <si>
    <t>2015-1-30 10:46:2.56: OrderManagerView - UpdateMainSheetOpenOrder - entering UpdateMainSheetOpenOrder order.status is PreSubmitted</t>
  </si>
  <si>
    <t>2015-1-30 10:46:2.58: OrderManagerView - UpdateMainSheetOpenOrder - entering UpdateMainSheetOpenOrder order.status is PreSubmitted</t>
  </si>
  <si>
    <t>2015-1-30 10:46:2.550: OrderManager - PlaceOrder - id 1369 workingQty -1522</t>
  </si>
  <si>
    <t>2015-1-30 10:46:2.551: OrderManagerView - UpdateMainSheetOpenOrder - entering UpdateMainSheetOpenOrder order.status is In-Flight</t>
  </si>
  <si>
    <t>2015-1-30 10:46:2.552: OrderManager - sendOrder - exiting place order id 1369 SELL 33 1.5058  - workingQty -1522 currentPosition is 21 workingOrderCount is 1</t>
  </si>
  <si>
    <t>2015-1-30 10:46:2.883: RTWSControl - nextValidId - entering nextValidId id is 1370</t>
  </si>
  <si>
    <t>2015-1-30 10:46:2.889: RTWSControl - errMsg - got error message 399:Order Message:
SELL 33 GBP MAR'15
Warning: your order will not be placed at the exchange until 2015-01-30 08:30:00 US/Centralwith id 1369</t>
  </si>
  <si>
    <t>2015-1-30 10:46:2.890: RTWSControl - errMsg - Got Error_x000D_id: 1369_x000D_errorCode: 399_x000D_errorMsg: Order Message:
SELL 33 GBP MAR'15
Warning: your order will not be placed at the exchange until 2015-01-30 08:30:00 US/Central</t>
  </si>
  <si>
    <t>2015-1-30 10:46:2.925: openOrderEx - I am here</t>
  </si>
  <si>
    <t>2015-1-30 10:46:2.925: OrderManagerView - UpdateMainSheetOpenOrder - entering UpdateMainSheetOpenOrder order.status is In-Flight</t>
  </si>
  <si>
    <t>2015-1-30 10:46:2.936: RTWSControl - orderStatus -  entering orderStatus id is 1369 status is PreSubmitted</t>
  </si>
  <si>
    <t>2015-1-30 10:46:2.937: OrderManager - UpdateOrderStatus - id 1369 Setting status to PreSubmitted workingOrderCount is now 1 workingQty -1522</t>
  </si>
  <si>
    <t>2015-1-30 10:46:2.937: OrderManagerView - UpdateMainSheetOpenOrder - entering UpdateMainSheetOpenOrder order.status is PreSubmitted</t>
  </si>
  <si>
    <t>2015-1-30 10:46:2.939: RTWSControl - OrderStatus - Got OrderStatus Message id:1369 status: PreSubmitted filled: 0</t>
  </si>
  <si>
    <t>2015-1-30 10:46:2.939: RTWSControl - OrderStatus - exiting orderStatus</t>
  </si>
  <si>
    <t>2015-1-30 10:46:3.4: OrderManagerView - UpdateMainSheetOpenOrder - entering UpdateMainSheetOpenOrder order.status is PreSubmitted</t>
  </si>
  <si>
    <t>2015-1-30 10:46:3.7: OrderManagerView - UpdateMainSheetOpenOrder - entering UpdateMainSheetOpenOrder order.status is PreSubmitted</t>
  </si>
  <si>
    <t>2015-1-30 10:46:3.9: OrderManagerView - UpdateMainSheetOpenOrder - entering UpdateMainSheetOpenOrder order.status is PreSubmitted</t>
  </si>
  <si>
    <t>2015-1-30 10:46:3.25: openOrderEx - I am here</t>
  </si>
  <si>
    <t>2015-1-30 10:46:3.26: OrderManagerView - UpdateMainSheetOpenOrder - entering UpdateMainSheetOpenOrder order.status is PreSubmitted</t>
  </si>
  <si>
    <t>2015-1-30 10:46:3.53: RTWSControl - orderStatus -  entering orderStatus id is 1369 status is PreSubmitted</t>
  </si>
  <si>
    <t>2015-1-30 10:46:3.54: OrderManager - UpdateOrderStatus - id 1369 Setting status to PreSubmitted workingOrderCount is now 1 workingQty -1522</t>
  </si>
  <si>
    <t>2015-1-30 10:46:3.54: OrderManagerView - UpdateMainSheetOpenOrder - entering UpdateMainSheetOpenOrder order.status is PreSubmitted</t>
  </si>
  <si>
    <t>2015-1-30 10:46:3.56: RTWSControl - OrderStatus - Got OrderStatus Message id:1369 status: PreSubmitted filled: 0</t>
  </si>
  <si>
    <t>2015-1-30 10:46:3.56: RTWSControl - OrderStatus - exiting orderStatus</t>
  </si>
  <si>
    <t>2015-1-30 10:46:6.26: OrderManagerView - UpdateMainSheetOpenOrder - entering UpdateMainSheetOpenOrder order.status is PreSubmitted</t>
  </si>
  <si>
    <t>2015-1-30 10:46:6.28: OrderManagerView - UpdateMainSheetOpenOrder - entering UpdateMainSheetOpenOrder order.status is PreSubmitted</t>
  </si>
  <si>
    <t>2015-1-30 10:46:6.34: OrderManagerView - UpdateMainSheetOpenOrder - entering UpdateMainSheetOpenOrder order.status is PreSubmitted</t>
  </si>
  <si>
    <t>2015-1-30 10:46:6.35: OrderManagerView - UpdateMainSheetOpenOrder - entering UpdateMainSheetOpenOrder order.status is PreSubmitted</t>
  </si>
  <si>
    <t>2015-1-30 10:46:6.40: OrderManagerView - UpdateMainSheetOpenOrder - entering UpdateMainSheetOpenOrder order.status is PreSubmitted</t>
  </si>
  <si>
    <t>2015-1-30 10:46:6.42: OrderManagerView - UpdateMainSheetOpenOrder - entering UpdateMainSheetOpenOrder order.status is PreSubmitted</t>
  </si>
  <si>
    <t>2015-1-30 10:46:7.1: OrderManagerView - UpdateMainSheetOpenOrder - entering UpdateMainSheetOpenOrder order.status is PreSubmitted</t>
  </si>
  <si>
    <t>2015-1-30 10:46:7.4: OrderManagerView - UpdateMainSheetOpenOrder - entering UpdateMainSheetOpenOrder order.status is PreSubmitted</t>
  </si>
  <si>
    <t>2015-1-30 10:47:7.13: OrderManager - cancelOrder - cancelling order id 1368</t>
  </si>
  <si>
    <t>2015-1-30 10:47:7.13: OrderManager - PlaceOrder - id 1370 workingQty -1485</t>
  </si>
  <si>
    <t>2015-1-30 10:47:7.13: OrderManagerView - UpdateMainSheetOpenOrder - entering UpdateMainSheetOpenOrder order.status is In-Flight</t>
  </si>
  <si>
    <t>2015-1-30 10:47:7.15: OrderManager - sendOrder - exiting place order id 1370 BUY 37 1.5133  - workingQty -1485 currentPosition is 21 workingOrderCount is 2</t>
  </si>
  <si>
    <t>2015-1-30 10:47:7.15: OrderManager - cancelOrder - cancelling order id 1369</t>
  </si>
  <si>
    <t>2015-1-30 10:47:7.16: OrderManager - createOrder - exiting without creating order - did not have validID</t>
  </si>
  <si>
    <t>2015-1-30 10:47:7.110: RTWSControl - nextValidId - entering nextValidId id is 1371</t>
  </si>
  <si>
    <t>2015-1-30 10:47:7.327: RTWSControl - orderStatus -  entering orderStatus id is 1368 status is Cancelled</t>
  </si>
  <si>
    <t>2015-1-30 10:47:7.329: OrderManager - UpdateOrderStatus - id 1368 Setting status to Cancelled workingOrderCount is now 2 workingQty -1485</t>
  </si>
  <si>
    <t>2015-1-30 10:47:7.331: OrderManagerView - UpdateMainSheetOpenOrder - entering UpdateMainSheetOpenOrder order.status is Cancelled</t>
  </si>
  <si>
    <t>2015-1-30 10:47:7.338: RTWSControl - OrderStatus - Got OrderStatus Message id:1368 status: Cancelled filled: 0</t>
  </si>
  <si>
    <t>2015-1-30 10:47:7.339: RTWSControl - OrderStatus - exiting orderStatus</t>
  </si>
  <si>
    <t>2015-1-30 10:47:7.365: RTWSControl - errMsg - got error message 202:Order Canceled - reason:with id 1368</t>
  </si>
  <si>
    <t>2015-1-30 10:47:7.366: OrderManager - canceledOrder - cleaning up after canceled order 1368BEWARE UNACCOUNTED FOR EXECUTIONS!!!</t>
  </si>
  <si>
    <t>2015-1-30 10:47:7.367: OrderManager - terminateOrder - cleaning up after Canceled 1368  order was supposed to BUY 33 1.5131 STP LMT workingQty/OrderCount now -1518/1</t>
  </si>
  <si>
    <t>2015-1-30 10:47:7.369: OrderManagerView - UpdateMainSheetOpenOrder - entering UpdateMainSheetOpenOrder order.status is Canceled</t>
  </si>
  <si>
    <t>2015-1-30 10:47:7.423: RTWSControl - errMsg - got error message 399:Order Message:
BUY 37 GBP MAR'15
Warning: your order will not be placed at the exchange until 2015-01-30 08:30:00 US/Centralwith id 1370</t>
  </si>
  <si>
    <t>2015-1-30 10:47:7.424: RTWSControl - errMsg - Got Error_x000D_id: 1370_x000D_errorCode: 399_x000D_errorMsg: Order Message:
BUY 37 GBP MAR'15
Warning: your order will not be placed at the exchange until 2015-01-30 08:30:00 US/Central</t>
  </si>
  <si>
    <t>2015-1-30 10:47:7.434: openOrderEx - I am here</t>
  </si>
  <si>
    <t>2015-1-30 10:47:7.434: OrderManagerView - UpdateMainSheetOpenOrder - entering UpdateMainSheetOpenOrder order.status is In-Flight</t>
  </si>
  <si>
    <t>2015-1-30 10:47:7.465: RTWSControl - orderStatus -  entering orderStatus id is 1370 status is PreSubmitted</t>
  </si>
  <si>
    <t>2015-1-30 10:47:7.466: OrderManager - UpdateOrderStatus - id 1370 Setting status to PreSubmitted workingOrderCount is now 1 workingQty -1518</t>
  </si>
  <si>
    <t>2015-1-30 10:47:7.466: OrderManagerView - UpdateMainSheetOpenOrder - entering UpdateMainSheetOpenOrder order.status is PreSubmitted</t>
  </si>
  <si>
    <t>2015-1-30 10:47:7.468: RTWSControl - OrderStatus - Got OrderStatus Message id:1370 status: PreSubmitted filled: 0</t>
  </si>
  <si>
    <t>2015-1-30 10:47:7.468: RTWSControl - OrderStatus - exiting orderStatus</t>
  </si>
  <si>
    <t>2015-1-30 10:47:7.478: RTWSControl - orderStatus -  entering orderStatus id is 1369 status is Cancelled</t>
  </si>
  <si>
    <t>2015-1-30 10:47:7.478: OrderManager - UpdateOrderStatus - id 1369 Setting status to Cancelled workingOrderCount is now 1 workingQty -1518</t>
  </si>
  <si>
    <t>2015-1-30 10:47:7.479: OrderManagerView - UpdateMainSheetOpenOrder - entering UpdateMainSheetOpenOrder order.status is Cancelled</t>
  </si>
  <si>
    <t>2015-1-30 10:47:7.481: RTWSControl - OrderStatus - Got OrderStatus Message id:1369 status: Cancelled filled: 0</t>
  </si>
  <si>
    <t>2015-1-30 10:47:7.481: RTWSControl - OrderStatus - exiting orderStatus</t>
  </si>
  <si>
    <t>2015-1-30 10:47:7.510: RTWSControl - errMsg - got error message 202:Order Canceled - reason:with id 1369</t>
  </si>
  <si>
    <t>2015-1-30 10:47:7.510: OrderManager - canceledOrder - cleaning up after canceled order 1369BEWARE UNACCOUNTED FOR EXECUTIONS!!!</t>
  </si>
  <si>
    <t>2015-1-30 10:47:7.511: OrderManager - terminateOrder - cleaning up after Canceled 1369  order was supposed to SELL 33 1.5058 STP LMT workingQty/OrderCount now -1551/0</t>
  </si>
  <si>
    <t>2015-1-30 10:47:7.513: OrderManagerView - UpdateMainSheetOpenOrder - entering UpdateMainSheetOpenOrder order.status is Canceled</t>
  </si>
  <si>
    <t>2015-1-30 10:47:7.550: openOrderEx - I am here</t>
  </si>
  <si>
    <t>2015-1-30 10:47:7.550: OrderManagerView - UpdateMainSheetOpenOrder - entering UpdateMainSheetOpenOrder order.status is PreSubmitted</t>
  </si>
  <si>
    <t>2015-1-30 10:47:7.562: RTWSControl - orderStatus -  entering orderStatus id is 1370 status is PreSubmitted</t>
  </si>
  <si>
    <t>2015-1-30 10:47:7.563: OrderManager - UpdateOrderStatus - id 1370 Setting status to PreSubmitted workingOrderCount is now 0 workingQty -1551</t>
  </si>
  <si>
    <t>2015-1-30 10:47:7.564: OrderManagerView - UpdateMainSheetOpenOrder - entering UpdateMainSheetOpenOrder order.status is PreSubmitted</t>
  </si>
  <si>
    <t>2015-1-30 10:47:7.566: RTWSControl - OrderStatus - Got OrderStatus Message id:1370 status: PreSubmitted filled: 0</t>
  </si>
  <si>
    <t>2015-1-30 10:47:7.566: RTWSControl - OrderStatus - exiting orderStatus</t>
  </si>
  <si>
    <t>2015-1-30 10:47:7.750: OrderManager - PlaceOrder - id 1371 workingQty -1588</t>
  </si>
  <si>
    <t>2015-1-30 10:47:7.751: OrderManagerView - UpdateMainSheetOpenOrder - entering UpdateMainSheetOpenOrder order.status is In-Flight</t>
  </si>
  <si>
    <t>2015-1-30 10:47:7.756: OrderManager - sendOrder - exiting place order id 1371 SELL 37 1.5055  - workingQty -1588 currentPosition is 21 workingOrderCount is 1</t>
  </si>
  <si>
    <t>2015-1-30 10:47:7.922: RTWSControl - nextValidId - entering nextValidId id is 1372</t>
  </si>
  <si>
    <t>2015-1-30 10:47:8.33: RTWSControl - errMsg - got error message 399:Order Message:
SELL 37 GBP MAR'15
Warning: your order will not be placed at the exchange until 2015-01-30 08:30:00 US/Centralwith id 1371</t>
  </si>
  <si>
    <t>2015-1-30 10:47:8.33: RTWSControl - errMsg - Got Error_x000D_id: 1371_x000D_errorCode: 399_x000D_errorMsg: Order Message:
SELL 37 GBP MAR'15
Warning: your order will not be placed at the exchange until 2015-01-30 08:30:00 US/Central</t>
  </si>
  <si>
    <t>2015-1-30 10:47:8.42: openOrderEx - I am here</t>
  </si>
  <si>
    <t>2015-1-30 10:47:8.42: OrderManagerView - UpdateMainSheetOpenOrder - entering UpdateMainSheetOpenOrder order.status is In-Flight</t>
  </si>
  <si>
    <t>2015-1-30 10:47:8.90: RTWSControl - orderStatus -  entering orderStatus id is 1371 status is PreSubmitted</t>
  </si>
  <si>
    <t>2015-1-30 10:47:8.90: OrderManager - UpdateOrderStatus - id 1371 Setting status to PreSubmitted workingOrderCount is now 1 workingQty -1588</t>
  </si>
  <si>
    <t>2015-1-30 10:47:8.90: OrderManagerView - UpdateMainSheetOpenOrder - entering UpdateMainSheetOpenOrder order.status is PreSubmitted</t>
  </si>
  <si>
    <t>2015-1-30 10:47:8.92: RTWSControl - OrderStatus - Got OrderStatus Message id:1371 status: PreSubmitted filled: 0</t>
  </si>
  <si>
    <t>2015-1-30 10:47:8.93: RTWSControl - OrderStatus - exiting orderStatus</t>
  </si>
  <si>
    <t>2015-1-30 10:47:8.847: openOrderEx - I am here</t>
  </si>
  <si>
    <t>2015-1-30 10:47:8.848: OrderManagerView - UpdateMainSheetOpenOrder - entering UpdateMainSheetOpenOrder order.status is PreSubmitted</t>
  </si>
  <si>
    <t>2015-1-30 10:47:8.860: RTWSControl - orderStatus -  entering orderStatus id is 1371 status is PreSubmitted</t>
  </si>
  <si>
    <t>2015-1-30 10:47:8.861: OrderManager - UpdateOrderStatus - id 1371 Setting status to PreSubmitted workingOrderCount is now 1 workingQty -1588</t>
  </si>
  <si>
    <t>2015-1-30 10:47:8.861: OrderManagerView - UpdateMainSheetOpenOrder - entering UpdateMainSheetOpenOrder order.status is PreSubmitted</t>
  </si>
  <si>
    <t>2015-1-30 10:47:8.863: RTWSControl - OrderStatus - Got OrderStatus Message id:1371 status: PreSubmitted filled: 0</t>
  </si>
  <si>
    <t>2015-1-30 10:47:8.864: RTWSControl - OrderStatus - exiting orderStatus</t>
  </si>
  <si>
    <t>2015-1-30 10:47:12.23: OrderManagerView - UpdateMainSheetOpenOrder - entering UpdateMainSheetOpenOrder order.status is Canceled</t>
  </si>
  <si>
    <t>2015-1-30 10:47:12.26: OrderManagerView - UpdateMainSheetOpenOrder - entering UpdateMainSheetOpenOrder order.status is PreSubmitted</t>
  </si>
  <si>
    <t>2015-1-30 10:47:12.28: OrderManagerView - UpdateMainSheetOpenOrder - entering UpdateMainSheetOpenOrder order.status is PreSubmitted</t>
  </si>
  <si>
    <t>2015-1-30 10:47:12.30: OrderManagerView - UpdateMainSheetOpenOrder - entering UpdateMainSheetOpenOrder order.status is PreSubmitted</t>
  </si>
  <si>
    <t>2015-1-30 10:47:12.31: OrderManagerView - UpdateMainSheetOpenOrder - entering UpdateMainSheetOpenOrder order.status is PreSubmitted</t>
  </si>
  <si>
    <t>2015-1-30 10:47:12.48: OrderManagerView - UpdateMainSheetOpenOrder - entering UpdateMainSheetOpenOrder order.status is PreSubmitted</t>
  </si>
  <si>
    <t>2015-1-30 10:47:12.50: OrderManagerView - UpdateMainSheetOpenOrder - entering UpdateMainSheetOpenOrder order.status is PreSubmitted</t>
  </si>
  <si>
    <t>2015-1-30 10:47:12.52: OrderManagerView - UpdateMainSheetOpenOrder - entering UpdateMainSheetOpenOrder order.status is PreSubmitted</t>
  </si>
  <si>
    <t>2015-1-30 10:47:17.174: OrderManagerView - UpdateMainSheetOpenOrder - entering UpdateMainSheetOpenOrder order.status is PreSubmitted</t>
  </si>
  <si>
    <t>2015-1-30 10:47:17.178: OrderManagerView - UpdateMainSheetOpenOrder - entering UpdateMainSheetOpenOrder order.status is PreSubmitted</t>
  </si>
  <si>
    <t>2015-1-30 10:47:46.601: Algorithm - FindNextStrikes - price is 1.50675 nextStrikeUp/Down 1.51/1.505</t>
  </si>
  <si>
    <t>2015-1-30 10:47:46.601: Algorithm - getPortfolioForwardDelta - required deltas is 21 currentHedgePosition is 21</t>
  </si>
  <si>
    <t>2015-1-30 10:47:46.602: Algorithm - getHedgeShortfall - required deltas is 21 price is 1.50685 currentHedgePositionDeltas is 21</t>
  </si>
  <si>
    <t>2015-1-30 10:47:46.602: Algorithm - processTransitionPoint - nextUpper/LowerStrikes are 1.51/1.505 requiredDeltas/currentPosition/currentHedgeShortfall/direction/transitionPrice are 21/21/0/1/1.50685</t>
  </si>
  <si>
    <t>2015-1-30 10:47:46.603: TransitionLogger - processTransitionpoint - checking transition - currentHedgeShortfall is 0</t>
  </si>
  <si>
    <t>2015-1-30 10:47:46.604: Algorithm - updatePortfolio - haveAllDetails is True</t>
  </si>
  <si>
    <t>2015-1-30 10:47:46.644: Algorithm - FindNextStrikes - price is 1.50675 nextStrikeUp/Down 1.51/1.505</t>
  </si>
  <si>
    <t>2015-1-30 10:47:46.645: Algorithm - getPortfolioForwardDelta - required deltas is 21 currentHedgePosition is 21</t>
  </si>
  <si>
    <t>2015-1-30 10:47:46.645: Algorithm - getHedgeShortfall - required deltas is 21 price is 1.50685 currentHedgePositionDeltas is 21</t>
  </si>
  <si>
    <t>2015-1-30 10:47:46.646: Algorithm - processTransitionPoint - nextUpper/LowerStrikes are 1.51/1.505 requiredDeltas/currentPosition/currentHedgeShortfall/direction/transitionPrice are 21/21/0/1/1.50685</t>
  </si>
  <si>
    <t>2015-1-30 10:47:46.646: TransitionLogger - processTransitionpoint - checking transition - currentHedgeShortfall is 0</t>
  </si>
  <si>
    <t>2015-1-30 10:47:46.647: Algorithm - updatePortfolio - haveAllDetails is True</t>
  </si>
  <si>
    <t>2015-1-30 10:47:46.694: Algorithm - FindNextStrikes - price is 1.50675 nextStrikeUp/Down 1.51/1.505</t>
  </si>
  <si>
    <t>2015-1-30 10:47:46.695: Algorithm - getPortfolioForwardDelta - required deltas is 21 currentHedgePosition is 21</t>
  </si>
  <si>
    <t>2015-1-30 10:47:46.695: Algorithm - getHedgeShortfall - required deltas is 21 price is 1.50685 currentHedgePositionDeltas is 21</t>
  </si>
  <si>
    <t>2015-1-30 10:47:46.696: Algorithm - processTransitionPoint - nextUpper/LowerStrikes are 1.51/1.505 requiredDeltas/currentPosition/currentHedgeShortfall/direction/transitionPrice are 21/21/0/1/1.50685</t>
  </si>
  <si>
    <t>2015-1-30 10:47:46.696: TransitionLogger - processTransitionpoint - checking transition - currentHedgeShortfall is 0</t>
  </si>
  <si>
    <t>2015-1-30 10:47:46.697: Algorithm - updatePortfolio - haveAllDetails is True</t>
  </si>
  <si>
    <t>2015-1-30 10:47:46.757: Algorithm - FindNextStrikes - price is 1.50675 nextStrikeUp/Down 1.51/1.505</t>
  </si>
  <si>
    <t>2015-1-30 10:47:46.757: Algorithm - getPortfolioForwardDelta - required deltas is 21 currentHedgePosition is 21</t>
  </si>
  <si>
    <t>2015-1-30 10:47:46.758: Algorithm - getHedgeShortfall - required deltas is 21 price is 1.50685 currentHedgePositionDeltas is 21</t>
  </si>
  <si>
    <t>2015-1-30 10:47:46.758: Algorithm - processTransitionPoint - nextUpper/LowerStrikes are 1.51/1.505 requiredDeltas/currentPosition/currentHedgeShortfall/direction/transitionPrice are 21/21/0/1/1.50685</t>
  </si>
  <si>
    <t>2015-1-30 10:47:46.758: TransitionLogger - processTransitionpoint - checking transition - currentHedgeShortfall is 0</t>
  </si>
  <si>
    <t>2015-1-30 10:47:46.759: Algorithm - updatePortfolio - haveAllDetails is True</t>
  </si>
  <si>
    <t>2015-1-30 10:47:46.811: Algorithm - FindNextStrikes - price is 1.50675 nextStrikeUp/Down 1.51/1.505</t>
  </si>
  <si>
    <t>2015-1-30 10:47:46.811: Algorithm - getPortfolioForwardDelta - required deltas is 21 currentHedgePosition is 21</t>
  </si>
  <si>
    <t>2015-1-30 10:47:46.812: Algorithm - getHedgeShortfall - required deltas is 21 price is 1.50685 currentHedgePositionDeltas is 21</t>
  </si>
  <si>
    <t>2015-1-30 10:47:46.812: Algorithm - processTransitionPoint - nextUpper/LowerStrikes are 1.51/1.505 requiredDeltas/currentPosition/currentHedgeShortfall/direction/transitionPrice are 21/21/0/1/1.50685</t>
  </si>
  <si>
    <t>2015-1-30 10:47:46.812: TransitionLogger - processTransitionpoint - checking transition - currentHedgeShortfall is 0</t>
  </si>
  <si>
    <t>2015-1-30 10:47:46.813: Algorithm - updatePortfolio - haveAllDetails is True</t>
  </si>
  <si>
    <t>2015-1-30 10:47:46.855: Algorithm - FindNextStrikes - price is 1.50675 nextStrikeUp/Down 1.51/1.505</t>
  </si>
  <si>
    <t>2015-1-30 10:47:46.856: Algorithm - getPortfolioForwardDelta - required deltas is 21 currentHedgePosition is 21</t>
  </si>
  <si>
    <t>2015-1-30 10:47:46.856: Algorithm - getHedgeShortfall - required deltas is 21 price is 1.50685 currentHedgePositionDeltas is 21</t>
  </si>
  <si>
    <t>2015-1-30 10:47:46.856: Algorithm - processTransitionPoint - nextUpper/LowerStrikes are 1.51/1.505 requiredDeltas/currentPosition/currentHedgeShortfall/direction/transitionPrice are 21/21/0/1/1.50685</t>
  </si>
  <si>
    <t>2015-1-30 10:47:46.857: TransitionLogger - processTransitionpoint - checking transition - currentHedgeShortfall is 0</t>
  </si>
  <si>
    <t>2015-1-30 10:47:46.858: Algorithm - updatePortfolio - haveAllDetails is True</t>
  </si>
  <si>
    <t>2015-1-30 10:47:46.923: Algorithm - FindNextStrikes - price is 1.50675 nextStrikeUp/Down 1.51/1.505</t>
  </si>
  <si>
    <t>2015-1-30 10:47:46.924: Algorithm - getPortfolioForwardDelta - required deltas is 21 currentHedgePosition is 21</t>
  </si>
  <si>
    <t>2015-1-30 10:47:46.924: Algorithm - getHedgeShortfall - required deltas is 21 price is 1.50685 currentHedgePositionDeltas is 21</t>
  </si>
  <si>
    <t>2015-1-30 10:47:46.925: Algorithm - processTransitionPoint - nextUpper/LowerStrikes are 1.51/1.505 requiredDeltas/currentPosition/currentHedgeShortfall/direction/transitionPrice are 21/21/0/1/1.50685</t>
  </si>
  <si>
    <t>2015-1-30 10:47:46.925: TransitionLogger - processTransitionpoint - checking transition - currentHedgeShortfall is 0</t>
  </si>
  <si>
    <t>2015-1-30 10:47:46.926: Algorithm - updatePortfolio - haveAllDetails is True</t>
  </si>
  <si>
    <t>2015-1-30 10:47:46.976: Algorithm - FindNextStrikes - price is 1.50675 nextStrikeUp/Down 1.51/1.505</t>
  </si>
  <si>
    <t>2015-1-30 10:47:46.976: Algorithm - getPortfolioForwardDelta - required deltas is 21 currentHedgePosition is 21</t>
  </si>
  <si>
    <t>2015-1-30 10:47:46.977: Algorithm - getHedgeShortfall - required deltas is 21 price is 1.50685 currentHedgePositionDeltas is 21</t>
  </si>
  <si>
    <t>2015-1-30 10:47:46.977: Algorithm - processTransitionPoint - nextUpper/LowerStrikes are 1.51/1.505 requiredDeltas/currentPosition/currentHedgeShortfall/direction/transitionPrice are 21/21/0/1/1.50685</t>
  </si>
  <si>
    <t>2015-1-30 10:47:46.977: TransitionLogger - processTransitionpoint - checking transition - currentHedgeShortfall is 0</t>
  </si>
  <si>
    <t>2015-1-30 10:47:46.978: Algorithm - updatePortfolio - haveAllDetails is True</t>
  </si>
  <si>
    <t>2015-1-30 10:47:47.22: Algorithm - FindNextStrikes - price is 1.50675 nextStrikeUp/Down 1.51/1.505</t>
  </si>
  <si>
    <t>2015-1-30 10:47:47.23: Algorithm - getPortfolioForwardDelta - required deltas is 21 currentHedgePosition is 21</t>
  </si>
  <si>
    <t>2015-1-30 10:47:47.23: Algorithm - getHedgeShortfall - required deltas is 21 price is 1.50685 currentHedgePositionDeltas is 21</t>
  </si>
  <si>
    <t>2015-1-30 10:47:47.24: Algorithm - processTransitionPoint - nextUpper/LowerStrikes are 1.51/1.505 requiredDeltas/currentPosition/currentHedgeShortfall/direction/transitionPrice are 21/21/0/1/1.50685</t>
  </si>
  <si>
    <t>2015-1-30 10:47:47.24: TransitionLogger - processTransitionpoint - checking transition - currentHedgeShortfall is 0</t>
  </si>
  <si>
    <t>2015-1-30 10:47:47.25: Algorithm - updatePortfolio - haveAllDetails is True</t>
  </si>
  <si>
    <t>2015-1-30 10:47:47.90: Algorithm - FindNextStrikes - price is 1.50675 nextStrikeUp/Down 1.51/1.505</t>
  </si>
  <si>
    <t>2015-1-30 10:47:47.90: Algorithm - getPortfolioForwardDelta - required deltas is 21 currentHedgePosition is 21</t>
  </si>
  <si>
    <t>2015-1-30 10:47:47.91: Algorithm - getHedgeShortfall - required deltas is 21 price is 1.50685 currentHedgePositionDeltas is 21</t>
  </si>
  <si>
    <t>2015-1-30 10:47:47.91: Algorithm - processTransitionPoint - nextUpper/LowerStrikes are 1.51/1.505 requiredDeltas/currentPosition/currentHedgeShortfall/direction/transitionPrice are 21/21/0/1/1.50685</t>
  </si>
  <si>
    <t>2015-1-30 10:47:47.92: TransitionLogger - processTransitionpoint - checking transition - currentHedgeShortfall is 0</t>
  </si>
  <si>
    <t>2015-1-30 10:47:47.92: Algorithm - updatePortfolio - haveAllDetails is True</t>
  </si>
  <si>
    <t>2015-1-30 10:47:47.144: Algorithm - FindNextStrikes - price is 1.50675 nextStrikeUp/Down 1.51/1.505</t>
  </si>
  <si>
    <t>2015-1-30 10:47:47.145: Algorithm - getPortfolioForwardDelta - required deltas is 21 currentHedgePosition is 21</t>
  </si>
  <si>
    <t>2015-1-30 10:47:47.145: Algorithm - getHedgeShortfall - required deltas is 21 price is 1.50685 currentHedgePositionDeltas is 21</t>
  </si>
  <si>
    <t>2015-1-30 10:47:47.146: Algorithm - processTransitionPoint - nextUpper/LowerStrikes are 1.51/1.505 requiredDeltas/currentPosition/currentHedgeShortfall/direction/transitionPrice are 21/21/0/1/1.50685</t>
  </si>
  <si>
    <t>2015-1-30 10:47:47.146: TransitionLogger - processTransitionpoint - checking transition - currentHedgeShortfall is 0</t>
  </si>
  <si>
    <t>2015-1-30 10:47:47.147: Algorithm - updatePortfolio - haveAllDetails is True</t>
  </si>
  <si>
    <t>2015-1-30 10:47:47.189: Algorithm - FindNextStrikes - price is 1.50675 nextStrikeUp/Down 1.51/1.505</t>
  </si>
  <si>
    <t>2015-1-30 10:47:47.189: Algorithm - getPortfolioForwardDelta - required deltas is 21 currentHedgePosition is 21</t>
  </si>
  <si>
    <t>2015-1-30 10:47:47.190: Algorithm - getHedgeShortfall - required deltas is 21 price is 1.50685 currentHedgePositionDeltas is 21</t>
  </si>
  <si>
    <t>2015-1-30 10:47:47.190: Algorithm - processTransitionPoint - nextUpper/LowerStrikes are 1.51/1.505 requiredDeltas/currentPosition/currentHedgeShortfall/direction/transitionPrice are 21/21/0/1/1.50685</t>
  </si>
  <si>
    <t>2015-1-30 10:47:47.190: TransitionLogger - processTransitionpoint - checking transition - currentHedgeShortfall is 0</t>
  </si>
  <si>
    <t>2015-1-30 10:47:47.191: Algorithm - updatePortfolio - haveAllDetails is True</t>
  </si>
  <si>
    <t>2015-1-30 10:47:47.256: Algorithm - FindNextStrikes - price is 1.50675 nextStrikeUp/Down 1.51/1.505</t>
  </si>
  <si>
    <t>2015-1-30 10:47:47.257: Algorithm - getPortfolioForwardDelta - required deltas is 21 currentHedgePosition is 21</t>
  </si>
  <si>
    <t>2015-1-30 10:47:47.257: Algorithm - getHedgeShortfall - required deltas is 21 price is 1.50685 currentHedgePositionDeltas is 21</t>
  </si>
  <si>
    <t>2015-1-30 10:47:47.257: Algorithm - processTransitionPoint - nextUpper/LowerStrikes are 1.51/1.505 requiredDeltas/currentPosition/currentHedgeShortfall/direction/transitionPrice are 21/21/0/1/1.50685</t>
  </si>
  <si>
    <t>2015-1-30 10:47:47.258: TransitionLogger - processTransitionpoint - checking transition - currentHedgeShortfall is 0</t>
  </si>
  <si>
    <t>2015-1-30 10:47:47.258: Algorithm - updatePortfolio - haveAllDetails is True</t>
  </si>
  <si>
    <t>2015-1-30 10:48:9.425: OrderManager - cancelOrder - cancelling order id 1370</t>
  </si>
  <si>
    <t>2015-1-30 10:48:9.427: OrderManager - PlaceOrder - id 1372 workingQty -1554</t>
  </si>
  <si>
    <t>2015-1-30 10:48:9.427: OrderManagerView - UpdateMainSheetOpenOrder - entering UpdateMainSheetOpenOrder order.status is In-Flight</t>
  </si>
  <si>
    <t>2015-1-30 10:48:9.433: OrderManager - sendOrder - exiting place order id 1372 BUY 34 1.5131  - workingQty -1554 currentPosition is 21 workingOrderCount is 2</t>
  </si>
  <si>
    <t>2015-1-30 10:48:9.435: OrderManager - cancelOrder - cancelling order id 1371</t>
  </si>
  <si>
    <t>2015-1-30 10:48:9.435: OrderManager - createOrder - exiting without creating order - did not have validID</t>
  </si>
  <si>
    <t>2015-1-30 10:48:9.553: OrderManager - createOrder - exiting without creating order - did not have validID</t>
  </si>
  <si>
    <t>2015-1-30 10:48:9.738: RTWSControl - nextValidId - entering nextValidId id is 1373</t>
  </si>
  <si>
    <t>2015-1-30 10:48:9.761: RTWSControl - orderStatus -  entering orderStatus id is 1370 status is Cancelled</t>
  </si>
  <si>
    <t>2015-1-30 10:48:9.762: OrderManager - UpdateOrderStatus - id 1370 Setting status to Cancelled workingOrderCount is now 2 workingQty -1554</t>
  </si>
  <si>
    <t>2015-1-30 10:48:9.762: OrderManagerView - UpdateMainSheetOpenOrder - entering UpdateMainSheetOpenOrder order.status is Cancelled</t>
  </si>
  <si>
    <t>2015-1-30 10:48:9.764: RTWSControl - OrderStatus - Got OrderStatus Message id:1370 status: Cancelled filled: 0</t>
  </si>
  <si>
    <t>2015-1-30 10:48:9.764: RTWSControl - OrderStatus - exiting orderStatus</t>
  </si>
  <si>
    <t>2015-1-30 10:48:9.774: RTWSControl - errMsg - got error message 202:Order Canceled - reason:with id 1370</t>
  </si>
  <si>
    <t>2015-1-30 10:48:9.775: OrderManager - canceledOrder - cleaning up after canceled order 1370BEWARE UNACCOUNTED FOR EXECUTIONS!!!</t>
  </si>
  <si>
    <t>2015-1-30 10:48:9.775: OrderManager - terminateOrder - cleaning up after Canceled 1370  order was supposed to BUY 37 1.5133 STP LMT workingQty/OrderCount now -1591/1</t>
  </si>
  <si>
    <t>2015-1-30 10:48:9.778: OrderManagerView - UpdateMainSheetOpenOrder - entering UpdateMainSheetOpenOrder order.status is Canceled</t>
  </si>
  <si>
    <t>2015-1-30 10:48:9.802: RTWSControl - errMsg - got error message 399:Order Message:
BUY 34 GBP MAR'15
Warning: your order will not be placed at the exchange until 2015-01-30 08:30:00 US/Centralwith id 1372</t>
  </si>
  <si>
    <t>2015-1-30 10:48:9.803: RTWSControl - errMsg - Got Error_x000D_id: 1372_x000D_errorCode: 399_x000D_errorMsg: Order Message:
BUY 34 GBP MAR'15
Warning: your order will not be placed at the exchange until 2015-01-30 08:30:00 US/Central</t>
  </si>
  <si>
    <t>2015-1-30 10:48:9.812: openOrderEx - I am here</t>
  </si>
  <si>
    <t>2015-1-30 10:48:9.813: OrderManagerView - UpdateMainSheetOpenOrder - entering UpdateMainSheetOpenOrder order.status is In-Flight</t>
  </si>
  <si>
    <t>2015-1-30 10:48:9.842: RTWSControl - orderStatus -  entering orderStatus id is 1372 status is PreSubmitted</t>
  </si>
  <si>
    <t>2015-1-30 10:48:9.842: OrderManager - UpdateOrderStatus - id 1372 Setting status to PreSubmitted workingOrderCount is now 1 workingQty -1591</t>
  </si>
  <si>
    <t>2015-1-30 10:48:9.843: OrderManagerView - UpdateMainSheetOpenOrder - entering UpdateMainSheetOpenOrder order.status is PreSubmitted</t>
  </si>
  <si>
    <t>2015-1-30 10:48:9.845: RTWSControl - OrderStatus - Got OrderStatus Message id:1372 status: PreSubmitted filled: 0</t>
  </si>
  <si>
    <t>2015-1-30 10:48:9.845: RTWSControl - OrderStatus - exiting orderStatus</t>
  </si>
  <si>
    <t>2015-1-30 10:48:9.880: RTWSControl - orderStatus -  entering orderStatus id is 1371 status is Cancelled</t>
  </si>
  <si>
    <t>2015-1-30 10:48:9.880: OrderManager - UpdateOrderStatus - id 1371 Setting status to Cancelled workingOrderCount is now 1 workingQty -1591</t>
  </si>
  <si>
    <t>2015-1-30 10:48:9.881: OrderManagerView - UpdateMainSheetOpenOrder - entering UpdateMainSheetOpenOrder order.status is Cancelled</t>
  </si>
  <si>
    <t>2015-1-30 10:48:9.883: RTWSControl - OrderStatus - Got OrderStatus Message id:1371 status: Cancelled filled: 0</t>
  </si>
  <si>
    <t>2015-1-30 10:48:9.883: RTWSControl - OrderStatus - exiting orderStatus</t>
  </si>
  <si>
    <t>2015-1-30 10:48:9.893: RTWSControl - errMsg - got error message 202:Order Canceled - reason:with id 1371</t>
  </si>
  <si>
    <t>2015-1-30 10:48:9.893: OrderManager - canceledOrder - cleaning up after canceled order 1371BEWARE UNACCOUNTED FOR EXECUTIONS!!!</t>
  </si>
  <si>
    <t>2015-1-30 10:48:9.894: OrderManager - terminateOrder - cleaning up after Canceled 1371  order was supposed to SELL 37 1.5055 STP LMT workingQty/OrderCount now -1628/0</t>
  </si>
  <si>
    <t>2015-1-30 10:48:9.896: OrderManagerView - UpdateMainSheetOpenOrder - entering UpdateMainSheetOpenOrder order.status is Canceled</t>
  </si>
  <si>
    <t>2015-1-30 10:48:9.929: openOrderEx - I am here</t>
  </si>
  <si>
    <t>2015-1-30 10:48:9.929: OrderManagerView - UpdateMainSheetOpenOrder - entering UpdateMainSheetOpenOrder order.status is PreSubmitted</t>
  </si>
  <si>
    <t>2015-1-30 10:48:9.963: RTWSControl - orderStatus -  entering orderStatus id is 1372 status is PreSubmitted</t>
  </si>
  <si>
    <t>2015-1-30 10:48:9.964: OrderManager - UpdateOrderStatus - id 1372 Setting status to PreSubmitted workingOrderCount is now 0 workingQty -1628</t>
  </si>
  <si>
    <t>2015-1-30 10:48:9.964: OrderManagerView - UpdateMainSheetOpenOrder - entering UpdateMainSheetOpenOrder order.status is PreSubmitted</t>
  </si>
  <si>
    <t>2015-1-30 10:48:9.966: RTWSControl - OrderStatus - Got OrderStatus Message id:1372 status: PreSubmitted filled: 0</t>
  </si>
  <si>
    <t>2015-1-30 10:48:9.966: RTWSControl - OrderStatus - exiting orderStatus</t>
  </si>
  <si>
    <t>2015-1-30 10:48:14.13: OrderManagerView - UpdateMainSheetOpenOrder - entering UpdateMainSheetOpenOrder order.status is Canceled</t>
  </si>
  <si>
    <t>2015-1-30 10:48:14.21: OrderManagerView - UpdateMainSheetOpenOrder - entering UpdateMainSheetOpenOrder order.status is PreSubmitted</t>
  </si>
  <si>
    <t>2015-1-30 10:48:14.28: OrderManagerView - UpdateMainSheetOpenOrder - entering UpdateMainSheetOpenOrder order.status is PreSubmitted</t>
  </si>
  <si>
    <t>2015-1-30 10:48:14.38: OrderManagerView - UpdateMainSheetOpenOrder - entering UpdateMainSheetOpenOrder order.status is PreSubmitted</t>
  </si>
  <si>
    <t>2015-1-30 10:48:19.120: OrderManagerView - UpdateMainSheetOpenOrder - entering UpdateMainSheetOpenOrder order.status is PreSubmitted</t>
  </si>
  <si>
    <t>2015-1-30 10:48:24.11: OrderManager - cancelOrder - cancelling order id 1372</t>
  </si>
  <si>
    <t>2015-1-30 10:48:24.12: OrderManager - PlaceOrder - id 1373 workingQty -1595</t>
  </si>
  <si>
    <t>2015-1-30 10:48:24.12: OrderManagerView - UpdateMainSheetOpenOrder - entering UpdateMainSheetOpenOrder order.status is In-Flight</t>
  </si>
  <si>
    <t>2015-1-30 10:48:24.14: OrderManager - sendOrder - exiting place order id 1373 BUY 33 1.5124  - workingQty -1595 currentPosition is 21 workingOrderCount is 1</t>
  </si>
  <si>
    <t>2015-1-30 10:48:24.15: OrderManager - createOrder - exiting without creating order - did not have validID</t>
  </si>
  <si>
    <t>2015-1-30 10:48:24.101: OrderManager - createOrder - exiting without creating order - did not have validID</t>
  </si>
  <si>
    <t>2015-1-30 10:48:24.217: RTWSControl - nextValidId - entering nextValidId id is 1374</t>
  </si>
  <si>
    <t>2015-1-30 10:48:24.257: RTWSControl - orderStatus -  entering orderStatus id is 1372 status is Cancelled</t>
  </si>
  <si>
    <t>2015-1-30 10:48:24.258: OrderManager - UpdateOrderStatus - id 1372 Setting status to Cancelled workingOrderCount is now 1 workingQty -1595</t>
  </si>
  <si>
    <t>2015-1-30 10:48:24.258: OrderManagerView - UpdateMainSheetOpenOrder - entering UpdateMainSheetOpenOrder order.status is Cancelled</t>
  </si>
  <si>
    <t>2015-1-30 10:48:24.260: RTWSControl - OrderStatus - Got OrderStatus Message id:1372 status: Cancelled filled: 0</t>
  </si>
  <si>
    <t>2015-1-30 10:48:24.260: RTWSControl - OrderStatus - exiting orderStatus</t>
  </si>
  <si>
    <t>2015-1-30 10:48:24.283: RTWSControl - errMsg - got error message 202:Order Canceled - reason:with id 1372</t>
  </si>
  <si>
    <t>2015-1-30 10:48:24.284: OrderManager - canceledOrder - cleaning up after canceled order 1372BEWARE UNACCOUNTED FOR EXECUTIONS!!!</t>
  </si>
  <si>
    <t>2015-1-30 10:48:24.284: OrderManager - terminateOrder - cleaning up after Canceled 1372  order was supposed to BUY 34 1.5131 STP LMT workingQty/OrderCount now -1629/0</t>
  </si>
  <si>
    <t>2015-1-30 10:48:24.286: OrderManagerView - UpdateMainSheetOpenOrder - entering UpdateMainSheetOpenOrder order.status is Canceled</t>
  </si>
  <si>
    <t>2015-1-30 10:48:24.470: RTWSControl - errMsg - got error message 399:Order Message:
BUY 33 GBP MAR'15
Warning: your order will not be placed at the exchange until 2015-01-30 08:30:00 US/Centralwith id 1373</t>
  </si>
  <si>
    <t>2015-1-30 10:48:24.471: RTWSControl - errMsg - Got Error_x000D_id: 1373_x000D_errorCode: 399_x000D_errorMsg: Order Message:
BUY 33 GBP MAR'15
Warning: your order will not be placed at the exchange until 2015-01-30 08:30:00 US/Central</t>
  </si>
  <si>
    <t>2015-1-30 10:48:24.479: openOrderEx - I am here</t>
  </si>
  <si>
    <t>2015-1-30 10:48:24.480: OrderManagerView - UpdateMainSheetOpenOrder - entering UpdateMainSheetOpenOrder order.status is In-Flight</t>
  </si>
  <si>
    <t>2015-1-30 10:48:24.498: RTWSControl - orderStatus -  entering orderStatus id is 1373 status is PreSubmitted</t>
  </si>
  <si>
    <t>2015-1-30 10:48:24.498: OrderManager - UpdateOrderStatus - id 1373 Setting status to PreSubmitted workingOrderCount is now 0 workingQty -1629</t>
  </si>
  <si>
    <t>2015-1-30 10:48:24.499: OrderManagerView - UpdateMainSheetOpenOrder - entering UpdateMainSheetOpenOrder order.status is PreSubmitted</t>
  </si>
  <si>
    <t>2015-1-30 10:48:24.501: RTWSControl - OrderStatus - Got OrderStatus Message id:1373 status: PreSubmitted filled: 0</t>
  </si>
  <si>
    <t>2015-1-30 10:48:24.501: RTWSControl - OrderStatus - exiting orderStatus</t>
  </si>
  <si>
    <t>2015-1-30 10:48:24.550: openOrderEx - I am here</t>
  </si>
  <si>
    <t>2015-1-30 10:48:24.551: OrderManagerView - UpdateMainSheetOpenOrder - entering UpdateMainSheetOpenOrder order.status is PreSubmitted</t>
  </si>
  <si>
    <t>2015-1-30 10:48:24.562: RTWSControl - orderStatus -  entering orderStatus id is 1373 status is PreSubmitted</t>
  </si>
  <si>
    <t>2015-1-30 10:48:24.562: OrderManager - UpdateOrderStatus - id 1373 Setting status to PreSubmitted workingOrderCount is now 0 workingQty -1629</t>
  </si>
  <si>
    <t>2015-1-30 10:48:24.563: OrderManagerView - UpdateMainSheetOpenOrder - entering UpdateMainSheetOpenOrder order.status is PreSubmitted</t>
  </si>
  <si>
    <t>2015-1-30 10:48:24.565: RTWSControl - OrderStatus - Got OrderStatus Message id:1373 status: PreSubmitted filled: 0</t>
  </si>
  <si>
    <t>2015-1-30 10:48:24.565: RTWSControl - OrderStatus - exiting orderStatus</t>
  </si>
  <si>
    <t>2015-1-30 10:48:24.718: OrderManager - PlaceOrder - id 1374 workingQty -1662</t>
  </si>
  <si>
    <t>2015-1-30 10:48:24.718: OrderManagerView - UpdateMainSheetOpenOrder - entering UpdateMainSheetOpenOrder order.status is In-Flight</t>
  </si>
  <si>
    <t>2015-1-30 10:48:24.720: OrderManager - sendOrder - exiting place order id 1374 SELL 33 1.5054  - workingQty -1662 currentPosition is 21 workingOrderCount is 1</t>
  </si>
  <si>
    <t>2015-1-30 10:48:24.807: RTWSControl - nextValidId - entering nextValidId id is 1375</t>
  </si>
  <si>
    <t>2015-1-30 10:48:25.179: RTWSControl - errMsg - got error message 399:Order Message:
SELL 33 GBP MAR'15
Warning: your order will not be placed at the exchange until 2015-01-30 08:30:00 US/Centralwith id 1374</t>
  </si>
  <si>
    <t>2015-1-30 10:48:25.180: RTWSControl - errMsg - Got Error_x000D_id: 1374_x000D_errorCode: 399_x000D_errorMsg: Order Message:
SELL 33 GBP MAR'15
Warning: your order will not be placed at the exchange until 2015-01-30 08:30:00 US/Central</t>
  </si>
  <si>
    <t>2015-1-30 10:48:25.188: openOrderEx - I am here</t>
  </si>
  <si>
    <t>2015-1-30 10:48:25.188: OrderManagerView - UpdateMainSheetOpenOrder - entering UpdateMainSheetOpenOrder order.status is In-Flight</t>
  </si>
  <si>
    <t>2015-1-30 10:48:25.219: RTWSControl - orderStatus -  entering orderStatus id is 1374 status is PreSubmitted</t>
  </si>
  <si>
    <t>2015-1-30 10:48:25.219: OrderManager - UpdateOrderStatus - id 1374 Setting status to PreSubmitted workingOrderCount is now 1 workingQty -1662</t>
  </si>
  <si>
    <t>2015-1-30 10:48:25.220: OrderManagerView - UpdateMainSheetOpenOrder - entering UpdateMainSheetOpenOrder order.status is PreSubmitted</t>
  </si>
  <si>
    <t>2015-1-30 10:48:25.222: RTWSControl - OrderStatus - Got OrderStatus Message id:1374 status: PreSubmitted filled: 0</t>
  </si>
  <si>
    <t>2015-1-30 10:48:25.222: RTWSControl - OrderStatus - exiting orderStatus</t>
  </si>
  <si>
    <t>2015-1-30 10:48:25.259: openOrderEx - I am here</t>
  </si>
  <si>
    <t>2015-1-30 10:48:25.260: OrderManagerView - UpdateMainSheetOpenOrder - entering UpdateMainSheetOpenOrder order.status is PreSubmitted</t>
  </si>
  <si>
    <t>2015-1-30 10:48:25.271: RTWSControl - orderStatus -  entering orderStatus id is 1374 status is PreSubmitted</t>
  </si>
  <si>
    <t>2015-1-30 10:48:25.272: OrderManager - UpdateOrderStatus - id 1374 Setting status to PreSubmitted workingOrderCount is now 1 workingQty -1662</t>
  </si>
  <si>
    <t>2015-1-30 10:48:25.272: OrderManagerView - UpdateMainSheetOpenOrder - entering UpdateMainSheetOpenOrder order.status is PreSubmitted</t>
  </si>
  <si>
    <t>2015-1-30 10:48:25.274: RTWSControl - OrderStatus - Got OrderStatus Message id:1374 status: PreSubmitted filled: 0</t>
  </si>
  <si>
    <t>2015-1-30 10:48:25.274: RTWSControl - OrderStatus - exiting orderStatus</t>
  </si>
  <si>
    <t>2015-1-30 10:48:29.28: OrderManagerView - UpdateMainSheetOpenOrder - entering UpdateMainSheetOpenOrder order.status is PreSubmitted</t>
  </si>
  <si>
    <t>2015-1-30 10:48:29.38: OrderManagerView - UpdateMainSheetOpenOrder - entering UpdateMainSheetOpenOrder order.status is PreSubmitted</t>
  </si>
  <si>
    <t>2015-1-30 10:48:29.45: OrderManagerView - UpdateMainSheetOpenOrder - entering UpdateMainSheetOpenOrder order.status is PreSubmitted</t>
  </si>
  <si>
    <t>2015-1-30 10:48:31.360: OrderManager - cancelOrder - cancelling order id 1373</t>
  </si>
  <si>
    <t>2015-1-30 10:48:31.361: OrderManager - PlaceOrder - id 1375 workingQty -1626</t>
  </si>
  <si>
    <t>2015-1-30 10:48:31.362: OrderManagerView - UpdateMainSheetOpenOrder - entering UpdateMainSheetOpenOrder order.status is In-Flight</t>
  </si>
  <si>
    <t>2015-1-30 10:48:31.367: OrderManager - sendOrder - exiting place order id 1375 BUY 36 1.5128  - workingQty -1626 currentPosition is 21 workingOrderCount is 2</t>
  </si>
  <si>
    <t>2015-1-30 10:48:31.369: OrderManager - cancelOrder - cancelling order id 1374</t>
  </si>
  <si>
    <t>2015-1-30 10:48:31.370: OrderManager - createOrder - exiting without creating order - did not have validID</t>
  </si>
  <si>
    <t>2015-1-30 10:48:31.847: RTWSControl - nextValidId - entering nextValidId id is 1376</t>
  </si>
  <si>
    <t>2015-1-30 10:48:31.853: RTWSControl - orderStatus -  entering orderStatus id is 1373 status is Cancelled</t>
  </si>
  <si>
    <t>2015-1-30 10:48:31.853: OrderManager - UpdateOrderStatus - id 1373 Setting status to Cancelled workingOrderCount is now 2 workingQty -1626</t>
  </si>
  <si>
    <t>2015-1-30 10:48:31.854: OrderManagerView - UpdateMainSheetOpenOrder - entering UpdateMainSheetOpenOrder order.status is Cancelled</t>
  </si>
  <si>
    <t>2015-1-30 10:48:31.856: RTWSControl - OrderStatus - Got OrderStatus Message id:1373 status: Cancelled filled: 0</t>
  </si>
  <si>
    <t>2015-1-30 10:48:31.856: RTWSControl - OrderStatus - exiting orderStatus</t>
  </si>
  <si>
    <t>2015-1-30 10:48:31.885: RTWSControl - errMsg - got error message 202:Order Canceled - reason:with id 1373</t>
  </si>
  <si>
    <t>2015-1-30 10:48:31.886: OrderManager - canceledOrder - cleaning up after canceled order 1373BEWARE UNACCOUNTED FOR EXECUTIONS!!!</t>
  </si>
  <si>
    <t>2015-1-30 10:48:31.886: OrderManager - terminateOrder - cleaning up after Canceled 1373  order was supposed to BUY 33 1.5124 STP LMT workingQty/OrderCount now -1659/1</t>
  </si>
  <si>
    <t>2015-1-30 10:48:31.888: OrderManagerView - UpdateMainSheetOpenOrder - entering UpdateMainSheetOpenOrder order.status is Canceled</t>
  </si>
  <si>
    <t>2015-1-30 10:48:31.923: RTWSControl - errMsg - got error message 399:Order Message:
BUY 36 GBP MAR'15
Warning: your order will not be placed at the exchange until 2015-01-30 08:30:00 US/Centralwith id 1375</t>
  </si>
  <si>
    <t>2015-1-30 10:48:31.924: RTWSControl - errMsg - Got Error_x000D_id: 1375_x000D_errorCode: 399_x000D_errorMsg: Order Message:
BUY 36 GBP MAR'15
Warning: your order will not be placed at the exchange until 2015-01-30 08:30:00 US/Central</t>
  </si>
  <si>
    <t>2015-1-30 10:48:31.932: openOrderEx - I am here</t>
  </si>
  <si>
    <t>2015-1-30 10:48:31.933: OrderManagerView - UpdateMainSheetOpenOrder - entering UpdateMainSheetOpenOrder order.status is In-Flight</t>
  </si>
  <si>
    <t>2015-1-30 10:48:31.966: RTWSControl - orderStatus -  entering orderStatus id is 1375 status is PreSubmitted</t>
  </si>
  <si>
    <t>2015-1-30 10:48:31.967: OrderManager - UpdateOrderStatus - id 1375 Setting status to PreSubmitted workingOrderCount is now 1 workingQty -1659</t>
  </si>
  <si>
    <t>2015-1-30 10:48:31.967: OrderManagerView - UpdateMainSheetOpenOrder - entering UpdateMainSheetOpenOrder order.status is PreSubmitted</t>
  </si>
  <si>
    <t>2015-1-30 10:48:31.969: RTWSControl - OrderStatus - Got OrderStatus Message id:1375 status: PreSubmitted filled: 0</t>
  </si>
  <si>
    <t>2015-1-30 10:48:31.970: RTWSControl - OrderStatus - exiting orderStatus</t>
  </si>
  <si>
    <t>2015-1-30 10:48:32.48: RTWSControl - orderStatus -  entering orderStatus id is 1374 status is Cancelled</t>
  </si>
  <si>
    <t>2015-1-30 10:48:32.48: OrderManager - UpdateOrderStatus - id 1374 Setting status to Cancelled workingOrderCount is now 1 workingQty -1659</t>
  </si>
  <si>
    <t>2015-1-30 10:48:32.49: OrderManagerView - UpdateMainSheetOpenOrder - entering UpdateMainSheetOpenOrder order.status is Cancelled</t>
  </si>
  <si>
    <t>2015-1-30 10:48:32.50: RTWSControl - OrderStatus - Got OrderStatus Message id:1374 status: Cancelled filled: 0</t>
  </si>
  <si>
    <t>2015-1-30 10:48:32.51: RTWSControl - OrderStatus - exiting orderStatus</t>
  </si>
  <si>
    <t>2015-1-30 10:48:32.60: RTWSControl - errMsg - got error message 202:Order Canceled - reason:with id 1374</t>
  </si>
  <si>
    <t>2015-1-30 10:48:32.61: OrderManager - canceledOrder - cleaning up after canceled order 1374BEWARE UNACCOUNTED FOR EXECUTIONS!!!</t>
  </si>
  <si>
    <t>2015-1-30 10:48:32.61: OrderManager - terminateOrder - cleaning up after Canceled 1374  order was supposed to SELL 33 1.5054 STP LMT workingQty/OrderCount now -1692/0</t>
  </si>
  <si>
    <t>2015-1-30 10:48:32.63: OrderManagerView - UpdateMainSheetOpenOrder - entering UpdateMainSheetOpenOrder order.status is Canceled</t>
  </si>
  <si>
    <t>2015-1-30 10:48:32.96: openOrderEx - I am here</t>
  </si>
  <si>
    <t>2015-1-30 10:48:32.96: OrderManagerView - UpdateMainSheetOpenOrder - entering UpdateMainSheetOpenOrder order.status is PreSubmitted</t>
  </si>
  <si>
    <t>2015-1-30 10:48:32.131: RTWSControl - orderStatus -  entering orderStatus id is 1375 status is PreSubmitted</t>
  </si>
  <si>
    <t>2015-1-30 10:48:32.132: OrderManager - UpdateOrderStatus - id 1375 Setting status to PreSubmitted workingOrderCount is now 0 workingQty -1692</t>
  </si>
  <si>
    <t>2015-1-30 10:48:32.132: OrderManagerView - UpdateMainSheetOpenOrder - entering UpdateMainSheetOpenOrder order.status is PreSubmitted</t>
  </si>
  <si>
    <t>2015-1-30 10:48:32.134: RTWSControl - OrderStatus - Got OrderStatus Message id:1375 status: PreSubmitted filled: 0</t>
  </si>
  <si>
    <t>2015-1-30 10:48:32.134: RTWSControl - OrderStatus - exiting orderStatus</t>
  </si>
  <si>
    <t>2015-1-30 10:48:35.859: OrderManager - cancelOrder - cancelling order id 1375</t>
  </si>
  <si>
    <t>2015-1-30 10:48:35.859: OrderManager - PlaceOrder - id 1376 workingQty -1654</t>
  </si>
  <si>
    <t>2015-1-30 10:48:35.859: OrderManagerView - UpdateMainSheetOpenOrder - entering UpdateMainSheetOpenOrder order.status is In-Flight</t>
  </si>
  <si>
    <t>2015-1-30 10:48:35.861: OrderManager - sendOrder - exiting place order id 1376 BUY 38 1.5136  - workingQty -1654 currentPosition is 21 workingOrderCount is 1</t>
  </si>
  <si>
    <t>2015-1-30 10:48:35.862: OrderManager - createOrder - exiting without creating order - did not have validID</t>
  </si>
  <si>
    <t>2015-1-30 10:48:36.11: OrderManagerView - UpdateMainSheetOpenOrder - entering UpdateMainSheetOpenOrder order.status is Canceled</t>
  </si>
  <si>
    <t>2015-1-30 10:48:36.13: OrderManagerView - UpdateMainSheetOpenOrder - entering UpdateMainSheetOpenOrder order.status is PreSubmitted</t>
  </si>
  <si>
    <t>2015-1-30 10:48:36.15: OrderManagerView - UpdateMainSheetOpenOrder - entering UpdateMainSheetOpenOrder order.status is In-Flight</t>
  </si>
  <si>
    <t>2015-1-30 10:48:36.17: OrderManagerView - UpdateMainSheetOpenOrder - entering UpdateMainSheetOpenOrder order.status is PreSubmitted</t>
  </si>
  <si>
    <t>2015-1-30 10:48:36.18: OrderManagerView - UpdateMainSheetOpenOrder - entering UpdateMainSheetOpenOrder order.status is In-Flight</t>
  </si>
  <si>
    <t>2015-1-30 10:48:36.90: RTWSControl - nextValidId - entering nextValidId id is 1377</t>
  </si>
  <si>
    <t>2015-1-30 10:48:36.97: OrderManager - PlaceOrder - id 1377 workingQty -1692</t>
  </si>
  <si>
    <t>2015-1-30 10:48:36.97: OrderManagerView - UpdateMainSheetOpenOrder - entering UpdateMainSheetOpenOrder order.status is In-Flight</t>
  </si>
  <si>
    <t>2015-1-30 10:48:36.99: OrderManager - sendOrder - exiting place order id 1377 SELL 38 1.5056  - workingQty -1692 currentPosition is 21 workingOrderCount is 2</t>
  </si>
  <si>
    <t>2015-1-30 10:48:37.2: OrderManagerView - UpdateMainSheetOpenOrder - entering UpdateMainSheetOpenOrder order.status is PreSubmitted</t>
  </si>
  <si>
    <t>2015-1-30 10:48:37.5: OrderManagerView - UpdateMainSheetOpenOrder - entering UpdateMainSheetOpenOrder order.status is In-Flight</t>
  </si>
  <si>
    <t>2015-1-30 10:48:37.6: OrderManagerView - UpdateMainSheetOpenOrder - entering UpdateMainSheetOpenOrder order.status is In-Flight</t>
  </si>
  <si>
    <t>2015-1-30 10:48:37.8: OrderManagerView - UpdateMainSheetOpenOrder - entering UpdateMainSheetOpenOrder order.status is In-Flight</t>
  </si>
  <si>
    <t>2015-1-30 10:48:37.9: OrderManagerView - UpdateMainSheetOpenOrder - entering UpdateMainSheetOpenOrder order.status is In-Flight</t>
  </si>
  <si>
    <t>2015-1-30 10:48:37.545: RTWSControl - orderStatus -  entering orderStatus id is 1375 status is Cancelled</t>
  </si>
  <si>
    <t>2015-1-30 10:48:37.545: OrderManager - UpdateOrderStatus - id 1375 Setting status to Cancelled workingOrderCount is now 2 workingQty -1692</t>
  </si>
  <si>
    <t>2015-1-30 10:48:37.546: OrderManagerView - UpdateMainSheetOpenOrder - entering UpdateMainSheetOpenOrder order.status is Cancelled</t>
  </si>
  <si>
    <t>2015-1-30 10:48:37.548: RTWSControl - OrderStatus - Got OrderStatus Message id:1375 status: Cancelled filled: 0</t>
  </si>
  <si>
    <t>2015-1-30 10:48:37.548: RTWSControl - OrderStatus - exiting orderStatus</t>
  </si>
  <si>
    <t>2015-1-30 10:48:37.558: RTWSControl - errMsg - got error message 202:Order Canceled - reason:with id 1375</t>
  </si>
  <si>
    <t>2015-1-30 10:48:37.559: OrderManager - canceledOrder - cleaning up after canceled order 1375BEWARE UNACCOUNTED FOR EXECUTIONS!!!</t>
  </si>
  <si>
    <t>2015-1-30 10:48:37.559: OrderManager - terminateOrder - cleaning up after Canceled 1375  order was supposed to BUY 36 1.5128 STP LMT workingQty/OrderCount now -1728/1</t>
  </si>
  <si>
    <t>2015-1-30 10:48:37.560: OrderManagerView - UpdateMainSheetOpenOrder - entering UpdateMainSheetOpenOrder order.status is Canceled</t>
  </si>
  <si>
    <t>2015-1-30 10:48:37.593: RTWSControl - errMsg - got error message 399:Order Message:
BUY 38 GBP MAR'15
Warning: your order will not be placed at the exchange until 2015-01-30 08:30:00 US/Centralwith id 1376</t>
  </si>
  <si>
    <t>2015-1-30 10:48:37.593: RTWSControl - errMsg - Got Error_x000D_id: 1376_x000D_errorCode: 399_x000D_errorMsg: Order Message:
BUY 38 GBP MAR'15
Warning: your order will not be placed at the exchange until 2015-01-30 08:30:00 US/Central</t>
  </si>
  <si>
    <t>2015-1-30 10:48:37.602: openOrderEx - I am here</t>
  </si>
  <si>
    <t>2015-1-30 10:48:37.602: OrderManagerView - UpdateMainSheetOpenOrder - entering UpdateMainSheetOpenOrder order.status is In-Flight</t>
  </si>
  <si>
    <t>2015-1-30 10:48:37.635: RTWSControl - orderStatus -  entering orderStatus id is 1376 status is PreSubmitted</t>
  </si>
  <si>
    <t>2015-1-30 10:48:37.635: OrderManager - UpdateOrderStatus - id 1376 Setting status to PreSubmitted workingOrderCount is now 1 workingQty -1728</t>
  </si>
  <si>
    <t>2015-1-30 10:48:37.636: OrderManagerView - UpdateMainSheetOpenOrder - entering UpdateMainSheetOpenOrder order.status is PreSubmitted</t>
  </si>
  <si>
    <t>2015-1-30 10:48:37.638: RTWSControl - OrderStatus - Got OrderStatus Message id:1376 status: PreSubmitted filled: 0</t>
  </si>
  <si>
    <t>2015-1-30 10:48:37.638: RTWSControl - OrderStatus - exiting orderStatus</t>
  </si>
  <si>
    <t>2015-1-30 10:48:37.673: RTWSControl - nextValidId - entering nextValidId id is 1378</t>
  </si>
  <si>
    <t>2015-1-30 10:48:37.681: openOrderEx - I am here</t>
  </si>
  <si>
    <t>2015-1-30 10:48:37.682: OrderManagerView - UpdateMainSheetOpenOrder - entering UpdateMainSheetOpenOrder order.status is PreSubmitted</t>
  </si>
  <si>
    <t>2015-1-30 10:48:37.714: RTWSControl - orderStatus -  entering orderStatus id is 1376 status is PreSubmitted</t>
  </si>
  <si>
    <t>2015-1-30 10:48:37.715: OrderManager - UpdateOrderStatus - id 1376 Setting status to PreSubmitted workingOrderCount is now 1 workingQty -1728</t>
  </si>
  <si>
    <t>2015-1-30 10:48:37.715: OrderManagerView - UpdateMainSheetOpenOrder - entering UpdateMainSheetOpenOrder order.status is PreSubmitted</t>
  </si>
  <si>
    <t>2015-1-30 10:48:37.717: RTWSControl - OrderStatus - Got OrderStatus Message id:1376 status: PreSubmitted filled: 0</t>
  </si>
  <si>
    <t>2015-1-30 10:48:37.717: RTWSControl - OrderStatus - exiting orderStatus</t>
  </si>
  <si>
    <t>2015-1-30 10:48:37.726: RTWSControl - errMsg - got error message 399:Order Message:
SELL 38 GBP MAR'15
Warning: your order will not be placed at the exchange until 2015-01-30 08:30:00 US/Centralwith id 1377</t>
  </si>
  <si>
    <t>2015-1-30 10:48:37.727: RTWSControl - errMsg - Got Error_x000D_id: 1377_x000D_errorCode: 399_x000D_errorMsg: Order Message:
SELL 38 GBP MAR'15
Warning: your order will not be placed at the exchange until 2015-01-30 08:30:00 US/Central</t>
  </si>
  <si>
    <t>2015-1-30 10:48:37.759: openOrderEx - I am here</t>
  </si>
  <si>
    <t>2015-1-30 10:48:37.760: OrderManagerView - UpdateMainSheetOpenOrder - entering UpdateMainSheetOpenOrder order.status is In-Flight</t>
  </si>
  <si>
    <t>2015-1-30 10:48:37.771: RTWSControl - orderStatus -  entering orderStatus id is 1377 status is PreSubmitted</t>
  </si>
  <si>
    <t>2015-1-30 10:48:37.771: OrderManager - UpdateOrderStatus - id 1377 Setting status to PreSubmitted workingOrderCount is now 1 workingQty -1728</t>
  </si>
  <si>
    <t>2015-1-30 10:48:37.772: OrderManagerView - UpdateMainSheetOpenOrder - entering UpdateMainSheetOpenOrder order.status is PreSubmitted</t>
  </si>
  <si>
    <t>2015-1-30 10:48:37.774: RTWSControl - OrderStatus - Got OrderStatus Message id:1377 status: PreSubmitted filled: 0</t>
  </si>
  <si>
    <t>2015-1-30 10:48:37.774: RTWSControl - OrderStatus - exiting orderStatus</t>
  </si>
  <si>
    <t>2015-1-30 10:48:37.805: openOrderEx - I am here</t>
  </si>
  <si>
    <t>2015-1-30 10:48:37.805: OrderManagerView - UpdateMainSheetOpenOrder - entering UpdateMainSheetOpenOrder order.status is PreSubmitted</t>
  </si>
  <si>
    <t>2015-1-30 10:48:37.840: RTWSControl - orderStatus -  entering orderStatus id is 1377 status is PreSubmitted</t>
  </si>
  <si>
    <t>2015-1-30 10:48:37.841: OrderManager - UpdateOrderStatus - id 1377 Setting status to PreSubmitted workingOrderCount is now 1 workingQty -1728</t>
  </si>
  <si>
    <t>2015-1-30 10:48:37.841: OrderManagerView - UpdateMainSheetOpenOrder - entering UpdateMainSheetOpenOrder order.status is PreSubmitted</t>
  </si>
  <si>
    <t>2015-1-30 10:48:37.843: RTWSControl - OrderStatus - Got OrderStatus Message id:1377 status: PreSubmitted filled: 0</t>
  </si>
  <si>
    <t>2015-1-30 10:48:37.843: RTWSControl - OrderStatus - exiting orderStatus</t>
  </si>
  <si>
    <t>2015-1-30 10:48:37.927: OrderManager - cancelOrder - cancelling order id 1376</t>
  </si>
  <si>
    <t>2015-1-30 10:48:37.928: OrderManager - PlaceOrder - id 1378 workingQty -1692</t>
  </si>
  <si>
    <t>2015-1-30 10:48:37.928: OrderManagerView - UpdateMainSheetOpenOrder - entering UpdateMainSheetOpenOrder order.status is In-Flight</t>
  </si>
  <si>
    <t>2015-1-30 10:48:37.929: OrderManager - sendOrder - exiting place order id 1378 BUY 36 1.5135  - workingQty -1692 currentPosition is 21 workingOrderCount is 2</t>
  </si>
  <si>
    <t>2015-1-30 10:48:37.930: OrderManager - cancelOrder - cancelling order id 1377</t>
  </si>
  <si>
    <t>2015-1-30 10:48:37.930: OrderManager - createOrder - exiting without creating order - did not have validID</t>
  </si>
  <si>
    <t>2015-1-30 10:48:38.49: OrderManager - createOrder - exiting without creating order - did not have validID</t>
  </si>
  <si>
    <t>2015-1-30 10:48:38.142: OrderManager - createOrder - exiting without creating order - did not have validID</t>
  </si>
  <si>
    <t>2015-1-30 10:48:38.259: RTWSControl - nextValidId - entering nextValidId id is 1379</t>
  </si>
  <si>
    <t>2015-1-30 10:48:38.265: RTWSControl - orderStatus -  entering orderStatus id is 1376 status is Cancelled</t>
  </si>
  <si>
    <t>2015-1-30 10:48:38.266: OrderManager - UpdateOrderStatus - id 1376 Setting status to Cancelled workingOrderCount is now 2 workingQty -1692</t>
  </si>
  <si>
    <t>2015-1-30 10:48:38.267: OrderManagerView - UpdateMainSheetOpenOrder - entering UpdateMainSheetOpenOrder order.status is Cancelled</t>
  </si>
  <si>
    <t>2015-1-30 10:48:38.268: RTWSControl - OrderStatus - Got OrderStatus Message id:1376 status: Cancelled filled: 0</t>
  </si>
  <si>
    <t>2015-1-30 10:48:38.269: RTWSControl - OrderStatus - exiting orderStatus</t>
  </si>
  <si>
    <t>2015-1-30 10:48:38.301: RTWSControl - errMsg - got error message 202:Order Canceled - reason:with id 1376</t>
  </si>
  <si>
    <t>2015-1-30 10:48:38.301: OrderManager - canceledOrder - cleaning up after canceled order 1376BEWARE UNACCOUNTED FOR EXECUTIONS!!!</t>
  </si>
  <si>
    <t>2015-1-30 10:48:38.302: OrderManager - terminateOrder - cleaning up after Canceled 1376  order was supposed to BUY 38 1.5136 STP LMT workingQty/OrderCount now -1730/1</t>
  </si>
  <si>
    <t>2015-1-30 10:48:38.304: OrderManagerView - UpdateMainSheetOpenOrder - entering UpdateMainSheetOpenOrder order.status is Canceled</t>
  </si>
  <si>
    <t>2015-1-30 10:48:38.342: OrderManager - PlaceOrder - id 1379 workingQty -1766</t>
  </si>
  <si>
    <t>2015-1-30 10:48:38.342: OrderManagerView - UpdateMainSheetOpenOrder - entering UpdateMainSheetOpenOrder order.status is In-Flight</t>
  </si>
  <si>
    <t>2015-1-30 10:48:38.343: OrderManager - sendOrder - exiting place order id 1379 SELL 36 1.5056  - workingQty -1766 currentPosition is 21 workingOrderCount is 2</t>
  </si>
  <si>
    <t>2015-1-30 10:48:38.796: RTWSControl - errMsg - got error message 399:Order Message:
BUY 36 GBP MAR'15
Warning: your order will not be placed at the exchange until 2015-01-30 08:30:00 US/Centralwith id 1378</t>
  </si>
  <si>
    <t>2015-1-30 10:48:38.797: RTWSControl - errMsg - Got Error_x000D_id: 1378_x000D_errorCode: 399_x000D_errorMsg: Order Message:
BUY 36 GBP MAR'15
Warning: your order will not be placed at the exchange until 2015-01-30 08:30:00 US/Central</t>
  </si>
  <si>
    <t>2015-1-30 10:48:38.805: openOrderEx - I am here</t>
  </si>
  <si>
    <t>2015-1-30 10:48:38.805: OrderManagerView - UpdateMainSheetOpenOrder - entering UpdateMainSheetOpenOrder order.status is In-Flight</t>
  </si>
  <si>
    <t>2015-1-30 10:48:38.838: RTWSControl - orderStatus -  entering orderStatus id is 1378 status is PreSubmitted</t>
  </si>
  <si>
    <t>2015-1-30 10:48:38.839: OrderManager - UpdateOrderStatus - id 1378 Setting status to PreSubmitted workingOrderCount is now 2 workingQty -1766</t>
  </si>
  <si>
    <t>2015-1-30 10:48:38.839: OrderManagerView - UpdateMainSheetOpenOrder - entering UpdateMainSheetOpenOrder order.status is PreSubmitted</t>
  </si>
  <si>
    <t>2015-1-30 10:48:38.841: RTWSControl - OrderStatus - Got OrderStatus Message id:1378 status: PreSubmitted filled: 0</t>
  </si>
  <si>
    <t>2015-1-30 10:48:38.841: RTWSControl - OrderStatus - exiting orderStatus</t>
  </si>
  <si>
    <t>2015-1-30 10:48:38.852: RTWSControl - orderStatus -  entering orderStatus id is 1377 status is Cancelled</t>
  </si>
  <si>
    <t>2015-1-30 10:48:38.852: OrderManager - UpdateOrderStatus - id 1377 Setting status to Cancelled workingOrderCount is now 2 workingQty -1766</t>
  </si>
  <si>
    <t>2015-1-30 10:48:38.853: OrderManagerView - UpdateMainSheetOpenOrder - entering UpdateMainSheetOpenOrder order.status is Cancelled</t>
  </si>
  <si>
    <t>2015-1-30 10:48:38.854: RTWSControl - OrderStatus - Got OrderStatus Message id:1377 status: Cancelled filled: 0</t>
  </si>
  <si>
    <t>2015-1-30 10:48:38.855: RTWSControl - OrderStatus - exiting orderStatus</t>
  </si>
  <si>
    <t>2015-1-30 10:48:38.885: RTWSControl - errMsg - got error message 202:Order Canceled - reason:with id 1377</t>
  </si>
  <si>
    <t>2015-1-30 10:48:38.886: OrderManager - canceledOrder - cleaning up after canceled order 1377BEWARE UNACCOUNTED FOR EXECUTIONS!!!</t>
  </si>
  <si>
    <t>2015-1-30 10:48:38.886: OrderManager - terminateOrder - cleaning up after Canceled 1377  order was supposed to SELL 38 1.5056 STP LMT workingQty/OrderCount now -1804/1</t>
  </si>
  <si>
    <t>2015-1-30 10:48:38.887: OrderManagerView - UpdateMainSheetOpenOrder - entering UpdateMainSheetOpenOrder order.status is Canceled</t>
  </si>
  <si>
    <t>2015-1-30 10:48:38.924: openOrderEx - I am here</t>
  </si>
  <si>
    <t>2015-1-30 10:48:38.925: OrderManagerView - UpdateMainSheetOpenOrder - entering UpdateMainSheetOpenOrder order.status is PreSubmitted</t>
  </si>
  <si>
    <t>2015-1-30 10:48:38.936: RTWSControl - orderStatus -  entering orderStatus id is 1378 status is PreSubmitted</t>
  </si>
  <si>
    <t>2015-1-30 10:48:38.937: OrderManager - UpdateOrderStatus - id 1378 Setting status to PreSubmitted workingOrderCount is now 1 workingQty -1804</t>
  </si>
  <si>
    <t>2015-1-30 10:48:38.937: OrderManagerView - UpdateMainSheetOpenOrder - entering UpdateMainSheetOpenOrder order.status is PreSubmitted</t>
  </si>
  <si>
    <t>2015-1-30 10:48:38.939: RTWSControl - OrderStatus - Got OrderStatus Message id:1378 status: PreSubmitted filled: 0</t>
  </si>
  <si>
    <t>2015-1-30 10:48:38.940: RTWSControl - OrderStatus - exiting orderStatus</t>
  </si>
  <si>
    <t>2015-1-30 10:48:38.968: RTWSControl - nextValidId - entering nextValidId id is 1380</t>
  </si>
  <si>
    <t>2015-1-30 10:48:38.973: RTWSControl - errMsg - got error message 399:Order Message:
SELL 36 GBP MAR'15
Warning: your order will not be placed at the exchange until 2015-01-30 08:30:00 US/Centralwith id 1379</t>
  </si>
  <si>
    <t>2015-1-30 10:48:38.974: RTWSControl - errMsg - Got Error_x000D_id: 1379_x000D_errorCode: 399_x000D_errorMsg: Order Message:
SELL 36 GBP MAR'15
Warning: your order will not be placed at the exchange until 2015-01-30 08:30:00 US/Central</t>
  </si>
  <si>
    <t>2015-1-30 10:48:39.8: openOrderEx - I am here</t>
  </si>
  <si>
    <t>2015-1-30 10:48:39.9: OrderManagerView - UpdateMainSheetOpenOrder - entering UpdateMainSheetOpenOrder order.status is In-Flight</t>
  </si>
  <si>
    <t>2015-1-30 10:48:39.20: RTWSControl - orderStatus -  entering orderStatus id is 1379 status is PreSubmitted</t>
  </si>
  <si>
    <t>2015-1-30 10:48:39.20: OrderManager - UpdateOrderStatus - id 1379 Setting status to PreSubmitted workingOrderCount is now 1 workingQty -1804</t>
  </si>
  <si>
    <t>2015-1-30 10:48:39.21: OrderManagerView - UpdateMainSheetOpenOrder - entering UpdateMainSheetOpenOrder order.status is PreSubmitted</t>
  </si>
  <si>
    <t>2015-1-30 10:48:39.23: RTWSControl - OrderStatus - Got OrderStatus Message id:1379 status: PreSubmitted filled: 0</t>
  </si>
  <si>
    <t>2015-1-30 10:48:39.23: RTWSControl - OrderStatus - exiting orderStatus</t>
  </si>
  <si>
    <t>2015-1-30 10:48:39.54: openOrderEx - I am here</t>
  </si>
  <si>
    <t>2015-1-30 10:48:39.55: OrderManagerView - UpdateMainSheetOpenOrder - entering UpdateMainSheetOpenOrder order.status is PreSubmitted</t>
  </si>
  <si>
    <t>2015-1-30 10:48:39.89: RTWSControl - orderStatus -  entering orderStatus id is 1379 status is PreSubmitted</t>
  </si>
  <si>
    <t>2015-1-30 10:48:39.90: OrderManager - UpdateOrderStatus - id 1379 Setting status to PreSubmitted workingOrderCount is now 1 workingQty -1804</t>
  </si>
  <si>
    <t>2015-1-30 10:48:39.90: OrderManagerView - UpdateMainSheetOpenOrder - entering UpdateMainSheetOpenOrder order.status is PreSubmitted</t>
  </si>
  <si>
    <t>2015-1-30 10:48:39.92: RTWSControl - OrderStatus - Got OrderStatus Message id:1379 status: PreSubmitted filled: 0</t>
  </si>
  <si>
    <t>2015-1-30 10:48:39.92: RTWSControl - OrderStatus - exiting orderStatus</t>
  </si>
  <si>
    <t>2015-1-30 10:48:41.105: OrderManagerView - UpdateMainSheetOpenOrder - entering UpdateMainSheetOpenOrder order.status is Canceled</t>
  </si>
  <si>
    <t>2015-1-30 10:48:41.113: OrderManagerView - UpdateMainSheetOpenOrder - entering UpdateMainSheetOpenOrder order.status is Canceled</t>
  </si>
  <si>
    <t>2015-1-30 10:48:41.117: OrderManagerView - UpdateMainSheetOpenOrder - entering UpdateMainSheetOpenOrder order.status is PreSubmitted</t>
  </si>
  <si>
    <t>2015-1-30 10:48:41.123: OrderManagerView - UpdateMainSheetOpenOrder - entering UpdateMainSheetOpenOrder order.status is PreSubmitted</t>
  </si>
  <si>
    <t>2015-1-30 10:48:41.128: OrderManagerView - UpdateMainSheetOpenOrder - entering UpdateMainSheetOpenOrder order.status is PreSubmitted</t>
  </si>
  <si>
    <t>2015-1-30 10:48:41.134: OrderManagerView - UpdateMainSheetOpenOrder - entering UpdateMainSheetOpenOrder order.status is PreSubmitted</t>
  </si>
  <si>
    <t>2015-1-30 10:48:41.139: OrderManagerView - UpdateMainSheetOpenOrder - entering UpdateMainSheetOpenOrder order.status is PreSubmitted</t>
  </si>
  <si>
    <t>2015-1-30 10:48:42.0: OrderManagerView - UpdateMainSheetOpenOrder - entering UpdateMainSheetOpenOrder order.status is PreSubmitted</t>
  </si>
  <si>
    <t>2015-1-30 10:48:42.3: OrderManagerView - UpdateMainSheetOpenOrder - entering UpdateMainSheetOpenOrder order.status is PreSubmitted</t>
  </si>
  <si>
    <t>2015-1-30 10:48:42.4: OrderManagerView - UpdateMainSheetOpenOrder - entering UpdateMainSheetOpenOrder order.status is PreSubmitted</t>
  </si>
  <si>
    <t>2015-1-30 10:48:43.7: OrderManagerView - UpdateMainSheetOpenOrder - entering UpdateMainSheetOpenOrder order.status is PreSubmitted</t>
  </si>
  <si>
    <t>2015-1-30 10:48:43.10: OrderManagerView - UpdateMainSheetOpenOrder - entering UpdateMainSheetOpenOrder order.status is PreSubmitted</t>
  </si>
  <si>
    <t>2015-1-30 10:48:43.21: OrderManagerView - UpdateMainSheetOpenOrder - entering UpdateMainSheetOpenOrder order.status is PreSubmitted</t>
  </si>
  <si>
    <t>2015-1-30 10:48:43.24: OrderManagerView - UpdateMainSheetOpenOrder - entering UpdateMainSheetOpenOrder order.status is PreSubmitted</t>
  </si>
  <si>
    <t>2015-1-30 10:48:46.11: OrderManagerView - UpdateMainSheetOpenOrder - entering UpdateMainSheetOpenOrder order.status is PreSubmitted</t>
  </si>
  <si>
    <t>2015-1-30 10:48:46.13: OrderManagerView - UpdateMainSheetOpenOrder - entering UpdateMainSheetOpenOrder order.status is PreSubmitted</t>
  </si>
  <si>
    <t>2015-1-30 10:48:46.18: OrderManagerView - UpdateMainSheetOpenOrder - entering UpdateMainSheetOpenOrder order.status is PreSubmitted</t>
  </si>
  <si>
    <t>2015-1-30 10:48:46.20: OrderManagerView - UpdateMainSheetOpenOrder - entering UpdateMainSheetOpenOrder order.status is PreSubmitted</t>
  </si>
  <si>
    <t>2015-1-30 10:49:21.612: OrderManager - cancelOrder - cancelling order id 1379</t>
  </si>
  <si>
    <t>2015-1-30 10:49:21.612: OrderManager - PlaceOrder - id 1380 workingQty -1839</t>
  </si>
  <si>
    <t>2015-1-30 10:49:21.612: OrderManagerView - UpdateMainSheetOpenOrder - entering UpdateMainSheetOpenOrder order.status is In-Flight</t>
  </si>
  <si>
    <t>2015-1-30 10:49:21.614: OrderManager - sendOrder - exiting place order id 1380 SELL 35 1.5058  - workingQty -1839 currentPosition is 21 workingOrderCount is 2</t>
  </si>
  <si>
    <t>2015-1-30 10:49:22.381: RTWSControl - nextValidId - entering nextValidId id is 1381</t>
  </si>
  <si>
    <t>2015-1-30 10:49:22.386: RTWSControl - orderStatus -  entering orderStatus id is 1379 status is Cancelled</t>
  </si>
  <si>
    <t>2015-1-30 10:49:22.387: OrderManager - UpdateOrderStatus - id 1379 Setting status to Cancelled workingOrderCount is now 2 workingQty -1839</t>
  </si>
  <si>
    <t>2015-1-30 10:49:22.388: OrderManagerView - UpdateMainSheetOpenOrder - entering UpdateMainSheetOpenOrder order.status is Cancelled</t>
  </si>
  <si>
    <t>2015-1-30 10:49:22.389: RTWSControl - OrderStatus - Got OrderStatus Message id:1379 status: Cancelled filled: 0</t>
  </si>
  <si>
    <t>2015-1-30 10:49:22.390: RTWSControl - OrderStatus - exiting orderStatus</t>
  </si>
  <si>
    <t>2015-1-30 10:49:22.424: RTWSControl - errMsg - got error message 202:Order Canceled - reason:with id 1379</t>
  </si>
  <si>
    <t>2015-1-30 10:49:22.424: OrderManager - canceledOrder - cleaning up after canceled order 1379BEWARE UNACCOUNTED FOR EXECUTIONS!!!</t>
  </si>
  <si>
    <t>2015-1-30 10:49:22.425: OrderManager - terminateOrder - cleaning up after Canceled 1379  order was supposed to SELL 36 1.5056 STP LMT workingQty/OrderCount now -1875/1</t>
  </si>
  <si>
    <t>2015-1-30 10:49:22.426: OrderManagerView - UpdateMainSheetOpenOrder - entering UpdateMainSheetOpenOrder order.status is Canceled</t>
  </si>
  <si>
    <t>2015-1-30 10:49:22.436: RTWSControl - errMsg - got error message 399:Order Message:
SELL 35 GBP MAR'15
Warning: your order will not be placed at the exchange until 2015-01-30 08:30:00 US/Centralwith id 1380</t>
  </si>
  <si>
    <t>2015-1-30 10:49:22.437: RTWSControl - errMsg - Got Error_x000D_id: 1380_x000D_errorCode: 399_x000D_errorMsg: Order Message:
SELL 35 GBP MAR'15
Warning: your order will not be placed at the exchange until 2015-01-30 08:30:00 US/Central</t>
  </si>
  <si>
    <t>2015-1-30 10:49:22.468: openOrderEx - I am here</t>
  </si>
  <si>
    <t>2015-1-30 10:49:22.468: OrderManagerView - UpdateMainSheetOpenOrder - entering UpdateMainSheetOpenOrder order.status is In-Flight</t>
  </si>
  <si>
    <t>2015-1-30 10:49:22.479: RTWSControl - orderStatus -  entering orderStatus id is 1380 status is PreSubmitted</t>
  </si>
  <si>
    <t>2015-1-30 10:49:22.480: OrderManager - UpdateOrderStatus - id 1380 Setting status to PreSubmitted workingOrderCount is now 1 workingQty -1875</t>
  </si>
  <si>
    <t>2015-1-30 10:49:22.480: OrderManagerView - UpdateMainSheetOpenOrder - entering UpdateMainSheetOpenOrder order.status is PreSubmitted</t>
  </si>
  <si>
    <t>2015-1-30 10:49:22.482: RTWSControl - OrderStatus - Got OrderStatus Message id:1380 status: PreSubmitted filled: 0</t>
  </si>
  <si>
    <t>2015-1-30 10:49:22.482: RTWSControl - OrderStatus - exiting orderStatus</t>
  </si>
  <si>
    <t>2015-1-30 10:49:22.514: openOrderEx - I am here</t>
  </si>
  <si>
    <t>2015-1-30 10:49:22.515: OrderManagerView - UpdateMainSheetOpenOrder - entering UpdateMainSheetOpenOrder order.status is PreSubmitted</t>
  </si>
  <si>
    <t>2015-1-30 10:49:22.549: RTWSControl - orderStatus -  entering orderStatus id is 1380 status is PreSubmitted</t>
  </si>
  <si>
    <t>2015-1-30 10:49:22.550: OrderManager - UpdateOrderStatus - id 1380 Setting status to PreSubmitted workingOrderCount is now 1 workingQty -1875</t>
  </si>
  <si>
    <t>2015-1-30 10:49:22.551: OrderManagerView - UpdateMainSheetOpenOrder - entering UpdateMainSheetOpenOrder order.status is PreSubmitted</t>
  </si>
  <si>
    <t>2015-1-30 10:49:22.552: RTWSControl - OrderStatus - Got OrderStatus Message id:1380 status: PreSubmitted filled: 0</t>
  </si>
  <si>
    <t>2015-1-30 10:49:22.553: RTWSControl - OrderStatus - exiting orderStatus</t>
  </si>
  <si>
    <t>2015-1-30 10:49:24.887: OrderManager - cancelOrder - cancelling order id 1378</t>
  </si>
  <si>
    <t>2015-1-30 10:49:24.887: OrderManager - PlaceOrder - id 1381 workingQty -1842</t>
  </si>
  <si>
    <t>2015-1-30 10:49:24.888: OrderManagerView - UpdateMainSheetOpenOrder - entering UpdateMainSheetOpenOrder order.status is In-Flight</t>
  </si>
  <si>
    <t>2015-1-30 10:49:24.889: OrderManager - sendOrder - exiting place order id 1381 BUY 33 1.513  - workingQty -1842 currentPosition is 21 workingOrderCount is 2</t>
  </si>
  <si>
    <t>2015-1-30 10:49:24.890: OrderManager - cancelOrder - cancelling order id 1380</t>
  </si>
  <si>
    <t>2015-1-30 10:49:24.890: OrderManager - createOrder - exiting without creating order - did not have validID</t>
  </si>
  <si>
    <t>2015-1-30 10:49:25.11: RTWSControl - nextValidId - entering nextValidId id is 1382</t>
  </si>
  <si>
    <t>2015-1-30 10:49:25.196: RTWSControl - orderStatus -  entering orderStatus id is 1378 status is Cancelled</t>
  </si>
  <si>
    <t>2015-1-30 10:49:25.198: OrderManager - UpdateOrderStatus - id 1378 Setting status to Cancelled workingOrderCount is now 2 workingQty -1842</t>
  </si>
  <si>
    <t>2015-1-30 10:49:25.199: OrderManagerView - UpdateMainSheetOpenOrder - entering UpdateMainSheetOpenOrder order.status is Cancelled</t>
  </si>
  <si>
    <t>2015-1-30 10:49:25.207: RTWSControl - OrderStatus - Got OrderStatus Message id:1378 status: Cancelled filled: 0</t>
  </si>
  <si>
    <t>2015-1-30 10:49:25.208: RTWSControl - OrderStatus - exiting orderStatus</t>
  </si>
  <si>
    <t>2015-1-30 10:49:25.241: RTWSControl - errMsg - got error message 202:Order Canceled - reason:with id 1378</t>
  </si>
  <si>
    <t>2015-1-30 10:49:25.242: OrderManager - canceledOrder - cleaning up after canceled order 1378BEWARE UNACCOUNTED FOR EXECUTIONS!!!</t>
  </si>
  <si>
    <t>2015-1-30 10:49:25.242: OrderManager - terminateOrder - cleaning up after Canceled 1378  order was supposed to BUY 36 1.5135 STP LMT workingQty/OrderCount now -1878/1</t>
  </si>
  <si>
    <t>2015-1-30 10:49:25.244: OrderManagerView - UpdateMainSheetOpenOrder - entering UpdateMainSheetOpenOrder order.status is Canceled</t>
  </si>
  <si>
    <t>2015-1-30 10:49:25.298: RTWSControl - errMsg - got error message 399:Order Message:
BUY 33 GBP MAR'15
Warning: your order will not be placed at the exchange until 2015-01-30 08:30:00 US/Centralwith id 1381</t>
  </si>
  <si>
    <t>2015-1-30 10:49:25.299: RTWSControl - errMsg - Got Error_x000D_id: 1381_x000D_errorCode: 399_x000D_errorMsg: Order Message:
BUY 33 GBP MAR'15
Warning: your order will not be placed at the exchange until 2015-01-30 08:30:00 US/Central</t>
  </si>
  <si>
    <t>2015-1-30 10:49:25.308: openOrderEx - I am here</t>
  </si>
  <si>
    <t>2015-1-30 10:49:25.308: OrderManagerView - UpdateMainSheetOpenOrder - entering UpdateMainSheetOpenOrder order.status is In-Flight</t>
  </si>
  <si>
    <t>2015-1-30 10:49:25.341: RTWSControl - orderStatus -  entering orderStatus id is 1381 status is PreSubmitted</t>
  </si>
  <si>
    <t>2015-1-30 10:49:25.342: OrderManager - UpdateOrderStatus - id 1381 Setting status to PreSubmitted workingOrderCount is now 1 workingQty -1878</t>
  </si>
  <si>
    <t>2015-1-30 10:49:25.342: OrderManagerView - UpdateMainSheetOpenOrder - entering UpdateMainSheetOpenOrder order.status is PreSubmitted</t>
  </si>
  <si>
    <t>2015-1-30 10:49:25.344: RTWSControl - OrderStatus - Got OrderStatus Message id:1381 status: PreSubmitted filled: 0</t>
  </si>
  <si>
    <t>2015-1-30 10:49:25.345: RTWSControl - OrderStatus - exiting orderStatus</t>
  </si>
  <si>
    <t>2015-1-30 10:49:25.354: RTWSControl - orderStatus -  entering orderStatus id is 1380 status is Cancelled</t>
  </si>
  <si>
    <t>2015-1-30 10:49:25.355: OrderManager - UpdateOrderStatus - id 1380 Setting status to Cancelled workingOrderCount is now 1 workingQty -1878</t>
  </si>
  <si>
    <t>2015-1-30 10:49:25.355: OrderManagerView - UpdateMainSheetOpenOrder - entering UpdateMainSheetOpenOrder order.status is Cancelled</t>
  </si>
  <si>
    <t>2015-1-30 10:49:25.357: RTWSControl - OrderStatus - Got OrderStatus Message id:1380 status: Cancelled filled: 0</t>
  </si>
  <si>
    <t>2015-1-30 10:49:25.357: RTWSControl - OrderStatus - exiting orderStatus</t>
  </si>
  <si>
    <t>2015-1-30 10:49:25.388: RTWSControl - errMsg - got error message 202:Order Canceled - reason:with id 1380</t>
  </si>
  <si>
    <t>2015-1-30 10:49:25.388: OrderManager - canceledOrder - cleaning up after canceled order 1380BEWARE UNACCOUNTED FOR EXECUTIONS!!!</t>
  </si>
  <si>
    <t>2015-1-30 10:49:25.389: OrderManager - terminateOrder - cleaning up after Canceled 1380  order was supposed to SELL 35 1.5058 STP LMT workingQty/OrderCount now -1913/0</t>
  </si>
  <si>
    <t>2015-1-30 10:49:25.391: OrderManagerView - UpdateMainSheetOpenOrder - entering UpdateMainSheetOpenOrder order.status is Canceled</t>
  </si>
  <si>
    <t>2015-1-30 10:49:25.427: openOrderEx - I am here</t>
  </si>
  <si>
    <t>2015-1-30 10:49:25.427: OrderManagerView - UpdateMainSheetOpenOrder - entering UpdateMainSheetOpenOrder order.status is PreSubmitted</t>
  </si>
  <si>
    <t>2015-1-30 10:49:25.439: RTWSControl - orderStatus -  entering orderStatus id is 1381 status is PreSubmitted</t>
  </si>
  <si>
    <t>2015-1-30 10:49:25.439: OrderManager - UpdateOrderStatus - id 1381 Setting status to PreSubmitted workingOrderCount is now 0 workingQty -1913</t>
  </si>
  <si>
    <t>2015-1-30 10:49:25.440: OrderManagerView - UpdateMainSheetOpenOrder - entering UpdateMainSheetOpenOrder order.status is PreSubmitted</t>
  </si>
  <si>
    <t>2015-1-30 10:49:25.442: RTWSControl - OrderStatus - Got OrderStatus Message id:1381 status: PreSubmitted filled: 0</t>
  </si>
  <si>
    <t>2015-1-30 10:49:25.442: RTWSControl - OrderStatus - exiting orderStatus</t>
  </si>
  <si>
    <t>2015-1-30 10:49:27.236: OrderManagerView - UpdateMainSheetOpenOrder - entering UpdateMainSheetOpenOrder order.status is Canceled</t>
  </si>
  <si>
    <t>2015-1-30 10:49:27.243: OrderManagerView - UpdateMainSheetOpenOrder - entering UpdateMainSheetOpenOrder order.status is Canceled</t>
  </si>
  <si>
    <t>2015-1-30 10:49:27.247: OrderManagerView - UpdateMainSheetOpenOrder - entering UpdateMainSheetOpenOrder order.status is PreSubmitted</t>
  </si>
  <si>
    <t>2015-1-30 10:49:27.253: OrderManagerView - UpdateMainSheetOpenOrder - entering UpdateMainSheetOpenOrder order.status is PreSubmitted</t>
  </si>
  <si>
    <t>2015-1-30 10:49:28.682: OrderManager - PlaceOrder - id 1382 workingQty -1946</t>
  </si>
  <si>
    <t>2015-1-30 10:49:28.682: OrderManagerView - UpdateMainSheetOpenOrder - entering UpdateMainSheetOpenOrder order.status is In-Flight</t>
  </si>
  <si>
    <t>2015-1-30 10:49:28.684: OrderManager - sendOrder - exiting place order id 1382 SELL 33 1.5058  - workingQty -1946 currentPosition is 21 workingOrderCount is 1</t>
  </si>
  <si>
    <t>2015-1-30 10:49:28.969: RTWSControl - nextValidId - entering nextValidId id is 1383</t>
  </si>
  <si>
    <t>2015-1-30 10:49:28.974: RTWSControl - errMsg - got error message 399:Order Message:
SELL 33 GBP MAR'15
Warning: your order will not be placed at the exchange until 2015-01-30 08:30:00 US/Centralwith id 1382</t>
  </si>
  <si>
    <t>2015-1-30 10:49:28.975: RTWSControl - errMsg - Got Error_x000D_id: 1382_x000D_errorCode: 399_x000D_errorMsg: Order Message:
SELL 33 GBP MAR'15
Warning: your order will not be placed at the exchange until 2015-01-30 08:30:00 US/Central</t>
  </si>
  <si>
    <t>2015-1-30 10:49:29.10: openOrderEx - I am here</t>
  </si>
  <si>
    <t>2015-1-30 10:49:29.10: OrderManagerView - UpdateMainSheetOpenOrder - entering UpdateMainSheetOpenOrder order.status is In-Flight</t>
  </si>
  <si>
    <t>2015-1-30 10:49:29.22: RTWSControl - orderStatus -  entering orderStatus id is 1382 status is PreSubmitted</t>
  </si>
  <si>
    <t>2015-1-30 10:49:29.23: OrderManager - UpdateOrderStatus - id 1382 Setting status to PreSubmitted workingOrderCount is now 1 workingQty -1946</t>
  </si>
  <si>
    <t>2015-1-30 10:49:29.23: OrderManagerView - UpdateMainSheetOpenOrder - entering UpdateMainSheetOpenOrder order.status is PreSubmitted</t>
  </si>
  <si>
    <t>2015-1-30 10:49:29.25: RTWSControl - OrderStatus - Got OrderStatus Message id:1382 status: PreSubmitted filled: 0</t>
  </si>
  <si>
    <t>2015-1-30 10:49:29.25: RTWSControl - OrderStatus - exiting orderStatus</t>
  </si>
  <si>
    <t>2015-1-30 10:49:29.55: openOrderEx - I am here</t>
  </si>
  <si>
    <t>2015-1-30 10:49:29.56: OrderManagerView - UpdateMainSheetOpenOrder - entering UpdateMainSheetOpenOrder order.status is PreSubmitted</t>
  </si>
  <si>
    <t>2015-1-30 10:49:29.91: RTWSControl - orderStatus -  entering orderStatus id is 1382 status is PreSubmitted</t>
  </si>
  <si>
    <t>2015-1-30 10:49:29.92: OrderManager - UpdateOrderStatus - id 1382 Setting status to PreSubmitted workingOrderCount is now 1 workingQty -1946</t>
  </si>
  <si>
    <t>2015-1-30 10:49:29.92: OrderManagerView - UpdateMainSheetOpenOrder - entering UpdateMainSheetOpenOrder order.status is PreSubmitted</t>
  </si>
  <si>
    <t>2015-1-30 10:49:29.94: RTWSControl - OrderStatus - Got OrderStatus Message id:1382 status: PreSubmitted filled: 0</t>
  </si>
  <si>
    <t>2015-1-30 10:49:29.94: RTWSControl - OrderStatus - exiting orderStatus</t>
  </si>
  <si>
    <t>2015-1-30 10:49:29.649: OrderManager - cancelOrder - cancelling order id 1381</t>
  </si>
  <si>
    <t>2015-1-30 10:49:29.649: OrderManager - PlaceOrder - id 1383 workingQty -1913</t>
  </si>
  <si>
    <t>2015-1-30 10:49:29.650: OrderManagerView - UpdateMainSheetOpenOrder - entering UpdateMainSheetOpenOrder order.status is In-Flight</t>
  </si>
  <si>
    <t>2015-1-30 10:49:29.651: OrderManager - sendOrder - exiting place order id 1383 BUY 33 1.5132  - workingQty -1913 currentPosition is 21 workingOrderCount is 2</t>
  </si>
  <si>
    <t>2015-1-30 10:49:29.747: RTWSControl - nextValidId - entering nextValidId id is 1384</t>
  </si>
  <si>
    <t>2015-1-30 10:49:29.967: RTWSControl - orderStatus -  entering orderStatus id is 1381 status is Cancelled</t>
  </si>
  <si>
    <t>2015-1-30 10:49:29.969: OrderManager - UpdateOrderStatus - id 1381 Setting status to Cancelled workingOrderCount is now 2 workingQty -1913</t>
  </si>
  <si>
    <t>2015-1-30 10:49:29.970: OrderManagerView - UpdateMainSheetOpenOrder - entering UpdateMainSheetOpenOrder order.status is Cancelled</t>
  </si>
  <si>
    <t>2015-1-30 10:49:29.978: RTWSControl - OrderStatus - Got OrderStatus Message id:1381 status: Cancelled filled: 0</t>
  </si>
  <si>
    <t>2015-1-30 10:49:29.979: RTWSControl - OrderStatus - exiting orderStatus</t>
  </si>
  <si>
    <t>2015-1-30 10:49:30.34: OrderManagerView - UpdateMainSheetOpenOrder - entering UpdateMainSheetOpenOrder order.status is Cancelled</t>
  </si>
  <si>
    <t>2015-1-30 10:49:30.39: OrderManagerView - UpdateMainSheetOpenOrder - entering UpdateMainSheetOpenOrder order.status is PreSubmitted</t>
  </si>
  <si>
    <t>2015-1-30 10:49:30.42: OrderManagerView - UpdateMainSheetOpenOrder - entering UpdateMainSheetOpenOrder order.status is In-Flight</t>
  </si>
  <si>
    <t>2015-1-30 10:49:30.46: OrderManagerView - UpdateMainSheetOpenOrder - entering UpdateMainSheetOpenOrder order.status is PreSubmitted</t>
  </si>
  <si>
    <t>2015-1-30 10:49:30.48: OrderManagerView - UpdateMainSheetOpenOrder - entering UpdateMainSheetOpenOrder order.status is In-Flight</t>
  </si>
  <si>
    <t>2015-1-30 10:49:30.56: OrderManagerView - UpdateMainSheetOpenOrder - entering UpdateMainSheetOpenOrder order.status is Cancelled</t>
  </si>
  <si>
    <t>2015-1-30 10:49:30.58: OrderManagerView - UpdateMainSheetOpenOrder - entering UpdateMainSheetOpenOrder order.status is PreSubmitted</t>
  </si>
  <si>
    <t>2015-1-30 10:49:30.60: OrderManagerView - UpdateMainSheetOpenOrder - entering UpdateMainSheetOpenOrder order.status is In-Flight</t>
  </si>
  <si>
    <t>2015-1-30 10:49:30.130: RTWSControl - errMsg - got error message 202:Order Canceled - reason:with id 1381</t>
  </si>
  <si>
    <t>2015-1-30 10:49:30.132: OrderManager - canceledOrder - cleaning up after canceled order 1381BEWARE UNACCOUNTED FOR EXECUTIONS!!!</t>
  </si>
  <si>
    <t>2015-1-30 10:49:30.134: OrderManager - terminateOrder - cleaning up after Canceled 1381  order was supposed to BUY 33 1.513 STP LMT workingQty/OrderCount now -1946/1</t>
  </si>
  <si>
    <t>2015-1-30 10:49:30.137: OrderManagerView - UpdateMainSheetOpenOrder - entering UpdateMainSheetOpenOrder order.status is Canceled</t>
  </si>
  <si>
    <t>2015-1-30 10:49:30.298: RTWSControl - errMsg - got error message 399:Order Message:
BUY 33 GBP MAR'15
Warning: your order will not be placed at the exchange until 2015-01-30 08:30:00 US/Centralwith id 1383</t>
  </si>
  <si>
    <t>2015-1-30 10:49:30.299: RTWSControl - errMsg - Got Error_x000D_id: 1383_x000D_errorCode: 399_x000D_errorMsg: Order Message:
BUY 33 GBP MAR'15
Warning: your order will not be placed at the exchange until 2015-01-30 08:30:00 US/Central</t>
  </si>
  <si>
    <t>2015-1-30 10:49:30.307: openOrderEx - I am here</t>
  </si>
  <si>
    <t>2015-1-30 10:49:30.308: OrderManagerView - UpdateMainSheetOpenOrder - entering UpdateMainSheetOpenOrder order.status is In-Flight</t>
  </si>
  <si>
    <t>2015-1-30 10:49:30.341: RTWSControl - orderStatus -  entering orderStatus id is 1383 status is PreSubmitted</t>
  </si>
  <si>
    <t>2015-1-30 10:49:30.342: OrderManager - UpdateOrderStatus - id 1383 Setting status to PreSubmitted workingOrderCount is now 1 workingQty -1946</t>
  </si>
  <si>
    <t>2015-1-30 10:49:30.342: OrderManagerView - UpdateMainSheetOpenOrder - entering UpdateMainSheetOpenOrder order.status is PreSubmitted</t>
  </si>
  <si>
    <t>2015-1-30 10:49:30.344: RTWSControl - OrderStatus - Got OrderStatus Message id:1383 status: PreSubmitted filled: 0</t>
  </si>
  <si>
    <t>2015-1-30 10:49:30.344: RTWSControl - OrderStatus - exiting orderStatus</t>
  </si>
  <si>
    <t>2015-1-30 10:49:30.357: openOrderEx - I am here</t>
  </si>
  <si>
    <t>2015-1-30 10:49:30.357: OrderManagerView - UpdateMainSheetOpenOrder - entering UpdateMainSheetOpenOrder order.status is PreSubmitted</t>
  </si>
  <si>
    <t>2015-1-30 10:49:30.388: RTWSControl - orderStatus -  entering orderStatus id is 1383 status is PreSubmitted</t>
  </si>
  <si>
    <t>2015-1-30 10:49:30.388: OrderManager - UpdateOrderStatus - id 1383 Setting status to PreSubmitted workingOrderCount is now 1 workingQty -1946</t>
  </si>
  <si>
    <t>2015-1-30 10:49:30.389: OrderManagerView - UpdateMainSheetOpenOrder - entering UpdateMainSheetOpenOrder order.status is PreSubmitted</t>
  </si>
  <si>
    <t>2015-1-30 10:49:30.391: RTWSControl - OrderStatus - Got OrderStatus Message id:1383 status: PreSubmitted filled: 0</t>
  </si>
  <si>
    <t>2015-1-30 10:49:30.391: RTWSControl - OrderStatus - exiting orderStatus</t>
  </si>
  <si>
    <t>2015-1-30 10:49:32.12: OrderManagerView - UpdateMainSheetOpenOrder - entering UpdateMainSheetOpenOrder order.status is PreSubmitted</t>
  </si>
  <si>
    <t>2015-1-30 10:49:32.14: OrderManagerView - UpdateMainSheetOpenOrder - entering UpdateMainSheetOpenOrder order.status is PreSubmitted</t>
  </si>
  <si>
    <t>2015-1-30 10:49:32.16: OrderManagerView - UpdateMainSheetOpenOrder - entering UpdateMainSheetOpenOrder order.status is PreSubmitted</t>
  </si>
  <si>
    <t>2015-1-30 10:49:32.21: OrderManagerView - UpdateMainSheetOpenOrder - entering UpdateMainSheetOpenOrder order.status is PreSubmitted</t>
  </si>
  <si>
    <t>2015-1-30 10:49:32.22: OrderManagerView - UpdateMainSheetOpenOrder - entering UpdateMainSheetOpenOrder order.status is PreSubmitted</t>
  </si>
  <si>
    <t>2015-1-30 10:49:35.26: OrderManagerView - UpdateMainSheetOpenOrder - entering UpdateMainSheetOpenOrder order.status is PreSubmitted</t>
  </si>
  <si>
    <t>2015-1-30 10:49:35.28: OrderManagerView - UpdateMainSheetOpenOrder - entering UpdateMainSheetOpenOrder order.status is PreSubmitted</t>
  </si>
  <si>
    <t>2015-1-30 10:49:35.725: OrderManager - cancelOrder - cancelling order id 1383</t>
  </si>
  <si>
    <t>2015-1-30 10:49:35.726: OrderManager - PlaceOrder - id 1384 workingQty -1912</t>
  </si>
  <si>
    <t>2015-1-30 10:49:35.726: OrderManagerView - UpdateMainSheetOpenOrder - entering UpdateMainSheetOpenOrder order.status is In-Flight</t>
  </si>
  <si>
    <t>2015-1-30 10:49:35.728: OrderManager - sendOrder - exiting place order id 1384 BUY 34 1.5135  - workingQty -1912 currentPosition is 21 workingOrderCount is 2</t>
  </si>
  <si>
    <t>2015-1-30 10:49:35.728: OrderManager - cancelOrder - cancelling order id 1382</t>
  </si>
  <si>
    <t>2015-1-30 10:49:35.729: OrderManager - createOrder - exiting without creating order - did not have validID</t>
  </si>
  <si>
    <t>2015-1-30 10:49:35.852: OrderManager - createOrder - exiting without creating order - did not have validID</t>
  </si>
  <si>
    <t>2015-1-30 10:49:36.780: RTWSControl - nextValidId - entering nextValidId id is 1385</t>
  </si>
  <si>
    <t>2015-1-30 10:49:37.796: RTWSControl - orderStatus -  entering orderStatus id is 1383 status is Cancelled</t>
  </si>
  <si>
    <t>2015-1-30 10:49:37.797: OrderManager - UpdateOrderStatus - id 1383 Setting status to Cancelled workingOrderCount is now 2 workingQty -1912</t>
  </si>
  <si>
    <t>2015-1-30 10:49:37.797: OrderManagerView - UpdateMainSheetOpenOrder - entering UpdateMainSheetOpenOrder order.status is Cancelled</t>
  </si>
  <si>
    <t>2015-1-30 10:49:37.799: RTWSControl - OrderStatus - Got OrderStatus Message id:1383 status: Cancelled filled: 0</t>
  </si>
  <si>
    <t>2015-1-30 10:49:37.799: RTWSControl - OrderStatus - exiting orderStatus</t>
  </si>
  <si>
    <t>2015-1-30 10:49:37.810: RTWSControl - errMsg - got error message 202:Order Canceled - reason:with id 1383</t>
  </si>
  <si>
    <t>2015-1-30 10:49:37.811: OrderManager - canceledOrder - cleaning up after canceled order 1383BEWARE UNACCOUNTED FOR EXECUTIONS!!!</t>
  </si>
  <si>
    <t>2015-1-30 10:49:37.811: OrderManager - terminateOrder - cleaning up after Canceled 1383  order was supposed to BUY 33 1.5132 STP LMT workingQty/OrderCount now -1945/1</t>
  </si>
  <si>
    <t>2015-1-30 10:49:37.813: OrderManagerView - UpdateMainSheetOpenOrder - entering UpdateMainSheetOpenOrder order.status is Canceled</t>
  </si>
  <si>
    <t>2015-1-30 10:49:37.843: RTWSControl - errMsg - got error message 399:Order Message:
BUY 34 GBP MAR'15
Warning: your order will not be placed at the exchange until 2015-01-30 08:30:00 US/Centralwith id 1384</t>
  </si>
  <si>
    <t>2015-1-30 10:49:37.844: RTWSControl - errMsg - Got Error_x000D_id: 1384_x000D_errorCode: 399_x000D_errorMsg: Order Message:
BUY 34 GBP MAR'15
Warning: your order will not be placed at the exchange until 2015-01-30 08:30:00 US/Central</t>
  </si>
  <si>
    <t>2015-1-30 10:49:37.853: openOrderEx - I am here</t>
  </si>
  <si>
    <t>2015-1-30 10:49:37.853: OrderManagerView - UpdateMainSheetOpenOrder - entering UpdateMainSheetOpenOrder order.status is In-Flight</t>
  </si>
  <si>
    <t>2015-1-30 10:49:37.884: RTWSControl - orderStatus -  entering orderStatus id is 1384 status is PreSubmitted</t>
  </si>
  <si>
    <t>2015-1-30 10:49:37.885: OrderManager - UpdateOrderStatus - id 1384 Setting status to PreSubmitted workingOrderCount is now 1 workingQty -1945</t>
  </si>
  <si>
    <t>2015-1-30 10:49:37.885: OrderManagerView - UpdateMainSheetOpenOrder - entering UpdateMainSheetOpenOrder order.status is PreSubmitted</t>
  </si>
  <si>
    <t>2015-1-30 10:49:37.887: RTWSControl - OrderStatus - Got OrderStatus Message id:1384 status: PreSubmitted filled: 0</t>
  </si>
  <si>
    <t>2015-1-30 10:49:37.887: RTWSControl - OrderStatus - exiting orderStatus</t>
  </si>
  <si>
    <t>2015-1-30 10:49:37.922: RTWSControl - orderStatus -  entering orderStatus id is 1382 status is Cancelled</t>
  </si>
  <si>
    <t>2015-1-30 10:49:37.923: OrderManager - UpdateOrderStatus - id 1382 Setting status to Cancelled workingOrderCount is now 1 workingQty -1945</t>
  </si>
  <si>
    <t>2015-1-30 10:49:37.923: OrderManagerView - UpdateMainSheetOpenOrder - entering UpdateMainSheetOpenOrder order.status is Cancelled</t>
  </si>
  <si>
    <t>2015-1-30 10:49:37.925: RTWSControl - OrderStatus - Got OrderStatus Message id:1382 status: Cancelled filled: 0</t>
  </si>
  <si>
    <t>2015-1-30 10:49:37.925: RTWSControl - OrderStatus - exiting orderStatus</t>
  </si>
  <si>
    <t>2015-1-30 10:49:37.935: RTWSControl - errMsg - got error message 202:Order Canceled - reason:with id 1382</t>
  </si>
  <si>
    <t>2015-1-30 10:49:37.936: OrderManager - canceledOrder - cleaning up after canceled order 1382BEWARE UNACCOUNTED FOR EXECUTIONS!!!</t>
  </si>
  <si>
    <t>2015-1-30 10:49:37.936: OrderManager - terminateOrder - cleaning up after Canceled 1382  order was supposed to SELL 33 1.5058 STP LMT workingQty/OrderCount now -1978/0</t>
  </si>
  <si>
    <t>2015-1-30 10:49:37.938: OrderManagerView - UpdateMainSheetOpenOrder - entering UpdateMainSheetOpenOrder order.status is Canceled</t>
  </si>
  <si>
    <t>2015-1-30 10:49:37.971: openOrderEx - I am here</t>
  </si>
  <si>
    <t>2015-1-30 10:49:37.971: OrderManagerView - UpdateMainSheetOpenOrder - entering UpdateMainSheetOpenOrder order.status is PreSubmitted</t>
  </si>
  <si>
    <t>2015-1-30 10:49:38.6: RTWSControl - orderStatus -  entering orderStatus id is 1384 status is PreSubmitted</t>
  </si>
  <si>
    <t>2015-1-30 10:49:38.7: OrderManager - UpdateOrderStatus - id 1384 Setting status to PreSubmitted workingOrderCount is now 0 workingQty -1978</t>
  </si>
  <si>
    <t>2015-1-30 10:49:38.7: OrderManagerView - UpdateMainSheetOpenOrder - entering UpdateMainSheetOpenOrder order.status is PreSubmitted</t>
  </si>
  <si>
    <t>2015-1-30 10:49:38.9: RTWSControl - OrderStatus - Got OrderStatus Message id:1384 status: PreSubmitted filled: 0</t>
  </si>
  <si>
    <t>2015-1-30 10:49:38.9: RTWSControl - OrderStatus - exiting orderStatus</t>
  </si>
  <si>
    <t>2015-1-30 10:49:38.175: OrderManager - PlaceOrder - id 1385 workingQty -2011</t>
  </si>
  <si>
    <t>2015-1-30 10:49:38.175: OrderManagerView - UpdateMainSheetOpenOrder - entering UpdateMainSheetOpenOrder order.status is In-Flight</t>
  </si>
  <si>
    <t>2015-1-30 10:49:38.177: OrderManager - sendOrder - exiting place order id 1385 SELL 33 1.506  - workingQty -2011 currentPosition is 21 workingOrderCount is 1</t>
  </si>
  <si>
    <t>2015-1-30 10:49:38.718: RTWSControl - nextValidId - entering nextValidId id is 1386</t>
  </si>
  <si>
    <t>2015-1-30 10:49:38.724: RTWSControl - errMsg - got error message 399:Order Message:
SELL 33 GBP MAR'15
Warning: your order will not be placed at the exchange until 2015-01-30 08:30:00 US/Centralwith id 1385</t>
  </si>
  <si>
    <t>2015-1-30 10:49:38.725: RTWSControl - errMsg - Got Error_x000D_id: 1385_x000D_errorCode: 399_x000D_errorMsg: Order Message:
SELL 33 GBP MAR'15
Warning: your order will not be placed at the exchange until 2015-01-30 08:30:00 US/Central</t>
  </si>
  <si>
    <t>2015-1-30 10:49:38.758: openOrderEx - I am here</t>
  </si>
  <si>
    <t>2015-1-30 10:49:38.759: OrderManagerView - UpdateMainSheetOpenOrder - entering UpdateMainSheetOpenOrder order.status is In-Flight</t>
  </si>
  <si>
    <t>2015-1-30 10:49:38.770: RTWSControl - orderStatus -  entering orderStatus id is 1385 status is PreSubmitted</t>
  </si>
  <si>
    <t>2015-1-30 10:49:38.771: OrderManager - UpdateOrderStatus - id 1385 Setting status to PreSubmitted workingOrderCount is now 1 workingQty -2011</t>
  </si>
  <si>
    <t>2015-1-30 10:49:38.771: OrderManagerView - UpdateMainSheetOpenOrder - entering UpdateMainSheetOpenOrder order.status is PreSubmitted</t>
  </si>
  <si>
    <t>2015-1-30 10:49:38.773: RTWSControl - OrderStatus - Got OrderStatus Message id:1385 status: PreSubmitted filled: 0</t>
  </si>
  <si>
    <t>2015-1-30 10:49:38.773: RTWSControl - OrderStatus - exiting orderStatus</t>
  </si>
  <si>
    <t>2015-1-30 10:49:38.805: openOrderEx - I am here</t>
  </si>
  <si>
    <t>2015-1-30 10:49:38.805: OrderManagerView - UpdateMainSheetOpenOrder - entering UpdateMainSheetOpenOrder order.status is PreSubmitted</t>
  </si>
  <si>
    <t>2015-1-30 10:49:38.840: RTWSControl - orderStatus -  entering orderStatus id is 1385 status is PreSubmitted</t>
  </si>
  <si>
    <t>2015-1-30 10:49:38.841: OrderManager - UpdateOrderStatus - id 1385 Setting status to PreSubmitted workingOrderCount is now 1 workingQty -2011</t>
  </si>
  <si>
    <t>2015-1-30 10:49:38.841: OrderManagerView - UpdateMainSheetOpenOrder - entering UpdateMainSheetOpenOrder order.status is PreSubmitted</t>
  </si>
  <si>
    <t>2015-1-30 10:49:38.843: RTWSControl - OrderStatus - Got OrderStatus Message id:1385 status: PreSubmitted filled: 0</t>
  </si>
  <si>
    <t>2015-1-30 10:49:38.843: RTWSControl - OrderStatus - exiting orderStatus</t>
  </si>
  <si>
    <t>2015-1-30 10:49:39.91: OrderManager - cancelOrder - cancelling order id 1384</t>
  </si>
  <si>
    <t>2015-1-30 10:49:39.91: OrderManager - PlaceOrder - id 1386 workingQty -1980</t>
  </si>
  <si>
    <t>2015-1-30 10:49:39.92: OrderManagerView - UpdateMainSheetOpenOrder - entering UpdateMainSheetOpenOrder order.status is In-Flight</t>
  </si>
  <si>
    <t>2015-1-30 10:49:39.93: OrderManager - sendOrder - exiting place order id 1386 BUY 31 1.5131  - workingQty -1980 currentPosition is 21 workingOrderCount is 2</t>
  </si>
  <si>
    <t>2015-1-30 10:49:39.94: OrderManager - cancelOrder - cancelling order id 1385</t>
  </si>
  <si>
    <t>2015-1-30 10:49:39.94: OrderManager - createOrder - exiting without creating order - did not have validID</t>
  </si>
  <si>
    <t>2015-1-30 10:49:39.143: OrderManager - createOrder - exiting without creating order - did not have validID</t>
  </si>
  <si>
    <t>2015-1-30 10:49:39.634: OrderManager - createOrder - exiting without creating order - did not have validID</t>
  </si>
  <si>
    <t>2015-1-30 10:49:39.758: RTWSControl - nextValidId - entering nextValidId id is 1387</t>
  </si>
  <si>
    <t>2015-1-30 10:49:39.763: RTWSControl - orderStatus -  entering orderStatus id is 1384 status is Cancelled</t>
  </si>
  <si>
    <t>2015-1-30 10:49:39.764: OrderManager - UpdateOrderStatus - id 1384 Setting status to Cancelled workingOrderCount is now 2 workingQty -1980</t>
  </si>
  <si>
    <t>2015-1-30 10:49:39.765: OrderManagerView - UpdateMainSheetOpenOrder - entering UpdateMainSheetOpenOrder order.status is Cancelled</t>
  </si>
  <si>
    <t>2015-1-30 10:49:39.766: RTWSControl - OrderStatus - Got OrderStatus Message id:1384 status: Cancelled filled: 0</t>
  </si>
  <si>
    <t>2015-1-30 10:49:39.767: RTWSControl - OrderStatus - exiting orderStatus</t>
  </si>
  <si>
    <t>2015-1-30 10:49:39.800: RTWSControl - errMsg - got error message 202:Order Canceled - reason:with id 1384</t>
  </si>
  <si>
    <t>2015-1-30 10:49:39.801: OrderManager - canceledOrder - cleaning up after canceled order 1384BEWARE UNACCOUNTED FOR EXECUTIONS!!!</t>
  </si>
  <si>
    <t>2015-1-30 10:49:39.801: OrderManager - terminateOrder - cleaning up after Canceled 1384  order was supposed to BUY 34 1.5135 STP LMT workingQty/OrderCount now -2014/1</t>
  </si>
  <si>
    <t>2015-1-30 10:49:39.803: OrderManagerView - UpdateMainSheetOpenOrder - entering UpdateMainSheetOpenOrder order.status is Canceled</t>
  </si>
  <si>
    <t>2015-1-30 10:49:39.813: RTWSControl - errMsg - got error message 399:Order Message:
BUY 31 GBP MAR'15
Warning: your order will not be placed at the exchange until 2015-01-30 08:30:00 US/Centralwith id 1386</t>
  </si>
  <si>
    <t>2015-1-30 10:49:39.814: RTWSControl - errMsg - Got Error_x000D_id: 1386_x000D_errorCode: 399_x000D_errorMsg: Order Message:
BUY 31 GBP MAR'15
Warning: your order will not be placed at the exchange until 2015-01-30 08:30:00 US/Central</t>
  </si>
  <si>
    <t>2015-1-30 10:49:39.845: openOrderEx - I am here</t>
  </si>
  <si>
    <t>2015-1-30 10:49:39.845: OrderManagerView - UpdateMainSheetOpenOrder - entering UpdateMainSheetOpenOrder order.status is In-Flight</t>
  </si>
  <si>
    <t>2015-1-30 10:49:39.860: RTWSControl - orderStatus -  entering orderStatus id is 1386 status is PreSubmitted</t>
  </si>
  <si>
    <t>2015-1-30 10:49:39.860: OrderManager - UpdateOrderStatus - id 1386 Setting status to PreSubmitted workingOrderCount is now 1 workingQty -2014</t>
  </si>
  <si>
    <t>2015-1-30 10:49:39.861: OrderManagerView - UpdateMainSheetOpenOrder - entering UpdateMainSheetOpenOrder order.status is PreSubmitted</t>
  </si>
  <si>
    <t>2015-1-30 10:49:39.863: RTWSControl - OrderStatus - Got OrderStatus Message id:1386 status: PreSubmitted filled: 0</t>
  </si>
  <si>
    <t>2015-1-30 10:49:39.863: RTWSControl - OrderStatus - exiting orderStatus</t>
  </si>
  <si>
    <t>2015-1-30 10:49:39.893: RTWSControl - orderStatus -  entering orderStatus id is 1385 status is Cancelled</t>
  </si>
  <si>
    <t>2015-1-30 10:49:39.894: OrderManager - UpdateOrderStatus - id 1385 Setting status to Cancelled workingOrderCount is now 1 workingQty -2014</t>
  </si>
  <si>
    <t>2015-1-30 10:49:39.894: OrderManagerView - UpdateMainSheetOpenOrder - entering UpdateMainSheetOpenOrder order.status is Cancelled</t>
  </si>
  <si>
    <t>2015-1-30 10:49:39.897: RTWSControl - OrderStatus - Got OrderStatus Message id:1385 status: Cancelled filled: 0</t>
  </si>
  <si>
    <t>2015-1-30 10:49:39.897: RTWSControl - OrderStatus - exiting orderStatus</t>
  </si>
  <si>
    <t>2015-1-30 10:49:39.930: RTWSControl - errMsg - got error message 202:Order Canceled - reason:with id 1385</t>
  </si>
  <si>
    <t>2015-1-30 10:49:39.930: OrderManager - canceledOrder - cleaning up after canceled order 1385BEWARE UNACCOUNTED FOR EXECUTIONS!!!</t>
  </si>
  <si>
    <t>2015-1-30 10:49:39.931: OrderManager - terminateOrder - cleaning up after Canceled 1385  order was supposed to SELL 33 1.506 STP LMT workingQty/OrderCount now -2047/0</t>
  </si>
  <si>
    <t>2015-1-30 10:49:39.932: OrderManagerView - UpdateMainSheetOpenOrder - entering UpdateMainSheetOpenOrder order.status is Canceled</t>
  </si>
  <si>
    <t>2015-1-30 10:49:39.946: openOrderEx - I am here</t>
  </si>
  <si>
    <t>2015-1-30 10:49:39.946: OrderManagerView - UpdateMainSheetOpenOrder - entering UpdateMainSheetOpenOrder order.status is PreSubmitted</t>
  </si>
  <si>
    <t>2015-1-30 10:49:39.970: RTWSControl - orderStatus -  entering orderStatus id is 1386 status is PreSubmitted</t>
  </si>
  <si>
    <t>2015-1-30 10:49:39.971: OrderManager - UpdateOrderStatus - id 1386 Setting status to PreSubmitted workingOrderCount is now 0 workingQty -2047</t>
  </si>
  <si>
    <t>2015-1-30 10:49:39.971: OrderManagerView - UpdateMainSheetOpenOrder - entering UpdateMainSheetOpenOrder order.status is PreSubmitted</t>
  </si>
  <si>
    <t>2015-1-30 10:49:39.973: RTWSControl - OrderStatus - Got OrderStatus Message id:1386 status: PreSubmitted filled: 0</t>
  </si>
  <si>
    <t>2015-1-30 10:49:39.973: RTWSControl - OrderStatus - exiting orderStatus</t>
  </si>
  <si>
    <t>2015-1-30 10:49:40.55: OrderManager - PlaceOrder - id 1387 workingQty -2078</t>
  </si>
  <si>
    <t>2015-1-30 10:49:40.55: OrderManagerView - UpdateMainSheetOpenOrder - entering UpdateMainSheetOpenOrder order.status is In-Flight</t>
  </si>
  <si>
    <t>2015-1-30 10:49:40.56: OrderManagerView - findNextOORow - there are no available OpenOrderView Rows!!!!!!</t>
  </si>
  <si>
    <t>2015-1-30 10:49:40.57: OrderManager - sendOrder - exiting place order id 1387 SELL 31 1.506  - workingQty -2078 currentPosition is 21 workingOrderCount is 1</t>
  </si>
  <si>
    <t>2015-1-30 10:49:41.630: RTWSControl - nextValidId - entering nextValidId id is 1388</t>
  </si>
  <si>
    <t>2015-1-30 10:49:41.636: RTWSControl - errMsg - got error message 399:Order Message:
SELL 31 GBP MAR'15
Warning: your order will not be placed at the exchange until 2015-01-30 08:30:00 US/Centralwith id 1387</t>
  </si>
  <si>
    <t>2015-1-30 10:49:41.637: RTWSControl - errMsg - Got Error_x000D_id: 1387_x000D_errorCode: 399_x000D_errorMsg: Order Message:
SELL 31 GBP MAR'15
Warning: your order will not be placed at the exchange until 2015-01-30 08:30:00 US/Central</t>
  </si>
  <si>
    <t>2015-1-30 10:49:41.646: openOrderEx - I am here</t>
  </si>
  <si>
    <t>2015-1-30 10:49:41.646: OrderManagerView - UpdateMainSheetOpenOrder - entering UpdateMainSheetOpenOrder order.status is In-Flight</t>
  </si>
  <si>
    <t>2015-1-30 10:49:41.678: RTWSControl - orderStatus -  entering orderStatus id is 1387 status is PreSubmitted</t>
  </si>
  <si>
    <t>2015-1-30 10:49:41.679: OrderManager - UpdateOrderStatus - id 1387 Setting status to PreSubmitted workingOrderCount is now 1 workingQty -2078</t>
  </si>
  <si>
    <t>2015-1-30 10:49:41.679: OrderManagerView - UpdateMainSheetOpenOrder - entering UpdateMainSheetOpenOrder order.status is PreSubmitted</t>
  </si>
  <si>
    <t>2015-1-30 10:49:41.681: RTWSControl - OrderStatus - Got OrderStatus Message id:1387 status: PreSubmitted filled: 0</t>
  </si>
  <si>
    <t>2015-1-30 10:49:41.681: RTWSControl - OrderStatus - exiting orderStatus</t>
  </si>
  <si>
    <t>2015-1-30 10:49:41.718: openOrderEx - I am here</t>
  </si>
  <si>
    <t>2015-1-30 10:49:41.718: OrderManagerView - UpdateMainSheetOpenOrder - entering UpdateMainSheetOpenOrder order.status is PreSubmitted</t>
  </si>
  <si>
    <t>2015-1-30 10:49:41.730: RTWSControl - orderStatus -  entering orderStatus id is 1387 status is PreSubmitted</t>
  </si>
  <si>
    <t>2015-1-30 10:49:41.730: OrderManager - UpdateOrderStatus - id 1387 Setting status to PreSubmitted workingOrderCount is now 1 workingQty -2078</t>
  </si>
  <si>
    <t>2015-1-30 10:49:41.731: OrderManagerView - UpdateMainSheetOpenOrder - entering UpdateMainSheetOpenOrder order.status is PreSubmitted</t>
  </si>
  <si>
    <t>2015-1-30 10:49:41.733: RTWSControl - OrderStatus - Got OrderStatus Message id:1387 status: PreSubmitted filled: 0</t>
  </si>
  <si>
    <t>2015-1-30 10:49:41.733: RTWSControl - OrderStatus - exiting orderStatus</t>
  </si>
  <si>
    <t>2015-1-30 10:49:42.11: OrderManagerView - UpdateMainSheetOpenOrder - entering UpdateMainSheetOpenOrder order.status is PreSubmitted</t>
  </si>
  <si>
    <t>2015-1-30 10:49:42.12: OrderManagerView - UpdateMainSheetOpenOrder - entering UpdateMainSheetOpenOrder order.status is Canceled</t>
  </si>
  <si>
    <t>2015-1-30 10:49:42.14: OrderManagerView - UpdateMainSheetOpenOrder - entering UpdateMainSheetOpenOrder order.status is Canceled</t>
  </si>
  <si>
    <t>2015-1-30 10:49:42.15: OrderManagerView - UpdateMainSheetOpenOrder - entering UpdateMainSheetOpenOrder order.status is PreSubmitted</t>
  </si>
  <si>
    <t>2015-1-30 10:49:42.16: OrderManagerView - UpdateMainSheetOpenOrder - entering UpdateMainSheetOpenOrder order.status is PreSubmitted</t>
  </si>
  <si>
    <t>2015-1-30 10:49:42.21: OrderManagerView - UpdateMainSheetOpenOrder - entering UpdateMainSheetOpenOrder order.status is PreSubmitted</t>
  </si>
  <si>
    <t>2015-1-30 10:49:42.23: OrderManagerView - UpdateMainSheetOpenOrder - entering UpdateMainSheetOpenOrder order.status is PreSubmitted</t>
  </si>
  <si>
    <t>2015-1-30 10:49:44.13: OrderManagerView - UpdateMainSheetOpenOrder - entering UpdateMainSheetOpenOrder order.status is PreSubmitted</t>
  </si>
  <si>
    <t>2015-1-30 10:49:44.15: OrderManagerView - UpdateMainSheetOpenOrder - entering UpdateMainSheetOpenOrder order.status is PreSubmitted</t>
  </si>
  <si>
    <t>2015-1-30 10:49:44.19: OrderManagerView - UpdateMainSheetOpenOrder - entering UpdateMainSheetOpenOrder order.status is PreSubmitted</t>
  </si>
  <si>
    <t>2015-1-30 10:49:44.21: OrderManagerView - UpdateMainSheetOpenOrder - entering UpdateMainSheetOpenOrder order.status is PreSubmitted</t>
  </si>
  <si>
    <t>2015-1-30 10:49:47.10: OrderManagerView - UpdateMainSheetOpenOrder - entering UpdateMainSheetOpenOrder order.status is PreSubmitted</t>
  </si>
  <si>
    <t>2015-1-30 10:49:47.12: OrderManagerView - UpdateMainSheetOpenOrder - entering UpdateMainSheetOpenOrder order.status is PreSubmitted</t>
  </si>
  <si>
    <t>2015-1-30 10:49:47.31: OrderManagerView - UpdateMainSheetOpenOrder - entering UpdateMainSheetOpenOrder order.status is PreSubmitted</t>
  </si>
  <si>
    <t>2015-1-30 10:49:47.34: OrderManagerView - UpdateMainSheetOpenOrder - entering UpdateMainSheetOpenOrder order.status is PreSubmitted</t>
  </si>
  <si>
    <t>2015-1-30 10:49:49.187: OrderManager - cancelOrder - cancelling order id 1386</t>
  </si>
  <si>
    <t>2015-1-30 10:49:49.188: OrderManager - PlaceOrder - id 1388 workingQty -2048</t>
  </si>
  <si>
    <t>2015-1-30 10:49:49.189: OrderManagerView - UpdateMainSheetOpenOrder - entering UpdateMainSheetOpenOrder order.status is In-Flight</t>
  </si>
  <si>
    <t>2015-1-30 10:49:49.195: OrderManager - sendOrder - exiting place order id 1388 BUY 30 1.5128  - workingQty -2048 currentPosition is 21 workingOrderCount is 2</t>
  </si>
  <si>
    <t>2015-1-30 10:49:49.560: RTWSControl - nextValidId - entering nextValidId id is 1389</t>
  </si>
  <si>
    <t>2015-1-30 10:49:49.586: RTWSControl - orderStatus -  entering orderStatus id is 1386 status is Cancelled</t>
  </si>
  <si>
    <t>2015-1-30 10:49:49.587: OrderManager - UpdateOrderStatus - id 1386 Setting status to Cancelled workingOrderCount is now 2 workingQty -2048</t>
  </si>
  <si>
    <t>2015-1-30 10:49:49.588: OrderManagerView - UpdateMainSheetOpenOrder - entering UpdateMainSheetOpenOrder order.status is Cancelled</t>
  </si>
  <si>
    <t>2015-1-30 10:49:49.589: RTWSControl - OrderStatus - Got OrderStatus Message id:1386 status: Cancelled filled: 0</t>
  </si>
  <si>
    <t>2015-1-30 10:49:49.590: RTWSControl - OrderStatus - exiting orderStatus</t>
  </si>
  <si>
    <t>2015-1-30 10:49:49.599: RTWSControl - errMsg - got error message 202:Order Canceled - reason:with id 1386</t>
  </si>
  <si>
    <t>2015-1-30 10:49:49.600: OrderManager - canceledOrder - cleaning up after canceled order 1386BEWARE UNACCOUNTED FOR EXECUTIONS!!!</t>
  </si>
  <si>
    <t>2015-1-30 10:49:49.601: OrderManager - terminateOrder - cleaning up after Canceled 1386  order was supposed to BUY 31 1.5131 STP LMT workingQty/OrderCount now -2079/1</t>
  </si>
  <si>
    <t>2015-1-30 10:49:49.602: OrderManagerView - UpdateMainSheetOpenOrder - entering UpdateMainSheetOpenOrder order.status is Canceled</t>
  </si>
  <si>
    <t>2015-1-30 10:49:49.636: RTWSControl - errMsg - got error message 399:Order Message:
BUY 30 GBP MAR'15
Warning: your order will not be placed at the exchange until 2015-01-30 08:30:00 US/Centralwith id 1388</t>
  </si>
  <si>
    <t>2015-1-30 10:49:49.636: RTWSControl - errMsg - Got Error_x000D_id: 1388_x000D_errorCode: 399_x000D_errorMsg: Order Message:
BUY 30 GBP MAR'15
Warning: your order will not be placed at the exchange until 2015-01-30 08:30:00 US/Central</t>
  </si>
  <si>
    <t>2015-1-30 10:49:49.644: openOrderEx - I am here</t>
  </si>
  <si>
    <t>2015-1-30 10:49:49.645: OrderManagerView - UpdateMainSheetOpenOrder - entering UpdateMainSheetOpenOrder order.status is In-Flight</t>
  </si>
  <si>
    <t>2015-1-30 10:49:49.677: RTWSControl - orderStatus -  entering orderStatus id is 1388 status is PreSubmitted</t>
  </si>
  <si>
    <t>2015-1-30 10:49:49.678: OrderManager - UpdateOrderStatus - id 1388 Setting status to PreSubmitted workingOrderCount is now 1 workingQty -2079</t>
  </si>
  <si>
    <t>2015-1-30 10:49:49.679: OrderManagerView - UpdateMainSheetOpenOrder - entering UpdateMainSheetOpenOrder order.status is PreSubmitted</t>
  </si>
  <si>
    <t>2015-1-30 10:49:49.680: RTWSControl - OrderStatus - Got OrderStatus Message id:1388 status: PreSubmitted filled: 0</t>
  </si>
  <si>
    <t>2015-1-30 10:49:49.681: RTWSControl - OrderStatus - exiting orderStatus</t>
  </si>
  <si>
    <t>2015-1-30 10:49:49.717: openOrderEx - I am here</t>
  </si>
  <si>
    <t>2015-1-30 10:49:49.717: OrderManagerView - UpdateMainSheetOpenOrder - entering UpdateMainSheetOpenOrder order.status is PreSubmitted</t>
  </si>
  <si>
    <t>2015-1-30 10:49:49.729: RTWSControl - orderStatus -  entering orderStatus id is 1388 status is PreSubmitted</t>
  </si>
  <si>
    <t>2015-1-30 10:49:49.729: OrderManager - UpdateOrderStatus - id 1388 Setting status to PreSubmitted workingOrderCount is now 1 workingQty -2079</t>
  </si>
  <si>
    <t>2015-1-30 10:49:49.730: OrderManagerView - UpdateMainSheetOpenOrder - entering UpdateMainSheetOpenOrder order.status is PreSubmitted</t>
  </si>
  <si>
    <t>2015-1-30 10:49:49.732: RTWSControl - OrderStatus - Got OrderStatus Message id:1388 status: PreSubmitted filled: 0</t>
  </si>
  <si>
    <t>2015-1-30 10:49:49.732: RTWSControl - OrderStatus - exiting orderStatus</t>
  </si>
  <si>
    <t>2015-1-30 10:49:51.222: OrderManager - cancelOrder - cancelling order id 1388</t>
  </si>
  <si>
    <t>2015-1-30 10:49:51.222: OrderManager - PlaceOrder - id 1389 workingQty -2046</t>
  </si>
  <si>
    <t>2015-1-30 10:49:51.223: OrderManagerView - UpdateMainSheetOpenOrder - entering UpdateMainSheetOpenOrder order.status is In-Flight</t>
  </si>
  <si>
    <t>2015-1-30 10:49:51.224: OrderManager - sendOrder - exiting place order id 1389 BUY 33 1.5131  - workingQty -2046 currentPosition is 21 workingOrderCount is 2</t>
  </si>
  <si>
    <t>2015-1-30 10:49:51.225: OrderManager - cancelOrder - cancelling order id 1387</t>
  </si>
  <si>
    <t>2015-1-30 10:49:51.225: OrderManager - createOrder - exiting without creating order - did not have validID</t>
  </si>
  <si>
    <t>2015-1-30 10:49:51.465: RTWSControl - nextValidId - entering nextValidId id is 1390</t>
  </si>
  <si>
    <t>2015-1-30 10:49:51.518: RTWSControl - orderStatus -  entering orderStatus id is 1388 status is Cancelled</t>
  </si>
  <si>
    <t>2015-1-30 10:49:51.519: OrderManager - UpdateOrderStatus - id 1388 Setting status to Cancelled workingOrderCount is now 2 workingQty -2046</t>
  </si>
  <si>
    <t>2015-1-30 10:49:51.520: OrderManagerView - UpdateMainSheetOpenOrder - entering UpdateMainSheetOpenOrder order.status is Cancelled</t>
  </si>
  <si>
    <t>2015-1-30 10:49:51.521: RTWSControl - OrderStatus - Got OrderStatus Message id:1388 status: Cancelled filled: 0</t>
  </si>
  <si>
    <t>2015-1-30 10:49:51.522: RTWSControl - OrderStatus - exiting orderStatus</t>
  </si>
  <si>
    <t>2015-1-30 10:49:51.537: RTWSControl - errMsg - got error message 202:Order Canceled - reason:with id 1388</t>
  </si>
  <si>
    <t>2015-1-30 10:49:51.537: OrderManager - canceledOrder - cleaning up after canceled order 1388BEWARE UNACCOUNTED FOR EXECUTIONS!!!</t>
  </si>
  <si>
    <t>2015-1-30 10:49:51.538: OrderManager - terminateOrder - cleaning up after Canceled 1388  order was supposed to BUY 30 1.5128 STP LMT workingQty/OrderCount now -2076/1</t>
  </si>
  <si>
    <t>2015-1-30 10:49:51.539: OrderManagerView - UpdateMainSheetOpenOrder - entering UpdateMainSheetOpenOrder order.status is Canceled</t>
  </si>
  <si>
    <t>2015-1-30 10:49:51.550: RTWSControl - errMsg - got error message 399:Order Message:
BUY 33 GBP MAR'15
Warning: your order will not be placed at the exchange until 2015-01-30 08:30:00 US/Centralwith id 1389</t>
  </si>
  <si>
    <t>2015-1-30 10:49:51.550: RTWSControl - errMsg - Got Error_x000D_id: 1389_x000D_errorCode: 399_x000D_errorMsg: Order Message:
BUY 33 GBP MAR'15
Warning: your order will not be placed at the exchange until 2015-01-30 08:30:00 US/Central</t>
  </si>
  <si>
    <t>2015-1-30 10:49:51.592: openOrderEx - I am here</t>
  </si>
  <si>
    <t>2015-1-30 10:49:51.592: OrderManagerView - UpdateMainSheetOpenOrder - entering UpdateMainSheetOpenOrder order.status is In-Flight</t>
  </si>
  <si>
    <t>2015-1-30 10:49:51.604: RTWSControl - orderStatus -  entering orderStatus id is 1389 status is PreSubmitted</t>
  </si>
  <si>
    <t>2015-1-30 10:49:51.604: OrderManager - UpdateOrderStatus - id 1389 Setting status to PreSubmitted workingOrderCount is now 1 workingQty -2076</t>
  </si>
  <si>
    <t>2015-1-30 10:49:51.605: OrderManagerView - UpdateMainSheetOpenOrder - entering UpdateMainSheetOpenOrder order.status is PreSubmitted</t>
  </si>
  <si>
    <t>2015-1-30 10:49:51.607: RTWSControl - OrderStatus - Got OrderStatus Message id:1389 status: PreSubmitted filled: 0</t>
  </si>
  <si>
    <t>2015-1-30 10:49:51.607: RTWSControl - OrderStatus - exiting orderStatus</t>
  </si>
  <si>
    <t>2015-1-30 10:49:51.763: OrderManager - PlaceOrder - id 1390 workingQty -2109</t>
  </si>
  <si>
    <t>2015-1-30 10:49:51.763: OrderManagerView - UpdateMainSheetOpenOrder - entering UpdateMainSheetOpenOrder order.status is In-Flight</t>
  </si>
  <si>
    <t>2015-1-30 10:49:51.765: OrderManager - sendOrder - exiting place order id 1390 SELL 33 1.5058  - workingQty -2109 currentPosition is 21 workingOrderCount is 2</t>
  </si>
  <si>
    <t>2015-1-30 10:49:51.933: RTWSControl - orderStatus -  entering orderStatus id is 1387 status is Cancelled</t>
  </si>
  <si>
    <t>2015-1-30 10:49:51.933: OrderManager - UpdateOrderStatus - id 1387 Setting status to Cancelled workingOrderCount is now 2 workingQty -2109</t>
  </si>
  <si>
    <t>2015-1-30 10:49:51.934: OrderManagerView - UpdateMainSheetOpenOrder - entering UpdateMainSheetOpenOrder order.status is Cancelled</t>
  </si>
  <si>
    <t>2015-1-30 10:49:51.936: RTWSControl - OrderStatus - Got OrderStatus Message id:1387 status: Cancelled filled: 0</t>
  </si>
  <si>
    <t>2015-1-30 10:49:51.936: RTWSControl - OrderStatus - exiting orderStatus</t>
  </si>
  <si>
    <t>2015-1-30 10:49:51.972: RTWSControl - errMsg - got error message 202:Order Canceled - reason:with id 1387</t>
  </si>
  <si>
    <t>2015-1-30 10:49:51.972: OrderManager - canceledOrder - cleaning up after canceled order 1387BEWARE UNACCOUNTED FOR EXECUTIONS!!!</t>
  </si>
  <si>
    <t>2015-1-30 10:49:51.973: OrderManager - terminateOrder - cleaning up after Canceled 1387  order was supposed to SELL 31 1.506 STP LMT workingQty/OrderCount now -2140/1</t>
  </si>
  <si>
    <t>2015-1-30 10:49:51.974: OrderManagerView - UpdateMainSheetOpenOrder - entering UpdateMainSheetOpenOrder order.status is Canceled</t>
  </si>
  <si>
    <t>2015-1-30 10:49:52.10: openOrderEx - I am here</t>
  </si>
  <si>
    <t>2015-1-30 10:49:52.11: OrderManagerView - UpdateMainSheetOpenOrder - entering UpdateMainSheetOpenOrder order.status is PreSubmitted</t>
  </si>
  <si>
    <t>2015-1-30 10:49:52.22: RTWSControl - orderStatus -  entering orderStatus id is 1389 status is PreSubmitted</t>
  </si>
  <si>
    <t>2015-1-30 10:49:52.23: OrderManager - UpdateOrderStatus - id 1389 Setting status to PreSubmitted workingOrderCount is now 1 workingQty -2140</t>
  </si>
  <si>
    <t>2015-1-30 10:49:52.23: OrderManagerView - UpdateMainSheetOpenOrder - entering UpdateMainSheetOpenOrder order.status is PreSubmitted</t>
  </si>
  <si>
    <t>2015-1-30 10:49:52.25: RTWSControl - OrderStatus - Got OrderStatus Message id:1389 status: PreSubmitted filled: 0</t>
  </si>
  <si>
    <t>2015-1-30 10:49:52.25: RTWSControl - OrderStatus - exiting orderStatus</t>
  </si>
  <si>
    <t>2015-1-30 10:49:53.420: RTWSControl - nextValidId - entering nextValidId id is 1391</t>
  </si>
  <si>
    <t>2015-1-30 10:49:53.426: RTWSControl - errMsg - got error message 399:Order Message:
SELL 33 GBP MAR'15
Warning: your order will not be placed at the exchange until 2015-01-30 08:30:00 US/Centralwith id 1390</t>
  </si>
  <si>
    <t>2015-1-30 10:49:53.427: RTWSControl - errMsg - Got Error_x000D_id: 1390_x000D_errorCode: 399_x000D_errorMsg: Order Message:
SELL 33 GBP MAR'15
Warning: your order will not be placed at the exchange until 2015-01-30 08:30:00 US/Central</t>
  </si>
  <si>
    <t>2015-1-30 10:49:53.436: openOrderEx - I am here</t>
  </si>
  <si>
    <t>2015-1-30 10:49:53.436: OrderManagerView - UpdateMainSheetOpenOrder - entering UpdateMainSheetOpenOrder order.status is In-Flight</t>
  </si>
  <si>
    <t>2015-1-30 10:49:53.470: RTWSControl - orderStatus -  entering orderStatus id is 1390 status is PreSubmitted</t>
  </si>
  <si>
    <t>2015-1-30 10:49:53.471: OrderManager - UpdateOrderStatus - id 1390 Setting status to PreSubmitted workingOrderCount is now 1 workingQty -2140</t>
  </si>
  <si>
    <t>2015-1-30 10:49:53.471: OrderManagerView - UpdateMainSheetOpenOrder - entering UpdateMainSheetOpenOrder order.status is PreSubmitted</t>
  </si>
  <si>
    <t>2015-1-30 10:49:53.473: RTWSControl - OrderStatus - Got OrderStatus Message id:1390 status: PreSubmitted filled: 0</t>
  </si>
  <si>
    <t>2015-1-30 10:49:53.474: RTWSControl - OrderStatus - exiting orderStatus</t>
  </si>
  <si>
    <t>2015-1-30 10:49:53.555: openOrderEx - I am here</t>
  </si>
  <si>
    <t>2015-1-30 10:49:53.555: OrderManagerView - UpdateMainSheetOpenOrder - entering UpdateMainSheetOpenOrder order.status is PreSubmitted</t>
  </si>
  <si>
    <t>2015-1-30 10:49:53.590: RTWSControl - orderStatus -  entering orderStatus id is 1390 status is PreSubmitted</t>
  </si>
  <si>
    <t>2015-1-30 10:49:53.590: OrderManager - UpdateOrderStatus - id 1390 Setting status to PreSubmitted workingOrderCount is now 1 workingQty -2140</t>
  </si>
  <si>
    <t>2015-1-30 10:49:53.591: OrderManagerView - UpdateMainSheetOpenOrder - entering UpdateMainSheetOpenOrder order.status is PreSubmitted</t>
  </si>
  <si>
    <t>2015-1-30 10:49:53.592: RTWSControl - OrderStatus - Got OrderStatus Message id:1390 status: PreSubmitted filled: 0</t>
  </si>
  <si>
    <t>2015-1-30 10:49:53.593: RTWSControl - OrderStatus - exiting orderStatus</t>
  </si>
  <si>
    <t>2015-1-30 10:49:53.604: OrderManager - cancelOrder - cancelling order id 1389</t>
  </si>
  <si>
    <t>2015-1-30 10:49:53.604: OrderManager - PlaceOrder - id 1391 workingQty -2107</t>
  </si>
  <si>
    <t>2015-1-30 10:49:53.604: OrderManagerView - UpdateMainSheetOpenOrder - entering UpdateMainSheetOpenOrder order.status is In-Flight</t>
  </si>
  <si>
    <t>2015-1-30 10:49:53.605: OrderManagerView - findNextOORow - there are no available OpenOrderView Rows!!!!!!</t>
  </si>
  <si>
    <t>2015-1-30 10:49:53.606: OrderManager - sendOrder - exiting place order id 1391 BUY 33 1.5135  - workingQty -2107 currentPosition is 21 workingOrderCount is 2</t>
  </si>
  <si>
    <t>2015-1-30 10:49:53.840: RTWSControl - nextValidId - entering nextValidId id is 1392</t>
  </si>
  <si>
    <t>2015-1-30 10:49:53.892: RTWSControl - orderStatus -  entering orderStatus id is 1389 status is Cancelled</t>
  </si>
  <si>
    <t>2015-1-30 10:49:53.893: OrderManager - UpdateOrderStatus - id 1389 Setting status to Cancelled workingOrderCount is now 2 workingQty -2107</t>
  </si>
  <si>
    <t>2015-1-30 10:49:53.894: OrderManagerView - UpdateMainSheetOpenOrder - entering UpdateMainSheetOpenOrder order.status is Cancelled</t>
  </si>
  <si>
    <t>2015-1-30 10:49:53.895: RTWSControl - OrderStatus - Got OrderStatus Message id:1389 status: Cancelled filled: 0</t>
  </si>
  <si>
    <t>2015-1-30 10:49:53.896: RTWSControl - OrderStatus - exiting orderStatus</t>
  </si>
  <si>
    <t>2015-1-30 10:49:53.912: RTWSControl - errMsg - got error message 202:Order Canceled - reason:with id 1389</t>
  </si>
  <si>
    <t>2015-1-30 10:49:53.912: OrderManager - canceledOrder - cleaning up after canceled order 1389BEWARE UNACCOUNTED FOR EXECUTIONS!!!</t>
  </si>
  <si>
    <t>2015-1-30 10:49:53.913: OrderManager - terminateOrder - cleaning up after Canceled 1389  order was supposed to BUY 33 1.5131 STP LMT workingQty/OrderCount now -2140/1</t>
  </si>
  <si>
    <t>2015-1-30 10:49:53.914: OrderManagerView - UpdateMainSheetOpenOrder - entering UpdateMainSheetOpenOrder order.status is Canceled</t>
  </si>
  <si>
    <t>2015-1-30 10:49:54.12: OrderManagerView - UpdateMainSheetOpenOrder - entering UpdateMainSheetOpenOrder order.status is In-Flight</t>
  </si>
  <si>
    <t>2015-1-30 10:49:54.14: OrderManagerView - UpdateMainSheetOpenOrder - entering UpdateMainSheetOpenOrder order.status is Canceled</t>
  </si>
  <si>
    <t>2015-1-30 10:49:54.15: OrderManagerView - UpdateMainSheetOpenOrder - entering UpdateMainSheetOpenOrder order.status is Canceled</t>
  </si>
  <si>
    <t>2015-1-30 10:49:54.16: OrderManagerView - UpdateMainSheetOpenOrder - entering UpdateMainSheetOpenOrder order.status is PreSubmitted</t>
  </si>
  <si>
    <t>2015-1-30 10:49:54.17: OrderManagerView - UpdateMainSheetOpenOrder - entering UpdateMainSheetOpenOrder order.status is PreSubmitted</t>
  </si>
  <si>
    <t>2015-1-30 10:49:54.338: RTWSControl - errMsg - got error message 399:Order Message:
BUY 33 GBP MAR'15
Warning: your order will not be placed at the exchange until 2015-01-30 08:30:00 US/Centralwith id 1391</t>
  </si>
  <si>
    <t>2015-1-30 10:49:54.339: RTWSControl - errMsg - Got Error_x000D_id: 1391_x000D_errorCode: 399_x000D_errorMsg: Order Message:
BUY 33 GBP MAR'15
Warning: your order will not be placed at the exchange until 2015-01-30 08:30:00 US/Central</t>
  </si>
  <si>
    <t>2015-1-30 10:49:54.347: openOrderEx - I am here</t>
  </si>
  <si>
    <t>2015-1-30 10:49:54.348: OrderManagerView - UpdateMainSheetOpenOrder - entering UpdateMainSheetOpenOrder order.status is In-Flight</t>
  </si>
  <si>
    <t>2015-1-30 10:49:54.381: RTWSControl - orderStatus -  entering orderStatus id is 1391 status is PreSubmitted</t>
  </si>
  <si>
    <t>2015-1-30 10:49:54.382: OrderManager - UpdateOrderStatus - id 1391 Setting status to PreSubmitted workingOrderCount is now 1 workingQty -2140</t>
  </si>
  <si>
    <t>2015-1-30 10:49:54.382: OrderManagerView - UpdateMainSheetOpenOrder - entering UpdateMainSheetOpenOrder order.status is PreSubmitted</t>
  </si>
  <si>
    <t>2015-1-30 10:49:54.384: RTWSControl - OrderStatus - Got OrderStatus Message id:1391 status: PreSubmitted filled: 0</t>
  </si>
  <si>
    <t>2015-1-30 10:49:54.384: RTWSControl - OrderStatus - exiting orderStatus</t>
  </si>
  <si>
    <t>2015-1-30 10:49:54.397: openOrderEx - I am here</t>
  </si>
  <si>
    <t>2015-1-30 10:49:54.397: OrderManagerView - UpdateMainSheetOpenOrder - entering UpdateMainSheetOpenOrder order.status is PreSubmitted</t>
  </si>
  <si>
    <t>2015-1-30 10:49:54.428: RTWSControl - orderStatus -  entering orderStatus id is 1391 status is PreSubmitted</t>
  </si>
  <si>
    <t>2015-1-30 10:49:54.428: OrderManager - UpdateOrderStatus - id 1391 Setting status to PreSubmitted workingOrderCount is now 1 workingQty -2140</t>
  </si>
  <si>
    <t>2015-1-30 10:49:54.429: OrderManagerView - UpdateMainSheetOpenOrder - entering UpdateMainSheetOpenOrder order.status is PreSubmitted</t>
  </si>
  <si>
    <t>2015-1-30 10:49:54.431: RTWSControl - OrderStatus - Got OrderStatus Message id:1391 status: PreSubmitted filled: 0</t>
  </si>
  <si>
    <t>2015-1-30 10:49:54.431: RTWSControl - OrderStatus - exiting orderStatus</t>
  </si>
  <si>
    <t>2015-1-30 10:49:54.592: OrderManager - cancelOrder - cancelling order id 1390</t>
  </si>
  <si>
    <t>2015-1-30 10:49:54.592: OrderManager - PlaceOrder - id 1392 workingQty -2173</t>
  </si>
  <si>
    <t>2015-1-30 10:49:54.592: OrderManagerView - UpdateMainSheetOpenOrder - entering UpdateMainSheetOpenOrder order.status is In-Flight</t>
  </si>
  <si>
    <t>2015-1-30 10:49:54.594: OrderManager - sendOrder - exiting place order id 1392 SELL 33 1.506  - workingQty -2173 currentPosition is 21 workingOrderCount is 2</t>
  </si>
  <si>
    <t>2015-1-30 10:49:55.382: RTWSControl - nextValidId - entering nextValidId id is 1393</t>
  </si>
  <si>
    <t>2015-1-30 10:49:55.387: RTWSControl - orderStatus -  entering orderStatus id is 1390 status is Cancelled</t>
  </si>
  <si>
    <t>2015-1-30 10:49:55.388: OrderManager - UpdateOrderStatus - id 1390 Setting status to Cancelled workingOrderCount is now 2 workingQty -2173</t>
  </si>
  <si>
    <t>2015-1-30 10:49:55.389: OrderManagerView - UpdateMainSheetOpenOrder - entering UpdateMainSheetOpenOrder order.status is Cancelled</t>
  </si>
  <si>
    <t>2015-1-30 10:49:55.390: RTWSControl - OrderStatus - Got OrderStatus Message id:1390 status: Cancelled filled: 0</t>
  </si>
  <si>
    <t>2015-1-30 10:49:55.391: RTWSControl - OrderStatus - exiting orderStatus</t>
  </si>
  <si>
    <t>2015-1-30 10:49:55.424: RTWSControl - errMsg - got error message 202:Order Canceled - reason:with id 1390</t>
  </si>
  <si>
    <t>2015-1-30 10:49:55.425: OrderManager - canceledOrder - cleaning up after canceled order 1390BEWARE UNACCOUNTED FOR EXECUTIONS!!!</t>
  </si>
  <si>
    <t>2015-1-30 10:49:55.425: OrderManager - terminateOrder - cleaning up after Canceled 1390  order was supposed to SELL 33 1.5058 STP LMT workingQty/OrderCount now -2206/1</t>
  </si>
  <si>
    <t>2015-1-30 10:49:55.426: OrderManagerView - UpdateMainSheetOpenOrder - entering UpdateMainSheetOpenOrder order.status is Canceled</t>
  </si>
  <si>
    <t>2015-1-30 10:49:55.437: RTWSControl - errMsg - got error message 399:Order Message:
SELL 33 GBP MAR'15
Warning: your order will not be placed at the exchange until 2015-01-30 08:30:00 US/Centralwith id 1392</t>
  </si>
  <si>
    <t>2015-1-30 10:49:55.438: RTWSControl - errMsg - Got Error_x000D_id: 1392_x000D_errorCode: 399_x000D_errorMsg: Order Message:
SELL 33 GBP MAR'15
Warning: your order will not be placed at the exchange until 2015-01-30 08:30:00 US/Central</t>
  </si>
  <si>
    <t>2015-1-30 10:49:55.469: openOrderEx - I am here</t>
  </si>
  <si>
    <t>2015-1-30 10:49:55.469: OrderManagerView - UpdateMainSheetOpenOrder - entering UpdateMainSheetOpenOrder order.status is In-Flight</t>
  </si>
  <si>
    <t>2015-1-30 10:49:55.481: RTWSControl - orderStatus -  entering orderStatus id is 1392 status is PreSubmitted</t>
  </si>
  <si>
    <t>2015-1-30 10:49:55.481: OrderManager - UpdateOrderStatus - id 1392 Setting status to PreSubmitted workingOrderCount is now 1 workingQty -2206</t>
  </si>
  <si>
    <t>2015-1-30 10:49:55.482: OrderManagerView - UpdateMainSheetOpenOrder - entering UpdateMainSheetOpenOrder order.status is PreSubmitted</t>
  </si>
  <si>
    <t>2015-1-30 10:49:55.484: RTWSControl - OrderStatus - Got OrderStatus Message id:1392 status: PreSubmitted filled: 0</t>
  </si>
  <si>
    <t>2015-1-30 10:49:55.484: RTWSControl - OrderStatus - exiting orderStatus</t>
  </si>
  <si>
    <t>2015-1-30 10:49:55.551: openOrderEx - I am here</t>
  </si>
  <si>
    <t>2015-1-30 10:49:55.551: OrderManagerView - UpdateMainSheetOpenOrder - entering UpdateMainSheetOpenOrder order.status is PreSubmitted</t>
  </si>
  <si>
    <t>2015-1-30 10:49:55.563: RTWSControl - orderStatus -  entering orderStatus id is 1392 status is PreSubmitted</t>
  </si>
  <si>
    <t>2015-1-30 10:49:55.564: OrderManager - UpdateOrderStatus - id 1392 Setting status to PreSubmitted workingOrderCount is now 1 workingQty -2206</t>
  </si>
  <si>
    <t>2015-1-30 10:49:55.564: OrderManagerView - UpdateMainSheetOpenOrder - entering UpdateMainSheetOpenOrder order.status is PreSubmitted</t>
  </si>
  <si>
    <t>2015-1-30 10:49:55.566: RTWSControl - OrderStatus - Got OrderStatus Message id:1392 status: PreSubmitted filled: 0</t>
  </si>
  <si>
    <t>2015-1-30 10:49:55.567: RTWSControl - OrderStatus - exiting orderStatus</t>
  </si>
  <si>
    <t>2015-1-30 10:49:56.9: OrderManagerView - UpdateMainSheetOpenOrder - entering UpdateMainSheetOpenOrder order.status is PreSubmitted</t>
  </si>
  <si>
    <t>2015-1-30 10:49:56.11: OrderManagerView - UpdateMainSheetOpenOrder - entering UpdateMainSheetOpenOrder order.status is Canceled</t>
  </si>
  <si>
    <t>2015-1-30 10:49:56.12: OrderManagerView - UpdateMainSheetOpenOrder - entering UpdateMainSheetOpenOrder order.status is PreSubmitted</t>
  </si>
  <si>
    <t>2015-1-30 10:49:56.13: OrderManagerView - UpdateMainSheetOpenOrder - entering UpdateMainSheetOpenOrder order.status is PreSubmitted</t>
  </si>
  <si>
    <t>2015-1-30 10:49:56.18: OrderManagerView - UpdateMainSheetOpenOrder - entering UpdateMainSheetOpenOrder order.status is PreSubmitted</t>
  </si>
  <si>
    <t>2015-1-30 10:49:56.19: OrderManagerView - UpdateMainSheetOpenOrder - entering UpdateMainSheetOpenOrder order.status is PreSubmitted</t>
  </si>
  <si>
    <t>2015-1-30 10:49:58.22: OrderManagerView - UpdateMainSheetOpenOrder - entering UpdateMainSheetOpenOrder order.status is PreSubmitted</t>
  </si>
  <si>
    <t>2015-1-30 10:49:58.28: OrderManagerView - UpdateMainSheetOpenOrder - entering UpdateMainSheetOpenOrder order.status is PreSubmitted</t>
  </si>
  <si>
    <t>2015-1-30 10:49:59.27: OrderManagerView - UpdateMainSheetOpenOrder - entering UpdateMainSheetOpenOrder order.status is PreSubmitted</t>
  </si>
  <si>
    <t>2015-1-30 10:49:59.29: OrderManagerView - UpdateMainSheetOpenOrder - entering UpdateMainSheetOpenOrder order.status is PreSubmitted</t>
  </si>
  <si>
    <t>2015-1-30 10:49:59.48: OrderManagerView - UpdateMainSheetOpenOrder - entering UpdateMainSheetOpenOrder order.status is PreSubmitted</t>
  </si>
  <si>
    <t>2015-1-30 10:49:59.50: OrderManagerView - UpdateMainSheetOpenOrder - entering UpdateMainSheetOpenOrder order.status is PreSubmitted</t>
  </si>
  <si>
    <t>2015-1-30 10:49:59.927: OrderManager - cancelOrder - cancelling order id 1392</t>
  </si>
  <si>
    <t>2015-1-30 10:49:59.927: OrderManager - PlaceOrder - id 1393 workingQty -2238</t>
  </si>
  <si>
    <t>2015-1-30 10:49:59.927: OrderManagerView - UpdateMainSheetOpenOrder - entering UpdateMainSheetOpenOrder order.status is In-Flight</t>
  </si>
  <si>
    <t>2015-1-30 10:49:59.929: OrderManager - sendOrder - exiting place order id 1393 SELL 32 1.5062  - workingQty -2238 currentPosition is 21 workingOrderCount is 2</t>
  </si>
  <si>
    <t>2015-1-30 10:50:0.10: OrderManagerView - UpdateMainSheetOpenOrder - entering UpdateMainSheetOpenOrder order.status is PreSubmitted</t>
  </si>
  <si>
    <t>2015-1-30 10:50:0.12: OrderManagerView - UpdateMainSheetOpenOrder - entering UpdateMainSheetOpenOrder order.status is PreSubmitted</t>
  </si>
  <si>
    <t>2015-1-30 10:50:0.13: OrderManagerView - UpdateMainSheetOpenOrder - entering UpdateMainSheetOpenOrder order.status is In-Flight</t>
  </si>
  <si>
    <t>2015-1-30 10:50:1.29: OrderManagerView - UpdateMainSheetOpenOrder - entering UpdateMainSheetOpenOrder order.status is PreSubmitted</t>
  </si>
  <si>
    <t>2015-1-30 10:50:1.31: OrderManagerView - UpdateMainSheetOpenOrder - entering UpdateMainSheetOpenOrder order.status is PreSubmitted</t>
  </si>
  <si>
    <t>2015-1-30 10:50:1.32: OrderManagerView - UpdateMainSheetOpenOrder - entering UpdateMainSheetOpenOrder order.status is In-Flight</t>
  </si>
  <si>
    <t>2015-1-30 10:50:2.172: RTWSControl - nextValidId - entering nextValidId id is 1394</t>
  </si>
  <si>
    <t>2015-1-30 10:50:2.178: RTWSControl - orderStatus -  entering orderStatus id is 1392 status is Cancelled</t>
  </si>
  <si>
    <t>2015-1-30 10:50:2.179: OrderManager - UpdateOrderStatus - id 1392 Setting status to Cancelled workingOrderCount is now 2 workingQty -2238</t>
  </si>
  <si>
    <t>2015-1-30 10:50:2.180: OrderManagerView - UpdateMainSheetOpenOrder - entering UpdateMainSheetOpenOrder order.status is Cancelled</t>
  </si>
  <si>
    <t>2015-1-30 10:50:2.181: RTWSControl - OrderStatus - Got OrderStatus Message id:1392 status: Cancelled filled: 0</t>
  </si>
  <si>
    <t>2015-1-30 10:50:2.182: RTWSControl - OrderStatus - exiting orderStatus</t>
  </si>
  <si>
    <t>2015-1-30 10:50:2.216: RTWSControl - errMsg - got error message 202:Order Canceled - reason:with id 1392</t>
  </si>
  <si>
    <t>2015-1-30 10:50:2.216: OrderManager - canceledOrder - cleaning up after canceled order 1392BEWARE UNACCOUNTED FOR EXECUTIONS!!!</t>
  </si>
  <si>
    <t>2015-1-30 10:50:2.217: OrderManager - terminateOrder - cleaning up after Canceled 1392  order was supposed to SELL 33 1.506 STP LMT workingQty/OrderCount now -2271/1</t>
  </si>
  <si>
    <t>2015-1-30 10:50:2.218: OrderManagerView - UpdateMainSheetOpenOrder - entering UpdateMainSheetOpenOrder order.status is Canceled</t>
  </si>
  <si>
    <t>2015-1-30 10:50:2.229: RTWSControl - errMsg - got error message 399:Order Message:
SELL 32 GBP MAR'15
Warning: your order will not be placed at the exchange until 2015-01-30 08:30:00 US/Centralwith id 1393</t>
  </si>
  <si>
    <t>2015-1-30 10:50:2.229: RTWSControl - errMsg - Got Error_x000D_id: 1393_x000D_errorCode: 399_x000D_errorMsg: Order Message:
SELL 32 GBP MAR'15
Warning: your order will not be placed at the exchange until 2015-01-30 08:30:00 US/Central</t>
  </si>
  <si>
    <t>2015-1-30 10:50:2.259: openOrderEx - I am here</t>
  </si>
  <si>
    <t>2015-1-30 10:50:2.260: OrderManagerView - UpdateMainSheetOpenOrder - entering UpdateMainSheetOpenOrder order.status is In-Flight</t>
  </si>
  <si>
    <t>2015-1-30 10:50:2.271: RTWSControl - orderStatus -  entering orderStatus id is 1393 status is PreSubmitted</t>
  </si>
  <si>
    <t>2015-1-30 10:50:2.271: OrderManager - UpdateOrderStatus - id 1393 Setting status to PreSubmitted workingOrderCount is now 1 workingQty -2271</t>
  </si>
  <si>
    <t>2015-1-30 10:50:2.272: OrderManagerView - UpdateMainSheetOpenOrder - entering UpdateMainSheetOpenOrder order.status is PreSubmitted</t>
  </si>
  <si>
    <t>2015-1-30 10:50:2.274: RTWSControl - OrderStatus - Got OrderStatus Message id:1393 status: PreSubmitted filled: 0</t>
  </si>
  <si>
    <t>2015-1-30 10:50:2.274: RTWSControl - OrderStatus - exiting orderStatus</t>
  </si>
  <si>
    <t>2015-1-30 10:50:2.451: openOrderEx - I am here</t>
  </si>
  <si>
    <t>2015-1-30 10:50:2.452: OrderManagerView - UpdateMainSheetOpenOrder - entering UpdateMainSheetOpenOrder order.status is PreSubmitted</t>
  </si>
  <si>
    <t>2015-1-30 10:50:2.476: RTWSControl - orderStatus -  entering orderStatus id is 1393 status is PreSubmitted</t>
  </si>
  <si>
    <t>2015-1-30 10:50:2.477: OrderManager - UpdateOrderStatus - id 1393 Setting status to PreSubmitted workingOrderCount is now 1 workingQty -2271</t>
  </si>
  <si>
    <t>2015-1-30 10:50:2.477: OrderManagerView - UpdateMainSheetOpenOrder - entering UpdateMainSheetOpenOrder order.status is PreSubmitted</t>
  </si>
  <si>
    <t>2015-1-30 10:50:2.479: RTWSControl - OrderStatus - Got OrderStatus Message id:1393 status: PreSubmitted filled: 0</t>
  </si>
  <si>
    <t>2015-1-30 10:50:2.479: RTWSControl - OrderStatus - exiting orderStatus</t>
  </si>
  <si>
    <t>2015-1-30 10:50:2.519: OrderManager - cancelOrder - cancelling order id 1391</t>
  </si>
  <si>
    <t>2015-1-30 10:50:2.519: OrderManager - PlaceOrder - id 1394 workingQty -2242</t>
  </si>
  <si>
    <t>2015-1-30 10:50:2.520: OrderManagerView - UpdateMainSheetOpenOrder - entering UpdateMainSheetOpenOrder order.status is In-Flight</t>
  </si>
  <si>
    <t>2015-1-30 10:50:2.521: OrderManager - sendOrder - exiting place order id 1394 BUY 29 1.5129  - workingQty -2242 currentPosition is 21 workingOrderCount is 2</t>
  </si>
  <si>
    <t>2015-1-30 10:50:2.522: OrderManager - cancelOrder - cancelling order id 1393</t>
  </si>
  <si>
    <t>2015-1-30 10:50:2.522: OrderManager - createOrder - exiting without creating order - did not have validID</t>
  </si>
  <si>
    <t>2015-1-30 10:50:3.146: OrderManager - cancelOrder - cancelling order id 1394</t>
  </si>
  <si>
    <t>2015-1-30 10:50:3.147: OrderManager - createOrder - exiting without creating order - did not have validID</t>
  </si>
  <si>
    <t>2015-1-30 10:50:4.716: OrderManager - createOrder - exiting without creating order - did not have validID</t>
  </si>
  <si>
    <t>2015-1-30 10:50:4.717: OrderManager - createOrder - exiting without creating order - did not have validID</t>
  </si>
  <si>
    <t>2015-1-30 10:50:5.93: RTWSControl - nextValidId - entering nextValidId id is 1395</t>
  </si>
  <si>
    <t>2015-1-30 10:50:5.99: RTWSControl - orderStatus -  entering orderStatus id is 1391 status is Cancelled</t>
  </si>
  <si>
    <t>2015-1-30 10:50:5.100: OrderManager - UpdateOrderStatus - id 1391 Setting status to Cancelled workingOrderCount is now 2 workingQty -2242</t>
  </si>
  <si>
    <t>2015-1-30 10:50:5.100: OrderManagerView - UpdateMainSheetOpenOrder - entering UpdateMainSheetOpenOrder order.status is Cancelled</t>
  </si>
  <si>
    <t>2015-1-30 10:50:5.102: RTWSControl - OrderStatus - Got OrderStatus Message id:1391 status: Cancelled filled: 0</t>
  </si>
  <si>
    <t>2015-1-30 10:50:5.103: RTWSControl - OrderStatus - exiting orderStatus</t>
  </si>
  <si>
    <t>2015-1-30 10:50:5.138: RTWSControl - errMsg - got error message 202:Order Canceled - reason:with id 1391</t>
  </si>
  <si>
    <t>2015-1-30 10:50:5.139: OrderManager - canceledOrder - cleaning up after canceled order 1391BEWARE UNACCOUNTED FOR EXECUTIONS!!!</t>
  </si>
  <si>
    <t>2015-1-30 10:50:5.139: OrderManager - terminateOrder - cleaning up after Canceled 1391  order was supposed to BUY 33 1.5135 STP LMT workingQty/OrderCount now -2275/1</t>
  </si>
  <si>
    <t>2015-1-30 10:50:5.141: OrderManagerView - UpdateMainSheetOpenOrder - entering UpdateMainSheetOpenOrder order.status is Canceled</t>
  </si>
  <si>
    <t>2015-1-30 10:50:5.174: RTWSControl - errMsg - got error message 399:Order Message:
BUY 29 GBP MAR'15
Warning: your order will not be placed at the exchange until 2015-01-30 08:30:00 US/Centralwith id 1394</t>
  </si>
  <si>
    <t>2015-1-30 10:50:5.174: RTWSControl - errMsg - Got Error_x000D_id: 1394_x000D_errorCode: 399_x000D_errorMsg: Order Message:
BUY 29 GBP MAR'15
Warning: your order will not be placed at the exchange until 2015-01-30 08:30:00 US/Central</t>
  </si>
  <si>
    <t>2015-1-30 10:50:5.183: openOrderEx - I am here</t>
  </si>
  <si>
    <t>2015-1-30 10:50:5.184: OrderManagerView - UpdateMainSheetOpenOrder - entering UpdateMainSheetOpenOrder order.status is In-Flight</t>
  </si>
  <si>
    <t>2015-1-30 10:50:5.216: RTWSControl - orderStatus -  entering orderStatus id is 1394 status is PreSubmitted</t>
  </si>
  <si>
    <t>2015-1-30 10:50:5.217: OrderManager - UpdateOrderStatus - id 1394 Setting status to PreSubmitted workingOrderCount is now 1 workingQty -2275</t>
  </si>
  <si>
    <t>2015-1-30 10:50:5.217: OrderManagerView - UpdateMainSheetOpenOrder - entering UpdateMainSheetOpenOrder order.status is PreSubmitted</t>
  </si>
  <si>
    <t>2015-1-30 10:50:5.219: RTWSControl - OrderStatus - Got OrderStatus Message id:1394 status: PreSubmitted filled: 0</t>
  </si>
  <si>
    <t>2015-1-30 10:50:5.219: RTWSControl - OrderStatus - exiting orderStatus</t>
  </si>
  <si>
    <t>2015-1-30 10:50:5.229: RTWSControl - orderStatus -  entering orderStatus id is 1393 status is Cancelled</t>
  </si>
  <si>
    <t>2015-1-30 10:50:5.229: OrderManager - UpdateOrderStatus - id 1393 Setting status to Cancelled workingOrderCount is now 1 workingQty -2275</t>
  </si>
  <si>
    <t>2015-1-30 10:50:5.230: OrderManagerView - UpdateMainSheetOpenOrder - entering UpdateMainSheetOpenOrder order.status is Cancelled</t>
  </si>
  <si>
    <t>2015-1-30 10:50:5.232: RTWSControl - OrderStatus - Got OrderStatus Message id:1393 status: Cancelled filled: 0</t>
  </si>
  <si>
    <t>2015-1-30 10:50:5.232: RTWSControl - OrderStatus - exiting orderStatus</t>
  </si>
  <si>
    <t>2015-1-30 10:50:5.262: RTWSControl - errMsg - got error message 202:Order Canceled - reason:with id 1393</t>
  </si>
  <si>
    <t>2015-1-30 10:50:5.263: OrderManager - canceledOrder - cleaning up after canceled order 1393BEWARE UNACCOUNTED FOR EXECUTIONS!!!</t>
  </si>
  <si>
    <t>2015-1-30 10:50:5.263: OrderManager - terminateOrder - cleaning up after Canceled 1393  order was supposed to SELL 32 1.5062 STP LMT workingQty/OrderCount now -2307/0</t>
  </si>
  <si>
    <t>2015-1-30 10:50:5.265: OrderManagerView - UpdateMainSheetOpenOrder - entering UpdateMainSheetOpenOrder order.status is Canceled</t>
  </si>
  <si>
    <t>2015-1-30 10:50:5.305: openOrderEx - I am here</t>
  </si>
  <si>
    <t>2015-1-30 10:50:5.306: OrderManagerView - UpdateMainSheetOpenOrder - entering UpdateMainSheetOpenOrder order.status is PreSubmitted</t>
  </si>
  <si>
    <t>2015-1-30 10:50:5.318: RTWSControl - orderStatus -  entering orderStatus id is 1394 status is PreSubmitted</t>
  </si>
  <si>
    <t>2015-1-30 10:50:5.318: OrderManager - UpdateOrderStatus - id 1394 Setting status to PreSubmitted workingOrderCount is now 0 workingQty -2307</t>
  </si>
  <si>
    <t>2015-1-30 10:50:5.319: OrderManagerView - UpdateMainSheetOpenOrder - entering UpdateMainSheetOpenOrder order.status is PreSubmitted</t>
  </si>
  <si>
    <t>2015-1-30 10:50:5.321: RTWSControl - OrderStatus - Got OrderStatus Message id:1394 status: PreSubmitted filled: 0</t>
  </si>
  <si>
    <t>2015-1-30 10:50:5.321: RTWSControl - OrderStatus - exiting orderStatus</t>
  </si>
  <si>
    <t>2015-1-30 10:50:5.758: RTWSControl - orderStatus -  entering orderStatus id is 1394 status is Cancelled</t>
  </si>
  <si>
    <t>2015-1-30 10:50:5.759: OrderManager - UpdateOrderStatus - id 1394 Setting status to Cancelled workingOrderCount is now 0 workingQty -2307</t>
  </si>
  <si>
    <t>2015-1-30 10:50:5.759: OrderManagerView - UpdateMainSheetOpenOrder - entering UpdateMainSheetOpenOrder order.status is Cancelled</t>
  </si>
  <si>
    <t>2015-1-30 10:50:5.761: RTWSControl - OrderStatus - Got OrderStatus Message id:1394 status: Cancelled filled: 0</t>
  </si>
  <si>
    <t>2015-1-30 10:50:5.761: RTWSControl - OrderStatus - exiting orderStatus</t>
  </si>
  <si>
    <t>2015-1-30 10:50:5.799: RTWSControl - errMsg - got error message 202:Order Canceled - reason:with id 1394</t>
  </si>
  <si>
    <t>2015-1-30 10:50:5.800: OrderManager - canceledOrder - cleaning up after canceled order 1394BEWARE UNACCOUNTED FOR EXECUTIONS!!!</t>
  </si>
  <si>
    <t>2015-1-30 10:50:5.800: OrderManager - terminateOrder - cleaning up after Canceled 1394  order was supposed to BUY 29 1.5129 STP LMT workingQty/OrderCount now -2336/-1</t>
  </si>
  <si>
    <t>2015-1-30 10:50:5.802: OrderManagerView - UpdateMainSheetOpenOrder - entering UpdateMainSheetOpenOrder order.status is Canceled</t>
  </si>
  <si>
    <t>2015-1-30 10:50:7.25: OrderManagerView - UpdateMainSheetOpenOrder - entering UpdateMainSheetOpenOrder order.status is Canceled</t>
  </si>
  <si>
    <t>2015-1-30 10:50:7.28: OrderManagerView - UpdateMainSheetOpenOrder - entering UpdateMainSheetOpenOrder order.status is Canceled</t>
  </si>
  <si>
    <t>2015-1-30 10:50:7.29: OrderManagerView - UpdateMainSheetOpenOrder - entering UpdateMainSheetOpenOrder order.status is Canceled</t>
  </si>
  <si>
    <t>2015-1-30 10:50:7.30: OrderManagerView - UpdateMainSheetOpenOrder - entering UpdateMainSheetOpenOrder order.status is Canceled</t>
  </si>
  <si>
    <t>2015-1-30 10:50:9.138: OrderManager - PlaceOrder - id 1395 workingQty -2304</t>
  </si>
  <si>
    <t>2015-1-30 10:50:9.138: OrderManagerView - UpdateMainSheetOpenOrder - entering UpdateMainSheetOpenOrder order.status is In-Flight</t>
  </si>
  <si>
    <t>2015-1-30 10:50:9.140: OrderManager - sendOrder - exiting place order id 1395 BUY 32 1.5133  - workingQty -2304 currentPosition is 21 workingOrderCount is 0</t>
  </si>
  <si>
    <t>2015-1-30 10:50:9.140: OrderManager - createOrder - exiting without creating order - did not have validID</t>
  </si>
  <si>
    <t>2015-1-30 10:50:9.400: OrderManager - createOrder - exiting without creating order - did not have validID</t>
  </si>
  <si>
    <t>2015-1-30 10:50:9.558: RTWSControl - nextValidId - entering nextValidId id is 1396</t>
  </si>
  <si>
    <t>2015-1-30 10:50:9.590: RTWSControl - errMsg - got error message 399:Order Message:
BUY 32 GBP MAR'15
Warning: your order will not be placed at the exchange until 2015-01-30 08:30:00 US/Centralwith id 1395</t>
  </si>
  <si>
    <t>2015-1-30 10:50:9.591: RTWSControl - errMsg - Got Error_x000D_id: 1395_x000D_errorCode: 399_x000D_errorMsg: Order Message:
BUY 32 GBP MAR'15
Warning: your order will not be placed at the exchange until 2015-01-30 08:30:00 US/Central</t>
  </si>
  <si>
    <t>2015-1-30 10:50:9.600: openOrderEx - I am here</t>
  </si>
  <si>
    <t>2015-1-30 10:50:9.600: OrderManagerView - UpdateMainSheetOpenOrder - entering UpdateMainSheetOpenOrder order.status is In-Flight</t>
  </si>
  <si>
    <t>2015-1-30 10:50:9.633: RTWSControl - orderStatus -  entering orderStatus id is 1395 status is PreSubmitted</t>
  </si>
  <si>
    <t>2015-1-30 10:50:9.633: OrderManager - UpdateOrderStatus - id 1395 Setting status to PreSubmitted workingOrderCount is now 0 workingQty -2304</t>
  </si>
  <si>
    <t>2015-1-30 10:50:9.634: OrderManagerView - UpdateMainSheetOpenOrder - entering UpdateMainSheetOpenOrder order.status is PreSubmitted</t>
  </si>
  <si>
    <t>2015-1-30 10:50:9.635: RTWSControl - OrderStatus - Got OrderStatus Message id:1395 status: PreSubmitted filled: 0</t>
  </si>
  <si>
    <t>2015-1-30 10:50:9.636: RTWSControl - OrderStatus - exiting orderStatus</t>
  </si>
  <si>
    <t>2015-1-30 10:50:9.648: openOrderEx - I am here</t>
  </si>
  <si>
    <t>2015-1-30 10:50:9.648: OrderManagerView - UpdateMainSheetOpenOrder - entering UpdateMainSheetOpenOrder order.status is PreSubmitted</t>
  </si>
  <si>
    <t>2015-1-30 10:50:9.679: RTWSControl - orderStatus -  entering orderStatus id is 1395 status is PreSubmitted</t>
  </si>
  <si>
    <t>2015-1-30 10:50:9.679: OrderManager - UpdateOrderStatus - id 1395 Setting status to PreSubmitted workingOrderCount is now 0 workingQty -2304</t>
  </si>
  <si>
    <t>2015-1-30 10:50:9.680: OrderManagerView - UpdateMainSheetOpenOrder - entering UpdateMainSheetOpenOrder order.status is PreSubmitted</t>
  </si>
  <si>
    <t>2015-1-30 10:50:9.682: RTWSControl - OrderStatus - Got OrderStatus Message id:1395 status: PreSubmitted filled: 0</t>
  </si>
  <si>
    <t>2015-1-30 10:50:9.682: RTWSControl - OrderStatus - exiting orderStatus</t>
  </si>
  <si>
    <t>2015-1-30 10:50:10.26: OrderManagerView - UpdateMainSheetOpenOrder - entering UpdateMainSheetOpenOrder order.status is Canceled</t>
  </si>
  <si>
    <t>2015-1-30 10:50:10.28: OrderManagerView - UpdateMainSheetOpenOrder - entering UpdateMainSheetOpenOrder order.status is PreSubmitted</t>
  </si>
  <si>
    <t>2015-1-30 10:50:10.30: OrderManagerView - UpdateMainSheetOpenOrder - entering UpdateMainSheetOpenOrder order.status is PreSubmitted</t>
  </si>
  <si>
    <t>2015-1-30 10:50:10.50: OrderManagerView - UpdateMainSheetOpenOrder - entering UpdateMainSheetOpenOrder order.status is PreSubmitted</t>
  </si>
  <si>
    <t>2015-1-30 10:50:10.56: OrderManagerView - UpdateMainSheetOpenOrder - entering UpdateMainSheetOpenOrder order.status is PreSubmitted</t>
  </si>
  <si>
    <t>2015-1-30 10:50:12.13: OrderManagerView - UpdateMainSheetOpenOrder - entering UpdateMainSheetOpenOrder order.status is PreSubmitted</t>
  </si>
  <si>
    <t>2015-1-30 10:50:12.19: OrderManagerView - UpdateMainSheetOpenOrder - entering UpdateMainSheetOpenOrder order.status is PreSubmitted</t>
  </si>
  <si>
    <t>2015-1-30 10:50:12.25: OrderManagerView - UpdateMainSheetOpenOrder - entering UpdateMainSheetOpenOrder order.status is PreSubmitted</t>
  </si>
  <si>
    <t>2015-1-30 10:50:12.31: OrderManagerView - UpdateMainSheetOpenOrder - entering UpdateMainSheetOpenOrder order.status is PreSubmitted</t>
  </si>
  <si>
    <t>2015-1-30 10:50:13.30: OrderManager - cancelOrder - cancelling order id 1395</t>
  </si>
  <si>
    <t>2015-1-30 10:50:13.31: OrderManager - PlaceOrder - id 1396 workingQty -2276</t>
  </si>
  <si>
    <t>2015-1-30 10:50:13.32: OrderManagerView - UpdateMainSheetOpenOrder - entering UpdateMainSheetOpenOrder order.status is In-Flight</t>
  </si>
  <si>
    <t>2015-1-30 10:50:13.38: OrderManager - sendOrder - exiting place order id 1396 BUY 28 1.5128  - workingQty -2276 currentPosition is 21 workingOrderCount is 1</t>
  </si>
  <si>
    <t>2015-1-30 10:50:13.39: OrderManager - createOrder - exiting without creating order - did not have validID</t>
  </si>
  <si>
    <t>2015-1-30 10:50:13.176: RTWSControl - nextValidId - entering nextValidId id is 1397</t>
  </si>
  <si>
    <t>2015-1-30 10:50:13.336: RTWSControl - orderStatus -  entering orderStatus id is 1395 status is Cancelled</t>
  </si>
  <si>
    <t>2015-1-30 10:50:13.337: OrderManager - UpdateOrderStatus - id 1395 Setting status to Cancelled workingOrderCount is now 1 workingQty -2276</t>
  </si>
  <si>
    <t>2015-1-30 10:50:13.338: OrderManagerView - UpdateMainSheetOpenOrder - entering UpdateMainSheetOpenOrder order.status is Cancelled</t>
  </si>
  <si>
    <t>2015-1-30 10:50:13.342: RTWSControl - OrderStatus - Got OrderStatus Message id:1395 status: Cancelled filled: 0</t>
  </si>
  <si>
    <t>2015-1-30 10:50:13.342: RTWSControl - OrderStatus - exiting orderStatus</t>
  </si>
  <si>
    <t>2015-1-30 10:50:13.375: RTWSControl - errMsg - got error message 202:Order Canceled - reason:with id 1395</t>
  </si>
  <si>
    <t>2015-1-30 10:50:13.376: OrderManager - canceledOrder - cleaning up after canceled order 1395BEWARE UNACCOUNTED FOR EXECUTIONS!!!</t>
  </si>
  <si>
    <t>2015-1-30 10:50:13.377: OrderManager - terminateOrder - cleaning up after Canceled 1395  order was supposed to BUY 32 1.5133 STP LMT workingQty/OrderCount now -2308/0</t>
  </si>
  <si>
    <t>2015-1-30 10:50:13.380: OrderManagerView - UpdateMainSheetOpenOrder - entering UpdateMainSheetOpenOrder order.status is Canceled</t>
  </si>
  <si>
    <t>2015-1-30 10:50:13.398: RTWSControl - errMsg - got error message 399:Order Message:
BUY 28 GBP MAR'15
Warning: your order will not be placed at the exchange until 2015-01-30 08:30:00 US/Centralwith id 1396</t>
  </si>
  <si>
    <t>2015-1-30 10:50:13.399: RTWSControl - errMsg - Got Error_x000D_id: 1396_x000D_errorCode: 399_x000D_errorMsg: Order Message:
BUY 28 GBP MAR'15
Warning: your order will not be placed at the exchange until 2015-01-30 08:30:00 US/Central</t>
  </si>
  <si>
    <t>2015-1-30 10:50:13.426: openOrderEx - I am here</t>
  </si>
  <si>
    <t>2015-1-30 10:50:13.427: OrderManagerView - UpdateMainSheetOpenOrder - entering UpdateMainSheetOpenOrder order.status is In-Flight</t>
  </si>
  <si>
    <t>2015-1-30 10:50:13.438: RTWSControl - orderStatus -  entering orderStatus id is 1396 status is PreSubmitted</t>
  </si>
  <si>
    <t>2015-1-30 10:50:13.439: OrderManager - UpdateOrderStatus - id 1396 Setting status to PreSubmitted workingOrderCount is now 0 workingQty -2308</t>
  </si>
  <si>
    <t>2015-1-30 10:50:13.439: OrderManagerView - UpdateMainSheetOpenOrder - entering UpdateMainSheetOpenOrder order.status is PreSubmitted</t>
  </si>
  <si>
    <t>2015-1-30 10:50:13.441: RTWSControl - OrderStatus - Got OrderStatus Message id:1396 status: PreSubmitted filled: 0</t>
  </si>
  <si>
    <t>2015-1-30 10:50:13.441: RTWSControl - OrderStatus - exiting orderStatus</t>
  </si>
  <si>
    <t>2015-1-30 10:50:13.545: openOrderEx - I am here</t>
  </si>
  <si>
    <t>2015-1-30 10:50:13.546: OrderManagerView - UpdateMainSheetOpenOrder - entering UpdateMainSheetOpenOrder order.status is PreSubmitted</t>
  </si>
  <si>
    <t>2015-1-30 10:50:13.576: RTWSControl - orderStatus -  entering orderStatus id is 1396 status is PreSubmitted</t>
  </si>
  <si>
    <t>2015-1-30 10:50:13.577: OrderManager - UpdateOrderStatus - id 1396 Setting status to PreSubmitted workingOrderCount is now 0 workingQty -2308</t>
  </si>
  <si>
    <t>2015-1-30 10:50:13.578: OrderManagerView - UpdateMainSheetOpenOrder - entering UpdateMainSheetOpenOrder order.status is PreSubmitted</t>
  </si>
  <si>
    <t>2015-1-30 10:50:13.579: RTWSControl - OrderStatus - Got OrderStatus Message id:1396 status: PreSubmitted filled: 0</t>
  </si>
  <si>
    <t>2015-1-30 10:50:13.580: RTWSControl - OrderStatus - exiting orderStatus</t>
  </si>
  <si>
    <t>2015-1-30 10:50:15.126: OrderManagerView - UpdateMainSheetOpenOrder - entering UpdateMainSheetOpenOrder order.status is PreSubmitted</t>
  </si>
  <si>
    <t>2015-1-30 10:50:17.906: OrderManager - PlaceOrder - id 1397 workingQty -2336</t>
  </si>
  <si>
    <t>2015-1-30 10:50:17.906: OrderManagerView - UpdateMainSheetOpenOrder - entering UpdateMainSheetOpenOrder order.status is In-Flight</t>
  </si>
  <si>
    <t>2015-1-30 10:50:17.908: OrderManager - sendOrder - exiting place order id 1397 SELL 28 1.5061  - workingQty -2336 currentPosition is 21 workingOrderCount is 1</t>
  </si>
  <si>
    <t>2015-1-30 10:50:18.9: OrderManagerView - UpdateMainSheetOpenOrder - entering UpdateMainSheetOpenOrder order.status is PreSubmitted</t>
  </si>
  <si>
    <t>2015-1-30 10:50:18.10: OrderManagerView - UpdateMainSheetOpenOrder - entering UpdateMainSheetOpenOrder order.status is In-Flight</t>
  </si>
  <si>
    <t>2015-1-30 10:50:18.108: RTWSControl - nextValidId - entering nextValidId id is 1398</t>
  </si>
  <si>
    <t>2015-1-30 10:50:18.253: RTWSControl - errMsg - got error message 399:Order Message:
SELL 28 GBP MAR'15
Warning: your order will not be placed at the exchange until 2015-01-30 08:30:00 US/Centralwith id 1397</t>
  </si>
  <si>
    <t>2015-1-30 10:50:18.254: RTWSControl - errMsg - Got Error_x000D_id: 1397_x000D_errorCode: 399_x000D_errorMsg: Order Message:
SELL 28 GBP MAR'15
Warning: your order will not be placed at the exchange until 2015-01-30 08:30:00 US/Central</t>
  </si>
  <si>
    <t>2015-1-30 10:50:18.262: openOrderEx - I am here</t>
  </si>
  <si>
    <t>2015-1-30 10:50:18.263: OrderManagerView - UpdateMainSheetOpenOrder - entering UpdateMainSheetOpenOrder order.status is In-Flight</t>
  </si>
  <si>
    <t>2015-1-30 10:50:18.304: RTWSControl - orderStatus -  entering orderStatus id is 1397 status is PreSubmitted</t>
  </si>
  <si>
    <t>2015-1-30 10:50:18.305: OrderManager - UpdateOrderStatus - id 1397 Setting status to PreSubmitted workingOrderCount is now 1 workingQty -2336</t>
  </si>
  <si>
    <t>2015-1-30 10:50:18.305: OrderManagerView - UpdateMainSheetOpenOrder - entering UpdateMainSheetOpenOrder order.status is PreSubmitted</t>
  </si>
  <si>
    <t>2015-1-30 10:50:18.307: RTWSControl - OrderStatus - Got OrderStatus Message id:1397 status: PreSubmitted filled: 0</t>
  </si>
  <si>
    <t>2015-1-30 10:50:18.307: RTWSControl - OrderStatus - exiting orderStatus</t>
  </si>
  <si>
    <t>2015-1-30 10:50:18.344: openOrderEx - I am here</t>
  </si>
  <si>
    <t>2015-1-30 10:50:18.344: OrderManagerView - UpdateMainSheetOpenOrder - entering UpdateMainSheetOpenOrder order.status is PreSubmitted</t>
  </si>
  <si>
    <t>2015-1-30 10:50:18.355: RTWSControl - orderStatus -  entering orderStatus id is 1397 status is PreSubmitted</t>
  </si>
  <si>
    <t>2015-1-30 10:50:18.356: OrderManager - UpdateOrderStatus - id 1397 Setting status to PreSubmitted workingOrderCount is now 1 workingQty -2336</t>
  </si>
  <si>
    <t>2015-1-30 10:50:18.357: OrderManagerView - UpdateMainSheetOpenOrder - entering UpdateMainSheetOpenOrder order.status is PreSubmitted</t>
  </si>
  <si>
    <t>2015-1-30 10:50:18.358: RTWSControl - OrderStatus - Got OrderStatus Message id:1397 status: PreSubmitted filled: 0</t>
  </si>
  <si>
    <t>2015-1-30 10:50:18.359: RTWSControl - OrderStatus - exiting orderStatus</t>
  </si>
  <si>
    <t>2015-1-30 10:50:19.490: OrderManager - cancelOrder - cancelling order id 1397</t>
  </si>
  <si>
    <t>2015-1-30 10:50:19.490: OrderManager - PlaceOrder - id 1398 workingQty -2363</t>
  </si>
  <si>
    <t>2015-1-30 10:50:19.490: OrderManagerView - UpdateMainSheetOpenOrder - entering UpdateMainSheetOpenOrder order.status is In-Flight</t>
  </si>
  <si>
    <t>2015-1-30 10:50:19.491: OrderManager - sendOrder - exiting place order id 1398 SELL 27 1.5063  - workingQty -2363 currentPosition is 21 workingOrderCount is 2</t>
  </si>
  <si>
    <t>2015-1-30 10:50:19.678: RTWSControl - nextValidId - entering nextValidId id is 1399</t>
  </si>
  <si>
    <t>2015-1-30 10:50:19.804: RTWSControl - orderStatus -  entering orderStatus id is 1397 status is Cancelled</t>
  </si>
  <si>
    <t>2015-1-30 10:50:19.805: OrderManager - UpdateOrderStatus - id 1397 Setting status to Cancelled workingOrderCount is now 2 workingQty -2363</t>
  </si>
  <si>
    <t>2015-1-30 10:50:19.805: OrderManagerView - UpdateMainSheetOpenOrder - entering UpdateMainSheetOpenOrder order.status is Cancelled</t>
  </si>
  <si>
    <t>2015-1-30 10:50:19.807: RTWSControl - OrderStatus - Got OrderStatus Message id:1397 status: Cancelled filled: 0</t>
  </si>
  <si>
    <t>2015-1-30 10:50:19.807: RTWSControl - OrderStatus - exiting orderStatus</t>
  </si>
  <si>
    <t>2015-1-30 10:50:19.825: RTWSControl - errMsg - got error message 202:Order Canceled - reason:with id 1397</t>
  </si>
  <si>
    <t>2015-1-30 10:50:19.826: OrderManager - canceledOrder - cleaning up after canceled order 1397BEWARE UNACCOUNTED FOR EXECUTIONS!!!</t>
  </si>
  <si>
    <t>2015-1-30 10:50:19.826: OrderManager - terminateOrder - cleaning up after Canceled 1397  order was supposed to SELL 28 1.5061 STP LMT workingQty/OrderCount now -2391/1</t>
  </si>
  <si>
    <t>2015-1-30 10:50:19.827: OrderManagerView - UpdateMainSheetOpenOrder - entering UpdateMainSheetOpenOrder order.status is Canceled</t>
  </si>
  <si>
    <t>2015-1-30 10:50:19.880: RTWSControl - errMsg - got error message 399:Order Message:
SELL 27 GBP MAR'15
Warning: your order will not be placed at the exchange until 2015-01-30 08:30:00 US/Centralwith id 1398</t>
  </si>
  <si>
    <t>2015-1-30 10:50:19.881: RTWSControl - errMsg - Got Error_x000D_id: 1398_x000D_errorCode: 399_x000D_errorMsg: Order Message:
SELL 27 GBP MAR'15
Warning: your order will not be placed at the exchange until 2015-01-30 08:30:00 US/Central</t>
  </si>
  <si>
    <t>2015-1-30 10:50:19.889: openOrderEx - I am here</t>
  </si>
  <si>
    <t>2015-1-30 10:50:19.890: OrderManagerView - UpdateMainSheetOpenOrder - entering UpdateMainSheetOpenOrder order.status is In-Flight</t>
  </si>
  <si>
    <t>2015-1-30 10:50:19.924: RTWSControl - orderStatus -  entering orderStatus id is 1398 status is PreSubmitted</t>
  </si>
  <si>
    <t>2015-1-30 10:50:19.925: OrderManager - UpdateOrderStatus - id 1398 Setting status to PreSubmitted workingOrderCount is now 1 workingQty -2391</t>
  </si>
  <si>
    <t>2015-1-30 10:50:19.925: OrderManagerView - UpdateMainSheetOpenOrder - entering UpdateMainSheetOpenOrder order.status is PreSubmitted</t>
  </si>
  <si>
    <t>2015-1-30 10:50:19.927: RTWSControl - OrderStatus - Got OrderStatus Message id:1398 status: PreSubmitted filled: 0</t>
  </si>
  <si>
    <t>2015-1-30 10:50:19.927: RTWSControl - OrderStatus - exiting orderStatus</t>
  </si>
  <si>
    <t>2015-1-30 10:50:19.940: openOrderEx - I am here</t>
  </si>
  <si>
    <t>2015-1-30 10:50:19.941: OrderManagerView - UpdateMainSheetOpenOrder - entering UpdateMainSheetOpenOrder order.status is PreSubmitted</t>
  </si>
  <si>
    <t>2015-1-30 10:50:19.971: RTWSControl - orderStatus -  entering orderStatus id is 1398 status is PreSubmitted</t>
  </si>
  <si>
    <t>2015-1-30 10:50:19.972: OrderManager - UpdateOrderStatus - id 1398 Setting status to PreSubmitted workingOrderCount is now 1 workingQty -2391</t>
  </si>
  <si>
    <t>2015-1-30 10:50:19.972: OrderManagerView - UpdateMainSheetOpenOrder - entering UpdateMainSheetOpenOrder order.status is PreSubmitted</t>
  </si>
  <si>
    <t>2015-1-30 10:50:19.974: RTWSControl - OrderStatus - Got OrderStatus Message id:1398 status: PreSubmitted filled: 0</t>
  </si>
  <si>
    <t>2015-1-30 10:50:19.975: RTWSControl - OrderStatus - exiting orderStatus</t>
  </si>
  <si>
    <t>2015-1-30 10:50:21.758: OrderManager - cancelOrder - cancelling order id 1396</t>
  </si>
  <si>
    <t>2015-1-30 10:50:21.758: OrderManager - PlaceOrder - id 1399 workingQty -2363</t>
  </si>
  <si>
    <t>2015-1-30 10:50:21.759: OrderManagerView - UpdateMainSheetOpenOrder - entering UpdateMainSheetOpenOrder order.status is In-Flight</t>
  </si>
  <si>
    <t>2015-1-30 10:50:21.760: OrderManager - sendOrder - exiting place order id 1399 BUY 28 1.5125  - workingQty -2363 currentPosition is 21 workingOrderCount is 2</t>
  </si>
  <si>
    <t>2015-1-30 10:50:22.57: RTWSControl - nextValidId - entering nextValidId id is 1400</t>
  </si>
  <si>
    <t>2015-1-30 10:50:22.68: RTWSControl - orderStatus -  entering orderStatus id is 1396 status is Cancelled</t>
  </si>
  <si>
    <t>2015-1-30 10:50:22.69: OrderManager - UpdateOrderStatus - id 1396 Setting status to Cancelled workingOrderCount is now 2 workingQty -2363</t>
  </si>
  <si>
    <t>2015-1-30 10:50:22.70: OrderManagerView - UpdateMainSheetOpenOrder - entering UpdateMainSheetOpenOrder order.status is Cancelled</t>
  </si>
  <si>
    <t>2015-1-30 10:50:22.74: RTWSControl - OrderStatus - Got OrderStatus Message id:1396 status: Cancelled filled: 0</t>
  </si>
  <si>
    <t>2015-1-30 10:50:22.74: RTWSControl - OrderStatus - exiting orderStatus</t>
  </si>
  <si>
    <t>2015-1-30 10:50:22.121: RTWSControl - errMsg - got error message 202:Order Canceled - reason:with id 1396</t>
  </si>
  <si>
    <t>2015-1-30 10:50:22.122: OrderManager - canceledOrder - cleaning up after canceled order 1396BEWARE UNACCOUNTED FOR EXECUTIONS!!!</t>
  </si>
  <si>
    <t>2015-1-30 10:50:22.122: OrderManager - terminateOrder - cleaning up after Canceled 1396  order was supposed to BUY 28 1.5128 STP LMT workingQty/OrderCount now -2391/1</t>
  </si>
  <si>
    <t>2015-1-30 10:50:22.123: OrderManagerView - UpdateMainSheetOpenOrder - entering UpdateMainSheetOpenOrder order.status is Canceled</t>
  </si>
  <si>
    <t>2015-1-30 10:50:22.506: RTWSControl - errMsg - got error message 399:Order Message:
BUY 28 GBP MAR'15
Warning: your order will not be placed at the exchange until 2015-01-30 08:30:00 US/Centralwith id 1399</t>
  </si>
  <si>
    <t>2015-1-30 10:50:22.507: RTWSControl - errMsg - Got Error_x000D_id: 1399_x000D_errorCode: 399_x000D_errorMsg: Order Message:
BUY 28 GBP MAR'15
Warning: your order will not be placed at the exchange until 2015-01-30 08:30:00 US/Central</t>
  </si>
  <si>
    <t>2015-1-30 10:50:22.517: openOrderEx - I am here</t>
  </si>
  <si>
    <t>2015-1-30 10:50:22.518: OrderManagerView - UpdateMainSheetOpenOrder - entering UpdateMainSheetOpenOrder order.status is In-Flight</t>
  </si>
  <si>
    <t>2015-1-30 10:50:22.550: RTWSControl - orderStatus -  entering orderStatus id is 1399 status is PreSubmitted</t>
  </si>
  <si>
    <t>2015-1-30 10:50:22.551: OrderManager - UpdateOrderStatus - id 1399 Setting status to PreSubmitted workingOrderCount is now 1 workingQty -2391</t>
  </si>
  <si>
    <t>2015-1-30 10:50:22.551: OrderManagerView - UpdateMainSheetOpenOrder - entering UpdateMainSheetOpenOrder order.status is PreSubmitted</t>
  </si>
  <si>
    <t>2015-1-30 10:50:22.553: RTWSControl - OrderStatus - Got OrderStatus Message id:1399 status: PreSubmitted filled: 0</t>
  </si>
  <si>
    <t>2015-1-30 10:50:22.553: RTWSControl - OrderStatus - exiting orderStatus</t>
  </si>
  <si>
    <t>2015-1-30 10:50:22.680: openOrderEx - I am here</t>
  </si>
  <si>
    <t>2015-1-30 10:50:22.680: OrderManagerView - UpdateMainSheetOpenOrder - entering UpdateMainSheetOpenOrder order.status is PreSubmitted</t>
  </si>
  <si>
    <t>2015-1-30 10:50:22.715: RTWSControl - orderStatus -  entering orderStatus id is 1399 status is PreSubmitted</t>
  </si>
  <si>
    <t>2015-1-30 10:50:22.716: OrderManager - UpdateOrderStatus - id 1399 Setting status to PreSubmitted workingOrderCount is now 1 workingQty -2391</t>
  </si>
  <si>
    <t>2015-1-30 10:50:22.716: OrderManagerView - UpdateMainSheetOpenOrder - entering UpdateMainSheetOpenOrder order.status is PreSubmitted</t>
  </si>
  <si>
    <t>2015-1-30 10:50:22.718: RTWSControl - OrderStatus - Got OrderStatus Message id:1399 status: PreSubmitted filled: 0</t>
  </si>
  <si>
    <t>2015-1-30 10:50:22.718: RTWSControl - OrderStatus - exiting orderStatus</t>
  </si>
  <si>
    <t>2015-1-30 10:50:24.6: OrderManagerView - UpdateMainSheetOpenOrder - entering UpdateMainSheetOpenOrder order.status is Canceled</t>
  </si>
  <si>
    <t>2015-1-30 10:50:24.9: OrderManagerView - UpdateMainSheetOpenOrder - entering UpdateMainSheetOpenOrder order.status is PreSubmitted</t>
  </si>
  <si>
    <t>2015-1-30 10:50:24.11: OrderManagerView - UpdateMainSheetOpenOrder - entering UpdateMainSheetOpenOrder order.status is PreSubmitted</t>
  </si>
  <si>
    <t>2015-1-30 10:50:24.12: OrderManagerView - UpdateMainSheetOpenOrder - entering UpdateMainSheetOpenOrder order.status is PreSubmitted</t>
  </si>
  <si>
    <t>2015-1-30 10:50:24.14: OrderManagerView - UpdateMainSheetOpenOrder - entering UpdateMainSheetOpenOrder order.status is PreSubmitted</t>
  </si>
  <si>
    <t>2015-1-30 10:50:25.702: OrderManager - cancelOrder - cancelling order id 1398</t>
  </si>
  <si>
    <t>2015-1-30 10:50:25.703: OrderManager - PlaceOrder - id 1400 workingQty -2420</t>
  </si>
  <si>
    <t>2015-1-30 10:50:25.703: OrderManagerView - UpdateMainSheetOpenOrder - entering UpdateMainSheetOpenOrder order.status is In-Flight</t>
  </si>
  <si>
    <t>2015-1-30 10:50:25.704: OrderManager - sendOrder - exiting place order id 1400 SELL 29 1.506  - workingQty -2420 currentPosition is 21 workingOrderCount is 2</t>
  </si>
  <si>
    <t>2015-1-30 10:50:26.132: RTWSControl - nextValidId - entering nextValidId id is 1401</t>
  </si>
  <si>
    <t>2015-1-30 10:50:27.5: OrderManagerView - UpdateMainSheetOpenOrder - entering UpdateMainSheetOpenOrder order.status is PreSubmitted</t>
  </si>
  <si>
    <t>2015-1-30 10:50:27.7: OrderManagerView - UpdateMainSheetOpenOrder - entering UpdateMainSheetOpenOrder order.status is PreSubmitted</t>
  </si>
  <si>
    <t>2015-1-30 10:50:27.9: OrderManagerView - UpdateMainSheetOpenOrder - entering UpdateMainSheetOpenOrder order.status is In-Flight</t>
  </si>
  <si>
    <t>2015-1-30 10:50:27.10: OrderManagerView - UpdateMainSheetOpenOrder - entering UpdateMainSheetOpenOrder order.status is PreSubmitted</t>
  </si>
  <si>
    <t>2015-1-30 10:50:27.11: OrderManagerView - UpdateMainSheetOpenOrder - entering UpdateMainSheetOpenOrder order.status is In-Flight</t>
  </si>
  <si>
    <t>2015-1-30 10:50:27.547: RTWSControl - orderStatus -  entering orderStatus id is 1398 status is Cancelled</t>
  </si>
  <si>
    <t>2015-1-30 10:50:27.547: OrderManager - UpdateOrderStatus - id 1398 Setting status to Cancelled workingOrderCount is now 2 workingQty -2420</t>
  </si>
  <si>
    <t>2015-1-30 10:50:27.547: OrderManagerView - UpdateMainSheetOpenOrder - entering UpdateMainSheetOpenOrder order.status is Cancelled</t>
  </si>
  <si>
    <t>2015-1-30 10:50:27.549: RTWSControl - OrderStatus - Got OrderStatus Message id:1398 status: Cancelled filled: 0</t>
  </si>
  <si>
    <t>2015-1-30 10:50:27.549: RTWSControl - OrderStatus - exiting orderStatus</t>
  </si>
  <si>
    <t>2015-1-30 10:50:27.561: RTWSControl - errMsg - got error message 202:Order Canceled - reason:with id 1398</t>
  </si>
  <si>
    <t>2015-1-30 10:50:27.562: OrderManager - canceledOrder - cleaning up after canceled order 1398BEWARE UNACCOUNTED FOR EXECUTIONS!!!</t>
  </si>
  <si>
    <t>2015-1-30 10:50:27.562: OrderManager - terminateOrder - cleaning up after Canceled 1398  order was supposed to SELL 27 1.5063 STP LMT workingQty/OrderCount now -2447/1</t>
  </si>
  <si>
    <t>2015-1-30 10:50:27.563: OrderManagerView - UpdateMainSheetOpenOrder - entering UpdateMainSheetOpenOrder order.status is Canceled</t>
  </si>
  <si>
    <t>2015-1-30 10:50:27.595: RTWSControl - errMsg - got error message 399:Order Message:
SELL 29 GBP MAR'15
Warning: your order will not be placed at the exchange until 2015-01-30 08:30:00 US/Centralwith id 1400</t>
  </si>
  <si>
    <t>2015-1-30 10:50:27.596: RTWSControl - errMsg - Got Error_x000D_id: 1400_x000D_errorCode: 399_x000D_errorMsg: Order Message:
SELL 29 GBP MAR'15
Warning: your order will not be placed at the exchange until 2015-01-30 08:30:00 US/Central</t>
  </si>
  <si>
    <t>2015-1-30 10:50:27.604: openOrderEx - I am here</t>
  </si>
  <si>
    <t>2015-1-30 10:50:27.605: OrderManagerView - UpdateMainSheetOpenOrder - entering UpdateMainSheetOpenOrder order.status is In-Flight</t>
  </si>
  <si>
    <t>2015-1-30 10:50:27.636: RTWSControl - orderStatus -  entering orderStatus id is 1400 status is PreSubmitted</t>
  </si>
  <si>
    <t>2015-1-30 10:50:27.636: OrderManager - UpdateOrderStatus - id 1400 Setting status to PreSubmitted workingOrderCount is now 1 workingQty -2447</t>
  </si>
  <si>
    <t>2015-1-30 10:50:27.637: OrderManagerView - UpdateMainSheetOpenOrder - entering UpdateMainSheetOpenOrder order.status is PreSubmitted</t>
  </si>
  <si>
    <t>2015-1-30 10:50:27.639: RTWSControl - OrderStatus - Got OrderStatus Message id:1400 status: PreSubmitted filled: 0</t>
  </si>
  <si>
    <t>2015-1-30 10:50:27.639: RTWSControl - OrderStatus - exiting orderStatus</t>
  </si>
  <si>
    <t>2015-1-30 10:50:27.675: OrderManager - cancelOrder - cancelling order id 1399</t>
  </si>
  <si>
    <t>2015-1-30 10:50:27.675: OrderManager - PlaceOrder - id 1401 workingQty -2415</t>
  </si>
  <si>
    <t>2015-1-30 10:50:27.676: OrderManagerView - UpdateMainSheetOpenOrder - entering UpdateMainSheetOpenOrder order.status is In-Flight</t>
  </si>
  <si>
    <t>2015-1-30 10:50:27.677: OrderManager - sendOrder - exiting place order id 1401 BUY 32 1.5131  - workingQty -2415 currentPosition is 21 workingOrderCount is 2</t>
  </si>
  <si>
    <t>2015-1-30 10:50:27.677: OrderManager - cancelOrder - cancelling order id 1400</t>
  </si>
  <si>
    <t>2015-1-30 10:50:27.678: OrderManager - createOrder - exiting without creating order - did not have validID</t>
  </si>
  <si>
    <t>2015-1-30 10:50:27.801: openOrderEx - I am here</t>
  </si>
  <si>
    <t>2015-1-30 10:50:27.801: OrderManagerView - UpdateMainSheetOpenOrder - entering UpdateMainSheetOpenOrder order.status is PreSubmitted</t>
  </si>
  <si>
    <t>2015-1-30 10:50:27.813: RTWSControl - orderStatus -  entering orderStatus id is 1400 status is PreSubmitted</t>
  </si>
  <si>
    <t>2015-1-30 10:50:27.813: OrderManager - UpdateOrderStatus - id 1400 Setting status to PreSubmitted workingOrderCount is now 2 workingQty -2415</t>
  </si>
  <si>
    <t>2015-1-30 10:50:27.814: OrderManagerView - UpdateMainSheetOpenOrder - entering UpdateMainSheetOpenOrder order.status is PreSubmitted</t>
  </si>
  <si>
    <t>2015-1-30 10:50:27.816: RTWSControl - OrderStatus - Got OrderStatus Message id:1400 status: PreSubmitted filled: 0</t>
  </si>
  <si>
    <t>2015-1-30 10:50:27.816: RTWSControl - OrderStatus - exiting orderStatus</t>
  </si>
  <si>
    <t>2015-1-30 10:50:27.847: OrderManager - createOrder - exiting without creating order - did not have validID</t>
  </si>
  <si>
    <t>2015-1-30 10:50:28.8: RTWSControl - nextValidId - entering nextValidId id is 1402</t>
  </si>
  <si>
    <t>2015-1-30 10:50:28.14: RTWSControl - orderStatus -  entering orderStatus id is 1399 status is Cancelled</t>
  </si>
  <si>
    <t>2015-1-30 10:50:28.14: OrderManager - UpdateOrderStatus - id 1399 Setting status to Cancelled workingOrderCount is now 2 workingQty -2415</t>
  </si>
  <si>
    <t>2015-1-30 10:50:28.15: OrderManagerView - UpdateMainSheetOpenOrder - entering UpdateMainSheetOpenOrder order.status is Cancelled</t>
  </si>
  <si>
    <t>2015-1-30 10:50:28.16: RTWSControl - OrderStatus - Got OrderStatus Message id:1399 status: Cancelled filled: 0</t>
  </si>
  <si>
    <t>2015-1-30 10:50:28.17: RTWSControl - OrderStatus - exiting orderStatus</t>
  </si>
  <si>
    <t>2015-1-30 10:50:28.49: RTWSControl - errMsg - got error message 202:Order Canceled - reason:with id 1399</t>
  </si>
  <si>
    <t>2015-1-30 10:50:28.50: OrderManager - canceledOrder - cleaning up after canceled order 1399BEWARE UNACCOUNTED FOR EXECUTIONS!!!</t>
  </si>
  <si>
    <t>2015-1-30 10:50:28.50: OrderManager - terminateOrder - cleaning up after Canceled 1399  order was supposed to BUY 28 1.5125 STP LMT workingQty/OrderCount now -2443/1</t>
  </si>
  <si>
    <t>2015-1-30 10:50:28.52: OrderManagerView - UpdateMainSheetOpenOrder - entering UpdateMainSheetOpenOrder order.status is Canceled</t>
  </si>
  <si>
    <t>2015-1-30 10:50:28.96: RTWSControl - errMsg - got error message 399:Order Message:
BUY 32 GBP MAR'15
Warning: your order will not be placed at the exchange until 2015-01-30 08:30:00 US/Centralwith id 1401</t>
  </si>
  <si>
    <t>2015-1-30 10:50:28.96: RTWSControl - errMsg - Got Error_x000D_id: 1401_x000D_errorCode: 399_x000D_errorMsg: Order Message:
BUY 32 GBP MAR'15
Warning: your order will not be placed at the exchange until 2015-01-30 08:30:00 US/Central</t>
  </si>
  <si>
    <t>2015-1-30 10:50:28.105: openOrderEx - I am here</t>
  </si>
  <si>
    <t>2015-1-30 10:50:28.106: OrderManagerView - UpdateMainSheetOpenOrder - entering UpdateMainSheetOpenOrder order.status is In-Flight</t>
  </si>
  <si>
    <t>2015-1-30 10:50:28.137: RTWSControl - orderStatus -  entering orderStatus id is 1401 status is PreSubmitted</t>
  </si>
  <si>
    <t>2015-1-30 10:50:28.137: OrderManager - UpdateOrderStatus - id 1401 Setting status to PreSubmitted workingOrderCount is now 1 workingQty -2443</t>
  </si>
  <si>
    <t>2015-1-30 10:50:28.138: OrderManagerView - UpdateMainSheetOpenOrder - entering UpdateMainSheetOpenOrder order.status is PreSubmitted</t>
  </si>
  <si>
    <t>2015-1-30 10:50:28.139: RTWSControl - OrderStatus - Got OrderStatus Message id:1401 status: PreSubmitted filled: 0</t>
  </si>
  <si>
    <t>2015-1-30 10:50:28.140: RTWSControl - OrderStatus - exiting orderStatus</t>
  </si>
  <si>
    <t>2015-1-30 10:50:28.922: RTWSControl - orderStatus -  entering orderStatus id is 1400 status is Cancelled</t>
  </si>
  <si>
    <t>2015-1-30 10:50:28.923: OrderManager - UpdateOrderStatus - id 1400 Setting status to Cancelled workingOrderCount is now 1 workingQty -2443</t>
  </si>
  <si>
    <t>2015-1-30 10:50:28.923: OrderManagerView - UpdateMainSheetOpenOrder - entering UpdateMainSheetOpenOrder order.status is Cancelled</t>
  </si>
  <si>
    <t>2015-1-30 10:50:28.925: RTWSControl - OrderStatus - Got OrderStatus Message id:1400 status: Cancelled filled: 0</t>
  </si>
  <si>
    <t>2015-1-30 10:50:28.925: RTWSControl - OrderStatus - exiting orderStatus</t>
  </si>
  <si>
    <t>2015-1-30 10:50:28.936: RTWSControl - errMsg - got error message 202:Order Canceled - reason:with id 1400</t>
  </si>
  <si>
    <t>2015-1-30 10:50:28.936: OrderManager - canceledOrder - cleaning up after canceled order 1400BEWARE UNACCOUNTED FOR EXECUTIONS!!!</t>
  </si>
  <si>
    <t>2015-1-30 10:50:28.937: OrderManager - terminateOrder - cleaning up after Canceled 1400  order was supposed to SELL 29 1.506 STP LMT workingQty/OrderCount now -2472/0</t>
  </si>
  <si>
    <t>2015-1-30 10:50:28.939: OrderManagerView - UpdateMainSheetOpenOrder - entering UpdateMainSheetOpenOrder order.status is Canceled</t>
  </si>
  <si>
    <t>2015-1-30 10:50:28.972: openOrderEx - I am here</t>
  </si>
  <si>
    <t>2015-1-30 10:50:28.973: OrderManagerView - UpdateMainSheetOpenOrder - entering UpdateMainSheetOpenOrder order.status is PreSubmitted</t>
  </si>
  <si>
    <t>2015-1-30 10:50:29.7: OrderManagerView - UpdateMainSheetOpenOrder - entering UpdateMainSheetOpenOrder order.status is Canceled</t>
  </si>
  <si>
    <t>2015-1-30 10:50:29.9: OrderManagerView - UpdateMainSheetOpenOrder - entering UpdateMainSheetOpenOrder order.status is Canceled</t>
  </si>
  <si>
    <t>2015-1-30 10:50:29.11: OrderManagerView - UpdateMainSheetOpenOrder - entering UpdateMainSheetOpenOrder order.status is PreSubmitted</t>
  </si>
  <si>
    <t>2015-1-30 10:50:29.12: OrderManagerView - UpdateMainSheetOpenOrder - entering UpdateMainSheetOpenOrder order.status is PreSubmitted</t>
  </si>
  <si>
    <t>2015-1-30 10:50:29.25: RTWSControl - orderStatus -  entering orderStatus id is 1401 status is PreSubmitted</t>
  </si>
  <si>
    <t>2015-1-30 10:50:29.26: OrderManager - UpdateOrderStatus - id 1401 Setting status to PreSubmitted workingOrderCount is now 0 workingQty -2472</t>
  </si>
  <si>
    <t>2015-1-30 10:50:29.26: OrderManagerView - UpdateMainSheetOpenOrder - entering UpdateMainSheetOpenOrder order.status is PreSubmitted</t>
  </si>
  <si>
    <t>2015-1-30 10:50:29.28: RTWSControl - OrderStatus - Got OrderStatus Message id:1401 status: PreSubmitted filled: 0</t>
  </si>
  <si>
    <t>2015-1-30 10:50:29.28: RTWSControl - OrderStatus - exiting orderStatus</t>
  </si>
  <si>
    <t>2015-1-30 10:50:32.11: OrderManagerView - UpdateMainSheetOpenOrder - entering UpdateMainSheetOpenOrder order.status is PreSubmitted</t>
  </si>
  <si>
    <t>2015-1-30 10:50:33.399: OrderManagerView - UpdateMainSheetOpenOrder - entering UpdateMainSheetOpenOrder order.status is PreSubmitted</t>
  </si>
  <si>
    <t>2015-1-30 10:50:33.415: OrderManagerView - UpdateMainSheetOpenOrder - entering UpdateMainSheetOpenOrder order.status is PreSubmitted</t>
  </si>
  <si>
    <t>2015-1-30 10:50:33.650: OrderManager - cancelOrder - cancelling order id 1401</t>
  </si>
  <si>
    <t>2015-1-30 10:50:33.650: OrderManager - PlaceOrder - id 1402 workingQty -2442</t>
  </si>
  <si>
    <t>2015-1-30 10:50:33.650: OrderManagerView - UpdateMainSheetOpenOrder - entering UpdateMainSheetOpenOrder order.status is In-Flight</t>
  </si>
  <si>
    <t>2015-1-30 10:50:33.652: OrderManager - sendOrder - exiting place order id 1402 BUY 30 1.5128  - workingQty -2442 currentPosition is 21 workingOrderCount is 1</t>
  </si>
  <si>
    <t>2015-1-30 10:50:33.653: OrderManager - createOrder - exiting without creating order - did not have validID</t>
  </si>
  <si>
    <t>2015-1-30 10:50:33.768: RTWSControl - nextValidId - entering nextValidId id is 1403</t>
  </si>
  <si>
    <t>2015-1-30 10:50:33.903: RTWSControl - orderStatus -  entering orderStatus id is 1401 status is Cancelled</t>
  </si>
  <si>
    <t>2015-1-30 10:50:33.905: OrderManager - UpdateOrderStatus - id 1401 Setting status to Cancelled workingOrderCount is now 1 workingQty -2442</t>
  </si>
  <si>
    <t>2015-1-30 10:50:33.907: OrderManagerView - UpdateMainSheetOpenOrder - entering UpdateMainSheetOpenOrder order.status is Cancelled</t>
  </si>
  <si>
    <t>2015-1-30 10:50:33.914: RTWSControl - OrderStatus - Got OrderStatus Message id:1401 status: Cancelled filled: 0</t>
  </si>
  <si>
    <t>2015-1-30 10:50:33.916: RTWSControl - OrderStatus - exiting orderStatus</t>
  </si>
  <si>
    <t>2015-1-30 10:50:33.951: RTWSControl - errMsg - got error message 202:Order Canceled - reason:with id 1401</t>
  </si>
  <si>
    <t>2015-1-30 10:50:33.952: OrderManager - canceledOrder - cleaning up after canceled order 1401BEWARE UNACCOUNTED FOR EXECUTIONS!!!</t>
  </si>
  <si>
    <t>2015-1-30 10:50:33.952: OrderManager - terminateOrder - cleaning up after Canceled 1401  order was supposed to BUY 32 1.5131 STP LMT workingQty/OrderCount now -2474/0</t>
  </si>
  <si>
    <t>2015-1-30 10:50:33.956: OrderManagerView - UpdateMainSheetOpenOrder - entering UpdateMainSheetOpenOrder order.status is Canceled</t>
  </si>
  <si>
    <t>2015-1-30 10:50:33.993: RTWSControl - errMsg - got error message 399:Order Message:
BUY 30 GBP MAR'15
Warning: your order will not be placed at the exchange until 2015-01-30 08:30:00 US/Centralwith id 1402</t>
  </si>
  <si>
    <t>2015-1-30 10:50:33.994: RTWSControl - errMsg - Got Error_x000D_id: 1402_x000D_errorCode: 399_x000D_errorMsg: Order Message:
BUY 30 GBP MAR'15
Warning: your order will not be placed at the exchange until 2015-01-30 08:30:00 US/Central</t>
  </si>
  <si>
    <t>2015-1-30 10:50:34.4: OrderManagerView - UpdateMainSheetOpenOrder - entering UpdateMainSheetOpenOrder order.status is In-Flight</t>
  </si>
  <si>
    <t>2015-1-30 10:50:34.16: OrderManagerView - UpdateMainSheetOpenOrder - entering UpdateMainSheetOpenOrder order.status is In-Flight</t>
  </si>
  <si>
    <t>2015-1-30 10:50:34.47: openOrderEx - I am here</t>
  </si>
  <si>
    <t>2015-1-30 10:50:34.47: OrderManagerView - UpdateMainSheetOpenOrder - entering UpdateMainSheetOpenOrder order.status is In-Flight</t>
  </si>
  <si>
    <t>2015-1-30 10:50:34.89: RTWSControl - orderStatus -  entering orderStatus id is 1402 status is PreSubmitted</t>
  </si>
  <si>
    <t>2015-1-30 10:50:34.90: OrderManager - UpdateOrderStatus - id 1402 Setting status to PreSubmitted workingOrderCount is now 0 workingQty -2474</t>
  </si>
  <si>
    <t>2015-1-30 10:50:34.90: OrderManagerView - UpdateMainSheetOpenOrder - entering UpdateMainSheetOpenOrder order.status is PreSubmitted</t>
  </si>
  <si>
    <t>2015-1-30 10:50:34.92: RTWSControl - OrderStatus - Got OrderStatus Message id:1402 status: PreSubmitted filled: 0</t>
  </si>
  <si>
    <t>2015-1-30 10:50:34.92: RTWSControl - OrderStatus - exiting orderStatus</t>
  </si>
  <si>
    <t>2015-1-30 10:50:35.342: openOrderEx - I am here</t>
  </si>
  <si>
    <t>2015-1-30 10:50:35.342: OrderManagerView - UpdateMainSheetOpenOrder - entering UpdateMainSheetOpenOrder order.status is PreSubmitted</t>
  </si>
  <si>
    <t>2015-1-30 10:50:35.355: RTWSControl - orderStatus -  entering orderStatus id is 1402 status is PreSubmitted</t>
  </si>
  <si>
    <t>2015-1-30 10:50:35.355: OrderManager - UpdateOrderStatus - id 1402 Setting status to PreSubmitted workingOrderCount is now 0 workingQty -2474</t>
  </si>
  <si>
    <t>2015-1-30 10:50:35.356: OrderManagerView - UpdateMainSheetOpenOrder - entering UpdateMainSheetOpenOrder order.status is PreSubmitted</t>
  </si>
  <si>
    <t>2015-1-30 10:50:35.358: RTWSControl - OrderStatus - Got OrderStatus Message id:1402 status: PreSubmitted filled: 0</t>
  </si>
  <si>
    <t>2015-1-30 10:50:35.358: RTWSControl - OrderStatus - exiting orderStatus</t>
  </si>
  <si>
    <t>2015-1-30 10:50:35.388: OrderManager - cancelOrder - cancelling order id 1402</t>
  </si>
  <si>
    <t>2015-1-30 10:50:35.389: OrderManager - PlaceOrder - id 1403 workingQty -2442</t>
  </si>
  <si>
    <t>2015-1-30 10:50:35.389: OrderManagerView - UpdateMainSheetOpenOrder - entering UpdateMainSheetOpenOrder order.status is In-Flight</t>
  </si>
  <si>
    <t>2015-1-30 10:50:35.390: OrderManager - sendOrder - exiting place order id 1403 BUY 32 1.5132  - workingQty -2442 currentPosition is 21 workingOrderCount is 1</t>
  </si>
  <si>
    <t>2015-1-30 10:50:35.391: OrderManager - createOrder - exiting without creating order - did not have validID</t>
  </si>
  <si>
    <t>2015-1-30 10:50:35.638: OrderManager - createOrder - exiting without creating order - did not have validID</t>
  </si>
  <si>
    <t>2015-1-30 10:50:35.757: RTWSControl - nextValidId - entering nextValidId id is 1404</t>
  </si>
  <si>
    <t>2015-1-30 10:50:35.762: RTWSControl - orderStatus -  entering orderStatus id is 1402 status is Cancelled</t>
  </si>
  <si>
    <t>2015-1-30 10:50:35.763: OrderManager - UpdateOrderStatus - id 1402 Setting status to Cancelled workingOrderCount is now 1 workingQty -2442</t>
  </si>
  <si>
    <t>2015-1-30 10:50:35.763: OrderManagerView - UpdateMainSheetOpenOrder - entering UpdateMainSheetOpenOrder order.status is Cancelled</t>
  </si>
  <si>
    <t>2015-1-30 10:50:35.765: RTWSControl - OrderStatus - Got OrderStatus Message id:1402 status: Cancelled filled: 0</t>
  </si>
  <si>
    <t>2015-1-30 10:50:35.766: RTWSControl - OrderStatus - exiting orderStatus</t>
  </si>
  <si>
    <t>2015-1-30 10:50:35.798: RTWSControl - errMsg - got error message 202:Order Canceled - reason:with id 1402</t>
  </si>
  <si>
    <t>2015-1-30 10:50:35.799: OrderManager - canceledOrder - cleaning up after canceled order 1402BEWARE UNACCOUNTED FOR EXECUTIONS!!!</t>
  </si>
  <si>
    <t>2015-1-30 10:50:35.799: OrderManager - terminateOrder - cleaning up after Canceled 1402  order was supposed to BUY 30 1.5128 STP LMT workingQty/OrderCount now -2472/0</t>
  </si>
  <si>
    <t>2015-1-30 10:50:35.801: OrderManagerView - UpdateMainSheetOpenOrder - entering UpdateMainSheetOpenOrder order.status is Canceled</t>
  </si>
  <si>
    <t>2015-1-30 10:50:35.811: RTWSControl - errMsg - got error message 399:Order Message:
BUY 32 GBP MAR'15
Warning: your order will not be placed at the exchange until 2015-01-30 08:30:00 US/Centralwith id 1403</t>
  </si>
  <si>
    <t>2015-1-30 10:50:35.812: RTWSControl - errMsg - Got Error_x000D_id: 1403_x000D_errorCode: 399_x000D_errorMsg: Order Message:
BUY 32 GBP MAR'15
Warning: your order will not be placed at the exchange until 2015-01-30 08:30:00 US/Central</t>
  </si>
  <si>
    <t>2015-1-30 10:50:35.852: openOrderEx - I am here</t>
  </si>
  <si>
    <t>2015-1-30 10:50:35.852: OrderManagerView - UpdateMainSheetOpenOrder - entering UpdateMainSheetOpenOrder order.status is In-Flight</t>
  </si>
  <si>
    <t>2015-1-30 10:50:35.865: RTWSControl - orderStatus -  entering orderStatus id is 1403 status is PreSubmitted</t>
  </si>
  <si>
    <t>2015-1-30 10:50:35.866: OrderManager - UpdateOrderStatus - id 1403 Setting status to PreSubmitted workingOrderCount is now 0 workingQty -2472</t>
  </si>
  <si>
    <t>2015-1-30 10:50:35.866: OrderManagerView - UpdateMainSheetOpenOrder - entering UpdateMainSheetOpenOrder order.status is PreSubmitted</t>
  </si>
  <si>
    <t>2015-1-30 10:50:35.869: RTWSControl - OrderStatus - Got OrderStatus Message id:1403 status: PreSubmitted filled: 0</t>
  </si>
  <si>
    <t>2015-1-30 10:50:35.870: RTWSControl - OrderStatus - exiting orderStatus</t>
  </si>
  <si>
    <t>2015-1-30 10:50:35.901: openOrderEx - I am here</t>
  </si>
  <si>
    <t>2015-1-30 10:50:35.901: OrderManagerView - UpdateMainSheetOpenOrder - entering UpdateMainSheetOpenOrder order.status is PreSubmitted</t>
  </si>
  <si>
    <t>2015-1-30 10:50:35.930: RTWSControl - orderStatus -  entering orderStatus id is 1403 status is PreSubmitted</t>
  </si>
  <si>
    <t>2015-1-30 10:50:35.931: OrderManager - UpdateOrderStatus - id 1403 Setting status to PreSubmitted workingOrderCount is now 0 workingQty -2472</t>
  </si>
  <si>
    <t>2015-1-30 10:50:35.931: OrderManagerView - UpdateMainSheetOpenOrder - entering UpdateMainSheetOpenOrder order.status is PreSubmitted</t>
  </si>
  <si>
    <t>2015-1-30 10:50:35.933: RTWSControl - OrderStatus - Got OrderStatus Message id:1403 status: PreSubmitted filled: 0</t>
  </si>
  <si>
    <t>2015-1-30 10:50:35.933: RTWSControl - OrderStatus - exiting orderStatus</t>
  </si>
  <si>
    <t>2015-1-30 10:50:36.9: OrderManager - PlaceOrder - id 1404 workingQty -2504</t>
  </si>
  <si>
    <t>2015-1-30 10:50:36.9: OrderManagerView - UpdateMainSheetOpenOrder - entering UpdateMainSheetOpenOrder order.status is In-Flight</t>
  </si>
  <si>
    <t>2015-1-30 10:50:36.11: OrderManager - sendOrder - exiting place order id 1404 SELL 32 1.5062  - workingQty -2504 currentPosition is 21 workingOrderCount is 1</t>
  </si>
  <si>
    <t>2015-1-30 10:50:37.548: RTWSControl - nextValidId - entering nextValidId id is 1405</t>
  </si>
  <si>
    <t>2015-1-30 10:50:37.555: RTWSControl - errMsg - got error message 399:Order Message:
SELL 32 GBP MAR'15
Warning: your order will not be placed at the exchange until 2015-01-30 08:30:00 US/Centralwith id 1404</t>
  </si>
  <si>
    <t>2015-1-30 10:50:37.556: RTWSControl - errMsg - Got Error_x000D_id: 1404_x000D_errorCode: 399_x000D_errorMsg: Order Message:
SELL 32 GBP MAR'15
Warning: your order will not be placed at the exchange until 2015-01-30 08:30:00 US/Central</t>
  </si>
  <si>
    <t>2015-1-30 10:50:37.565: openOrderEx - I am here</t>
  </si>
  <si>
    <t>2015-1-30 10:50:37.565: OrderManagerView - UpdateMainSheetOpenOrder - entering UpdateMainSheetOpenOrder order.status is In-Flight</t>
  </si>
  <si>
    <t>2015-1-30 10:50:37.594: RTWSControl - orderStatus -  entering orderStatus id is 1404 status is PreSubmitted</t>
  </si>
  <si>
    <t>2015-1-30 10:50:37.595: OrderManager - UpdateOrderStatus - id 1404 Setting status to PreSubmitted workingOrderCount is now 1 workingQty -2504</t>
  </si>
  <si>
    <t>2015-1-30 10:50:37.595: OrderManagerView - UpdateMainSheetOpenOrder - entering UpdateMainSheetOpenOrder order.status is PreSubmitted</t>
  </si>
  <si>
    <t>2015-1-30 10:50:37.597: RTWSControl - OrderStatus - Got OrderStatus Message id:1404 status: PreSubmitted filled: 0</t>
  </si>
  <si>
    <t>2015-1-30 10:50:37.597: RTWSControl - OrderStatus - exiting orderStatus</t>
  </si>
  <si>
    <t>2015-1-30 10:50:37.759: openOrderEx - I am here</t>
  </si>
  <si>
    <t>2015-1-30 10:50:37.760: OrderManagerView - UpdateMainSheetOpenOrder - entering UpdateMainSheetOpenOrder order.status is PreSubmitted</t>
  </si>
  <si>
    <t>2015-1-30 10:50:37.771: RTWSControl - orderStatus -  entering orderStatus id is 1404 status is PreSubmitted</t>
  </si>
  <si>
    <t>2015-1-30 10:50:37.772: OrderManager - UpdateOrderStatus - id 1404 Setting status to PreSubmitted workingOrderCount is now 1 workingQty -2504</t>
  </si>
  <si>
    <t>2015-1-30 10:50:37.772: OrderManagerView - UpdateMainSheetOpenOrder - entering UpdateMainSheetOpenOrder order.status is PreSubmitted</t>
  </si>
  <si>
    <t>2015-1-30 10:50:37.774: RTWSControl - OrderStatus - Got OrderStatus Message id:1404 status: PreSubmitted filled: 0</t>
  </si>
  <si>
    <t>2015-1-30 10:50:37.774: RTWSControl - OrderStatus - exiting orderStatus</t>
  </si>
  <si>
    <t>2015-1-30 10:50:38.13: OrderManagerView - UpdateMainSheetOpenOrder - entering UpdateMainSheetOpenOrder order.status is PreSubmitted</t>
  </si>
  <si>
    <t>2015-1-30 10:50:38.15: OrderManagerView - UpdateMainSheetOpenOrder - entering UpdateMainSheetOpenOrder order.status is PreSubmitted</t>
  </si>
  <si>
    <t>2015-1-30 10:50:38.17: OrderManagerView - UpdateMainSheetOpenOrder - entering UpdateMainSheetOpenOrder order.status is PreSubmitted</t>
  </si>
  <si>
    <t>2015-1-30 10:50:38.832: OrderManager - cancelOrder - cancelling order id 1403</t>
  </si>
  <si>
    <t>2015-1-30 10:50:38.832: OrderManager - PlaceOrder - id 1405 workingQty -2471</t>
  </si>
  <si>
    <t>2015-1-30 10:50:38.832: OrderManagerView - UpdateMainSheetOpenOrder - entering UpdateMainSheetOpenOrder order.status is In-Flight</t>
  </si>
  <si>
    <t>2015-1-30 10:50:38.834: OrderManager - sendOrder - exiting place order id 1405 BUY 33 1.5137  - workingQty -2471 currentPosition is 21 workingOrderCount is 2</t>
  </si>
  <si>
    <t>2015-1-30 10:50:39.647: RTWSControl - nextValidId - entering nextValidId id is 1406</t>
  </si>
  <si>
    <t>2015-1-30 10:50:39.672: RTWSControl - orderStatus -  entering orderStatus id is 1403 status is Cancelled</t>
  </si>
  <si>
    <t>2015-1-30 10:50:39.672: OrderManager - UpdateOrderStatus - id 1403 Setting status to Cancelled workingOrderCount is now 2 workingQty -2471</t>
  </si>
  <si>
    <t>2015-1-30 10:50:39.673: OrderManagerView - UpdateMainSheetOpenOrder - entering UpdateMainSheetOpenOrder order.status is Cancelled</t>
  </si>
  <si>
    <t>2015-1-30 10:50:39.674: RTWSControl - OrderStatus - Got OrderStatus Message id:1403 status: Cancelled filled: 0</t>
  </si>
  <si>
    <t>2015-1-30 10:50:39.675: RTWSControl - OrderStatus - exiting orderStatus</t>
  </si>
  <si>
    <t>2015-1-30 10:50:39.685: RTWSControl - errMsg - got error message 202:Order Canceled - reason:with id 1403</t>
  </si>
  <si>
    <t>2015-1-30 10:50:39.686: OrderManager - canceledOrder - cleaning up after canceled order 1403BEWARE UNACCOUNTED FOR EXECUTIONS!!!</t>
  </si>
  <si>
    <t>2015-1-30 10:50:39.686: OrderManager - terminateOrder - cleaning up after Canceled 1403  order was supposed to BUY 32 1.5132 STP LMT workingQty/OrderCount now -2503/1</t>
  </si>
  <si>
    <t>2015-1-30 10:50:39.687: OrderManagerView - UpdateMainSheetOpenOrder - entering UpdateMainSheetOpenOrder order.status is Canceled</t>
  </si>
  <si>
    <t>2015-1-30 10:50:39.721: RTWSControl - errMsg - got error message 399:Order Message:
BUY 33 GBP MAR'15
Warning: your order will not be placed at the exchange until 2015-01-30 08:30:00 US/Centralwith id 1405</t>
  </si>
  <si>
    <t>2015-1-30 10:50:39.722: RTWSControl - errMsg - Got Error_x000D_id: 1405_x000D_errorCode: 399_x000D_errorMsg: Order Message:
BUY 33 GBP MAR'15
Warning: your order will not be placed at the exchange until 2015-01-30 08:30:00 US/Central</t>
  </si>
  <si>
    <t>2015-1-30 10:50:39.731: openOrderEx - I am here</t>
  </si>
  <si>
    <t>2015-1-30 10:50:39.731: OrderManagerView - UpdateMainSheetOpenOrder - entering UpdateMainSheetOpenOrder order.status is In-Flight</t>
  </si>
  <si>
    <t>2015-1-30 10:50:39.762: RTWSControl - orderStatus -  entering orderStatus id is 1405 status is PreSubmitted</t>
  </si>
  <si>
    <t>2015-1-30 10:50:39.763: OrderManager - UpdateOrderStatus - id 1405 Setting status to PreSubmitted workingOrderCount is now 1 workingQty -2503</t>
  </si>
  <si>
    <t>2015-1-30 10:50:39.763: OrderManagerView - UpdateMainSheetOpenOrder - entering UpdateMainSheetOpenOrder order.status is PreSubmitted</t>
  </si>
  <si>
    <t>2015-1-30 10:50:39.765: RTWSControl - OrderStatus - Got OrderStatus Message id:1405 status: PreSubmitted filled: 0</t>
  </si>
  <si>
    <t>2015-1-30 10:50:39.765: RTWSControl - OrderStatus - exiting orderStatus</t>
  </si>
  <si>
    <t>2015-1-30 10:50:39.811: openOrderEx - I am here</t>
  </si>
  <si>
    <t>2015-1-30 10:50:39.811: OrderManagerView - UpdateMainSheetOpenOrder - entering UpdateMainSheetOpenOrder order.status is PreSubmitted</t>
  </si>
  <si>
    <t>2015-1-30 10:50:39.844: RTWSControl - orderStatus -  entering orderStatus id is 1405 status is PreSubmitted</t>
  </si>
  <si>
    <t>2015-1-30 10:50:39.845: OrderManager - UpdateOrderStatus - id 1405 Setting status to PreSubmitted workingOrderCount is now 1 workingQty -2503</t>
  </si>
  <si>
    <t>2015-1-30 10:50:39.845: OrderManagerView - UpdateMainSheetOpenOrder - entering UpdateMainSheetOpenOrder order.status is PreSubmitted</t>
  </si>
  <si>
    <t>2015-1-30 10:50:39.847: RTWSControl - OrderStatus - Got OrderStatus Message id:1405 status: PreSubmitted filled: 0</t>
  </si>
  <si>
    <t>2015-1-30 10:50:39.847: RTWSControl - OrderStatus - exiting orderStatus</t>
  </si>
  <si>
    <t>2015-1-30 10:50:40.27: OrderManagerView - UpdateMainSheetOpenOrder - entering UpdateMainSheetOpenOrder order.status is PreSubmitted</t>
  </si>
  <si>
    <t>2015-1-30 10:50:40.30: OrderManagerView - UpdateMainSheetOpenOrder - entering UpdateMainSheetOpenOrder order.status is PreSubmitted</t>
  </si>
  <si>
    <t>2015-1-30 10:50:40.32: OrderManagerView - UpdateMainSheetOpenOrder - entering UpdateMainSheetOpenOrder order.status is PreSubmitted</t>
  </si>
  <si>
    <t>2015-1-30 10:50:41.430: OrderManager - cancelOrder - cancelling order id 1405</t>
  </si>
  <si>
    <t>2015-1-30 10:50:41.431: OrderManager - PlaceOrder - id 1406 workingQty -2472</t>
  </si>
  <si>
    <t>2015-1-30 10:50:41.431: OrderManagerView - UpdateMainSheetOpenOrder - entering UpdateMainSheetOpenOrder order.status is In-Flight</t>
  </si>
  <si>
    <t>2015-1-30 10:50:41.433: OrderManager - sendOrder - exiting place order id 1406 BUY 31 1.5131  - workingQty -2472 currentPosition is 21 workingOrderCount is 2</t>
  </si>
  <si>
    <t>2015-1-30 10:50:41.595: RTWSControl - nextValidId - entering nextValidId id is 1407</t>
  </si>
  <si>
    <t>2015-1-30 10:50:41.744: RTWSControl - orderStatus -  entering orderStatus id is 1405 status is Cancelled</t>
  </si>
  <si>
    <t>2015-1-30 10:50:41.745: OrderManager - UpdateOrderStatus - id 1405 Setting status to Cancelled workingOrderCount is now 2 workingQty -2472</t>
  </si>
  <si>
    <t>2015-1-30 10:50:41.745: OrderManagerView - UpdateMainSheetOpenOrder - entering UpdateMainSheetOpenOrder order.status is Cancelled</t>
  </si>
  <si>
    <t>2015-1-30 10:50:41.748: RTWSControl - OrderStatus - Got OrderStatus Message id:1405 status: Cancelled filled: 0</t>
  </si>
  <si>
    <t>2015-1-30 10:50:41.750: RTWSControl - OrderStatus - exiting orderStatus</t>
  </si>
  <si>
    <t>2015-1-30 10:50:41.790: RTWSControl - errMsg - got error message 202:Order Canceled - reason:with id 1405</t>
  </si>
  <si>
    <t>2015-1-30 10:50:41.791: OrderManager - canceledOrder - cleaning up after canceled order 1405BEWARE UNACCOUNTED FOR EXECUTIONS!!!</t>
  </si>
  <si>
    <t>2015-1-30 10:50:41.792: OrderManager - terminateOrder - cleaning up after Canceled 1405  order was supposed to BUY 33 1.5137 STP LMT workingQty/OrderCount now -2505/1</t>
  </si>
  <si>
    <t>2015-1-30 10:50:41.794: OrderManagerView - UpdateMainSheetOpenOrder - entering UpdateMainSheetOpenOrder order.status is Canceled</t>
  </si>
  <si>
    <t>2015-1-30 10:50:41.839: RTWSControl - errMsg - got error message 399:Order Message:
BUY 31 GBP MAR'15
Warning: your order will not be placed at the exchange until 2015-01-30 08:30:00 US/Centralwith id 1406</t>
  </si>
  <si>
    <t>2015-1-30 10:50:41.839: RTWSControl - errMsg - Got Error_x000D_id: 1406_x000D_errorCode: 399_x000D_errorMsg: Order Message:
BUY 31 GBP MAR'15
Warning: your order will not be placed at the exchange until 2015-01-30 08:30:00 US/Central</t>
  </si>
  <si>
    <t>2015-1-30 10:50:41.848: openOrderEx - I am here</t>
  </si>
  <si>
    <t>2015-1-30 10:50:41.848: OrderManagerView - UpdateMainSheetOpenOrder - entering UpdateMainSheetOpenOrder order.status is In-Flight</t>
  </si>
  <si>
    <t>2015-1-30 10:50:41.883: RTWSControl - orderStatus -  entering orderStatus id is 1406 status is PreSubmitted</t>
  </si>
  <si>
    <t>2015-1-30 10:50:41.883: OrderManager - UpdateOrderStatus - id 1406 Setting status to PreSubmitted workingOrderCount is now 1 workingQty -2505</t>
  </si>
  <si>
    <t>2015-1-30 10:50:41.884: OrderManagerView - UpdateMainSheetOpenOrder - entering UpdateMainSheetOpenOrder order.status is PreSubmitted</t>
  </si>
  <si>
    <t>2015-1-30 10:50:41.885: RTWSControl - OrderStatus - Got OrderStatus Message id:1406 status: PreSubmitted filled: 0</t>
  </si>
  <si>
    <t>2015-1-30 10:50:41.886: RTWSControl - OrderStatus - exiting orderStatus</t>
  </si>
  <si>
    <t>2015-1-30 10:50:41.968: openOrderEx - I am here</t>
  </si>
  <si>
    <t>2015-1-30 10:50:41.968: OrderManagerView - UpdateMainSheetOpenOrder - entering UpdateMainSheetOpenOrder order.status is PreSubmitted</t>
  </si>
  <si>
    <t>2015-1-30 10:50:41.991: RTWSControl - orderStatus -  entering orderStatus id is 1406 status is PreSubmitted</t>
  </si>
  <si>
    <t>2015-1-30 10:50:41.991: OrderManager - UpdateOrderStatus - id 1406 Setting status to PreSubmitted workingOrderCount is now 1 workingQty -2505</t>
  </si>
  <si>
    <t>2015-1-30 10:50:41.992: OrderManagerView - UpdateMainSheetOpenOrder - entering UpdateMainSheetOpenOrder order.status is PreSubmitted</t>
  </si>
  <si>
    <t>2015-1-30 10:50:41.993: RTWSControl - OrderStatus - Got OrderStatus Message id:1406 status: PreSubmitted filled: 0</t>
  </si>
  <si>
    <t>2015-1-30 10:50:41.994: RTWSControl - OrderStatus - exiting orderStatus</t>
  </si>
  <si>
    <t>2015-1-30 10:50:44.8: OrderManagerView - UpdateMainSheetOpenOrder - entering UpdateMainSheetOpenOrder order.status is PreSubmitted</t>
  </si>
  <si>
    <t>2015-1-30 10:50:44.14: OrderManagerView - UpdateMainSheetOpenOrder - entering UpdateMainSheetOpenOrder order.status is PreSubmitted</t>
  </si>
  <si>
    <t>2015-1-30 10:50:46.12: OrderManagerView - UpdateMainSheetOpenOrder - entering UpdateMainSheetOpenOrder order.status is PreSubmitted</t>
  </si>
  <si>
    <t>2015-1-30 10:50:46.14: OrderManagerView - UpdateMainSheetOpenOrder - entering UpdateMainSheetOpenOrder order.status is PreSubmitted</t>
  </si>
  <si>
    <t>2015-1-30 10:50:46.932: Algorithm - FindNextStrikes - price is 1.50775 nextStrikeUp/Down 1.51/1.505</t>
  </si>
  <si>
    <t>2015-1-30 10:50:46.933: Algorithm - getPortfolioForwardDelta - required deltas is 21 currentHedgePosition is 21</t>
  </si>
  <si>
    <t>2015-1-30 10:50:46.934: Algorithm - getHedgeShortfall - required deltas is 21 price is 1.50785 currentHedgePositionDeltas is 21</t>
  </si>
  <si>
    <t>2015-1-30 10:50:46.934: Algorithm - processTransitionPoint - nextUpper/LowerStrikes are 1.51/1.505 requiredDeltas/currentPosition/currentHedgeShortfall/direction/transitionPrice are 21/21/0/1/1.50785</t>
  </si>
  <si>
    <t>2015-1-30 10:50:46.934: TransitionLogger - processTransitionpoint - checking transition - currentHedgeShortfall is 0</t>
  </si>
  <si>
    <t>2015-1-30 10:50:46.936: Algorithm - updatePortfolio - haveAllDetails is True</t>
  </si>
  <si>
    <t>2015-1-30 10:50:46.978: Algorithm - FindNextStrikes - price is 1.50775 nextStrikeUp/Down 1.51/1.505</t>
  </si>
  <si>
    <t>2015-1-30 10:50:46.978: Algorithm - getPortfolioForwardDelta - required deltas is 21 currentHedgePosition is 21</t>
  </si>
  <si>
    <t>2015-1-30 10:50:46.979: Algorithm - getHedgeShortfall - required deltas is 21 price is 1.50785 currentHedgePositionDeltas is 21</t>
  </si>
  <si>
    <t>2015-1-30 10:50:46.979: Algorithm - processTransitionPoint - nextUpper/LowerStrikes are 1.51/1.505 requiredDeltas/currentPosition/currentHedgeShortfall/direction/transitionPrice are 21/21/0/1/1.50785</t>
  </si>
  <si>
    <t>2015-1-30 10:50:46.979: TransitionLogger - processTransitionpoint - checking transition - currentHedgeShortfall is 0</t>
  </si>
  <si>
    <t>2015-1-30 10:50:46.980: Algorithm - updatePortfolio - haveAllDetails is True</t>
  </si>
  <si>
    <t>2015-1-30 10:50:47.23: Algorithm - FindNextStrikes - price is 1.50775 nextStrikeUp/Down 1.51/1.505</t>
  </si>
  <si>
    <t>2015-1-30 10:50:47.23: Algorithm - getPortfolioForwardDelta - required deltas is 21 currentHedgePosition is 21</t>
  </si>
  <si>
    <t>2015-1-30 10:50:47.24: Algorithm - getHedgeShortfall - required deltas is 21 price is 1.50785 currentHedgePositionDeltas is 21</t>
  </si>
  <si>
    <t>2015-1-30 10:50:47.24: Algorithm - processTransitionPoint - nextUpper/LowerStrikes are 1.51/1.505 requiredDeltas/currentPosition/currentHedgeShortfall/direction/transitionPrice are 21/21/0/1/1.50785</t>
  </si>
  <si>
    <t>2015-1-30 10:50:47.24: TransitionLogger - processTransitionpoint - checking transition - currentHedgeShortfall is 0</t>
  </si>
  <si>
    <t>2015-1-30 10:50:47.25: Algorithm - updatePortfolio - haveAllDetails is True</t>
  </si>
  <si>
    <t>2015-1-30 10:50:47.96: Algorithm - FindNextStrikes - price is 1.50775 nextStrikeUp/Down 1.51/1.505</t>
  </si>
  <si>
    <t>2015-1-30 10:50:47.96: Algorithm - getPortfolioForwardDelta - required deltas is 21 currentHedgePosition is 21</t>
  </si>
  <si>
    <t>2015-1-30 10:50:47.97: Algorithm - getHedgeShortfall - required deltas is 21 price is 1.50785 currentHedgePositionDeltas is 21</t>
  </si>
  <si>
    <t>2015-1-30 10:50:47.97: Algorithm - processTransitionPoint - nextUpper/LowerStrikes are 1.51/1.505 requiredDeltas/currentPosition/currentHedgeShortfall/direction/transitionPrice are 21/21/0/1/1.50785</t>
  </si>
  <si>
    <t>2015-1-30 10:50:47.98: TransitionLogger - processTransitionpoint - checking transition - currentHedgeShortfall is 0</t>
  </si>
  <si>
    <t>2015-1-30 10:50:47.98: Algorithm - updatePortfolio - haveAllDetails is True</t>
  </si>
  <si>
    <t>2015-1-30 10:50:47.145: Algorithm - FindNextStrikes - price is 1.50775 nextStrikeUp/Down 1.51/1.505</t>
  </si>
  <si>
    <t>2015-1-30 10:50:47.146: Algorithm - getPortfolioForwardDelta - required deltas is 21 currentHedgePosition is 21</t>
  </si>
  <si>
    <t>2015-1-30 10:50:47.146: Algorithm - getHedgeShortfall - required deltas is 21 price is 1.50785 currentHedgePositionDeltas is 21</t>
  </si>
  <si>
    <t>2015-1-30 10:50:47.146: Algorithm - processTransitionPoint - nextUpper/LowerStrikes are 1.51/1.505 requiredDeltas/currentPosition/currentHedgeShortfall/direction/transitionPrice are 21/21/0/1/1.50785</t>
  </si>
  <si>
    <t>2015-1-30 10:50:47.147: TransitionLogger - processTransitionpoint - checking transition - currentHedgeShortfall is 0</t>
  </si>
  <si>
    <t>2015-1-30 10:50:47.148: Algorithm - updatePortfolio - haveAllDetails is True</t>
  </si>
  <si>
    <t>2015-1-30 10:50:47.191: Algorithm - FindNextStrikes - price is 1.50775 nextStrikeUp/Down 1.51/1.505</t>
  </si>
  <si>
    <t>2015-1-30 10:50:47.191: Algorithm - getPortfolioForwardDelta - required deltas is 21 currentHedgePosition is 21</t>
  </si>
  <si>
    <t>2015-1-30 10:50:47.192: Algorithm - getHedgeShortfall - required deltas is 21 price is 1.50785 currentHedgePositionDeltas is 21</t>
  </si>
  <si>
    <t>2015-1-30 10:50:47.192: Algorithm - processTransitionPoint - nextUpper/LowerStrikes are 1.51/1.505 requiredDeltas/currentPosition/currentHedgeShortfall/direction/transitionPrice are 21/21/0/1/1.50785</t>
  </si>
  <si>
    <t>2015-1-30 10:50:47.192: TransitionLogger - processTransitionpoint - checking transition - currentHedgeShortfall is 0</t>
  </si>
  <si>
    <t>2015-1-30 10:50:47.193: Algorithm - updatePortfolio - haveAllDetails is True</t>
  </si>
  <si>
    <t>2015-1-30 10:50:47.261: Algorithm - FindNextStrikes - price is 1.50775 nextStrikeUp/Down 1.51/1.505</t>
  </si>
  <si>
    <t>2015-1-30 10:50:47.261: Algorithm - getPortfolioForwardDelta - required deltas is 21 currentHedgePosition is 21</t>
  </si>
  <si>
    <t>2015-1-30 10:50:47.261: Algorithm - getHedgeShortfall - required deltas is 21 price is 1.50785 currentHedgePositionDeltas is 21</t>
  </si>
  <si>
    <t>2015-1-30 10:50:47.262: Algorithm - processTransitionPoint - nextUpper/LowerStrikes are 1.51/1.505 requiredDeltas/currentPosition/currentHedgeShortfall/direction/transitionPrice are 21/21/0/1/1.50785</t>
  </si>
  <si>
    <t>2015-1-30 10:50:47.262: TransitionLogger - processTransitionpoint - checking transition - currentHedgeShortfall is 0</t>
  </si>
  <si>
    <t>2015-1-30 10:50:47.263: Algorithm - updatePortfolio - haveAllDetails is True</t>
  </si>
  <si>
    <t>2015-1-30 10:50:47.312: Algorithm - FindNextStrikes - price is 1.50775 nextStrikeUp/Down 1.51/1.505</t>
  </si>
  <si>
    <t>2015-1-30 10:50:47.312: Algorithm - getPortfolioForwardDelta - required deltas is 21 currentHedgePosition is 21</t>
  </si>
  <si>
    <t>2015-1-30 10:50:47.313: Algorithm - getHedgeShortfall - required deltas is 21 price is 1.50785 currentHedgePositionDeltas is 21</t>
  </si>
  <si>
    <t>2015-1-30 10:50:47.313: Algorithm - processTransitionPoint - nextUpper/LowerStrikes are 1.51/1.505 requiredDeltas/currentPosition/currentHedgeShortfall/direction/transitionPrice are 21/21/0/1/1.50785</t>
  </si>
  <si>
    <t>2015-1-30 10:50:47.313: TransitionLogger - processTransitionpoint - checking transition - currentHedgeShortfall is 0</t>
  </si>
  <si>
    <t>2015-1-30 10:50:47.314: Algorithm - updatePortfolio - haveAllDetails is True</t>
  </si>
  <si>
    <t>2015-1-30 10:50:47.359: Algorithm - FindNextStrikes - price is 1.50775 nextStrikeUp/Down 1.51/1.505</t>
  </si>
  <si>
    <t>2015-1-30 10:50:47.359: Algorithm - getPortfolioForwardDelta - required deltas is 21 currentHedgePosition is 21</t>
  </si>
  <si>
    <t>2015-1-30 10:50:47.360: Algorithm - getHedgeShortfall - required deltas is 21 price is 1.50785 currentHedgePositionDeltas is 21</t>
  </si>
  <si>
    <t>2015-1-30 10:50:47.360: Algorithm - processTransitionPoint - nextUpper/LowerStrikes are 1.51/1.505 requiredDeltas/currentPosition/currentHedgeShortfall/direction/transitionPrice are 21/21/0/1/1.50785</t>
  </si>
  <si>
    <t>2015-1-30 10:50:47.360: TransitionLogger - processTransitionpoint - checking transition - currentHedgeShortfall is 0</t>
  </si>
  <si>
    <t>2015-1-30 10:50:47.361: Algorithm - updatePortfolio - haveAllDetails is True</t>
  </si>
  <si>
    <t>2015-1-30 10:50:47.427: Algorithm - FindNextStrikes - price is 1.50775 nextStrikeUp/Down 1.51/1.505</t>
  </si>
  <si>
    <t>2015-1-30 10:50:47.427: Algorithm - getPortfolioForwardDelta - required deltas is 21 currentHedgePosition is 21</t>
  </si>
  <si>
    <t>2015-1-30 10:50:47.427: Algorithm - getHedgeShortfall - required deltas is 21 price is 1.50785 currentHedgePositionDeltas is 21</t>
  </si>
  <si>
    <t>2015-1-30 10:50:47.428: Algorithm - processTransitionPoint - nextUpper/LowerStrikes are 1.51/1.505 requiredDeltas/currentPosition/currentHedgeShortfall/direction/transitionPrice are 21/21/0/1/1.50785</t>
  </si>
  <si>
    <t>2015-1-30 10:50:47.428: TransitionLogger - processTransitionpoint - checking transition - currentHedgeShortfall is 0</t>
  </si>
  <si>
    <t>2015-1-30 10:50:47.429: Algorithm - updatePortfolio - haveAllDetails is True</t>
  </si>
  <si>
    <t>2015-1-30 10:50:47.479: Algorithm - FindNextStrikes - price is 1.50775 nextStrikeUp/Down 1.51/1.505</t>
  </si>
  <si>
    <t>2015-1-30 10:50:47.480: Algorithm - getPortfolioForwardDelta - required deltas is 21 currentHedgePosition is 21</t>
  </si>
  <si>
    <t>2015-1-30 10:50:47.480: Algorithm - getHedgeShortfall - required deltas is 21 price is 1.50785 currentHedgePositionDeltas is 21</t>
  </si>
  <si>
    <t>2015-1-30 10:50:47.480: Algorithm - processTransitionPoint - nextUpper/LowerStrikes are 1.51/1.505 requiredDeltas/currentPosition/currentHedgeShortfall/direction/transitionPrice are 21/21/0/1/1.50785</t>
  </si>
  <si>
    <t>2015-1-30 10:50:47.481: TransitionLogger - processTransitionpoint - checking transition - currentHedgeShortfall is 0</t>
  </si>
  <si>
    <t>2015-1-30 10:50:47.482: Algorithm - updatePortfolio - haveAllDetails is True</t>
  </si>
  <si>
    <t>2015-1-30 10:50:47.526: Algorithm - FindNextStrikes - price is 1.50775 nextStrikeUp/Down 1.51/1.505</t>
  </si>
  <si>
    <t>2015-1-30 10:50:47.527: Algorithm - getPortfolioForwardDelta - required deltas is 21 currentHedgePosition is 21</t>
  </si>
  <si>
    <t>2015-1-30 10:50:47.527: Algorithm - getHedgeShortfall - required deltas is 21 price is 1.50785 currentHedgePositionDeltas is 21</t>
  </si>
  <si>
    <t>2015-1-30 10:50:47.528: Algorithm - processTransitionPoint - nextUpper/LowerStrikes are 1.51/1.505 requiredDeltas/currentPosition/currentHedgeShortfall/direction/transitionPrice are 21/21/0/1/1.50785</t>
  </si>
  <si>
    <t>2015-1-30 10:50:47.528: TransitionLogger - processTransitionpoint - checking transition - currentHedgeShortfall is 0</t>
  </si>
  <si>
    <t>2015-1-30 10:50:47.529: Algorithm - updatePortfolio - haveAllDetails is True</t>
  </si>
  <si>
    <t>2015-1-30 10:50:47.595: Algorithm - FindNextStrikes - price is 1.50775 nextStrikeUp/Down 1.51/1.505</t>
  </si>
  <si>
    <t>2015-1-30 10:50:47.595: Algorithm - getPortfolioForwardDelta - required deltas is 21 currentHedgePosition is 21</t>
  </si>
  <si>
    <t>2015-1-30 10:50:47.596: Algorithm - getHedgeShortfall - required deltas is 21 price is 1.50785 currentHedgePositionDeltas is 21</t>
  </si>
  <si>
    <t>2015-1-30 10:50:47.596: Algorithm - processTransitionPoint - nextUpper/LowerStrikes are 1.51/1.505 requiredDeltas/currentPosition/currentHedgeShortfall/direction/transitionPrice are 21/21/0/1/1.50785</t>
  </si>
  <si>
    <t>2015-1-30 10:50:47.596: TransitionLogger - processTransitionpoint - checking transition - currentHedgeShortfall is 0</t>
  </si>
  <si>
    <t>2015-1-30 10:50:47.597: Algorithm - updatePortfolio - haveAllDetails is True</t>
  </si>
  <si>
    <t>2015-1-30 10:50:48.221: OrderManager - cancelOrder - cancelling order id 1404</t>
  </si>
  <si>
    <t>2015-1-30 10:50:48.221: OrderManager - PlaceOrder - id 1407 workingQty -2535</t>
  </si>
  <si>
    <t>2015-1-30 10:50:48.221: OrderManagerView - UpdateMainSheetOpenOrder - entering UpdateMainSheetOpenOrder order.status is In-Flight</t>
  </si>
  <si>
    <t>2015-1-30 10:50:48.223: OrderManager - sendOrder - exiting place order id 1407 SELL 30 1.5064  - workingQty -2535 currentPosition is 21 workingOrderCount is 2</t>
  </si>
  <si>
    <t>2015-1-30 10:50:48.928: RTWSControl - nextValidId - entering nextValidId id is 1408</t>
  </si>
  <si>
    <t>2015-1-30 10:50:48.934: RTWSControl - orderStatus -  entering orderStatus id is 1404 status is Cancelled</t>
  </si>
  <si>
    <t>2015-1-30 10:50:48.935: OrderManager - UpdateOrderStatus - id 1404 Setting status to Cancelled workingOrderCount is now 2 workingQty -2535</t>
  </si>
  <si>
    <t>2015-1-30 10:50:48.935: OrderManagerView - UpdateMainSheetOpenOrder - entering UpdateMainSheetOpenOrder order.status is Cancelled</t>
  </si>
  <si>
    <t>2015-1-30 10:50:48.937: RTWSControl - OrderStatus - Got OrderStatus Message id:1404 status: Cancelled filled: 0</t>
  </si>
  <si>
    <t>2015-1-30 10:50:48.937: RTWSControl - OrderStatus - exiting orderStatus</t>
  </si>
  <si>
    <t>2015-1-30 10:50:48.967: RTWSControl - errMsg - got error message 202:Order Canceled - reason:with id 1404</t>
  </si>
  <si>
    <t>2015-1-30 10:50:48.968: OrderManager - canceledOrder - cleaning up after canceled order 1404BEWARE UNACCOUNTED FOR EXECUTIONS!!!</t>
  </si>
  <si>
    <t>2015-1-30 10:50:48.968: OrderManager - terminateOrder - cleaning up after Canceled 1404  order was supposed to SELL 32 1.5062 STP LMT workingQty/OrderCount now -2567/1</t>
  </si>
  <si>
    <t>2015-1-30 10:50:48.969: OrderManagerView - UpdateMainSheetOpenOrder - entering UpdateMainSheetOpenOrder order.status is Canceled</t>
  </si>
  <si>
    <t>2015-1-30 10:50:48.980: RTWSControl - errMsg - got error message 399:Order Message:
SELL 30 GBP MAR'15
Warning: your order will not be placed at the exchange until 2015-01-30 08:30:00 US/Centralwith id 1407</t>
  </si>
  <si>
    <t>2015-1-30 10:50:48.981: RTWSControl - errMsg - Got Error_x000D_id: 1407_x000D_errorCode: 399_x000D_errorMsg: Order Message:
SELL 30 GBP MAR'15
Warning: your order will not be placed at the exchange until 2015-01-30 08:30:00 US/Central</t>
  </si>
  <si>
    <t>2015-1-30 10:50:49.10: openOrderEx - I am here</t>
  </si>
  <si>
    <t>2015-1-30 10:50:49.10: OrderManagerView - UpdateMainSheetOpenOrder - entering UpdateMainSheetOpenOrder order.status is In-Flight</t>
  </si>
  <si>
    <t>2015-1-30 10:50:49.22: RTWSControl - orderStatus -  entering orderStatus id is 1407 status is PreSubmitted</t>
  </si>
  <si>
    <t>2015-1-30 10:50:49.22: OrderManager - UpdateOrderStatus - id 1407 Setting status to PreSubmitted workingOrderCount is now 1 workingQty -2567</t>
  </si>
  <si>
    <t>2015-1-30 10:50:49.23: OrderManagerView - UpdateMainSheetOpenOrder - entering UpdateMainSheetOpenOrder order.status is PreSubmitted</t>
  </si>
  <si>
    <t>2015-1-30 10:50:49.24: RTWSControl - OrderStatus - Got OrderStatus Message id:1407 status: PreSubmitted filled: 0</t>
  </si>
  <si>
    <t>2015-1-30 10:50:49.25: RTWSControl - OrderStatus - exiting orderStatus</t>
  </si>
  <si>
    <t>2015-1-30 10:50:49.55: openOrderEx - I am here</t>
  </si>
  <si>
    <t>2015-1-30 10:50:49.56: OrderManagerView - UpdateMainSheetOpenOrder - entering UpdateMainSheetOpenOrder order.status is PreSubmitted</t>
  </si>
  <si>
    <t>2015-1-30 10:50:49.89: RTWSControl - orderStatus -  entering orderStatus id is 1407 status is PreSubmitted</t>
  </si>
  <si>
    <t>2015-1-30 10:50:49.90: OrderManager - UpdateOrderStatus - id 1407 Setting status to PreSubmitted workingOrderCount is now 1 workingQty -2567</t>
  </si>
  <si>
    <t>2015-1-30 10:50:49.90: OrderManagerView - UpdateMainSheetOpenOrder - entering UpdateMainSheetOpenOrder order.status is PreSubmitted</t>
  </si>
  <si>
    <t>2015-1-30 10:50:49.92: RTWSControl - OrderStatus - Got OrderStatus Message id:1407 status: PreSubmitted filled: 0</t>
  </si>
  <si>
    <t>2015-1-30 10:50:49.93: RTWSControl - OrderStatus - exiting orderStatus</t>
  </si>
  <si>
    <t>2015-1-30 10:50:49.635: OrderManager - cancelOrder - cancelling order id 1406</t>
  </si>
  <si>
    <t>2015-1-30 10:50:49.636: OrderManager - PlaceOrder - id 1408 workingQty -2542</t>
  </si>
  <si>
    <t>2015-1-30 10:50:49.636: OrderManagerView - UpdateMainSheetOpenOrder - entering UpdateMainSheetOpenOrder order.status is In-Flight</t>
  </si>
  <si>
    <t>2015-1-30 10:50:49.637: OrderManager - sendOrder - exiting place order id 1408 BUY 25 1.5125  - workingQty -2542 currentPosition is 21 workingOrderCount is 2</t>
  </si>
  <si>
    <t>2015-1-30 10:50:49.638: OrderManager - cancelOrder - cancelling order id 1407</t>
  </si>
  <si>
    <t>2015-1-30 10:50:49.638: OrderManager - createOrder - exiting without creating order - did not have validID</t>
  </si>
  <si>
    <t>2015-1-30 10:50:49.728: OrderManager - createOrder - exiting without creating order - did not have validID</t>
  </si>
  <si>
    <t>2015-1-30 10:50:49.853: OrderManager - createOrder - exiting without creating order - did not have validID</t>
  </si>
  <si>
    <t>2015-1-30 10:50:49.975: RTWSControl - nextValidId - entering nextValidId id is 1409</t>
  </si>
  <si>
    <t>2015-1-30 10:50:50.9: RTWSControl - orderStatus -  entering orderStatus id is 1406 status is Cancelled</t>
  </si>
  <si>
    <t>2015-1-30 10:50:50.10: OrderManager - UpdateOrderStatus - id 1406 Setting status to Cancelled workingOrderCount is now 2 workingQty -2542</t>
  </si>
  <si>
    <t>2015-1-30 10:50:50.10: OrderManagerView - UpdateMainSheetOpenOrder - entering UpdateMainSheetOpenOrder order.status is Cancelled</t>
  </si>
  <si>
    <t>2015-1-30 10:50:50.12: RTWSControl - OrderStatus - Got OrderStatus Message id:1406 status: Cancelled filled: 0</t>
  </si>
  <si>
    <t>2015-1-30 10:50:50.12: RTWSControl - OrderStatus - exiting orderStatus</t>
  </si>
  <si>
    <t>2015-1-30 10:50:50.22: RTWSControl - errMsg - got error message 202:Order Canceled - reason:with id 1406</t>
  </si>
  <si>
    <t>2015-1-30 10:50:50.22: OrderManager - canceledOrder - cleaning up after canceled order 1406BEWARE UNACCOUNTED FOR EXECUTIONS!!!</t>
  </si>
  <si>
    <t>2015-1-30 10:50:50.23: OrderManager - terminateOrder - cleaning up after Canceled 1406  order was supposed to BUY 31 1.5131 STP LMT workingQty/OrderCount now -2573/1</t>
  </si>
  <si>
    <t>2015-1-30 10:50:50.25: OrderManagerView - UpdateMainSheetOpenOrder - entering UpdateMainSheetOpenOrder order.status is Canceled</t>
  </si>
  <si>
    <t>2015-1-30 10:50:50.53: RTWSControl - errMsg - got error message 399:Order Message:
BUY 25 GBP MAR'15
Warning: your order will not be placed at the exchange until 2015-01-30 08:30:00 US/Centralwith id 1408</t>
  </si>
  <si>
    <t>2015-1-30 10:50:50.54: RTWSControl - errMsg - Got Error_x000D_id: 1408_x000D_errorCode: 399_x000D_errorMsg: Order Message:
BUY 25 GBP MAR'15
Warning: your order will not be placed at the exchange until 2015-01-30 08:30:00 US/Central</t>
  </si>
  <si>
    <t>2015-1-30 10:50:50.63: openOrderEx - I am here</t>
  </si>
  <si>
    <t>2015-1-30 10:50:50.63: OrderManagerView - UpdateMainSheetOpenOrder - entering UpdateMainSheetOpenOrder order.status is In-Flight</t>
  </si>
  <si>
    <t>2015-1-30 10:50:50.94: RTWSControl - orderStatus -  entering orderStatus id is 1408 status is PreSubmitted</t>
  </si>
  <si>
    <t>2015-1-30 10:50:50.95: OrderManager - UpdateOrderStatus - id 1408 Setting status to PreSubmitted workingOrderCount is now 1 workingQty -2573</t>
  </si>
  <si>
    <t>2015-1-30 10:50:50.95: OrderManagerView - UpdateMainSheetOpenOrder - entering UpdateMainSheetOpenOrder order.status is PreSubmitted</t>
  </si>
  <si>
    <t>2015-1-30 10:50:50.97: RTWSControl - OrderStatus - Got OrderStatus Message id:1408 status: PreSubmitted filled: 0</t>
  </si>
  <si>
    <t>2015-1-30 10:50:50.98: RTWSControl - OrderStatus - exiting orderStatus</t>
  </si>
  <si>
    <t>2015-1-30 10:50:51.48: RTWSControl - orderStatus -  entering orderStatus id is 1407 status is Cancelled</t>
  </si>
  <si>
    <t>2015-1-30 10:50:51.49: OrderManager - UpdateOrderStatus - id 1407 Setting status to Cancelled workingOrderCount is now 1 workingQty -2573</t>
  </si>
  <si>
    <t>2015-1-30 10:50:51.49: OrderManagerView - UpdateMainSheetOpenOrder - entering UpdateMainSheetOpenOrder order.status is Cancelled</t>
  </si>
  <si>
    <t>2015-1-30 10:50:51.51: RTWSControl - OrderStatus - Got OrderStatus Message id:1407 status: Cancelled filled: 0</t>
  </si>
  <si>
    <t>2015-1-30 10:50:51.51: RTWSControl - OrderStatus - exiting orderStatus</t>
  </si>
  <si>
    <t>2015-1-30 10:50:51.62: RTWSControl - errMsg - got error message 202:Order Canceled - reason:with id 1407</t>
  </si>
  <si>
    <t>2015-1-30 10:50:51.62: OrderManager - canceledOrder - cleaning up after canceled order 1407BEWARE UNACCOUNTED FOR EXECUTIONS!!!</t>
  </si>
  <si>
    <t>2015-1-30 10:50:51.63: OrderManager - terminateOrder - cleaning up after Canceled 1407  order was supposed to SELL 30 1.5064 STP LMT workingQty/OrderCount now -2603/0</t>
  </si>
  <si>
    <t>2015-1-30 10:50:51.65: OrderManagerView - UpdateMainSheetOpenOrder - entering UpdateMainSheetOpenOrder order.status is Canceled</t>
  </si>
  <si>
    <t>2015-1-30 10:50:51.99: openOrderEx - I am here</t>
  </si>
  <si>
    <t>2015-1-30 10:50:51.99: OrderManagerView - UpdateMainSheetOpenOrder - entering UpdateMainSheetOpenOrder order.status is PreSubmitted</t>
  </si>
  <si>
    <t>2015-1-30 10:50:51.137: RTWSControl - orderStatus -  entering orderStatus id is 1408 status is PreSubmitted</t>
  </si>
  <si>
    <t>2015-1-30 10:50:51.137: OrderManager - UpdateOrderStatus - id 1408 Setting status to PreSubmitted workingOrderCount is now 0 workingQty -2603</t>
  </si>
  <si>
    <t>2015-1-30 10:50:51.138: OrderManagerView - UpdateMainSheetOpenOrder - entering UpdateMainSheetOpenOrder order.status is PreSubmitted</t>
  </si>
  <si>
    <t>2015-1-30 10:50:51.139: RTWSControl - OrderStatus - Got OrderStatus Message id:1408 status: PreSubmitted filled: 0</t>
  </si>
  <si>
    <t>2015-1-30 10:50:51.140: RTWSControl - OrderStatus - exiting orderStatus</t>
  </si>
  <si>
    <t>2015-1-30 10:50:51.389: OrderManager - cancelOrder - cancelling order id 1408</t>
  </si>
  <si>
    <t>2015-1-30 10:50:51.389: OrderManager - PlaceOrder - id 1409 workingQty -2576</t>
  </si>
  <si>
    <t>2015-1-30 10:50:51.389: OrderManagerView - UpdateMainSheetOpenOrder - entering UpdateMainSheetOpenOrder order.status is In-Flight</t>
  </si>
  <si>
    <t>2015-1-30 10:50:51.391: OrderManager - sendOrder - exiting place order id 1409 BUY 27 1.5127  - workingQty -2576 currentPosition is 21 workingOrderCount is 1</t>
  </si>
  <si>
    <t>2015-1-30 10:50:51.392: OrderManager - createOrder - exiting without creating order - did not have validID</t>
  </si>
  <si>
    <t>2015-1-30 10:50:51.594: RTWSControl - nextValidId - entering nextValidId id is 1410</t>
  </si>
  <si>
    <t>2015-1-30 10:50:51.628: RTWSControl - orderStatus -  entering orderStatus id is 1408 status is Cancelled</t>
  </si>
  <si>
    <t>2015-1-30 10:50:51.629: OrderManager - UpdateOrderStatus - id 1408 Setting status to Cancelled workingOrderCount is now 1 workingQty -2576</t>
  </si>
  <si>
    <t>2015-1-30 10:50:51.629: OrderManagerView - UpdateMainSheetOpenOrder - entering UpdateMainSheetOpenOrder order.status is Cancelled</t>
  </si>
  <si>
    <t>2015-1-30 10:50:51.632: RTWSControl - OrderStatus - Got OrderStatus Message id:1408 status: Cancelled filled: 0</t>
  </si>
  <si>
    <t>2015-1-30 10:50:51.632: RTWSControl - OrderStatus - exiting orderStatus</t>
  </si>
  <si>
    <t>2015-1-30 10:50:51.660: RTWSControl - errMsg - got error message 202:Order Canceled - reason:with id 1408</t>
  </si>
  <si>
    <t>2015-1-30 10:50:51.661: OrderManager - canceledOrder - cleaning up after canceled order 1408BEWARE UNACCOUNTED FOR EXECUTIONS!!!</t>
  </si>
  <si>
    <t>2015-1-30 10:50:51.661: OrderManager - terminateOrder - cleaning up after Canceled 1408  order was supposed to BUY 25 1.5125 STP LMT workingQty/OrderCount now -2601/0</t>
  </si>
  <si>
    <t>2015-1-30 10:50:51.663: OrderManagerView - UpdateMainSheetOpenOrder - entering UpdateMainSheetOpenOrder order.status is Canceled</t>
  </si>
  <si>
    <t>2015-1-30 10:50:51.715: RTWSControl - errMsg - got error message 399:Order Message:
BUY 27 GBP MAR'15
Warning: your order will not be placed at the exchange until 2015-01-30 08:30:00 US/Centralwith id 1409</t>
  </si>
  <si>
    <t>2015-1-30 10:50:51.716: RTWSControl - errMsg - Got Error_x000D_id: 1409_x000D_errorCode: 399_x000D_errorMsg: Order Message:
BUY 27 GBP MAR'15
Warning: your order will not be placed at the exchange until 2015-01-30 08:30:00 US/Central</t>
  </si>
  <si>
    <t>2015-1-30 10:50:51.724: openOrderEx - I am here</t>
  </si>
  <si>
    <t>2015-1-30 10:50:51.724: OrderManagerView - UpdateMainSheetOpenOrder - entering UpdateMainSheetOpenOrder order.status is In-Flight</t>
  </si>
  <si>
    <t>2015-1-30 10:50:51.759: RTWSControl - orderStatus -  entering orderStatus id is 1409 status is PreSubmitted</t>
  </si>
  <si>
    <t>2015-1-30 10:50:51.760: OrderManager - UpdateOrderStatus - id 1409 Setting status to PreSubmitted workingOrderCount is now 0 workingQty -2601</t>
  </si>
  <si>
    <t>2015-1-30 10:50:51.760: OrderManagerView - UpdateMainSheetOpenOrder - entering UpdateMainSheetOpenOrder order.status is PreSubmitted</t>
  </si>
  <si>
    <t>2015-1-30 10:50:51.762: RTWSControl - OrderStatus - Got OrderStatus Message id:1409 status: PreSubmitted filled: 0</t>
  </si>
  <si>
    <t>2015-1-30 10:50:51.762: RTWSControl - OrderStatus - exiting orderStatus</t>
  </si>
  <si>
    <t>2015-1-30 10:50:51.844: openOrderEx - I am here</t>
  </si>
  <si>
    <t>2015-1-30 10:50:51.845: OrderManagerView - UpdateMainSheetOpenOrder - entering UpdateMainSheetOpenOrder order.status is PreSubmitted</t>
  </si>
  <si>
    <t>2015-1-30 10:50:51.866: RTWSControl - orderStatus -  entering orderStatus id is 1409 status is PreSubmitted</t>
  </si>
  <si>
    <t>2015-1-30 10:50:51.867: OrderManager - UpdateOrderStatus - id 1409 Setting status to PreSubmitted workingOrderCount is now 0 workingQty -2601</t>
  </si>
  <si>
    <t>2015-1-30 10:50:51.867: OrderManagerView - UpdateMainSheetOpenOrder - entering UpdateMainSheetOpenOrder order.status is PreSubmitted</t>
  </si>
  <si>
    <t>2015-1-30 10:50:51.869: RTWSControl - OrderStatus - Got OrderStatus Message id:1409 status: PreSubmitted filled: 0</t>
  </si>
  <si>
    <t>2015-1-30 10:50:51.870: RTWSControl - OrderStatus - exiting orderStatus</t>
  </si>
  <si>
    <t>2015-1-30 10:50:53.20: OrderManagerView - UpdateMainSheetOpenOrder - entering UpdateMainSheetOpenOrder order.status is Canceled</t>
  </si>
  <si>
    <t>2015-1-30 10:50:53.27: OrderManagerView - UpdateMainSheetOpenOrder - entering UpdateMainSheetOpenOrder order.status is Canceled</t>
  </si>
  <si>
    <t>2015-1-30 10:50:53.29: OrderManagerView - UpdateMainSheetOpenOrder - entering UpdateMainSheetOpenOrder order.status is Canceled</t>
  </si>
  <si>
    <t>2015-1-30 10:50:53.31: OrderManagerView - UpdateMainSheetOpenOrder - entering UpdateMainSheetOpenOrder order.status is PreSubmitted</t>
  </si>
  <si>
    <t>2015-1-30 10:50:53.33: OrderManagerView - UpdateMainSheetOpenOrder - entering UpdateMainSheetOpenOrder order.status is Canceled</t>
  </si>
  <si>
    <t>2015-1-30 10:50:53.35: OrderManagerView - UpdateMainSheetOpenOrder - entering UpdateMainSheetOpenOrder order.status is PreSubmitted</t>
  </si>
  <si>
    <t>2015-1-30 10:50:53.37: OrderManagerView - UpdateMainSheetOpenOrder - entering UpdateMainSheetOpenOrder order.status is PreSubmitted</t>
  </si>
  <si>
    <t>2015-1-30 10:50:55.45: OrderManagerView - UpdateMainSheetOpenOrder - entering UpdateMainSheetOpenOrder order.status is Canceled</t>
  </si>
  <si>
    <t>2015-1-30 10:50:55.53: OrderManagerView - UpdateMainSheetOpenOrder - entering UpdateMainSheetOpenOrder order.status is PreSubmitted</t>
  </si>
  <si>
    <t>2015-1-30 10:50:55.58: OrderManagerView - UpdateMainSheetOpenOrder - entering UpdateMainSheetOpenOrder order.status is PreSubmitted</t>
  </si>
  <si>
    <t>2015-1-30 10:50:56.42: OrderManagerView - UpdateMainSheetOpenOrder - entering UpdateMainSheetOpenOrder order.status is PreSubmitted</t>
  </si>
  <si>
    <t>2015-1-30 10:50:56.66: OrderManagerView - UpdateMainSheetOpenOrder - entering UpdateMainSheetOpenOrder order.status is PreSubmitted</t>
  </si>
  <si>
    <t>2015-1-30 10:50:58.642: OrderManagerView - UpdateMainSheetOpenOrder - entering UpdateMainSheetOpenOrder order.status is PreSubmitted</t>
  </si>
  <si>
    <t>2015-1-30 10:50:58.667: OrderManagerView - UpdateMainSheetOpenOrder - entering UpdateMainSheetOpenOrder order.status is PreSubmitted</t>
  </si>
  <si>
    <t>2015-1-30 10:50:58.706: OrderManagerView - UpdateMainSheetOpenOrder - entering UpdateMainSheetOpenOrder order.status is PreSubmitted</t>
  </si>
  <si>
    <t>2015-1-30 10:50:58.718: OrderManagerView - UpdateMainSheetOpenOrder - entering UpdateMainSheetOpenOrder order.status is PreSubmitted</t>
  </si>
  <si>
    <t>2015-1-30 10:51:0.24: OrderManagerView - UpdateMainSheetOpenOrder - entering UpdateMainSheetOpenOrder order.status is PreSubmitted</t>
  </si>
  <si>
    <t>2015-1-30 10:51:1.279: OrderManager - cancelOrder - cancelling order id 1409</t>
  </si>
  <si>
    <t>2015-1-30 10:51:1.281: OrderManager - PlaceOrder - id 1410 workingQty -2578</t>
  </si>
  <si>
    <t>2015-1-30 10:51:1.282: OrderManagerView - UpdateMainSheetOpenOrder - entering UpdateMainSheetOpenOrder order.status is In-Flight</t>
  </si>
  <si>
    <t>2015-1-30 10:51:1.287: OrderManager - sendOrder - exiting place order id 1410 BUY 23 1.5121  - workingQty -2578 currentPosition is 21 workingOrderCount is 1</t>
  </si>
  <si>
    <t>2015-1-30 10:51:1.289: OrderManager - createOrder - exiting without creating order - did not have validID</t>
  </si>
  <si>
    <t>2015-1-30 10:51:1.391: RTWSControl - nextValidId - entering nextValidId id is 1411</t>
  </si>
  <si>
    <t>2015-1-30 10:51:1.585: RTWSControl - orderStatus -  entering orderStatus id is 1409 status is Cancelled</t>
  </si>
  <si>
    <t>2015-1-30 10:51:1.587: OrderManager - UpdateOrderStatus - id 1409 Setting status to Cancelled workingOrderCount is now 1 workingQty -2578</t>
  </si>
  <si>
    <t>2015-1-30 10:51:1.588: OrderManagerView - UpdateMainSheetOpenOrder - entering UpdateMainSheetOpenOrder order.status is Cancelled</t>
  </si>
  <si>
    <t>2015-1-30 10:51:1.593: RTWSControl - OrderStatus - Got OrderStatus Message id:1409 status: Cancelled filled: 0</t>
  </si>
  <si>
    <t>2015-1-30 10:51:1.594: RTWSControl - OrderStatus - exiting orderStatus</t>
  </si>
  <si>
    <t>2015-1-30 10:51:1.628: RTWSControl - errMsg - got error message 202:Order Canceled - reason:with id 1409</t>
  </si>
  <si>
    <t>2015-1-30 10:51:1.629: OrderManager - canceledOrder - cleaning up after canceled order 1409BEWARE UNACCOUNTED FOR EXECUTIONS!!!</t>
  </si>
  <si>
    <t>2015-1-30 10:51:1.630: OrderManager - terminateOrder - cleaning up after Canceled 1409  order was supposed to BUY 27 1.5127 STP LMT workingQty/OrderCount now -2605/0</t>
  </si>
  <si>
    <t>2015-1-30 10:51:1.635: OrderManagerView - UpdateMainSheetOpenOrder - entering UpdateMainSheetOpenOrder order.status is Canceled</t>
  </si>
  <si>
    <t>2015-1-30 10:51:1.676: RTWSControl - errMsg - got error message 399:Order Message:
BUY 23 GBP MAR'15
Warning: your order will not be placed at the exchange until 2015-01-30 08:30:00 US/Centralwith id 1410</t>
  </si>
  <si>
    <t>2015-1-30 10:51:1.677: RTWSControl - errMsg - Got Error_x000D_id: 1410_x000D_errorCode: 399_x000D_errorMsg: Order Message:
BUY 23 GBP MAR'15
Warning: your order will not be placed at the exchange until 2015-01-30 08:30:00 US/Central</t>
  </si>
  <si>
    <t>2015-1-30 10:51:1.688: openOrderEx - I am here</t>
  </si>
  <si>
    <t>2015-1-30 10:51:1.689: OrderManagerView - UpdateMainSheetOpenOrder - entering UpdateMainSheetOpenOrder order.status is In-Flight</t>
  </si>
  <si>
    <t>2015-1-30 10:51:1.717: RTWSControl - orderStatus -  entering orderStatus id is 1410 status is PreSubmitted</t>
  </si>
  <si>
    <t>2015-1-30 10:51:1.717: OrderManager - UpdateOrderStatus - id 1410 Setting status to PreSubmitted workingOrderCount is now 0 workingQty -2605</t>
  </si>
  <si>
    <t>2015-1-30 10:51:1.717: OrderManagerView - UpdateMainSheetOpenOrder - entering UpdateMainSheetOpenOrder order.status is PreSubmitted</t>
  </si>
  <si>
    <t>2015-1-30 10:51:1.719: RTWSControl - OrderStatus - Got OrderStatus Message id:1410 status: PreSubmitted filled: 0</t>
  </si>
  <si>
    <t>2015-1-30 10:51:1.719: RTWSControl - OrderStatus - exiting orderStatus</t>
  </si>
  <si>
    <t>2015-1-30 10:51:1.732: openOrderEx - I am here</t>
  </si>
  <si>
    <t>2015-1-30 10:51:1.732: OrderManagerView - UpdateMainSheetOpenOrder - entering UpdateMainSheetOpenOrder order.status is PreSubmitted</t>
  </si>
  <si>
    <t>2015-1-30 10:51:1.762: RTWSControl - orderStatus -  entering orderStatus id is 1410 status is PreSubmitted</t>
  </si>
  <si>
    <t>2015-1-30 10:51:1.763: OrderManager - UpdateOrderStatus - id 1410 Setting status to PreSubmitted workingOrderCount is now 0 workingQty -2605</t>
  </si>
  <si>
    <t>2015-1-30 10:51:1.763: OrderManagerView - UpdateMainSheetOpenOrder - entering UpdateMainSheetOpenOrder order.status is PreSubmitted</t>
  </si>
  <si>
    <t>2015-1-30 10:51:1.765: RTWSControl - OrderStatus - Got OrderStatus Message id:1410 status: PreSubmitted filled: 0</t>
  </si>
  <si>
    <t>2015-1-30 10:51:1.765: RTWSControl - OrderStatus - exiting orderStatus</t>
  </si>
  <si>
    <t>2015-1-30 10:51:4.810: OrderManager - PlaceOrder - id 1411 workingQty -2629</t>
  </si>
  <si>
    <t>2015-1-30 10:51:4.811: OrderManagerView - UpdateMainSheetOpenOrder - entering UpdateMainSheetOpenOrder order.status is In-Flight</t>
  </si>
  <si>
    <t>2015-1-30 10:51:4.812: OrderManager - sendOrder - exiting place order id 1411 SELL 24 1.5064  - workingQty -2629 currentPosition is 21 workingOrderCount is 1</t>
  </si>
  <si>
    <t>2015-1-30 10:51:4.935: RTWSControl - nextValidId - entering nextValidId id is 1412</t>
  </si>
  <si>
    <t>2015-1-30 10:51:5.104: RTWSControl - errMsg - got error message 399:Order Message:
SELL 24 GBP MAR'15
Warning: your order will not be placed at the exchange until 2015-01-30 08:30:00 US/Centralwith id 1411</t>
  </si>
  <si>
    <t>2015-1-30 10:51:5.105: RTWSControl - errMsg - Got Error_x000D_id: 1411_x000D_errorCode: 399_x000D_errorMsg: Order Message:
SELL 24 GBP MAR'15
Warning: your order will not be placed at the exchange until 2015-01-30 08:30:00 US/Central</t>
  </si>
  <si>
    <t>2015-1-30 10:51:5.114: openOrderEx - I am here</t>
  </si>
  <si>
    <t>2015-1-30 10:51:5.114: OrderManagerView - UpdateMainSheetOpenOrder - entering UpdateMainSheetOpenOrder order.status is In-Flight</t>
  </si>
  <si>
    <t>2015-1-30 10:51:5.163: RTWSControl - orderStatus -  entering orderStatus id is 1411 status is PreSubmitted</t>
  </si>
  <si>
    <t>2015-1-30 10:51:5.163: OrderManager - UpdateOrderStatus - id 1411 Setting status to PreSubmitted workingOrderCount is now 1 workingQty -2629</t>
  </si>
  <si>
    <t>2015-1-30 10:51:5.164: OrderManagerView - UpdateMainSheetOpenOrder - entering UpdateMainSheetOpenOrder order.status is PreSubmitted</t>
  </si>
  <si>
    <t>2015-1-30 10:51:5.166: RTWSControl - OrderStatus - Got OrderStatus Message id:1411 status: PreSubmitted filled: 0</t>
  </si>
  <si>
    <t>2015-1-30 10:51:5.166: RTWSControl - OrderStatus - exiting orderStatus</t>
  </si>
  <si>
    <t>2015-1-30 10:51:5.179: openOrderEx - I am here</t>
  </si>
  <si>
    <t>2015-1-30 10:51:5.179: OrderManagerView - UpdateMainSheetOpenOrder - entering UpdateMainSheetOpenOrder order.status is PreSubmitted</t>
  </si>
  <si>
    <t>2015-1-30 10:51:5.223: RTWSControl - orderStatus -  entering orderStatus id is 1411 status is PreSubmitted</t>
  </si>
  <si>
    <t>2015-1-30 10:51:5.223: OrderManager - UpdateOrderStatus - id 1411 Setting status to PreSubmitted workingOrderCount is now 1 workingQty -2629</t>
  </si>
  <si>
    <t>2015-1-30 10:51:5.224: OrderManagerView - UpdateMainSheetOpenOrder - entering UpdateMainSheetOpenOrder order.status is PreSubmitted</t>
  </si>
  <si>
    <t>2015-1-30 10:51:5.225: RTWSControl - OrderStatus - Got OrderStatus Message id:1411 status: PreSubmitted filled: 0</t>
  </si>
  <si>
    <t>2015-1-30 10:51:5.226: RTWSControl - OrderStatus - exiting orderStatus</t>
  </si>
  <si>
    <t>2015-1-30 10:51:6.76: OrderManagerView - UpdateMainSheetOpenOrder - entering UpdateMainSheetOpenOrder order.status is PreSubmitted</t>
  </si>
  <si>
    <t>2015-1-30 10:51:6.80: OrderManagerView - UpdateMainSheetOpenOrder - entering UpdateMainSheetOpenOrder order.status is PreSubmitted</t>
  </si>
  <si>
    <t>2015-1-30 10:51:6.83: OrderManagerView - UpdateMainSheetOpenOrder - entering UpdateMainSheetOpenOrder order.status is PreSubmitted</t>
  </si>
  <si>
    <t>2015-1-30 10:51:7.556: OrderManager - cancelOrder - cancelling order id 1410</t>
  </si>
  <si>
    <t>2015-1-30 10:51:7.556: OrderManager - PlaceOrder - id 1412 workingQty -2604</t>
  </si>
  <si>
    <t>2015-1-30 10:51:7.556: OrderManagerView - UpdateMainSheetOpenOrder - entering UpdateMainSheetOpenOrder order.status is In-Flight</t>
  </si>
  <si>
    <t>2015-1-30 10:51:7.558: OrderManager - sendOrder - exiting place order id 1412 BUY 25 1.5123  - workingQty -2604 currentPosition is 21 workingOrderCount is 2</t>
  </si>
  <si>
    <t>2015-1-30 10:51:7.649: RTWSControl - nextValidId - entering nextValidId id is 1413</t>
  </si>
  <si>
    <t>2015-1-30 10:51:7.868: RTWSControl - orderStatus -  entering orderStatus id is 1410 status is Cancelled</t>
  </si>
  <si>
    <t>2015-1-30 10:51:7.870: OrderManager - UpdateOrderStatus - id 1410 Setting status to Cancelled workingOrderCount is now 2 workingQty -2604</t>
  </si>
  <si>
    <t>2015-1-30 10:51:7.871: OrderManagerView - UpdateMainSheetOpenOrder - entering UpdateMainSheetOpenOrder order.status is Cancelled</t>
  </si>
  <si>
    <t>2015-1-30 10:51:7.879: RTWSControl - OrderStatus - Got OrderStatus Message id:1410 status: Cancelled filled: 0</t>
  </si>
  <si>
    <t>2015-1-30 10:51:7.881: RTWSControl - OrderStatus - exiting orderStatus</t>
  </si>
  <si>
    <t>2015-1-30 10:51:7.914: RTWSControl - errMsg - got error message 202:Order Canceled - reason:with id 1410</t>
  </si>
  <si>
    <t>2015-1-30 10:51:7.915: OrderManager - canceledOrder - cleaning up after canceled order 1410BEWARE UNACCOUNTED FOR EXECUTIONS!!!</t>
  </si>
  <si>
    <t>2015-1-30 10:51:7.916: OrderManager - terminateOrder - cleaning up after Canceled 1410  order was supposed to BUY 23 1.5121 STP LMT workingQty/OrderCount now -2627/1</t>
  </si>
  <si>
    <t>2015-1-30 10:51:7.918: OrderManagerView - UpdateMainSheetOpenOrder - entering UpdateMainSheetOpenOrder order.status is Canceled</t>
  </si>
  <si>
    <t>2015-1-30 10:51:7.953: RTWSControl - errMsg - got error message 399:Order Message:
BUY 25 GBP MAR'15
Warning: your order will not be placed at the exchange until 2015-01-30 08:30:00 US/Centralwith id 1412</t>
  </si>
  <si>
    <t>2015-1-30 10:51:7.954: RTWSControl - errMsg - Got Error_x000D_id: 1412_x000D_errorCode: 399_x000D_errorMsg: Order Message:
BUY 25 GBP MAR'15
Warning: your order will not be placed at the exchange until 2015-01-30 08:30:00 US/Central</t>
  </si>
  <si>
    <t>2015-1-30 10:51:7.970: openOrderEx - I am here</t>
  </si>
  <si>
    <t>2015-1-30 10:51:7.970: OrderManagerView - UpdateMainSheetOpenOrder - entering UpdateMainSheetOpenOrder order.status is In-Flight</t>
  </si>
  <si>
    <t>2015-1-30 10:51:7.991: RTWSControl - orderStatus -  entering orderStatus id is 1412 status is PreSubmitted</t>
  </si>
  <si>
    <t>2015-1-30 10:51:7.991: OrderManager - UpdateOrderStatus - id 1412 Setting status to PreSubmitted workingOrderCount is now 1 workingQty -2627</t>
  </si>
  <si>
    <t>2015-1-30 10:51:7.992: OrderManagerView - UpdateMainSheetOpenOrder - entering UpdateMainSheetOpenOrder order.status is PreSubmitted</t>
  </si>
  <si>
    <t>2015-1-30 10:51:7.994: RTWSControl - OrderStatus - Got OrderStatus Message id:1412 status: PreSubmitted filled: 0</t>
  </si>
  <si>
    <t>2015-1-30 10:51:7.994: RTWSControl - OrderStatus - exiting orderStatus</t>
  </si>
  <si>
    <t>2015-1-30 10:51:8.24: openOrderEx - I am here</t>
  </si>
  <si>
    <t>2015-1-30 10:51:8.24: OrderManagerView - UpdateMainSheetOpenOrder - entering UpdateMainSheetOpenOrder order.status is PreSubmitted</t>
  </si>
  <si>
    <t>2015-1-30 10:51:8.56: RTWSControl - orderStatus -  entering orderStatus id is 1412 status is PreSubmitted</t>
  </si>
  <si>
    <t>2015-1-30 10:51:8.56: OrderManager - UpdateOrderStatus - id 1412 Setting status to PreSubmitted workingOrderCount is now 1 workingQty -2627</t>
  </si>
  <si>
    <t>2015-1-30 10:51:8.57: OrderManagerView - UpdateMainSheetOpenOrder - entering UpdateMainSheetOpenOrder order.status is PreSubmitted</t>
  </si>
  <si>
    <t>2015-1-30 10:51:8.59: RTWSControl - OrderStatus - Got OrderStatus Message id:1412 status: PreSubmitted filled: 0</t>
  </si>
  <si>
    <t>2015-1-30 10:51:8.59: RTWSControl - OrderStatus - exiting orderStatus</t>
  </si>
  <si>
    <t>2015-1-30 10:51:12.13: OrderManagerView - UpdateMainSheetOpenOrder - entering UpdateMainSheetOpenOrder order.status is PreSubmitted</t>
  </si>
  <si>
    <t>2015-1-30 10:51:12.15: OrderManagerView - UpdateMainSheetOpenOrder - entering UpdateMainSheetOpenOrder order.status is PreSubmitted</t>
  </si>
  <si>
    <t>2015-1-30 10:51:12.17: OrderManagerView - UpdateMainSheetOpenOrder - entering UpdateMainSheetOpenOrder order.status is PreSubmitted</t>
  </si>
  <si>
    <t>2015-1-30 10:51:22.895: OrderManager - cancelOrder - cancelling order id 1412</t>
  </si>
  <si>
    <t>2015-1-30 10:51:22.896: OrderManager - PlaceOrder - id 1413 workingQty -2601</t>
  </si>
  <si>
    <t>2015-1-30 10:51:22.897: OrderManagerView - UpdateMainSheetOpenOrder - entering UpdateMainSheetOpenOrder order.status is In-Flight</t>
  </si>
  <si>
    <t>2015-1-30 10:51:22.903: OrderManager - sendOrder - exiting place order id 1413 BUY 26 1.5125  - workingQty -2601 currentPosition is 21 workingOrderCount is 2</t>
  </si>
  <si>
    <t>2015-1-30 10:51:22.904: OrderManager - cancelOrder - cancelling order id 1411</t>
  </si>
  <si>
    <t>2015-1-30 10:51:22.905: OrderManager - createOrder - exiting without creating order - did not have validID</t>
  </si>
  <si>
    <t>2015-1-30 10:51:23.19: RTWSControl - nextValidId - entering nextValidId id is 1414</t>
  </si>
  <si>
    <t>2015-1-30 10:51:23.218: RTWSControl - orderStatus -  entering orderStatus id is 1412 status is Cancelled</t>
  </si>
  <si>
    <t>2015-1-30 10:51:23.220: OrderManager - UpdateOrderStatus - id 1412 Setting status to Cancelled workingOrderCount is now 2 workingQty -2601</t>
  </si>
  <si>
    <t>2015-1-30 10:51:23.222: OrderManagerView - UpdateMainSheetOpenOrder - entering UpdateMainSheetOpenOrder order.status is Cancelled</t>
  </si>
  <si>
    <t>2015-1-30 10:51:23.230: RTWSControl - OrderStatus - Got OrderStatus Message id:1412 status: Cancelled filled: 0</t>
  </si>
  <si>
    <t>2015-1-30 10:51:23.232: RTWSControl - OrderStatus - exiting orderStatus</t>
  </si>
  <si>
    <t>2015-1-30 10:51:23.251: RTWSControl - errMsg - got error message 202:Order Canceled - reason:with id 1412</t>
  </si>
  <si>
    <t>2015-1-30 10:51:23.252: OrderManager - canceledOrder - cleaning up after canceled order 1412BEWARE UNACCOUNTED FOR EXECUTIONS!!!</t>
  </si>
  <si>
    <t>2015-1-30 10:51:23.253: OrderManager - terminateOrder - cleaning up after Canceled 1412  order was supposed to BUY 25 1.5123 STP LMT workingQty/OrderCount now -2626/1</t>
  </si>
  <si>
    <t>2015-1-30 10:51:23.256: OrderManagerView - UpdateMainSheetOpenOrder - entering UpdateMainSheetOpenOrder order.status is Canceled</t>
  </si>
  <si>
    <t>2015-1-30 10:51:23.298: RTWSControl - errMsg - got error message 399:Order Message:
BUY 26 GBP MAR'15
Warning: your order will not be placed at the exchange until 2015-01-30 08:30:00 US/Centralwith id 1413</t>
  </si>
  <si>
    <t>2015-1-30 10:51:23.299: RTWSControl - errMsg - Got Error_x000D_id: 1413_x000D_errorCode: 399_x000D_errorMsg: Order Message:
BUY 26 GBP MAR'15
Warning: your order will not be placed at the exchange until 2015-01-30 08:30:00 US/Central</t>
  </si>
  <si>
    <t>2015-1-30 10:51:23.310: openOrderEx - I am here</t>
  </si>
  <si>
    <t>2015-1-30 10:51:23.310: OrderManagerView - UpdateMainSheetOpenOrder - entering UpdateMainSheetOpenOrder order.status is In-Flight</t>
  </si>
  <si>
    <t>2015-1-30 10:51:23.350: RTWSControl - orderStatus -  entering orderStatus id is 1413 status is PreSubmitted</t>
  </si>
  <si>
    <t>2015-1-30 10:51:23.351: OrderManager - UpdateOrderStatus - id 1413 Setting status to PreSubmitted workingOrderCount is now 1 workingQty -2626</t>
  </si>
  <si>
    <t>2015-1-30 10:51:23.351: OrderManagerView - UpdateMainSheetOpenOrder - entering UpdateMainSheetOpenOrder order.status is PreSubmitted</t>
  </si>
  <si>
    <t>2015-1-30 10:51:23.353: RTWSControl - OrderStatus - Got OrderStatus Message id:1413 status: PreSubmitted filled: 0</t>
  </si>
  <si>
    <t>2015-1-30 10:51:23.354: RTWSControl - OrderStatus - exiting orderStatus</t>
  </si>
  <si>
    <t>2015-1-30 10:51:23.386: RTWSControl - orderStatus -  entering orderStatus id is 1411 status is Cancelled</t>
  </si>
  <si>
    <t>2015-1-30 10:51:23.387: OrderManager - UpdateOrderStatus - id 1411 Setting status to Cancelled workingOrderCount is now 1 workingQty -2626</t>
  </si>
  <si>
    <t>2015-1-30 10:51:23.387: OrderManagerView - UpdateMainSheetOpenOrder - entering UpdateMainSheetOpenOrder order.status is Cancelled</t>
  </si>
  <si>
    <t>2015-1-30 10:51:23.389: RTWSControl - OrderStatus - Got OrderStatus Message id:1411 status: Cancelled filled: 0</t>
  </si>
  <si>
    <t>2015-1-30 10:51:23.390: RTWSControl - OrderStatus - exiting orderStatus</t>
  </si>
  <si>
    <t>2015-1-30 10:51:23.403: RTWSControl - errMsg - got error message 202:Order Canceled - reason:with id 1411</t>
  </si>
  <si>
    <t>2015-1-30 10:51:23.404: OrderManager - canceledOrder - cleaning up after canceled order 1411BEWARE UNACCOUNTED FOR EXECUTIONS!!!</t>
  </si>
  <si>
    <t>2015-1-30 10:51:23.405: OrderManager - terminateOrder - cleaning up after Canceled 1411  order was supposed to SELL 24 1.5064 STP LMT workingQty/OrderCount now -2650/0</t>
  </si>
  <si>
    <t>2015-1-30 10:51:23.407: OrderManagerView - UpdateMainSheetOpenOrder - entering UpdateMainSheetOpenOrder order.status is Canceled</t>
  </si>
  <si>
    <t>2015-1-30 10:51:23.433: openOrderEx - I am here</t>
  </si>
  <si>
    <t>2015-1-30 10:51:23.433: OrderManagerView - UpdateMainSheetOpenOrder - entering UpdateMainSheetOpenOrder order.status is PreSubmitted</t>
  </si>
  <si>
    <t>2015-1-30 10:51:23.467: RTWSControl - orderStatus -  entering orderStatus id is 1413 status is PreSubmitted</t>
  </si>
  <si>
    <t>2015-1-30 10:51:23.467: OrderManager - UpdateOrderStatus - id 1413 Setting status to PreSubmitted workingOrderCount is now 0 workingQty -2650</t>
  </si>
  <si>
    <t>2015-1-30 10:51:23.468: OrderManagerView - UpdateMainSheetOpenOrder - entering UpdateMainSheetOpenOrder order.status is PreSubmitted</t>
  </si>
  <si>
    <t>2015-1-30 10:51:23.469: RTWSControl - OrderStatus - Got OrderStatus Message id:1413 status: PreSubmitted filled: 0</t>
  </si>
  <si>
    <t>2015-1-30 10:51:23.470: RTWSControl - OrderStatus - exiting orderStatus</t>
  </si>
  <si>
    <t>2015-1-30 10:51:23.819: OrderManager - PlaceOrder - id 1414 workingQty -2676</t>
  </si>
  <si>
    <t>2015-1-30 10:51:23.820: OrderManagerView - UpdateMainSheetOpenOrder - entering UpdateMainSheetOpenOrder order.status is In-Flight</t>
  </si>
  <si>
    <t>2015-1-30 10:51:23.826: OrderManager - sendOrder - exiting place order id 1414 SELL 26 1.5063  - workingQty -2676 currentPosition is 21 workingOrderCount is 1</t>
  </si>
  <si>
    <t>2015-1-30 10:51:24.855: RTWSControl - nextValidId - entering nextValidId id is 1415</t>
  </si>
  <si>
    <t>2015-1-30 10:51:24.889: RTWSControl - errMsg - got error message 399:Order Message:
SELL 26 GBP MAR'15
Warning: your order will not be placed at the exchange until 2015-01-30 08:30:00 US/Centralwith id 1414</t>
  </si>
  <si>
    <t>2015-1-30 10:51:24.890: RTWSControl - errMsg - Got Error_x000D_id: 1414_x000D_errorCode: 399_x000D_errorMsg: Order Message:
SELL 26 GBP MAR'15
Warning: your order will not be placed at the exchange until 2015-01-30 08:30:00 US/Central</t>
  </si>
  <si>
    <t>2015-1-30 10:51:24.898: openOrderEx - I am here</t>
  </si>
  <si>
    <t>2015-1-30 10:51:24.899: OrderManagerView - UpdateMainSheetOpenOrder - entering UpdateMainSheetOpenOrder order.status is In-Flight</t>
  </si>
  <si>
    <t>2015-1-30 10:51:24.925: RTWSControl - orderStatus -  entering orderStatus id is 1414 status is PreSubmitted</t>
  </si>
  <si>
    <t>2015-1-30 10:51:24.926: OrderManager - UpdateOrderStatus - id 1414 Setting status to PreSubmitted workingOrderCount is now 1 workingQty -2676</t>
  </si>
  <si>
    <t>2015-1-30 10:51:24.926: OrderManagerView - UpdateMainSheetOpenOrder - entering UpdateMainSheetOpenOrder order.status is PreSubmitted</t>
  </si>
  <si>
    <t>2015-1-30 10:51:24.928: RTWSControl - OrderStatus - Got OrderStatus Message id:1414 status: PreSubmitted filled: 0</t>
  </si>
  <si>
    <t>2015-1-30 10:51:24.928: RTWSControl - OrderStatus - exiting orderStatus</t>
  </si>
  <si>
    <t>2015-1-30 10:51:25.74: openOrderEx - I am here</t>
  </si>
  <si>
    <t>2015-1-30 10:51:25.74: OrderManagerView - UpdateMainSheetOpenOrder - entering UpdateMainSheetOpenOrder order.status is PreSubmitted</t>
  </si>
  <si>
    <t>2015-1-30 10:51:25.95: RTWSControl - orderStatus -  entering orderStatus id is 1414 status is PreSubmitted</t>
  </si>
  <si>
    <t>2015-1-30 10:51:25.96: OrderManager - UpdateOrderStatus - id 1414 Setting status to PreSubmitted workingOrderCount is now 1 workingQty -2676</t>
  </si>
  <si>
    <t>2015-1-30 10:51:25.96: OrderManagerView - UpdateMainSheetOpenOrder - entering UpdateMainSheetOpenOrder order.status is PreSubmitted</t>
  </si>
  <si>
    <t>2015-1-30 10:51:25.98: RTWSControl - OrderStatus - Got OrderStatus Message id:1414 status: PreSubmitted filled: 0</t>
  </si>
  <si>
    <t>2015-1-30 10:51:25.98: RTWSControl - OrderStatus - exiting orderStatus</t>
  </si>
  <si>
    <t>2015-1-30 10:51:28.0: OrderManagerView - UpdateMainSheetOpenOrder - entering UpdateMainSheetOpenOrder order.status is Canceled</t>
  </si>
  <si>
    <t>2015-1-30 10:51:28.2: OrderManagerView - UpdateMainSheetOpenOrder - entering UpdateMainSheetOpenOrder order.status is PreSubmitted</t>
  </si>
  <si>
    <t>2015-1-30 10:51:28.4: OrderManagerView - UpdateMainSheetOpenOrder - entering UpdateMainSheetOpenOrder order.status is PreSubmitted</t>
  </si>
  <si>
    <t>2015-1-30 10:51:28.6: OrderManagerView - UpdateMainSheetOpenOrder - entering UpdateMainSheetOpenOrder order.status is PreSubmitted</t>
  </si>
  <si>
    <t>2015-1-30 10:51:28.7: OrderManagerView - UpdateMainSheetOpenOrder - entering UpdateMainSheetOpenOrder order.status is PreSubmitted</t>
  </si>
  <si>
    <t>2015-1-30 10:51:28.11: OrderManagerView - UpdateMainSheetOpenOrder - entering UpdateMainSheetOpenOrder order.status is PreSubmitted</t>
  </si>
  <si>
    <t>2015-1-30 10:51:28.12: OrderManagerView - UpdateMainSheetOpenOrder - entering UpdateMainSheetOpenOrder order.status is PreSubmitted</t>
  </si>
  <si>
    <t>2015-1-30 10:51:28.14: OrderManagerView - UpdateMainSheetOpenOrder - entering UpdateMainSheetOpenOrder order.status is PreSubmitted</t>
  </si>
  <si>
    <t>2015-1-30 10:51:33.30: OrderManagerView - UpdateMainSheetOpenOrder - entering UpdateMainSheetOpenOrder order.status is PreSubmitted</t>
  </si>
  <si>
    <t>2015-1-30 10:51:33.32: OrderManagerView - UpdateMainSheetOpenOrder - entering UpdateMainSheetOpenOrder order.status is PreSubmitted</t>
  </si>
  <si>
    <t>2015-1-30 10:51:34.888: OrderManager - cancelOrder - cancelling order id 1413</t>
  </si>
  <si>
    <t>2015-1-30 10:51:34.888: OrderManager - PlaceOrder - id 1415 workingQty -2648</t>
  </si>
  <si>
    <t>2015-1-30 10:51:34.888: OrderManagerView - UpdateMainSheetOpenOrder - entering UpdateMainSheetOpenOrder order.status is In-Flight</t>
  </si>
  <si>
    <t>2015-1-30 10:51:34.890: OrderManager - sendOrder - exiting place order id 1415 BUY 28 1.5129  - workingQty -2648 currentPosition is 21 workingOrderCount is 2</t>
  </si>
  <si>
    <t>2015-1-30 10:51:34.891: OrderManager - cancelOrder - cancelling order id 1414</t>
  </si>
  <si>
    <t>2015-1-30 10:51:34.891: OrderManager - createOrder - exiting without creating order - did not have validID</t>
  </si>
  <si>
    <t>2015-1-30 10:51:35.101: RTWSControl - nextValidId - entering nextValidId id is 1416</t>
  </si>
  <si>
    <t>2015-1-30 10:51:35.449: RTWSControl - orderStatus -  entering orderStatus id is 1413 status is Cancelled</t>
  </si>
  <si>
    <t>2015-1-30 10:51:35.450: OrderManager - UpdateOrderStatus - id 1413 Setting status to Cancelled workingOrderCount is now 2 workingQty -2648</t>
  </si>
  <si>
    <t>2015-1-30 10:51:35.450: OrderManagerView - UpdateMainSheetOpenOrder - entering UpdateMainSheetOpenOrder order.status is Cancelled</t>
  </si>
  <si>
    <t>2015-1-30 10:51:35.452: RTWSControl - OrderStatus - Got OrderStatus Message id:1413 status: Cancelled filled: 0</t>
  </si>
  <si>
    <t>2015-1-30 10:51:35.453: RTWSControl - OrderStatus - exiting orderStatus</t>
  </si>
  <si>
    <t>2015-1-30 10:51:35.478: RTWSControl - errMsg - got error message 202:Order Canceled - reason:with id 1413</t>
  </si>
  <si>
    <t>2015-1-30 10:51:35.478: OrderManager - canceledOrder - cleaning up after canceled order 1413BEWARE UNACCOUNTED FOR EXECUTIONS!!!</t>
  </si>
  <si>
    <t>2015-1-30 10:51:35.479: OrderManager - terminateOrder - cleaning up after Canceled 1413  order was supposed to BUY 26 1.5125 STP LMT workingQty/OrderCount now -2674/1</t>
  </si>
  <si>
    <t>2015-1-30 10:51:35.481: OrderManagerView - UpdateMainSheetOpenOrder - entering UpdateMainSheetOpenOrder order.status is Canceled</t>
  </si>
  <si>
    <t>2015-1-30 10:51:35.510: RTWSControl - errMsg - got error message 399:Order Message:
BUY 28 GBP MAR'15
Warning: your order will not be placed at the exchange until 2015-01-30 08:30:00 US/Centralwith id 1415</t>
  </si>
  <si>
    <t>2015-1-30 10:51:35.510: RTWSControl - errMsg - Got Error_x000D_id: 1415_x000D_errorCode: 399_x000D_errorMsg: Order Message:
BUY 28 GBP MAR'15
Warning: your order will not be placed at the exchange until 2015-01-30 08:30:00 US/Central</t>
  </si>
  <si>
    <t>2015-1-30 10:51:35.519: openOrderEx - I am here</t>
  </si>
  <si>
    <t>2015-1-30 10:51:35.519: OrderManagerView - UpdateMainSheetOpenOrder - entering UpdateMainSheetOpenOrder order.status is In-Flight</t>
  </si>
  <si>
    <t>2015-1-30 10:51:35.551: RTWSControl - orderStatus -  entering orderStatus id is 1415 status is PreSubmitted</t>
  </si>
  <si>
    <t>2015-1-30 10:51:35.551: OrderManager - UpdateOrderStatus - id 1415 Setting status to PreSubmitted workingOrderCount is now 1 workingQty -2674</t>
  </si>
  <si>
    <t>2015-1-30 10:51:35.552: OrderManagerView - UpdateMainSheetOpenOrder - entering UpdateMainSheetOpenOrder order.status is PreSubmitted</t>
  </si>
  <si>
    <t>2015-1-30 10:51:35.553: RTWSControl - OrderStatus - Got OrderStatus Message id:1415 status: PreSubmitted filled: 0</t>
  </si>
  <si>
    <t>2015-1-30 10:51:35.554: RTWSControl - OrderStatus - exiting orderStatus</t>
  </si>
  <si>
    <t>2015-1-30 10:51:35.564: RTWSControl - orderStatus -  entering orderStatus id is 1414 status is Cancelled</t>
  </si>
  <si>
    <t>2015-1-30 10:51:35.564: OrderManager - UpdateOrderStatus - id 1414 Setting status to Cancelled workingOrderCount is now 1 workingQty -2674</t>
  </si>
  <si>
    <t>2015-1-30 10:51:35.565: OrderManagerView - UpdateMainSheetOpenOrder - entering UpdateMainSheetOpenOrder order.status is Cancelled</t>
  </si>
  <si>
    <t>2015-1-30 10:51:35.567: RTWSControl - OrderStatus - Got OrderStatus Message id:1414 status: Cancelled filled: 0</t>
  </si>
  <si>
    <t>2015-1-30 10:51:35.567: RTWSControl - OrderStatus - exiting orderStatus</t>
  </si>
  <si>
    <t>2015-1-30 10:51:35.596: RTWSControl - errMsg - got error message 202:Order Canceled - reason:with id 1414</t>
  </si>
  <si>
    <t>2015-1-30 10:51:35.596: OrderManager - canceledOrder - cleaning up after canceled order 1414BEWARE UNACCOUNTED FOR EXECUTIONS!!!</t>
  </si>
  <si>
    <t>2015-1-30 10:51:35.597: OrderManager - terminateOrder - cleaning up after Canceled 1414  order was supposed to SELL 26 1.5063 STP LMT workingQty/OrderCount now -2700/0</t>
  </si>
  <si>
    <t>2015-1-30 10:51:35.599: OrderManagerView - UpdateMainSheetOpenOrder - entering UpdateMainSheetOpenOrder order.status is Canceled</t>
  </si>
  <si>
    <t>2015-1-30 10:51:35.636: openOrderEx - I am here</t>
  </si>
  <si>
    <t>2015-1-30 10:51:35.636: OrderManagerView - UpdateMainSheetOpenOrder - entering UpdateMainSheetOpenOrder order.status is PreSubmitted</t>
  </si>
  <si>
    <t>2015-1-30 10:51:35.648: RTWSControl - orderStatus -  entering orderStatus id is 1415 status is PreSubmitted</t>
  </si>
  <si>
    <t>2015-1-30 10:51:35.649: OrderManager - UpdateOrderStatus - id 1415 Setting status to PreSubmitted workingOrderCount is now 0 workingQty -2700</t>
  </si>
  <si>
    <t>2015-1-30 10:51:35.649: OrderManagerView - UpdateMainSheetOpenOrder - entering UpdateMainSheetOpenOrder order.status is PreSubmitted</t>
  </si>
  <si>
    <t>2015-1-30 10:51:35.651: RTWSControl - OrderStatus - Got OrderStatus Message id:1415 status: PreSubmitted filled: 0</t>
  </si>
  <si>
    <t>2015-1-30 10:51:35.651: RTWSControl - OrderStatus - exiting orderStatus</t>
  </si>
  <si>
    <t>2015-1-30 10:51:38.734: OrderManager - cancelOrder - cancelling order id 1415</t>
  </si>
  <si>
    <t>2015-1-30 10:51:38.734: OrderManager - PlaceOrder - id 1416 workingQty -2675</t>
  </si>
  <si>
    <t>2015-1-30 10:51:38.735: OrderManagerView - UpdateMainSheetOpenOrder - entering UpdateMainSheetOpenOrder order.status is In-Flight</t>
  </si>
  <si>
    <t>2015-1-30 10:51:38.738: OrderManager - sendOrder - exiting place order id 1416 BUY 25 1.5126  - workingQty -2675 currentPosition is 21 workingOrderCount is 1</t>
  </si>
  <si>
    <t>2015-1-30 10:51:38.739: OrderManager - createOrder - exiting without creating order - did not have validID</t>
  </si>
  <si>
    <t>2015-1-30 10:51:38.844: RTWSControl - nextValidId - entering nextValidId id is 1417</t>
  </si>
  <si>
    <t>2015-1-30 10:51:38.904: RTWSControl - orderStatus -  entering orderStatus id is 1415 status is Cancelled</t>
  </si>
  <si>
    <t>2015-1-30 10:51:38.905: OrderManager - UpdateOrderStatus - id 1415 Setting status to Cancelled workingOrderCount is now 1 workingQty -2675</t>
  </si>
  <si>
    <t>2015-1-30 10:51:38.905: OrderManagerView - UpdateMainSheetOpenOrder - entering UpdateMainSheetOpenOrder order.status is Cancelled</t>
  </si>
  <si>
    <t>2015-1-30 10:51:38.907: RTWSControl - OrderStatus - Got OrderStatus Message id:1415 status: Cancelled filled: 0</t>
  </si>
  <si>
    <t>2015-1-30 10:51:38.907: RTWSControl - OrderStatus - exiting orderStatus</t>
  </si>
  <si>
    <t>2015-1-30 10:51:38.950: RTWSControl - errMsg - got error message 202:Order Canceled - reason:with id 1415</t>
  </si>
  <si>
    <t>2015-1-30 10:51:38.951: OrderManager - canceledOrder - cleaning up after canceled order 1415BEWARE UNACCOUNTED FOR EXECUTIONS!!!</t>
  </si>
  <si>
    <t>2015-1-30 10:51:38.951: OrderManager - terminateOrder - cleaning up after Canceled 1415  order was supposed to BUY 28 1.5129 STP LMT workingQty/OrderCount now -2703/0</t>
  </si>
  <si>
    <t>2015-1-30 10:51:38.953: OrderManagerView - UpdateMainSheetOpenOrder - entering UpdateMainSheetOpenOrder order.status is Canceled</t>
  </si>
  <si>
    <t>2015-1-30 10:51:39.467: RTWSControl - errMsg - got error message 399:Order Message:
BUY 25 GBP MAR'15
Warning: your order will not be placed at the exchange until 2015-01-30 08:30:00 US/Centralwith id 1416</t>
  </si>
  <si>
    <t>2015-1-30 10:51:39.468: RTWSControl - errMsg - Got Error_x000D_id: 1416_x000D_errorCode: 399_x000D_errorMsg: Order Message:
BUY 25 GBP MAR'15
Warning: your order will not be placed at the exchange until 2015-01-30 08:30:00 US/Central</t>
  </si>
  <si>
    <t>2015-1-30 10:51:39.476: openOrderEx - I am here</t>
  </si>
  <si>
    <t>2015-1-30 10:51:39.476: OrderManagerView - UpdateMainSheetOpenOrder - entering UpdateMainSheetOpenOrder order.status is In-Flight</t>
  </si>
  <si>
    <t>2015-1-30 10:51:39.510: RTWSControl - orderStatus -  entering orderStatus id is 1416 status is PreSubmitted</t>
  </si>
  <si>
    <t>2015-1-30 10:51:39.510: OrderManager - UpdateOrderStatus - id 1416 Setting status to PreSubmitted workingOrderCount is now 0 workingQty -2703</t>
  </si>
  <si>
    <t>2015-1-30 10:51:39.511: OrderManagerView - UpdateMainSheetOpenOrder - entering UpdateMainSheetOpenOrder order.status is PreSubmitted</t>
  </si>
  <si>
    <t>2015-1-30 10:51:39.512: RTWSControl - OrderStatus - Got OrderStatus Message id:1416 status: PreSubmitted filled: 0</t>
  </si>
  <si>
    <t>2015-1-30 10:51:39.513: RTWSControl - OrderStatus - exiting orderStatus</t>
  </si>
  <si>
    <t>2015-1-30 10:51:39.526: openOrderEx - I am here</t>
  </si>
  <si>
    <t>2015-1-30 10:51:39.526: OrderManagerView - UpdateMainSheetOpenOrder - entering UpdateMainSheetOpenOrder order.status is PreSubmitted</t>
  </si>
  <si>
    <t>2015-1-30 10:51:39.555: RTWSControl - orderStatus -  entering orderStatus id is 1416 status is PreSubmitted</t>
  </si>
  <si>
    <t>2015-1-30 10:51:39.556: OrderManager - UpdateOrderStatus - id 1416 Setting status to PreSubmitted workingOrderCount is now 0 workingQty -2703</t>
  </si>
  <si>
    <t>2015-1-30 10:51:39.556: OrderManagerView - UpdateMainSheetOpenOrder - entering UpdateMainSheetOpenOrder order.status is PreSubmitted</t>
  </si>
  <si>
    <t>2015-1-30 10:51:39.558: RTWSControl - OrderStatus - Got OrderStatus Message id:1416 status: PreSubmitted filled: 0</t>
  </si>
  <si>
    <t>2015-1-30 10:51:39.558: RTWSControl - OrderStatus - exiting orderStatus</t>
  </si>
  <si>
    <t>2015-1-30 10:51:39.594: OrderManager - cancelOrder - cancelling order id 1416</t>
  </si>
  <si>
    <t>2015-1-30 10:51:39.594: OrderManager - PlaceOrder - id 1417 workingQty -2679</t>
  </si>
  <si>
    <t>2015-1-30 10:51:39.594: OrderManagerView - UpdateMainSheetOpenOrder - entering UpdateMainSheetOpenOrder order.status is In-Flight</t>
  </si>
  <si>
    <t>2015-1-30 10:51:39.596: OrderManager - sendOrder - exiting place order id 1417 BUY 24 1.5123  - workingQty -2679 currentPosition is 21 workingOrderCount is 1</t>
  </si>
  <si>
    <t>2015-1-30 10:51:39.596: OrderManager - createOrder - exiting without creating order - did not have validID</t>
  </si>
  <si>
    <t>2015-1-30 10:51:39.852: RTWSControl - nextValidId - entering nextValidId id is 1418</t>
  </si>
  <si>
    <t>2015-1-30 10:51:39.883: RTWSControl - orderStatus -  entering orderStatus id is 1416 status is Cancelled</t>
  </si>
  <si>
    <t>2015-1-30 10:51:39.884: OrderManager - UpdateOrderStatus - id 1416 Setting status to Cancelled workingOrderCount is now 1 workingQty -2679</t>
  </si>
  <si>
    <t>2015-1-30 10:51:39.884: OrderManagerView - UpdateMainSheetOpenOrder - entering UpdateMainSheetOpenOrder order.status is Cancelled</t>
  </si>
  <si>
    <t>2015-1-30 10:51:39.886: RTWSControl - OrderStatus - Got OrderStatus Message id:1416 status: Cancelled filled: 0</t>
  </si>
  <si>
    <t>2015-1-30 10:51:39.886: RTWSControl - OrderStatus - exiting orderStatus</t>
  </si>
  <si>
    <t>2015-1-30 10:51:39.896: RTWSControl - errMsg - got error message 202:Order Canceled - reason:with id 1416</t>
  </si>
  <si>
    <t>2015-1-30 10:51:39.897: OrderManager - canceledOrder - cleaning up after canceled order 1416BEWARE UNACCOUNTED FOR EXECUTIONS!!!</t>
  </si>
  <si>
    <t>2015-1-30 10:51:39.897: OrderManager - terminateOrder - cleaning up after Canceled 1416  order was supposed to BUY 25 1.5126 STP LMT workingQty/OrderCount now -2704/0</t>
  </si>
  <si>
    <t>2015-1-30 10:51:39.899: OrderManagerView - UpdateMainSheetOpenOrder - entering UpdateMainSheetOpenOrder order.status is Canceled</t>
  </si>
  <si>
    <t>2015-1-30 10:51:39.928: RTWSControl - errMsg - got error message 399:Order Message:
BUY 24 GBP MAR'15
Warning: your order will not be placed at the exchange until 2015-01-30 08:30:00 US/Centralwith id 1417</t>
  </si>
  <si>
    <t>2015-1-30 10:51:39.929: RTWSControl - errMsg - Got Error_x000D_id: 1417_x000D_errorCode: 399_x000D_errorMsg: Order Message:
BUY 24 GBP MAR'15
Warning: your order will not be placed at the exchange until 2015-01-30 08:30:00 US/Central</t>
  </si>
  <si>
    <t>2015-1-30 10:51:39.937: openOrderEx - I am here</t>
  </si>
  <si>
    <t>2015-1-30 10:51:39.938: OrderManagerView - UpdateMainSheetOpenOrder - entering UpdateMainSheetOpenOrder order.status is In-Flight</t>
  </si>
  <si>
    <t>2015-1-30 10:51:39.970: RTWSControl - orderStatus -  entering orderStatus id is 1417 status is PreSubmitted</t>
  </si>
  <si>
    <t>2015-1-30 10:51:39.970: OrderManager - UpdateOrderStatus - id 1417 Setting status to PreSubmitted workingOrderCount is now 0 workingQty -2704</t>
  </si>
  <si>
    <t>2015-1-30 10:51:39.971: OrderManagerView - UpdateMainSheetOpenOrder - entering UpdateMainSheetOpenOrder order.status is PreSubmitted</t>
  </si>
  <si>
    <t>2015-1-30 10:51:39.973: RTWSControl - OrderStatus - Got OrderStatus Message id:1417 status: PreSubmitted filled: 0</t>
  </si>
  <si>
    <t>2015-1-30 10:51:39.973: RTWSControl - OrderStatus - exiting orderStatus</t>
  </si>
  <si>
    <t>2015-1-30 10:51:40.7: OrderManagerView - UpdateMainSheetOpenOrder - entering UpdateMainSheetOpenOrder order.status is Canceled</t>
  </si>
  <si>
    <t>2015-1-30 10:51:40.9: OrderManagerView - UpdateMainSheetOpenOrder - entering UpdateMainSheetOpenOrder order.status is Canceled</t>
  </si>
  <si>
    <t>2015-1-30 10:51:40.10: OrderManagerView - UpdateMainSheetOpenOrder - entering UpdateMainSheetOpenOrder order.status is Canceled</t>
  </si>
  <si>
    <t>2015-1-30 10:51:40.11: OrderManagerView - UpdateMainSheetOpenOrder - entering UpdateMainSheetOpenOrder order.status is PreSubmitted</t>
  </si>
  <si>
    <t>2015-1-30 10:51:40.13: OrderManagerView - UpdateMainSheetOpenOrder - entering UpdateMainSheetOpenOrder order.status is Canceled</t>
  </si>
  <si>
    <t>2015-1-30 10:51:40.14: OrderManagerView - UpdateMainSheetOpenOrder - entering UpdateMainSheetOpenOrder order.status is PreSubmitted</t>
  </si>
  <si>
    <t>2015-1-30 10:51:40.15: OrderManagerView - UpdateMainSheetOpenOrder - entering UpdateMainSheetOpenOrder order.status is PreSubmitted</t>
  </si>
  <si>
    <t>2015-1-30 10:51:40.19: OrderManagerView - UpdateMainSheetOpenOrder - entering UpdateMainSheetOpenOrder order.status is Canceled</t>
  </si>
  <si>
    <t>2015-1-30 10:51:40.20: OrderManagerView - UpdateMainSheetOpenOrder - entering UpdateMainSheetOpenOrder order.status is PreSubmitted</t>
  </si>
  <si>
    <t>2015-1-30 10:51:40.22: OrderManagerView - UpdateMainSheetOpenOrder - entering UpdateMainSheetOpenOrder order.status is PreSubmitted</t>
  </si>
  <si>
    <t>2015-1-30 10:51:40.53: openOrderEx - I am here</t>
  </si>
  <si>
    <t>2015-1-30 10:51:40.54: OrderManagerView - UpdateMainSheetOpenOrder - entering UpdateMainSheetOpenOrder order.status is PreSubmitted</t>
  </si>
  <si>
    <t>2015-1-30 10:51:40.65: RTWSControl - orderStatus -  entering orderStatus id is 1417 status is PreSubmitted</t>
  </si>
  <si>
    <t>2015-1-30 10:51:40.66: OrderManager - UpdateOrderStatus - id 1417 Setting status to PreSubmitted workingOrderCount is now 0 workingQty -2704</t>
  </si>
  <si>
    <t>2015-1-30 10:51:40.66: OrderManagerView - UpdateMainSheetOpenOrder - entering UpdateMainSheetOpenOrder order.status is PreSubmitted</t>
  </si>
  <si>
    <t>2015-1-30 10:51:40.68: RTWSControl - OrderStatus - Got OrderStatus Message id:1417 status: PreSubmitted filled: 0</t>
  </si>
  <si>
    <t>2015-1-30 10:51:40.68: RTWSControl - OrderStatus - exiting orderStatus</t>
  </si>
  <si>
    <t>2015-1-30 10:51:41.441: OrderManager - PlaceOrder - id 1418 workingQty -2728</t>
  </si>
  <si>
    <t>2015-1-30 10:51:41.442: OrderManagerView - UpdateMainSheetOpenOrder - entering UpdateMainSheetOpenOrder order.status is In-Flight</t>
  </si>
  <si>
    <t>2015-1-30 10:51:41.444: OrderManager - sendOrder - exiting place order id 1418 SELL 24 1.5065  - workingQty -2728 currentPosition is 21 workingOrderCount is 1</t>
  </si>
  <si>
    <t>2015-1-30 10:51:42.655: RTWSControl - nextValidId - entering nextValidId id is 1419</t>
  </si>
  <si>
    <t>2015-1-30 10:51:42.723: OrderManager - cancelOrder - cancelling order id 1417</t>
  </si>
  <si>
    <t>2015-1-30 10:51:42.723: OrderManager - PlaceOrder - id 1419 workingQty -2704</t>
  </si>
  <si>
    <t>2015-1-30 10:51:42.723: OrderManagerView - UpdateMainSheetOpenOrder - entering UpdateMainSheetOpenOrder order.status is In-Flight</t>
  </si>
  <si>
    <t>2015-1-30 10:51:42.725: OrderManager - sendOrder - exiting place order id 1419 BUY 24 1.5125  - workingQty -2704 currentPosition is 21 workingOrderCount is 2</t>
  </si>
  <si>
    <t>2015-1-30 10:51:42.725: OrderManager - cancelOrder - cancelling order id 1418</t>
  </si>
  <si>
    <t>2015-1-30 10:51:42.726: OrderManager - createOrder - exiting without creating order - did not have validID</t>
  </si>
  <si>
    <t>2015-1-30 10:51:42.847: RTWSControl - errMsg - got error message 399:Order Message:
SELL 24 GBP MAR'15
Warning: your order will not be placed at the exchange until 2015-01-30 08:30:00 US/Centralwith id 1418</t>
  </si>
  <si>
    <t>2015-1-30 10:51:42.848: RTWSControl - errMsg - Got Error_x000D_id: 1418_x000D_errorCode: 399_x000D_errorMsg: Order Message:
SELL 24 GBP MAR'15
Warning: your order will not be placed at the exchange until 2015-01-30 08:30:00 US/Central</t>
  </si>
  <si>
    <t>2015-1-30 10:51:42.856: openOrderEx - I am here</t>
  </si>
  <si>
    <t>2015-1-30 10:51:42.856: OrderManagerView - UpdateMainSheetOpenOrder - entering UpdateMainSheetOpenOrder order.status is In-Flight</t>
  </si>
  <si>
    <t>2015-1-30 10:51:42.888: RTWSControl - orderStatus -  entering orderStatus id is 1418 status is PreSubmitted</t>
  </si>
  <si>
    <t>2015-1-30 10:51:42.889: OrderManager - UpdateOrderStatus - id 1418 Setting status to PreSubmitted workingOrderCount is now 2 workingQty -2704</t>
  </si>
  <si>
    <t>2015-1-30 10:51:42.889: OrderManagerView - UpdateMainSheetOpenOrder - entering UpdateMainSheetOpenOrder order.status is PreSubmitted</t>
  </si>
  <si>
    <t>2015-1-30 10:51:42.891: RTWSControl - OrderStatus - Got OrderStatus Message id:1418 status: PreSubmitted filled: 0</t>
  </si>
  <si>
    <t>2015-1-30 10:51:42.891: RTWSControl - OrderStatus - exiting orderStatus</t>
  </si>
  <si>
    <t>2015-1-30 10:51:42.928: openOrderEx - I am here</t>
  </si>
  <si>
    <t>2015-1-30 10:51:42.928: OrderManagerView - UpdateMainSheetOpenOrder - entering UpdateMainSheetOpenOrder order.status is PreSubmitted</t>
  </si>
  <si>
    <t>2015-1-30 10:51:42.940: RTWSControl - orderStatus -  entering orderStatus id is 1418 status is PreSubmitted</t>
  </si>
  <si>
    <t>2015-1-30 10:51:42.941: OrderManager - UpdateOrderStatus - id 1418 Setting status to PreSubmitted workingOrderCount is now 2 workingQty -2704</t>
  </si>
  <si>
    <t>2015-1-30 10:51:42.941: OrderManagerView - UpdateMainSheetOpenOrder - entering UpdateMainSheetOpenOrder order.status is PreSubmitted</t>
  </si>
  <si>
    <t>2015-1-30 10:51:42.943: RTWSControl - OrderStatus - Got OrderStatus Message id:1418 status: PreSubmitted filled: 0</t>
  </si>
  <si>
    <t>2015-1-30 10:51:42.943: RTWSControl - OrderStatus - exiting orderStatus</t>
  </si>
  <si>
    <t>2015-1-30 10:51:42.973: OrderManager - createOrder - exiting without creating order - did not have validID</t>
  </si>
  <si>
    <t>2015-1-30 10:51:43.11: OrderManagerView - UpdateMainSheetOpenOrder - entering UpdateMainSheetOpenOrder order.status is PreSubmitted</t>
  </si>
  <si>
    <t>2015-1-30 10:51:43.13: OrderManagerView - UpdateMainSheetOpenOrder - entering UpdateMainSheetOpenOrder order.status is PreSubmitted</t>
  </si>
  <si>
    <t>2015-1-30 10:51:43.14: OrderManagerView - UpdateMainSheetOpenOrder - entering UpdateMainSheetOpenOrder order.status is In-Flight</t>
  </si>
  <si>
    <t>2015-1-30 10:51:43.16: OrderManagerView - UpdateMainSheetOpenOrder - entering UpdateMainSheetOpenOrder order.status is PreSubmitted</t>
  </si>
  <si>
    <t>2015-1-30 10:51:43.17: OrderManagerView - UpdateMainSheetOpenOrder - entering UpdateMainSheetOpenOrder order.status is In-Flight</t>
  </si>
  <si>
    <t>2015-1-30 10:51:43.177: OrderManager - createOrder - exiting without creating order - did not have validID</t>
  </si>
  <si>
    <t>2015-1-30 10:51:44.21: OrderManagerView - UpdateMainSheetOpenOrder - entering UpdateMainSheetOpenOrder order.status is PreSubmitted</t>
  </si>
  <si>
    <t>2015-1-30 10:51:44.23: OrderManagerView - UpdateMainSheetOpenOrder - entering UpdateMainSheetOpenOrder order.status is PreSubmitted</t>
  </si>
  <si>
    <t>2015-1-30 10:51:44.24: OrderManagerView - UpdateMainSheetOpenOrder - entering UpdateMainSheetOpenOrder order.status is In-Flight</t>
  </si>
  <si>
    <t>2015-1-30 10:51:44.770: OrderManager - createOrder - exiting without creating order - did not have validID</t>
  </si>
  <si>
    <t>2015-1-30 10:51:44.886: RTWSControl - nextValidId - entering nextValidId id is 1420</t>
  </si>
  <si>
    <t>2015-1-30 10:51:44.891: RTWSControl - orderStatus -  entering orderStatus id is 1417 status is Cancelled</t>
  </si>
  <si>
    <t>2015-1-30 10:51:44.892: OrderManager - UpdateOrderStatus - id 1417 Setting status to Cancelled workingOrderCount is now 2 workingQty -2704</t>
  </si>
  <si>
    <t>2015-1-30 10:51:44.893: OrderManagerView - UpdateMainSheetOpenOrder - entering UpdateMainSheetOpenOrder order.status is Cancelled</t>
  </si>
  <si>
    <t>2015-1-30 10:51:44.894: RTWSControl - OrderStatus - Got OrderStatus Message id:1417 status: Cancelled filled: 0</t>
  </si>
  <si>
    <t>2015-1-30 10:51:44.895: RTWSControl - OrderStatus - exiting orderStatus</t>
  </si>
  <si>
    <t>2015-1-30 10:51:44.929: RTWSControl - errMsg - got error message 202:Order Canceled - reason:with id 1417</t>
  </si>
  <si>
    <t>2015-1-30 10:51:44.930: OrderManager - canceledOrder - cleaning up after canceled order 1417BEWARE UNACCOUNTED FOR EXECUTIONS!!!</t>
  </si>
  <si>
    <t>2015-1-30 10:51:44.931: OrderManager - terminateOrder - cleaning up after Canceled 1417  order was supposed to BUY 24 1.5123 STP LMT workingQty/OrderCount now -2728/1</t>
  </si>
  <si>
    <t>2015-1-30 10:51:44.932: OrderManagerView - UpdateMainSheetOpenOrder - entering UpdateMainSheetOpenOrder order.status is Canceled</t>
  </si>
  <si>
    <t>2015-1-30 10:51:44.968: RTWSControl - errMsg - got error message 399:Order Message:
BUY 24 GBP MAR'15
Warning: your order will not be placed at the exchange until 2015-01-30 08:30:00 US/Centralwith id 1419</t>
  </si>
  <si>
    <t>2015-1-30 10:51:44.968: RTWSControl - errMsg - Got Error_x000D_id: 1419_x000D_errorCode: 399_x000D_errorMsg: Order Message:
BUY 24 GBP MAR'15
Warning: your order will not be placed at the exchange until 2015-01-30 08:30:00 US/Central</t>
  </si>
  <si>
    <t>2015-1-30 10:51:44.976: openOrderEx - I am here</t>
  </si>
  <si>
    <t>2015-1-30 10:51:44.977: OrderManagerView - UpdateMainSheetOpenOrder - entering UpdateMainSheetOpenOrder order.status is In-Flight</t>
  </si>
  <si>
    <t>2015-1-30 10:51:45.9: OrderManagerView - UpdateMainSheetOpenOrder - entering UpdateMainSheetOpenOrder order.status is PreSubmitted</t>
  </si>
  <si>
    <t>2015-1-30 10:51:45.11: OrderManagerView - UpdateMainSheetOpenOrder - entering UpdateMainSheetOpenOrder order.status is In-Flight</t>
  </si>
  <si>
    <t>2015-1-30 10:51:45.13: OrderManagerView - UpdateMainSheetOpenOrder - entering UpdateMainSheetOpenOrder order.status is In-Flight</t>
  </si>
  <si>
    <t>2015-1-30 10:51:45.17: OrderManagerView - UpdateMainSheetOpenOrder - entering UpdateMainSheetOpenOrder order.status is PreSubmitted</t>
  </si>
  <si>
    <t>2015-1-30 10:51:45.18: OrderManagerView - UpdateMainSheetOpenOrder - entering UpdateMainSheetOpenOrder order.status is In-Flight</t>
  </si>
  <si>
    <t>2015-1-30 10:51:45.23: OrderManagerView - UpdateMainSheetOpenOrder - entering UpdateMainSheetOpenOrder order.status is PreSubmitted</t>
  </si>
  <si>
    <t>2015-1-30 10:51:45.25: OrderManagerView - UpdateMainSheetOpenOrder - entering UpdateMainSheetOpenOrder order.status is In-Flight</t>
  </si>
  <si>
    <t>2015-1-30 10:51:45.30: OrderManagerView - UpdateMainSheetOpenOrder - entering UpdateMainSheetOpenOrder order.status is PreSubmitted</t>
  </si>
  <si>
    <t>2015-1-30 10:51:45.31: OrderManagerView - UpdateMainSheetOpenOrder - entering UpdateMainSheetOpenOrder order.status is In-Flight</t>
  </si>
  <si>
    <t>2015-1-30 10:51:45.37: OrderManagerView - UpdateMainSheetOpenOrder - entering UpdateMainSheetOpenOrder order.status is PreSubmitted</t>
  </si>
  <si>
    <t>2015-1-30 10:51:45.38: OrderManagerView - UpdateMainSheetOpenOrder - entering UpdateMainSheetOpenOrder order.status is In-Flight</t>
  </si>
  <si>
    <t>2015-1-30 10:51:45.55: RTWSControl - orderStatus -  entering orderStatus id is 1419 status is PreSubmitted</t>
  </si>
  <si>
    <t>2015-1-30 10:51:45.56: OrderManager - UpdateOrderStatus - id 1419 Setting status to PreSubmitted workingOrderCount is now 1 workingQty -2728</t>
  </si>
  <si>
    <t>2015-1-30 10:51:45.56: OrderManagerView - UpdateMainSheetOpenOrder - entering UpdateMainSheetOpenOrder order.status is PreSubmitted</t>
  </si>
  <si>
    <t>2015-1-30 10:51:45.58: RTWSControl - OrderStatus - Got OrderStatus Message id:1419 status: PreSubmitted filled: 0</t>
  </si>
  <si>
    <t>2015-1-30 10:51:45.58: RTWSControl - OrderStatus - exiting orderStatus</t>
  </si>
  <si>
    <t>2015-1-30 10:51:45.68: RTWSControl - orderStatus -  entering orderStatus id is 1418 status is Cancelled</t>
  </si>
  <si>
    <t>2015-1-30 10:51:45.69: OrderManager - UpdateOrderStatus - id 1418 Setting status to Cancelled workingOrderCount is now 1 workingQty -2728</t>
  </si>
  <si>
    <t>2015-1-30 10:51:45.70: OrderManagerView - UpdateMainSheetOpenOrder - entering UpdateMainSheetOpenOrder order.status is Cancelled</t>
  </si>
  <si>
    <t>2015-1-30 10:51:45.71: RTWSControl - OrderStatus - Got OrderStatus Message id:1418 status: Cancelled filled: 0</t>
  </si>
  <si>
    <t>2015-1-30 10:51:45.72: RTWSControl - OrderStatus - exiting orderStatus</t>
  </si>
  <si>
    <t>2015-1-30 10:51:45.97: RTWSControl - errMsg - got error message 202:Order Canceled - reason:with id 1418</t>
  </si>
  <si>
    <t>2015-1-30 10:51:45.98: OrderManager - canceledOrder - cleaning up after canceled order 1418BEWARE UNACCOUNTED FOR EXECUTIONS!!!</t>
  </si>
  <si>
    <t>2015-1-30 10:51:45.99: OrderManager - terminateOrder - cleaning up after Canceled 1418  order was supposed to SELL 24 1.5065 STP LMT workingQty/OrderCount now -2752/0</t>
  </si>
  <si>
    <t>2015-1-30 10:51:45.101: OrderManagerView - UpdateMainSheetOpenOrder - entering UpdateMainSheetOpenOrder order.status is Canceled</t>
  </si>
  <si>
    <t>2015-1-30 10:51:45.136: openOrderEx - I am here</t>
  </si>
  <si>
    <t>2015-1-30 10:51:45.137: OrderManagerView - UpdateMainSheetOpenOrder - entering UpdateMainSheetOpenOrder order.status is PreSubmitted</t>
  </si>
  <si>
    <t>2015-1-30 10:51:45.149: RTWSControl - orderStatus -  entering orderStatus id is 1419 status is PreSubmitted</t>
  </si>
  <si>
    <t>2015-1-30 10:51:45.150: OrderManager - UpdateOrderStatus - id 1419 Setting status to PreSubmitted workingOrderCount is now 0 workingQty -2752</t>
  </si>
  <si>
    <t>2015-1-30 10:51:45.150: OrderManagerView - UpdateMainSheetOpenOrder - entering UpdateMainSheetOpenOrder order.status is PreSubmitted</t>
  </si>
  <si>
    <t>2015-1-30 10:51:45.152: RTWSControl - OrderStatus - Got OrderStatus Message id:1419 status: PreSubmitted filled: 0</t>
  </si>
  <si>
    <t>2015-1-30 10:51:45.153: RTWSControl - OrderStatus - exiting orderStatus</t>
  </si>
  <si>
    <t>2015-1-30 10:51:45.306: OrderManager - PlaceOrder - id 1420 workingQty -2777</t>
  </si>
  <si>
    <t>2015-1-30 10:51:45.306: OrderManagerView - UpdateMainSheetOpenOrder - entering UpdateMainSheetOpenOrder order.status is In-Flight</t>
  </si>
  <si>
    <t>2015-1-30 10:51:45.308: OrderManager - sendOrder - exiting place order id 1420 SELL 25 1.5066  - workingQty -2777 currentPosition is 21 workingOrderCount is 1</t>
  </si>
  <si>
    <t>2015-1-30 10:51:46.777: OrderManager - cancelOrder - cancelling order id 1420</t>
  </si>
  <si>
    <t>2015-1-30 10:51:46.778: OrderManager - createOrder - exiting without creating order - did not have validID</t>
  </si>
  <si>
    <t>2015-1-30 10:51:47.20: OrderManager - createOrder - exiting without creating order - did not have validID</t>
  </si>
  <si>
    <t>2015-1-30 10:51:47.235: OrderManager - createOrder - exiting without creating order - did not have validID</t>
  </si>
  <si>
    <t>2015-1-30 10:51:47.344: OrderManager - createOrder - exiting without creating order - did not have validID</t>
  </si>
  <si>
    <t>2015-1-30 10:51:47.513: RTWSControl - nextValidId - entering nextValidId id is 1421</t>
  </si>
  <si>
    <t>2015-1-30 10:51:47.519: RTWSControl - errMsg - got error message 399:Order Message:
SELL 25 GBP MAR'15
Warning: your order will not be placed at the exchange until 2015-01-30 08:30:00 US/Centralwith id 1420</t>
  </si>
  <si>
    <t>2015-1-30 10:51:47.520: RTWSControl - errMsg - Got Error_x000D_id: 1420_x000D_errorCode: 399_x000D_errorMsg: Order Message:
SELL 25 GBP MAR'15
Warning: your order will not be placed at the exchange until 2015-01-30 08:30:00 US/Central</t>
  </si>
  <si>
    <t>2015-1-30 10:51:47.553: openOrderEx - I am here</t>
  </si>
  <si>
    <t>2015-1-30 10:51:47.553: OrderManagerView - UpdateMainSheetOpenOrder - entering UpdateMainSheetOpenOrder order.status is In-Flight</t>
  </si>
  <si>
    <t>2015-1-30 10:51:47.564: RTWSControl - orderStatus -  entering orderStatus id is 1420 status is PreSubmitted</t>
  </si>
  <si>
    <t>2015-1-30 10:51:47.565: OrderManager - UpdateOrderStatus - id 1420 Setting status to PreSubmitted workingOrderCount is now 1 workingQty -2777</t>
  </si>
  <si>
    <t>2015-1-30 10:51:47.565: OrderManagerView - UpdateMainSheetOpenOrder - entering UpdateMainSheetOpenOrder order.status is PreSubmitted</t>
  </si>
  <si>
    <t>2015-1-30 10:51:47.567: RTWSControl - OrderStatus - Got OrderStatus Message id:1420 status: PreSubmitted filled: 0</t>
  </si>
  <si>
    <t>2015-1-30 10:51:47.568: RTWSControl - OrderStatus - exiting orderStatus</t>
  </si>
  <si>
    <t>2015-1-30 10:51:47.599: openOrderEx - I am here</t>
  </si>
  <si>
    <t>2015-1-30 10:51:47.599: OrderManagerView - UpdateMainSheetOpenOrder - entering UpdateMainSheetOpenOrder order.status is PreSubmitted</t>
  </si>
  <si>
    <t>2015-1-30 10:51:47.634: RTWSControl - orderStatus -  entering orderStatus id is 1420 status is PreSubmitted</t>
  </si>
  <si>
    <t>2015-1-30 10:51:47.634: OrderManager - UpdateOrderStatus - id 1420 Setting status to PreSubmitted workingOrderCount is now 1 workingQty -2777</t>
  </si>
  <si>
    <t>2015-1-30 10:51:47.635: OrderManagerView - UpdateMainSheetOpenOrder - entering UpdateMainSheetOpenOrder order.status is PreSubmitted</t>
  </si>
  <si>
    <t>2015-1-30 10:51:47.636: RTWSControl - OrderStatus - Got OrderStatus Message id:1420 status: PreSubmitted filled: 0</t>
  </si>
  <si>
    <t>2015-1-30 10:51:47.637: RTWSControl - OrderStatus - exiting orderStatus</t>
  </si>
  <si>
    <t>2015-1-30 10:51:47.768: OrderManager - PlaceOrder - id 1421 workingQty -2801</t>
  </si>
  <si>
    <t>2015-1-30 10:51:47.769: OrderManagerView - UpdateMainSheetOpenOrder - entering UpdateMainSheetOpenOrder order.status is In-Flight</t>
  </si>
  <si>
    <t>2015-1-30 10:51:47.770: OrderManager - sendOrder - exiting place order id 1421 SELL 24 1.5065  - workingQty -2801 currentPosition is 21 workingOrderCount is 2</t>
  </si>
  <si>
    <t>2015-1-30 10:51:48.978: RTWSControl - orderStatus -  entering orderStatus id is 1420 status is Cancelled</t>
  </si>
  <si>
    <t>2015-1-30 10:51:48.978: OrderManager - UpdateOrderStatus - id 1420 Setting status to Cancelled workingOrderCount is now 2 workingQty -2801</t>
  </si>
  <si>
    <t>2015-1-30 10:51:48.979: OrderManagerView - UpdateMainSheetOpenOrder - entering UpdateMainSheetOpenOrder order.status is Cancelled</t>
  </si>
  <si>
    <t>2015-1-30 10:51:48.981: RTWSControl - OrderStatus - Got OrderStatus Message id:1420 status: Cancelled filled: 0</t>
  </si>
  <si>
    <t>2015-1-30 10:51:48.981: RTWSControl - OrderStatus - exiting orderStatus</t>
  </si>
  <si>
    <t>2015-1-30 10:51:49.13: OrderManagerView - UpdateMainSheetOpenOrder - entering UpdateMainSheetOpenOrder order.status is PreSubmitted</t>
  </si>
  <si>
    <t>2015-1-30 10:51:49.16: OrderManagerView - UpdateMainSheetOpenOrder - entering UpdateMainSheetOpenOrder order.status is Cancelled</t>
  </si>
  <si>
    <t>2015-1-30 10:51:49.17: OrderManagerView - UpdateMainSheetOpenOrder - entering UpdateMainSheetOpenOrder order.status is In-Flight</t>
  </si>
  <si>
    <t>2015-1-30 10:51:49.18: OrderManagerView - UpdateMainSheetOpenOrder - entering UpdateMainSheetOpenOrder order.status is Cancelled</t>
  </si>
  <si>
    <t>2015-1-30 10:51:49.19: OrderManagerView - UpdateMainSheetOpenOrder - entering UpdateMainSheetOpenOrder order.status is In-Flight</t>
  </si>
  <si>
    <t>2015-1-30 10:51:49.53: RTWSControl - errMsg - got error message 202:Order Canceled - reason:with id 1420</t>
  </si>
  <si>
    <t>2015-1-30 10:51:49.53: OrderManager - canceledOrder - cleaning up after canceled order 1420BEWARE UNACCOUNTED FOR EXECUTIONS!!!</t>
  </si>
  <si>
    <t>2015-1-30 10:51:49.54: OrderManager - terminateOrder - cleaning up after Canceled 1420  order was supposed to SELL 25 1.5066 STP LMT workingQty/OrderCount now -2826/1</t>
  </si>
  <si>
    <t>2015-1-30 10:51:49.55: OrderManagerView - UpdateMainSheetOpenOrder - entering UpdateMainSheetOpenOrder order.status is Canceled</t>
  </si>
  <si>
    <t>2015-1-30 10:51:49.517: RTWSControl - nextValidId - entering nextValidId id is 1422</t>
  </si>
  <si>
    <t>2015-1-30 10:51:49.548: RTWSControl - errMsg - got error message 399:Order Message:
SELL 24 GBP MAR'15
Warning: your order will not be placed at the exchange until 2015-01-30 08:30:00 US/Centralwith id 1421</t>
  </si>
  <si>
    <t>2015-1-30 10:51:49.548: RTWSControl - errMsg - Got Error_x000D_id: 1421_x000D_errorCode: 399_x000D_errorMsg: Order Message:
SELL 24 GBP MAR'15
Warning: your order will not be placed at the exchange until 2015-01-30 08:30:00 US/Central</t>
  </si>
  <si>
    <t>2015-1-30 10:51:49.557: openOrderEx - I am here</t>
  </si>
  <si>
    <t>2015-1-30 10:51:49.557: OrderManagerView - UpdateMainSheetOpenOrder - entering UpdateMainSheetOpenOrder order.status is In-Flight</t>
  </si>
  <si>
    <t>2015-1-30 10:51:49.591: RTWSControl - orderStatus -  entering orderStatus id is 1421 status is PreSubmitted</t>
  </si>
  <si>
    <t>2015-1-30 10:51:49.592: OrderManager - UpdateOrderStatus - id 1421 Setting status to PreSubmitted workingOrderCount is now 1 workingQty -2826</t>
  </si>
  <si>
    <t>2015-1-30 10:51:49.592: OrderManagerView - UpdateMainSheetOpenOrder - entering UpdateMainSheetOpenOrder order.status is PreSubmitted</t>
  </si>
  <si>
    <t>2015-1-30 10:51:49.594: RTWSControl - OrderStatus - Got OrderStatus Message id:1421 status: PreSubmitted filled: 0</t>
  </si>
  <si>
    <t>2015-1-30 10:51:49.594: RTWSControl - OrderStatus - exiting orderStatus</t>
  </si>
  <si>
    <t>2015-1-30 10:51:49.640: openOrderEx - I am here</t>
  </si>
  <si>
    <t>2015-1-30 10:51:49.640: OrderManagerView - UpdateMainSheetOpenOrder - entering UpdateMainSheetOpenOrder order.status is PreSubmitted</t>
  </si>
  <si>
    <t>2015-1-30 10:51:49.675: RTWSControl - orderStatus -  entering orderStatus id is 1421 status is PreSubmitted</t>
  </si>
  <si>
    <t>2015-1-30 10:51:49.676: OrderManager - UpdateOrderStatus - id 1421 Setting status to PreSubmitted workingOrderCount is now 1 workingQty -2826</t>
  </si>
  <si>
    <t>2015-1-30 10:51:49.676: OrderManagerView - UpdateMainSheetOpenOrder - entering UpdateMainSheetOpenOrder order.status is PreSubmitted</t>
  </si>
  <si>
    <t>2015-1-30 10:51:49.678: RTWSControl - OrderStatus - Got OrderStatus Message id:1421 status: PreSubmitted filled: 0</t>
  </si>
  <si>
    <t>2015-1-30 10:51:49.678: RTWSControl - OrderStatus - exiting orderStatus</t>
  </si>
  <si>
    <t>2015-1-30 10:51:50.54: OrderManagerView - UpdateMainSheetOpenOrder - entering UpdateMainSheetOpenOrder order.status is PreSubmitted</t>
  </si>
  <si>
    <t>2015-1-30 10:51:50.60: OrderManagerView - UpdateMainSheetOpenOrder - entering UpdateMainSheetOpenOrder order.status is PreSubmitted</t>
  </si>
  <si>
    <t>2015-1-30 10:51:52.395: OrderManager - cancelOrder - cancelling order id 1421</t>
  </si>
  <si>
    <t>2015-1-30 10:51:52.395: OrderManager - PlaceOrder - id 1422 workingQty -2849</t>
  </si>
  <si>
    <t>2015-1-30 10:51:52.395: OrderManagerView - UpdateMainSheetOpenOrder - entering UpdateMainSheetOpenOrder order.status is In-Flight</t>
  </si>
  <si>
    <t>2015-1-30 10:51:52.397: OrderManager - sendOrder - exiting place order id 1422 SELL 23 1.5067  - workingQty -2849 currentPosition is 21 workingOrderCount is 2</t>
  </si>
  <si>
    <t>2015-1-30 10:51:52.616: RTWSControl - nextValidId - entering nextValidId id is 1423</t>
  </si>
  <si>
    <t>2015-1-30 10:51:52.705: RTWSControl - orderStatus -  entering orderStatus id is 1421 status is Cancelled</t>
  </si>
  <si>
    <t>2015-1-30 10:51:52.706: OrderManager - UpdateOrderStatus - id 1421 Setting status to Cancelled workingOrderCount is now 2 workingQty -2849</t>
  </si>
  <si>
    <t>2015-1-30 10:51:52.706: OrderManagerView - UpdateMainSheetOpenOrder - entering UpdateMainSheetOpenOrder order.status is Cancelled</t>
  </si>
  <si>
    <t>2015-1-30 10:51:52.708: RTWSControl - OrderStatus - Got OrderStatus Message id:1421 status: Cancelled filled: 0</t>
  </si>
  <si>
    <t>2015-1-30 10:51:52.709: RTWSControl - OrderStatus - exiting orderStatus</t>
  </si>
  <si>
    <t>2015-1-30 10:51:52.719: RTWSControl - errMsg - got error message 202:Order Canceled - reason:with id 1421</t>
  </si>
  <si>
    <t>2015-1-30 10:51:52.719: OrderManager - canceledOrder - cleaning up after canceled order 1421BEWARE UNACCOUNTED FOR EXECUTIONS!!!</t>
  </si>
  <si>
    <t>2015-1-30 10:51:52.720: OrderManager - terminateOrder - cleaning up after Canceled 1421  order was supposed to SELL 24 1.5065 STP LMT workingQty/OrderCount now -2873/1</t>
  </si>
  <si>
    <t>2015-1-30 10:51:52.721: OrderManagerView - UpdateMainSheetOpenOrder - entering UpdateMainSheetOpenOrder order.status is Canceled</t>
  </si>
  <si>
    <t>2015-1-30 10:51:52.756: RTWSControl - errMsg - got error message 399:Order Message:
SELL 23 GBP MAR'15
Warning: your order will not be placed at the exchange until 2015-01-30 08:30:00 US/Centralwith id 1422</t>
  </si>
  <si>
    <t>2015-1-30 10:51:52.757: RTWSControl - errMsg - Got Error_x000D_id: 1422_x000D_errorCode: 399_x000D_errorMsg: Order Message:
SELL 23 GBP MAR'15
Warning: your order will not be placed at the exchange until 2015-01-30 08:30:00 US/Central</t>
  </si>
  <si>
    <t>2015-1-30 10:51:52.765: openOrderEx - I am here</t>
  </si>
  <si>
    <t>2015-1-30 10:51:52.766: OrderManagerView - UpdateMainSheetOpenOrder - entering UpdateMainSheetOpenOrder order.status is In-Flight</t>
  </si>
  <si>
    <t>2015-1-30 10:51:52.804: RTWSControl - orderStatus -  entering orderStatus id is 1422 status is PreSubmitted</t>
  </si>
  <si>
    <t>2015-1-30 10:51:52.805: OrderManager - UpdateOrderStatus - id 1422 Setting status to PreSubmitted workingOrderCount is now 1 workingQty -2873</t>
  </si>
  <si>
    <t>2015-1-30 10:51:52.805: OrderManagerView - UpdateMainSheetOpenOrder - entering UpdateMainSheetOpenOrder order.status is PreSubmitted</t>
  </si>
  <si>
    <t>2015-1-30 10:51:52.807: RTWSControl - OrderStatus - Got OrderStatus Message id:1422 status: PreSubmitted filled: 0</t>
  </si>
  <si>
    <t>2015-1-30 10:51:52.807: RTWSControl - OrderStatus - exiting orderStatus</t>
  </si>
  <si>
    <t>2015-1-30 10:51:52.921: openOrderEx - I am here</t>
  </si>
  <si>
    <t>2015-1-30 10:51:52.922: OrderManagerView - UpdateMainSheetOpenOrder - entering UpdateMainSheetOpenOrder order.status is PreSubmitted</t>
  </si>
  <si>
    <t>2015-1-30 10:51:52.934: RTWSControl - orderStatus -  entering orderStatus id is 1422 status is PreSubmitted</t>
  </si>
  <si>
    <t>2015-1-30 10:51:52.935: OrderManager - UpdateOrderStatus - id 1422 Setting status to PreSubmitted workingOrderCount is now 1 workingQty -2873</t>
  </si>
  <si>
    <t>2015-1-30 10:51:52.935: OrderManagerView - UpdateMainSheetOpenOrder - entering UpdateMainSheetOpenOrder order.status is PreSubmitted</t>
  </si>
  <si>
    <t>2015-1-30 10:51:52.937: RTWSControl - OrderStatus - Got OrderStatus Message id:1422 status: PreSubmitted filled: 0</t>
  </si>
  <si>
    <t>2015-1-30 10:51:52.937: RTWSControl - OrderStatus - exiting orderStatus</t>
  </si>
  <si>
    <t>2015-1-30 10:51:53.652: OrderManager - cancelOrder - cancelling order id 1419</t>
  </si>
  <si>
    <t>2015-1-30 10:51:53.653: OrderManager - PlaceOrder - id 1423 workingQty -2851</t>
  </si>
  <si>
    <t>2015-1-30 10:51:53.654: OrderManagerView - UpdateMainSheetOpenOrder - entering UpdateMainSheetOpenOrder order.status is In-Flight</t>
  </si>
  <si>
    <t>2015-1-30 10:51:53.660: OrderManager - sendOrder - exiting place order id 1423 BUY 22 1.5121  - workingQty -2851 currentPosition is 21 workingOrderCount is 2</t>
  </si>
  <si>
    <t>2015-1-30 10:51:53.768: RTWSControl - nextValidId - entering nextValidId id is 1424</t>
  </si>
  <si>
    <t>2015-1-30 10:51:53.902: RTWSControl - orderStatus -  entering orderStatus id is 1419 status is Cancelled</t>
  </si>
  <si>
    <t>2015-1-30 10:51:53.904: OrderManager - UpdateOrderStatus - id 1419 Setting status to Cancelled workingOrderCount is now 2 workingQty -2851</t>
  </si>
  <si>
    <t>2015-1-30 10:51:53.905: OrderManagerView - UpdateMainSheetOpenOrder - entering UpdateMainSheetOpenOrder order.status is Cancelled</t>
  </si>
  <si>
    <t>2015-1-30 10:51:53.913: RTWSControl - OrderStatus - Got OrderStatus Message id:1419 status: Cancelled filled: 0</t>
  </si>
  <si>
    <t>2015-1-30 10:51:53.915: RTWSControl - OrderStatus - exiting orderStatus</t>
  </si>
  <si>
    <t>2015-1-30 10:51:53.939: RTWSControl - errMsg - got error message 202:Order Canceled - reason:with id 1419</t>
  </si>
  <si>
    <t>2015-1-30 10:51:53.940: OrderManager - canceledOrder - cleaning up after canceled order 1419BEWARE UNACCOUNTED FOR EXECUTIONS!!!</t>
  </si>
  <si>
    <t>2015-1-30 10:51:53.941: OrderManager - terminateOrder - cleaning up after Canceled 1419  order was supposed to BUY 24 1.5125 STP LMT workingQty/OrderCount now -2875/1</t>
  </si>
  <si>
    <t>2015-1-30 10:51:53.943: OrderManagerView - UpdateMainSheetOpenOrder - entering UpdateMainSheetOpenOrder order.status is Canceled</t>
  </si>
  <si>
    <t>2015-1-30 10:51:54.7: OrderManagerView - UpdateMainSheetOpenOrder - entering UpdateMainSheetOpenOrder order.status is Canceled</t>
  </si>
  <si>
    <t>2015-1-30 10:51:54.9: OrderManagerView - UpdateMainSheetOpenOrder - entering UpdateMainSheetOpenOrder order.status is PreSubmitted</t>
  </si>
  <si>
    <t>2015-1-30 10:51:54.10: OrderManagerView - UpdateMainSheetOpenOrder - entering UpdateMainSheetOpenOrder order.status is In-Flight</t>
  </si>
  <si>
    <t>2015-1-30 10:51:54.12: OrderManagerView - UpdateMainSheetOpenOrder - entering UpdateMainSheetOpenOrder order.status is PreSubmitted</t>
  </si>
  <si>
    <t>2015-1-30 10:51:54.13: OrderManagerView - UpdateMainSheetOpenOrder - entering UpdateMainSheetOpenOrder order.status is In-Flight</t>
  </si>
  <si>
    <t>2015-1-30 10:51:54.25: RTWSControl - errMsg - got error message 399:Order Message:
BUY 22 GBP MAR'15
Warning: your order will not be placed at the exchange until 2015-01-30 08:30:00 US/Centralwith id 1423</t>
  </si>
  <si>
    <t>2015-1-30 10:51:54.26: RTWSControl - errMsg - Got Error_x000D_id: 1423_x000D_errorCode: 399_x000D_errorMsg: Order Message:
BUY 22 GBP MAR'15
Warning: your order will not be placed at the exchange until 2015-01-30 08:30:00 US/Central</t>
  </si>
  <si>
    <t>2015-1-30 10:51:54.56: openOrderEx - I am here</t>
  </si>
  <si>
    <t>2015-1-30 10:51:54.56: OrderManagerView - UpdateMainSheetOpenOrder - entering UpdateMainSheetOpenOrder order.status is In-Flight</t>
  </si>
  <si>
    <t>2015-1-30 10:51:54.68: RTWSControl - orderStatus -  entering orderStatus id is 1423 status is PreSubmitted</t>
  </si>
  <si>
    <t>2015-1-30 10:51:54.69: OrderManager - UpdateOrderStatus - id 1423 Setting status to PreSubmitted workingOrderCount is now 1 workingQty -2875</t>
  </si>
  <si>
    <t>2015-1-30 10:51:54.69: OrderManagerView - UpdateMainSheetOpenOrder - entering UpdateMainSheetOpenOrder order.status is PreSubmitted</t>
  </si>
  <si>
    <t>2015-1-30 10:51:54.71: RTWSControl - OrderStatus - Got OrderStatus Message id:1423 status: PreSubmitted filled: 0</t>
  </si>
  <si>
    <t>2015-1-30 10:51:54.71: RTWSControl - OrderStatus - exiting orderStatus</t>
  </si>
  <si>
    <t>2015-1-30 10:51:55.9: openOrderEx - I am here</t>
  </si>
  <si>
    <t>2015-1-30 10:51:55.9: OrderManagerView - UpdateMainSheetOpenOrder - entering UpdateMainSheetOpenOrder order.status is PreSubmitted</t>
  </si>
  <si>
    <t>2015-1-30 10:51:55.22: RTWSControl - orderStatus -  entering orderStatus id is 1423 status is PreSubmitted</t>
  </si>
  <si>
    <t>2015-1-30 10:51:55.23: OrderManager - UpdateOrderStatus - id 1423 Setting status to PreSubmitted workingOrderCount is now 1 workingQty -2875</t>
  </si>
  <si>
    <t>2015-1-30 10:51:55.24: OrderManagerView - UpdateMainSheetOpenOrder - entering UpdateMainSheetOpenOrder order.status is PreSubmitted</t>
  </si>
  <si>
    <t>2015-1-30 10:51:55.26: RTWSControl - OrderStatus - Got OrderStatus Message id:1423 status: PreSubmitted filled: 0</t>
  </si>
  <si>
    <t>2015-1-30 10:51:55.26: RTWSControl - OrderStatus - exiting orderStatus</t>
  </si>
  <si>
    <t>2015-1-30 10:51:55.181: OrderManager - cancelOrder - cancelling order id 1423</t>
  </si>
  <si>
    <t>2015-1-30 10:51:55.182: OrderManager - PlaceOrder - id 1424 workingQty -2851</t>
  </si>
  <si>
    <t>2015-1-30 10:51:55.182: OrderManagerView - UpdateMainSheetOpenOrder - entering UpdateMainSheetOpenOrder order.status is In-Flight</t>
  </si>
  <si>
    <t>2015-1-30 10:51:55.184: OrderManager - sendOrder - exiting place order id 1424 BUY 24 1.5125  - workingQty -2851 currentPosition is 21 workingOrderCount is 2</t>
  </si>
  <si>
    <t>2015-1-30 10:51:55.434: RTWSControl - nextValidId - entering nextValidId id is 1425</t>
  </si>
  <si>
    <t>2015-1-30 10:51:55.482: RTWSControl - orderStatus -  entering orderStatus id is 1423 status is Cancelled</t>
  </si>
  <si>
    <t>2015-1-30 10:51:55.483: OrderManager - UpdateOrderStatus - id 1423 Setting status to Cancelled workingOrderCount is now 2 workingQty -2851</t>
  </si>
  <si>
    <t>2015-1-30 10:51:55.484: OrderManagerView - UpdateMainSheetOpenOrder - entering UpdateMainSheetOpenOrder order.status is Cancelled</t>
  </si>
  <si>
    <t>2015-1-30 10:51:55.486: RTWSControl - OrderStatus - Got OrderStatus Message id:1423 status: Cancelled filled: 0</t>
  </si>
  <si>
    <t>2015-1-30 10:51:55.486: RTWSControl - OrderStatus - exiting orderStatus</t>
  </si>
  <si>
    <t>2015-1-30 10:51:55.498: RTWSControl - errMsg - got error message 202:Order Canceled - reason:with id 1423</t>
  </si>
  <si>
    <t>2015-1-30 10:51:55.499: OrderManager - canceledOrder - cleaning up after canceled order 1423BEWARE UNACCOUNTED FOR EXECUTIONS!!!</t>
  </si>
  <si>
    <t>2015-1-30 10:51:55.499: OrderManager - terminateOrder - cleaning up after Canceled 1423  order was supposed to BUY 22 1.5121 STP LMT workingQty/OrderCount now -2873/1</t>
  </si>
  <si>
    <t>2015-1-30 10:51:55.500: OrderManagerView - UpdateMainSheetOpenOrder - entering UpdateMainSheetOpenOrder order.status is Canceled</t>
  </si>
  <si>
    <t>2015-1-30 10:51:55.514: RTWSControl - errMsg - got error message 399:Order Message:
BUY 24 GBP MAR'15
Warning: your order will not be placed at the exchange until 2015-01-30 08:30:00 US/Centralwith id 1424</t>
  </si>
  <si>
    <t>2015-1-30 10:51:55.515: RTWSControl - errMsg - Got Error_x000D_id: 1424_x000D_errorCode: 399_x000D_errorMsg: Order Message:
BUY 24 GBP MAR'15
Warning: your order will not be placed at the exchange until 2015-01-30 08:30:00 US/Central</t>
  </si>
  <si>
    <t>2015-1-30 10:51:55.523: openOrderEx - I am here</t>
  </si>
  <si>
    <t>2015-1-30 10:51:55.523: OrderManagerView - UpdateMainSheetOpenOrder - entering UpdateMainSheetOpenOrder order.status is In-Flight</t>
  </si>
  <si>
    <t>2015-1-30 10:51:55.556: RTWSControl - orderStatus -  entering orderStatus id is 1424 status is PreSubmitted</t>
  </si>
  <si>
    <t>2015-1-30 10:51:55.557: OrderManager - UpdateOrderStatus - id 1424 Setting status to PreSubmitted workingOrderCount is now 1 workingQty -2873</t>
  </si>
  <si>
    <t>2015-1-30 10:51:55.557: OrderManagerView - UpdateMainSheetOpenOrder - entering UpdateMainSheetOpenOrder order.status is PreSubmitted</t>
  </si>
  <si>
    <t>2015-1-30 10:51:55.559: RTWSControl - OrderStatus - Got OrderStatus Message id:1424 status: PreSubmitted filled: 0</t>
  </si>
  <si>
    <t>2015-1-30 10:51:55.560: RTWSControl - OrderStatus - exiting orderStatus</t>
  </si>
  <si>
    <t>2015-1-30 10:51:55.694: openOrderEx - I am here</t>
  </si>
  <si>
    <t>2015-1-30 10:51:55.695: OrderManagerView - UpdateMainSheetOpenOrder - entering UpdateMainSheetOpenOrder order.status is PreSubmitted</t>
  </si>
  <si>
    <t>2015-1-30 10:51:55.708: RTWSControl - orderStatus -  entering orderStatus id is 1424 status is PreSubmitted</t>
  </si>
  <si>
    <t>2015-1-30 10:51:55.708: OrderManager - UpdateOrderStatus - id 1424 Setting status to PreSubmitted workingOrderCount is now 1 workingQty -2873</t>
  </si>
  <si>
    <t>2015-1-30 10:51:55.709: OrderManagerView - UpdateMainSheetOpenOrder - entering UpdateMainSheetOpenOrder order.status is PreSubmitted</t>
  </si>
  <si>
    <t>2015-1-30 10:51:55.711: RTWSControl - OrderStatus - Got OrderStatus Message id:1424 status: PreSubmitted filled: 0</t>
  </si>
  <si>
    <t>2015-1-30 10:51:55.711: RTWSControl - OrderStatus - exiting orderStatus</t>
  </si>
  <si>
    <t>2015-1-30 10:51:57.1: OrderManagerView - UpdateMainSheetOpenOrder - entering UpdateMainSheetOpenOrder order.status is PreSubmitted</t>
  </si>
  <si>
    <t>2015-1-30 10:51:57.4: OrderManagerView - UpdateMainSheetOpenOrder - entering UpdateMainSheetOpenOrder order.status is Canceled</t>
  </si>
  <si>
    <t>2015-1-30 10:51:57.6: OrderManagerView - UpdateMainSheetOpenOrder - entering UpdateMainSheetOpenOrder order.status is PreSubmitted</t>
  </si>
  <si>
    <t>2015-1-30 10:51:57.8: OrderManagerView - UpdateMainSheetOpenOrder - entering UpdateMainSheetOpenOrder order.status is PreSubmitted</t>
  </si>
  <si>
    <t>2015-1-30 10:51:57.759: OrderManager - cancelOrder - cancelling order id 1424</t>
  </si>
  <si>
    <t>2015-1-30 10:51:57.761: OrderManager - PlaceOrder - id 1425 workingQty -2851</t>
  </si>
  <si>
    <t>2015-1-30 10:51:57.761: OrderManagerView - UpdateMainSheetOpenOrder - entering UpdateMainSheetOpenOrder order.status is In-Flight</t>
  </si>
  <si>
    <t>2015-1-30 10:51:57.768: OrderManager - sendOrder - exiting place order id 1425 BUY 22 1.5122  - workingQty -2851 currentPosition is 21 workingOrderCount is 2</t>
  </si>
  <si>
    <t>2015-1-30 10:51:57.903: RTWSControl - nextValidId - entering nextValidId id is 1426</t>
  </si>
  <si>
    <t>2015-1-30 10:51:58.3: OrderManagerView - UpdateMainSheetOpenOrder - entering UpdateMainSheetOpenOrder order.status is PreSubmitted</t>
  </si>
  <si>
    <t>2015-1-30 10:51:58.5: OrderManagerView - UpdateMainSheetOpenOrder - entering UpdateMainSheetOpenOrder order.status is PreSubmitted</t>
  </si>
  <si>
    <t>2015-1-30 10:51:58.6: OrderManagerView - UpdateMainSheetOpenOrder - entering UpdateMainSheetOpenOrder order.status is In-Flight</t>
  </si>
  <si>
    <t>2015-1-30 10:51:58.82: RTWSControl - orderStatus -  entering orderStatus id is 1424 status is Cancelled</t>
  </si>
  <si>
    <t>2015-1-30 10:51:58.83: OrderManager - UpdateOrderStatus - id 1424 Setting status to Cancelled workingOrderCount is now 2 workingQty -2851</t>
  </si>
  <si>
    <t>2015-1-30 10:51:58.83: OrderManagerView - UpdateMainSheetOpenOrder - entering UpdateMainSheetOpenOrder order.status is Cancelled</t>
  </si>
  <si>
    <t>2015-1-30 10:51:58.85: RTWSControl - OrderStatus - Got OrderStatus Message id:1424 status: Cancelled filled: 0</t>
  </si>
  <si>
    <t>2015-1-30 10:51:58.86: RTWSControl - OrderStatus - exiting orderStatus</t>
  </si>
  <si>
    <t>2015-1-30 10:51:58.121: RTWSControl - errMsg - got error message 202:Order Canceled - reason:with id 1424</t>
  </si>
  <si>
    <t>2015-1-30 10:51:58.121: OrderManager - canceledOrder - cleaning up after canceled order 1424BEWARE UNACCOUNTED FOR EXECUTIONS!!!</t>
  </si>
  <si>
    <t>2015-1-30 10:51:58.122: OrderManager - terminateOrder - cleaning up after Canceled 1424  order was supposed to BUY 24 1.5125 STP LMT workingQty/OrderCount now -2875/1</t>
  </si>
  <si>
    <t>2015-1-30 10:51:58.123: OrderManagerView - UpdateMainSheetOpenOrder - entering UpdateMainSheetOpenOrder order.status is Canceled</t>
  </si>
  <si>
    <t>2015-1-30 10:51:59.4: OrderManagerView - UpdateMainSheetOpenOrder - entering UpdateMainSheetOpenOrder order.status is PreSubmitted</t>
  </si>
  <si>
    <t>2015-1-30 10:51:59.6: OrderManagerView - UpdateMainSheetOpenOrder - entering UpdateMainSheetOpenOrder order.status is PreSubmitted</t>
  </si>
  <si>
    <t>2015-1-30 10:52:0.8: OrderManagerView - UpdateMainSheetOpenOrder - entering UpdateMainSheetOpenOrder order.status is PreSubmitted</t>
  </si>
  <si>
    <t>2015-1-30 10:52:0.9: OrderManagerView - UpdateMainSheetOpenOrder - entering UpdateMainSheetOpenOrder order.status is PreSubmitted</t>
  </si>
  <si>
    <t>2015-1-30 10:52:6.891: OrderManagerView - UpdateMainSheetOpenOrder - entering UpdateMainSheetOpenOrder order.status is PreSubmitted</t>
  </si>
  <si>
    <t>2015-1-30 10:52:6.894: OrderManagerView - UpdateMainSheetOpenOrder - entering UpdateMainSheetOpenOrder order.status is PreSubmitted</t>
  </si>
  <si>
    <t>2015-1-30 10:52:6.906: OrderManagerView - UpdateMainSheetOpenOrder - entering UpdateMainSheetOpenOrder order.status is PreSubmitted</t>
  </si>
  <si>
    <t>2015-1-30 10:52:6.908: OrderManagerView - UpdateMainSheetOpenOrder - entering UpdateMainSheetOpenOrder order.status is PreSubmitted</t>
  </si>
  <si>
    <t>2015-1-30 10:52:21.305: OrderManager - cancelOrder - cancelling order id 1425</t>
  </si>
  <si>
    <t>2015-1-30 10:52:21.305: OrderManager - PlaceOrder - id 1426 workingQty -2851</t>
  </si>
  <si>
    <t>2015-1-30 10:52:21.305: OrderManagerView - UpdateMainSheetOpenOrder - entering UpdateMainSheetOpenOrder order.status is In-Flight</t>
  </si>
  <si>
    <t>2015-1-30 10:52:21.308: OrderManager - sendOrder - exiting place order id 1426 BUY 24 1.5124  - workingQty -2851 currentPosition is 21 workingOrderCount is 2</t>
  </si>
  <si>
    <t>2015-1-30 10:52:21.395: RTWSControl - nextValidId - entering nextValidId id is 1427</t>
  </si>
  <si>
    <t>2015-1-30 10:52:21.616: RTWSControl - orderStatus -  entering orderStatus id is 1425 status is Cancelled</t>
  </si>
  <si>
    <t>2015-1-30 10:52:21.618: OrderManager - UpdateOrderStatus - id 1425 Setting status to Cancelled workingOrderCount is now 2 workingQty -2851</t>
  </si>
  <si>
    <t>2015-1-30 10:52:21.620: OrderManagerView - UpdateMainSheetOpenOrder - entering UpdateMainSheetOpenOrder order.status is Cancelled</t>
  </si>
  <si>
    <t>2015-1-30 10:52:21.630: RTWSControl - OrderStatus - Got OrderStatus Message id:1425 status: Cancelled filled: 0</t>
  </si>
  <si>
    <t>2015-1-30 10:52:21.632: RTWSControl - OrderStatus - exiting orderStatus</t>
  </si>
  <si>
    <t>2015-1-30 10:52:21.657: RTWSControl - errMsg - got error message 202:Order Canceled - reason:with id 1425</t>
  </si>
  <si>
    <t>2015-1-30 10:52:21.657: OrderManager - canceledOrder - cleaning up after canceled order 1425BEWARE UNACCOUNTED FOR EXECUTIONS!!!</t>
  </si>
  <si>
    <t>2015-1-30 10:52:21.658: OrderManager - terminateOrder - cleaning up after Canceled 1425  order was supposed to BUY 22 1.5122 STP LMT workingQty/OrderCount now -2873/1</t>
  </si>
  <si>
    <t>2015-1-30 10:52:21.660: OrderManagerView - UpdateMainSheetOpenOrder - entering UpdateMainSheetOpenOrder order.status is Canceled</t>
  </si>
  <si>
    <t>2015-1-30 10:52:21.678: RTWSControl - errMsg - got error message 399:Order Message:
BUY 24 GBP MAR'15
Warning: your order will not be placed at the exchange until 2015-01-30 08:30:00 US/Centralwith id 1426</t>
  </si>
  <si>
    <t>2015-1-30 10:52:21.679: RTWSControl - errMsg - Got Error_x000D_id: 1426_x000D_errorCode: 399_x000D_errorMsg: Order Message:
BUY 24 GBP MAR'15
Warning: your order will not be placed at the exchange until 2015-01-30 08:30:00 US/Central</t>
  </si>
  <si>
    <t>2015-1-30 10:52:21.688: openOrderEx - I am here</t>
  </si>
  <si>
    <t>2015-1-30 10:52:21.688: OrderManagerView - UpdateMainSheetOpenOrder - entering UpdateMainSheetOpenOrder order.status is In-Flight</t>
  </si>
  <si>
    <t>2015-1-30 10:52:21.721: RTWSControl - orderStatus -  entering orderStatus id is 1426 status is PreSubmitted</t>
  </si>
  <si>
    <t>2015-1-30 10:52:21.722: OrderManager - UpdateOrderStatus - id 1426 Setting status to PreSubmitted workingOrderCount is now 1 workingQty -2873</t>
  </si>
  <si>
    <t>2015-1-30 10:52:21.722: OrderManagerView - UpdateMainSheetOpenOrder - entering UpdateMainSheetOpenOrder order.status is PreSubmitted</t>
  </si>
  <si>
    <t>2015-1-30 10:52:21.725: RTWSControl - OrderStatus - Got OrderStatus Message id:1426 status: PreSubmitted filled: 0</t>
  </si>
  <si>
    <t>2015-1-30 10:52:21.725: RTWSControl - OrderStatus - exiting orderStatus</t>
  </si>
  <si>
    <t>2015-1-30 10:52:21.761: openOrderEx - I am here</t>
  </si>
  <si>
    <t>2015-1-30 10:52:21.761: OrderManagerView - UpdateMainSheetOpenOrder - entering UpdateMainSheetOpenOrder order.status is PreSubmitted</t>
  </si>
  <si>
    <t>2015-1-30 10:52:21.774: RTWSControl - orderStatus -  entering orderStatus id is 1426 status is PreSubmitted</t>
  </si>
  <si>
    <t>2015-1-30 10:52:21.775: OrderManager - UpdateOrderStatus - id 1426 Setting status to PreSubmitted workingOrderCount is now 1 workingQty -2873</t>
  </si>
  <si>
    <t>2015-1-30 10:52:21.775: OrderManagerView - UpdateMainSheetOpenOrder - entering UpdateMainSheetOpenOrder order.status is PreSubmitted</t>
  </si>
  <si>
    <t>2015-1-30 10:52:21.778: RTWSControl - OrderStatus - Got OrderStatus Message id:1426 status: PreSubmitted filled: 0</t>
  </si>
  <si>
    <t>2015-1-30 10:52:21.778: RTWSControl - OrderStatus - exiting orderStatus</t>
  </si>
  <si>
    <t>2015-1-30 10:52:23.411: OrderManager - cancelOrder - cancelling order id 1426</t>
  </si>
  <si>
    <t>2015-1-30 10:52:23.411: OrderManager - PlaceOrder - id 1427 workingQty -2851</t>
  </si>
  <si>
    <t>2015-1-30 10:52:23.411: OrderManagerView - UpdateMainSheetOpenOrder - entering UpdateMainSheetOpenOrder order.status is In-Flight</t>
  </si>
  <si>
    <t>2015-1-30 10:52:23.413: OrderManager - sendOrder - exiting place order id 1427 BUY 22 1.512  - workingQty -2851 currentPosition is 21 workingOrderCount is 2</t>
  </si>
  <si>
    <t>2015-1-30 10:52:23.550: RTWSControl - nextValidId - entering nextValidId id is 1428</t>
  </si>
  <si>
    <t>2015-1-30 10:52:23.716: RTWSControl - orderStatus -  entering orderStatus id is 1426 status is Cancelled</t>
  </si>
  <si>
    <t>2015-1-30 10:52:23.717: OrderManager - UpdateOrderStatus - id 1426 Setting status to Cancelled workingOrderCount is now 2 workingQty -2851</t>
  </si>
  <si>
    <t>2015-1-30 10:52:23.719: OrderManagerView - UpdateMainSheetOpenOrder - entering UpdateMainSheetOpenOrder order.status is Cancelled</t>
  </si>
  <si>
    <t>2015-1-30 10:52:23.730: RTWSControl - OrderStatus - Got OrderStatus Message id:1426 status: Cancelled filled: 0</t>
  </si>
  <si>
    <t>2015-1-30 10:52:23.731: RTWSControl - OrderStatus - exiting orderStatus</t>
  </si>
  <si>
    <t>2015-1-30 10:52:23.790: RTWSControl - errMsg - got error message 202:Order Canceled - reason:with id 1426</t>
  </si>
  <si>
    <t>2015-1-30 10:52:23.791: OrderManager - canceledOrder - cleaning up after canceled order 1426BEWARE UNACCOUNTED FOR EXECUTIONS!!!</t>
  </si>
  <si>
    <t>2015-1-30 10:52:23.792: OrderManager - terminateOrder - cleaning up after Canceled 1426  order was supposed to BUY 24 1.5124 STP LMT workingQty/OrderCount now -2875/1</t>
  </si>
  <si>
    <t>2015-1-30 10:52:23.794: OrderManagerView - UpdateMainSheetOpenOrder - entering UpdateMainSheetOpenOrder order.status is Canceled</t>
  </si>
  <si>
    <t>2015-1-30 10:52:23.811: RTWSControl - errMsg - got error message 399:Order Message:
BUY 22 GBP MAR'15
Warning: your order will not be placed at the exchange until 2015-01-30 08:30:00 US/Centralwith id 1427</t>
  </si>
  <si>
    <t>2015-1-30 10:52:23.812: RTWSControl - errMsg - Got Error_x000D_id: 1427_x000D_errorCode: 399_x000D_errorMsg: Order Message:
BUY 22 GBP MAR'15
Warning: your order will not be placed at the exchange until 2015-01-30 08:30:00 US/Central</t>
  </si>
  <si>
    <t>2015-1-30 10:52:23.851: openOrderEx - I am here</t>
  </si>
  <si>
    <t>2015-1-30 10:52:23.851: OrderManagerView - UpdateMainSheetOpenOrder - entering UpdateMainSheetOpenOrder order.status is In-Flight</t>
  </si>
  <si>
    <t>2015-1-30 10:52:23.869: RTWSControl - orderStatus -  entering orderStatus id is 1427 status is PreSubmitted</t>
  </si>
  <si>
    <t>2015-1-30 10:52:23.869: OrderManager - UpdateOrderStatus - id 1427 Setting status to PreSubmitted workingOrderCount is now 1 workingQty -2875</t>
  </si>
  <si>
    <t>2015-1-30 10:52:23.869: OrderManagerView - UpdateMainSheetOpenOrder - entering UpdateMainSheetOpenOrder order.status is PreSubmitted</t>
  </si>
  <si>
    <t>2015-1-30 10:52:23.873: RTWSControl - OrderStatus - Got OrderStatus Message id:1427 status: PreSubmitted filled: 0</t>
  </si>
  <si>
    <t>2015-1-30 10:52:23.873: RTWSControl - OrderStatus - exiting orderStatus</t>
  </si>
  <si>
    <t>2015-1-30 10:52:23.893: openOrderEx - I am here</t>
  </si>
  <si>
    <t>2015-1-30 10:52:23.893: OrderManagerView - UpdateMainSheetOpenOrder - entering UpdateMainSheetOpenOrder order.status is PreSubmitted</t>
  </si>
  <si>
    <t>2015-1-30 10:52:23.926: RTWSControl - orderStatus -  entering orderStatus id is 1427 status is PreSubmitted</t>
  </si>
  <si>
    <t>2015-1-30 10:52:23.926: OrderManager - UpdateOrderStatus - id 1427 Setting status to PreSubmitted workingOrderCount is now 1 workingQty -2875</t>
  </si>
  <si>
    <t>2015-1-30 10:52:23.927: OrderManagerView - UpdateMainSheetOpenOrder - entering UpdateMainSheetOpenOrder order.status is PreSubmitted</t>
  </si>
  <si>
    <t>2015-1-30 10:52:23.929: RTWSControl - OrderStatus - Got OrderStatus Message id:1427 status: PreSubmitted filled: 0</t>
  </si>
  <si>
    <t>2015-1-30 10:52:23.929: RTWSControl - OrderStatus - exiting orderStatus</t>
  </si>
  <si>
    <t>2015-1-30 10:52:28.12: OrderManagerView - UpdateMainSheetOpenOrder - entering UpdateMainSheetOpenOrder order.status is PreSubmitted</t>
  </si>
  <si>
    <t>2015-1-30 10:52:28.14: OrderManagerView - UpdateMainSheetOpenOrder - entering UpdateMainSheetOpenOrder order.status is Canceled</t>
  </si>
  <si>
    <t>2015-1-30 10:52:28.15: OrderManagerView - UpdateMainSheetOpenOrder - entering UpdateMainSheetOpenOrder order.status is PreSubmitted</t>
  </si>
  <si>
    <t>2015-1-30 10:52:28.17: OrderManagerView - UpdateMainSheetOpenOrder - entering UpdateMainSheetOpenOrder order.status is PreSubmitted</t>
  </si>
  <si>
    <t>2015-1-30 10:52:28.23: OrderManagerView - UpdateMainSheetOpenOrder - entering UpdateMainSheetOpenOrder order.status is PreSubmitted</t>
  </si>
  <si>
    <t>2015-1-30 10:52:28.25: OrderManagerView - UpdateMainSheetOpenOrder - entering UpdateMainSheetOpenOrder order.status is PreSubmitted</t>
  </si>
  <si>
    <t>2015-1-30 10:52:33.30: OrderManagerView - UpdateMainSheetOpenOrder - entering UpdateMainSheetOpenOrder order.status is PreSubmitted</t>
  </si>
  <si>
    <t>2015-1-30 10:52:33.32: OrderManagerView - UpdateMainSheetOpenOrder - entering UpdateMainSheetOpenOrder order.status is PreSubmitted</t>
  </si>
  <si>
    <t>2015-1-30 10:52:33.646: OrderManager - cancelOrder - cancelling order id 1427</t>
  </si>
  <si>
    <t>2015-1-30 10:52:33.647: OrderManager - PlaceOrder - id 1428 workingQty -2851</t>
  </si>
  <si>
    <t>2015-1-30 10:52:33.647: OrderManagerView - UpdateMainSheetOpenOrder - entering UpdateMainSheetOpenOrder order.status is In-Flight</t>
  </si>
  <si>
    <t>2015-1-30 10:52:33.650: OrderManager - sendOrder - exiting place order id 1428 BUY 24 1.5123  - workingQty -2851 currentPosition is 21 workingOrderCount is 2</t>
  </si>
  <si>
    <t>2015-1-30 10:52:34.14: RTWSControl - nextValidId - entering nextValidId id is 1429</t>
  </si>
  <si>
    <t>2015-1-30 10:52:34.20: RTWSControl - orderStatus -  entering orderStatus id is 1427 status is Cancelled</t>
  </si>
  <si>
    <t>2015-1-30 10:52:34.21: OrderManager - UpdateOrderStatus - id 1427 Setting status to Cancelled workingOrderCount is now 2 workingQty -2851</t>
  </si>
  <si>
    <t>2015-1-30 10:52:34.21: OrderManagerView - UpdateMainSheetOpenOrder - entering UpdateMainSheetOpenOrder order.status is Cancelled</t>
  </si>
  <si>
    <t>2015-1-30 10:52:34.24: RTWSControl - OrderStatus - Got OrderStatus Message id:1427 status: Cancelled filled: 0</t>
  </si>
  <si>
    <t>2015-1-30 10:52:34.24: RTWSControl - OrderStatus - exiting orderStatus</t>
  </si>
  <si>
    <t>2015-1-30 10:52:34.54: RTWSControl - errMsg - got error message 202:Order Canceled - reason:with id 1427</t>
  </si>
  <si>
    <t>2015-1-30 10:52:34.55: OrderManager - canceledOrder - cleaning up after canceled order 1427BEWARE UNACCOUNTED FOR EXECUTIONS!!!</t>
  </si>
  <si>
    <t>2015-1-30 10:52:34.56: OrderManager - terminateOrder - cleaning up after Canceled 1427  order was supposed to BUY 22 1.512 STP LMT workingQty/OrderCount now -2873/1</t>
  </si>
  <si>
    <t>2015-1-30 10:52:34.57: OrderManagerView - UpdateMainSheetOpenOrder - entering UpdateMainSheetOpenOrder order.status is Canceled</t>
  </si>
  <si>
    <t>2015-1-30 10:52:34.91: RTWSControl - errMsg - got error message 399:Order Message:
BUY 24 GBP MAR'15
Warning: your order will not be placed at the exchange until 2015-01-30 08:30:00 US/Centralwith id 1428</t>
  </si>
  <si>
    <t>2015-1-30 10:52:34.92: RTWSControl - errMsg - Got Error_x000D_id: 1428_x000D_errorCode: 399_x000D_errorMsg: Order Message:
BUY 24 GBP MAR'15
Warning: your order will not be placed at the exchange until 2015-01-30 08:30:00 US/Central</t>
  </si>
  <si>
    <t>2015-1-30 10:52:34.101: openOrderEx - I am here</t>
  </si>
  <si>
    <t>2015-1-30 10:52:34.101: OrderManagerView - UpdateMainSheetOpenOrder - entering UpdateMainSheetOpenOrder order.status is In-Flight</t>
  </si>
  <si>
    <t>2015-1-30 10:52:34.134: RTWSControl - orderStatus -  entering orderStatus id is 1428 status is PreSubmitted</t>
  </si>
  <si>
    <t>2015-1-30 10:52:34.134: OrderManager - UpdateOrderStatus - id 1428 Setting status to PreSubmitted workingOrderCount is now 1 workingQty -2873</t>
  </si>
  <si>
    <t>2015-1-30 10:52:34.135: OrderManagerView - UpdateMainSheetOpenOrder - entering UpdateMainSheetOpenOrder order.status is PreSubmitted</t>
  </si>
  <si>
    <t>2015-1-30 10:52:34.137: RTWSControl - OrderStatus - Got OrderStatus Message id:1428 status: PreSubmitted filled: 0</t>
  </si>
  <si>
    <t>2015-1-30 10:52:34.137: RTWSControl - OrderStatus - exiting orderStatus</t>
  </si>
  <si>
    <t>2015-1-30 10:52:34.150: openOrderEx - I am here</t>
  </si>
  <si>
    <t>2015-1-30 10:52:34.150: OrderManagerView - UpdateMainSheetOpenOrder - entering UpdateMainSheetOpenOrder order.status is PreSubmitted</t>
  </si>
  <si>
    <t>2015-1-30 10:52:34.184: RTWSControl - orderStatus -  entering orderStatus id is 1428 status is PreSubmitted</t>
  </si>
  <si>
    <t>2015-1-30 10:52:34.185: OrderManager - UpdateOrderStatus - id 1428 Setting status to PreSubmitted workingOrderCount is now 1 workingQty -2873</t>
  </si>
  <si>
    <t>2015-1-30 10:52:34.185: OrderManagerView - UpdateMainSheetOpenOrder - entering UpdateMainSheetOpenOrder order.status is PreSubmitted</t>
  </si>
  <si>
    <t>2015-1-30 10:52:34.188: RTWSControl - OrderStatus - Got OrderStatus Message id:1428 status: PreSubmitted filled: 0</t>
  </si>
  <si>
    <t>2015-1-30 10:52:34.188: RTWSControl - OrderStatus - exiting orderStatus</t>
  </si>
  <si>
    <t>2015-1-30 10:52:40.363: OrderManagerView - UpdateMainSheetOpenOrder - entering UpdateMainSheetOpenOrder order.status is PreSubmitted</t>
  </si>
  <si>
    <t>2015-1-30 10:52:40.365: OrderManagerView - UpdateMainSheetOpenOrder - entering UpdateMainSheetOpenOrder order.status is PreSubmitted</t>
  </si>
  <si>
    <t>2015-1-30 10:52:40.561: OrderManager - cancelOrder - cancelling order id 1422</t>
  </si>
  <si>
    <t>2015-1-30 10:52:40.561: OrderManager - PlaceOrder - id 1429 workingQty -2896</t>
  </si>
  <si>
    <t>2015-1-30 10:52:40.562: OrderManagerView - UpdateMainSheetOpenOrder - entering UpdateMainSheetOpenOrder order.status is In-Flight</t>
  </si>
  <si>
    <t>2015-1-30 10:52:40.564: OrderManager - sendOrder - exiting place order id 1429 SELL 23 1.5064  - workingQty -2896 currentPosition is 21 workingOrderCount is 2</t>
  </si>
  <si>
    <t>2015-1-30 10:52:40.857: RTWSControl - nextValidId - entering nextValidId id is 1430</t>
  </si>
  <si>
    <t>2015-1-30 10:52:40.882: RTWSControl - orderStatus -  entering orderStatus id is 1422 status is Cancelled</t>
  </si>
  <si>
    <t>2015-1-30 10:52:40.882: OrderManager - UpdateOrderStatus - id 1422 Setting status to Cancelled workingOrderCount is now 2 workingQty -2896</t>
  </si>
  <si>
    <t>2015-1-30 10:52:40.883: OrderManagerView - UpdateMainSheetOpenOrder - entering UpdateMainSheetOpenOrder order.status is Cancelled</t>
  </si>
  <si>
    <t>2015-1-30 10:52:40.885: RTWSControl - OrderStatus - Got OrderStatus Message id:1422 status: Cancelled filled: 0</t>
  </si>
  <si>
    <t>2015-1-30 10:52:40.885: RTWSControl - OrderStatus - exiting orderStatus</t>
  </si>
  <si>
    <t>2015-1-30 10:52:40.895: RTWSControl - errMsg - got error message 202:Order Canceled - reason:with id 1422</t>
  </si>
  <si>
    <t>2015-1-30 10:52:40.896: OrderManager - canceledOrder - cleaning up after canceled order 1422BEWARE UNACCOUNTED FOR EXECUTIONS!!!</t>
  </si>
  <si>
    <t>2015-1-30 10:52:40.897: OrderManager - terminateOrder - cleaning up after Canceled 1422  order was supposed to SELL 23 1.5067 STP LMT workingQty/OrderCount now -2919/1</t>
  </si>
  <si>
    <t>2015-1-30 10:52:40.898: OrderManagerView - UpdateMainSheetOpenOrder - entering UpdateMainSheetOpenOrder order.status is Canceled</t>
  </si>
  <si>
    <t>2015-1-30 10:52:40.934: RTWSControl - errMsg - got error message 399:Order Message:
SELL 23 GBP MAR'15
Warning: your order will not be placed at the exchange until 2015-01-30 08:30:00 US/Centralwith id 1429</t>
  </si>
  <si>
    <t>2015-1-30 10:52:40.935: RTWSControl - errMsg - Got Error_x000D_id: 1429_x000D_errorCode: 399_x000D_errorMsg: Order Message:
SELL 23 GBP MAR'15
Warning: your order will not be placed at the exchange until 2015-01-30 08:30:00 US/Central</t>
  </si>
  <si>
    <t>2015-1-30 10:52:40.970: openOrderEx - I am here</t>
  </si>
  <si>
    <t>2015-1-30 10:52:40.971: OrderManagerView - UpdateMainSheetOpenOrder - entering UpdateMainSheetOpenOrder order.status is In-Flight</t>
  </si>
  <si>
    <t>2015-1-30 10:52:40.983: RTWSControl - orderStatus -  entering orderStatus id is 1429 status is PreSubmitted</t>
  </si>
  <si>
    <t>2015-1-30 10:52:40.983: OrderManager - UpdateOrderStatus - id 1429 Setting status to PreSubmitted workingOrderCount is now 1 workingQty -2919</t>
  </si>
  <si>
    <t>2015-1-30 10:52:40.984: OrderManagerView - UpdateMainSheetOpenOrder - entering UpdateMainSheetOpenOrder order.status is PreSubmitted</t>
  </si>
  <si>
    <t>2015-1-30 10:52:40.986: RTWSControl - OrderStatus - Got OrderStatus Message id:1429 status: PreSubmitted filled: 0</t>
  </si>
  <si>
    <t>2015-1-30 10:52:40.987: RTWSControl - OrderStatus - exiting orderStatus</t>
  </si>
  <si>
    <t>2015-1-30 10:52:41.17: openOrderEx - I am here</t>
  </si>
  <si>
    <t>2015-1-30 10:52:41.17: OrderManagerView - UpdateMainSheetOpenOrder - entering UpdateMainSheetOpenOrder order.status is PreSubmitted</t>
  </si>
  <si>
    <t>2015-1-30 10:52:41.50: RTWSControl - orderStatus -  entering orderStatus id is 1429 status is PreSubmitted</t>
  </si>
  <si>
    <t>2015-1-30 10:52:41.50: OrderManager - UpdateOrderStatus - id 1429 Setting status to PreSubmitted workingOrderCount is now 1 workingQty -2919</t>
  </si>
  <si>
    <t>2015-1-30 10:52:41.51: OrderManagerView - UpdateMainSheetOpenOrder - entering UpdateMainSheetOpenOrder order.status is PreSubmitted</t>
  </si>
  <si>
    <t>2015-1-30 10:52:41.53: RTWSControl - OrderStatus - Got OrderStatus Message id:1429 status: PreSubmitted filled: 0</t>
  </si>
  <si>
    <t>2015-1-30 10:52:41.53: RTWSControl - OrderStatus - exiting orderStatus</t>
  </si>
  <si>
    <t>2015-1-30 10:52:42.828: OrderManager - cancelOrder - cancelling order id 1428</t>
  </si>
  <si>
    <t>2015-1-30 10:52:42.828: OrderManager - PlaceOrder - id 1430 workingQty -2898</t>
  </si>
  <si>
    <t>2015-1-30 10:52:42.828: OrderManagerView - UpdateMainSheetOpenOrder - entering UpdateMainSheetOpenOrder order.status is In-Flight</t>
  </si>
  <si>
    <t>2015-1-30 10:52:42.831: OrderManager - sendOrder - exiting place order id 1430 BUY 21 1.5117  - workingQty -2898 currentPosition is 21 workingOrderCount is 2</t>
  </si>
  <si>
    <t>2015-1-30 10:52:42.831: OrderManager - cancelOrder - cancelling order id 1429</t>
  </si>
  <si>
    <t>2015-1-30 10:52:42.831: OrderManager - createOrder - exiting without creating order - did not have validID</t>
  </si>
  <si>
    <t>2015-1-30 10:52:42.885: OrderManager - createOrder - exiting without creating order - did not have validID</t>
  </si>
  <si>
    <t>2015-1-30 10:52:43.11: OrderManager - createOrder - exiting without creating order - did not have validID</t>
  </si>
  <si>
    <t>2015-1-30 10:52:43.101: RTWSControl - nextValidId - entering nextValidId id is 1431</t>
  </si>
  <si>
    <t>2015-1-30 10:52:43.133: RTWSControl - orderStatus -  entering orderStatus id is 1428 status is Cancelled</t>
  </si>
  <si>
    <t>2015-1-30 10:52:43.134: OrderManager - UpdateOrderStatus - id 1428 Setting status to Cancelled workingOrderCount is now 2 workingQty -2898</t>
  </si>
  <si>
    <t>2015-1-30 10:52:43.134: OrderManagerView - UpdateMainSheetOpenOrder - entering UpdateMainSheetOpenOrder order.status is Cancelled</t>
  </si>
  <si>
    <t>2015-1-30 10:52:43.137: RTWSControl - OrderStatus - Got OrderStatus Message id:1428 status: Cancelled filled: 0</t>
  </si>
  <si>
    <t>2015-1-30 10:52:43.137: RTWSControl - OrderStatus - exiting orderStatus</t>
  </si>
  <si>
    <t>2015-1-30 10:52:43.147: RTWSControl - errMsg - got error message 202:Order Canceled - reason:with id 1428</t>
  </si>
  <si>
    <t>2015-1-30 10:52:43.148: OrderManager - canceledOrder - cleaning up after canceled order 1428BEWARE UNACCOUNTED FOR EXECUTIONS!!!</t>
  </si>
  <si>
    <t>2015-1-30 10:52:43.148: OrderManager - terminateOrder - cleaning up after Canceled 1428  order was supposed to BUY 24 1.5123 STP LMT workingQty/OrderCount now -2922/1</t>
  </si>
  <si>
    <t>2015-1-30 10:52:43.151: OrderManagerView - UpdateMainSheetOpenOrder - entering UpdateMainSheetOpenOrder order.status is Canceled</t>
  </si>
  <si>
    <t>2015-1-30 10:52:43.180: RTWSControl - errMsg - got error message 399:Order Message:
BUY 21 GBP MAR'15
Warning: your order will not be placed at the exchange until 2015-01-30 08:30:00 US/Centralwith id 1430</t>
  </si>
  <si>
    <t>2015-1-30 10:52:43.181: RTWSControl - errMsg - Got Error_x000D_id: 1430_x000D_errorCode: 399_x000D_errorMsg: Order Message:
BUY 21 GBP MAR'15
Warning: your order will not be placed at the exchange until 2015-01-30 08:30:00 US/Central</t>
  </si>
  <si>
    <t>2015-1-30 10:52:43.191: openOrderEx - I am here</t>
  </si>
  <si>
    <t>2015-1-30 10:52:43.191: OrderManagerView - UpdateMainSheetOpenOrder - entering UpdateMainSheetOpenOrder order.status is In-Flight</t>
  </si>
  <si>
    <t>2015-1-30 10:52:43.222: RTWSControl - orderStatus -  entering orderStatus id is 1430 status is PreSubmitted</t>
  </si>
  <si>
    <t>2015-1-30 10:52:43.223: OrderManager - UpdateOrderStatus - id 1430 Setting status to PreSubmitted workingOrderCount is now 1 workingQty -2922</t>
  </si>
  <si>
    <t>2015-1-30 10:52:43.223: OrderManagerView - UpdateMainSheetOpenOrder - entering UpdateMainSheetOpenOrder order.status is PreSubmitted</t>
  </si>
  <si>
    <t>2015-1-30 10:52:43.225: RTWSControl - OrderStatus - Got OrderStatus Message id:1430 status: PreSubmitted filled: 0</t>
  </si>
  <si>
    <t>2015-1-30 10:52:43.226: RTWSControl - OrderStatus - exiting orderStatus</t>
  </si>
  <si>
    <t>2015-1-30 10:52:43.260: RTWSControl - orderStatus -  entering orderStatus id is 1429 status is Cancelled</t>
  </si>
  <si>
    <t>2015-1-30 10:52:43.260: OrderManager - UpdateOrderStatus - id 1429 Setting status to Cancelled workingOrderCount is now 1 workingQty -2922</t>
  </si>
  <si>
    <t>2015-1-30 10:52:43.261: OrderManagerView - UpdateMainSheetOpenOrder - entering UpdateMainSheetOpenOrder order.status is Cancelled</t>
  </si>
  <si>
    <t>2015-1-30 10:52:43.263: RTWSControl - OrderStatus - Got OrderStatus Message id:1429 status: Cancelled filled: 0</t>
  </si>
  <si>
    <t>2015-1-30 10:52:43.263: RTWSControl - OrderStatus - exiting orderStatus</t>
  </si>
  <si>
    <t>2015-1-30 10:52:43.274: RTWSControl - errMsg - got error message 202:Order Canceled - reason:with id 1429</t>
  </si>
  <si>
    <t>2015-1-30 10:52:43.275: OrderManager - canceledOrder - cleaning up after canceled order 1429BEWARE UNACCOUNTED FOR EXECUTIONS!!!</t>
  </si>
  <si>
    <t>2015-1-30 10:52:43.275: OrderManager - terminateOrder - cleaning up after Canceled 1429  order was supposed to SELL 23 1.5064 STP LMT workingQty/OrderCount now -2945/0</t>
  </si>
  <si>
    <t>2015-1-30 10:52:43.278: OrderManagerView - UpdateMainSheetOpenOrder - entering UpdateMainSheetOpenOrder order.status is Canceled</t>
  </si>
  <si>
    <t>2015-1-30 10:52:43.313: openOrderEx - I am here</t>
  </si>
  <si>
    <t>2015-1-30 10:52:43.313: OrderManagerView - UpdateMainSheetOpenOrder - entering UpdateMainSheetOpenOrder order.status is PreSubmitted</t>
  </si>
  <si>
    <t>2015-1-30 10:52:43.346: RTWSControl - orderStatus -  entering orderStatus id is 1430 status is PreSubmitted</t>
  </si>
  <si>
    <t>2015-1-30 10:52:43.347: OrderManager - UpdateOrderStatus - id 1430 Setting status to PreSubmitted workingOrderCount is now 0 workingQty -2945</t>
  </si>
  <si>
    <t>2015-1-30 10:52:43.347: OrderManagerView - UpdateMainSheetOpenOrder - entering UpdateMainSheetOpenOrder order.status is PreSubmitted</t>
  </si>
  <si>
    <t>2015-1-30 10:52:43.350: RTWSControl - OrderStatus - Got OrderStatus Message id:1430 status: PreSubmitted filled: 0</t>
  </si>
  <si>
    <t>2015-1-30 10:52:43.350: RTWSControl - OrderStatus - exiting orderStatus</t>
  </si>
  <si>
    <t>2015-1-30 10:52:45.109: OrderManagerView - UpdateMainSheetOpenOrder - entering UpdateMainSheetOpenOrder order.status is Canceled</t>
  </si>
  <si>
    <t>2015-1-30 10:52:45.117: OrderManagerView - UpdateMainSheetOpenOrder - entering UpdateMainSheetOpenOrder order.status is Canceled</t>
  </si>
  <si>
    <t>2015-1-30 10:52:45.122: OrderManagerView - UpdateMainSheetOpenOrder - entering UpdateMainSheetOpenOrder order.status is PreSubmitted</t>
  </si>
  <si>
    <t>2015-1-30 10:52:45.129: OrderManagerView - UpdateMainSheetOpenOrder - entering UpdateMainSheetOpenOrder order.status is PreSubmitted</t>
  </si>
  <si>
    <t>2015-1-30 10:52:47.864: OrderManager - cancelOrder - cancelling order id 1430</t>
  </si>
  <si>
    <t>2015-1-30 10:52:47.865: OrderManager - PlaceOrder - id 1431 workingQty -2921</t>
  </si>
  <si>
    <t>2015-1-30 10:52:47.866: OrderManagerView - UpdateMainSheetOpenOrder - entering UpdateMainSheetOpenOrder order.status is In-Flight</t>
  </si>
  <si>
    <t>2015-1-30 10:52:47.874: OrderManager - sendOrder - exiting place order id 1431 BUY 24 1.5122  - workingQty -2921 currentPosition is 21 workingOrderCount is 1</t>
  </si>
  <si>
    <t>2015-1-30 10:52:47.875: OrderManager - createOrder - exiting without creating order - did not have validID</t>
  </si>
  <si>
    <t>2015-1-30 10:52:48.15: OrderManagerView - UpdateMainSheetOpenOrder - entering UpdateMainSheetOpenOrder order.status is PreSubmitted</t>
  </si>
  <si>
    <t>2015-1-30 10:52:48.18: OrderManagerView - UpdateMainSheetOpenOrder - entering UpdateMainSheetOpenOrder order.status is In-Flight</t>
  </si>
  <si>
    <t>2015-1-30 10:52:48.20: OrderManagerView - UpdateMainSheetOpenOrder - entering UpdateMainSheetOpenOrder order.status is In-Flight</t>
  </si>
  <si>
    <t>2015-1-30 10:52:48.25: OrderManagerView - UpdateMainSheetOpenOrder - entering UpdateMainSheetOpenOrder order.status is PreSubmitted</t>
  </si>
  <si>
    <t>2015-1-30 10:52:48.26: OrderManagerView - UpdateMainSheetOpenOrder - entering UpdateMainSheetOpenOrder order.status is In-Flight</t>
  </si>
  <si>
    <t>2015-1-30 10:52:48.92: RTWSControl - nextValidId - entering nextValidId id is 1432</t>
  </si>
  <si>
    <t>2015-1-30 10:52:48.176: RTWSControl - orderStatus -  entering orderStatus id is 1430 status is Cancelled</t>
  </si>
  <si>
    <t>2015-1-30 10:52:48.177: OrderManager - UpdateOrderStatus - id 1430 Setting status to Cancelled workingOrderCount is now 1 workingQty -2921</t>
  </si>
  <si>
    <t>2015-1-30 10:52:48.178: OrderManagerView - UpdateMainSheetOpenOrder - entering UpdateMainSheetOpenOrder order.status is Cancelled</t>
  </si>
  <si>
    <t>2015-1-30 10:52:48.180: RTWSControl - OrderStatus - Got OrderStatus Message id:1430 status: Cancelled filled: 0</t>
  </si>
  <si>
    <t>2015-1-30 10:52:48.180: RTWSControl - OrderStatus - exiting orderStatus</t>
  </si>
  <si>
    <t>2015-1-30 10:52:48.205: RTWSControl - errMsg - got error message 202:Order Canceled - reason:with id 1430</t>
  </si>
  <si>
    <t>2015-1-30 10:52:48.206: OrderManager - canceledOrder - cleaning up after canceled order 1430BEWARE UNACCOUNTED FOR EXECUTIONS!!!</t>
  </si>
  <si>
    <t>2015-1-30 10:52:48.206: OrderManager - terminateOrder - cleaning up after Canceled 1430  order was supposed to BUY 21 1.5117 STP LMT workingQty/OrderCount now -2942/0</t>
  </si>
  <si>
    <t>2015-1-30 10:52:48.209: OrderManagerView - UpdateMainSheetOpenOrder - entering UpdateMainSheetOpenOrder order.status is Canceled</t>
  </si>
  <si>
    <t>2015-1-30 10:52:48.220: RTWSControl - errMsg - got error message 399:Order Message:
BUY 24 GBP MAR'15
Warning: your order will not be placed at the exchange until 2015-01-30 08:30:00 US/Centralwith id 1431</t>
  </si>
  <si>
    <t>2015-1-30 10:52:48.222: RTWSControl - errMsg - Got Error_x000D_id: 1431_x000D_errorCode: 399_x000D_errorMsg: Order Message:
BUY 24 GBP MAR'15
Warning: your order will not be placed at the exchange until 2015-01-30 08:30:00 US/Central</t>
  </si>
  <si>
    <t>2015-1-30 10:52:48.264: openOrderEx - I am here</t>
  </si>
  <si>
    <t>2015-1-30 10:52:48.264: OrderManagerView - UpdateMainSheetOpenOrder - entering UpdateMainSheetOpenOrder order.status is In-Flight</t>
  </si>
  <si>
    <t>2015-1-30 10:52:48.277: RTWSControl - orderStatus -  entering orderStatus id is 1431 status is PreSubmitted</t>
  </si>
  <si>
    <t>2015-1-30 10:52:48.278: OrderManager - UpdateOrderStatus - id 1431 Setting status to PreSubmitted workingOrderCount is now 0 workingQty -2942</t>
  </si>
  <si>
    <t>2015-1-30 10:52:48.278: OrderManagerView - UpdateMainSheetOpenOrder - entering UpdateMainSheetOpenOrder order.status is PreSubmitted</t>
  </si>
  <si>
    <t>2015-1-30 10:52:48.280: RTWSControl - OrderStatus - Got OrderStatus Message id:1431 status: PreSubmitted filled: 0</t>
  </si>
  <si>
    <t>2015-1-30 10:52:48.281: RTWSControl - OrderStatus - exiting orderStatus</t>
  </si>
  <si>
    <t>2015-1-30 10:52:48.309: openOrderEx - I am here</t>
  </si>
  <si>
    <t>2015-1-30 10:52:48.310: OrderManagerView - UpdateMainSheetOpenOrder - entering UpdateMainSheetOpenOrder order.status is PreSubmitted</t>
  </si>
  <si>
    <t>2015-1-30 10:52:48.343: RTWSControl - orderStatus -  entering orderStatus id is 1431 status is PreSubmitted</t>
  </si>
  <si>
    <t>2015-1-30 10:52:48.344: OrderManager - UpdateOrderStatus - id 1431 Setting status to PreSubmitted workingOrderCount is now 0 workingQty -2942</t>
  </si>
  <si>
    <t>2015-1-30 10:52:48.344: OrderManagerView - UpdateMainSheetOpenOrder - entering UpdateMainSheetOpenOrder order.status is PreSubmitted</t>
  </si>
  <si>
    <t>2015-1-30 10:52:48.346: RTWSControl - OrderStatus - Got OrderStatus Message id:1431 status: PreSubmitted filled: 0</t>
  </si>
  <si>
    <t>2015-1-30 10:52:48.347: RTWSControl - OrderStatus - exiting orderStatus</t>
  </si>
  <si>
    <t>2015-1-30 10:52:48.871: OrderManager - PlaceOrder - id 1432 workingQty -2966</t>
  </si>
  <si>
    <t>2015-1-30 10:52:48.873: OrderManagerView - UpdateMainSheetOpenOrder - entering UpdateMainSheetOpenOrder order.status is In-Flight</t>
  </si>
  <si>
    <t>2015-1-30 10:52:48.882: OrderManager - sendOrder - exiting place order id 1432 SELL 24 1.5065  - workingQty -2966 currentPosition is 21 workingOrderCount is 1</t>
  </si>
  <si>
    <t>2015-1-30 10:52:49.71: RTWSControl - nextValidId - entering nextValidId id is 1433</t>
  </si>
  <si>
    <t>2015-1-30 10:52:49.184: RTWSControl - errMsg - got error message 399:Order Message:
SELL 24 GBP MAR'15
Warning: your order will not be placed at the exchange until 2015-01-30 08:30:00 US/Centralwith id 1432</t>
  </si>
  <si>
    <t>2015-1-30 10:52:49.185: RTWSControl - errMsg - Got Error_x000D_id: 1432_x000D_errorCode: 399_x000D_errorMsg: Order Message:
SELL 24 GBP MAR'15
Warning: your order will not be placed at the exchange until 2015-01-30 08:30:00 US/Central</t>
  </si>
  <si>
    <t>2015-1-30 10:52:49.219: openOrderEx - I am here</t>
  </si>
  <si>
    <t>2015-1-30 10:52:49.220: OrderManagerView - UpdateMainSheetOpenOrder - entering UpdateMainSheetOpenOrder order.status is In-Flight</t>
  </si>
  <si>
    <t>2015-1-30 10:52:49.250: RTWSControl - orderStatus -  entering orderStatus id is 1432 status is PreSubmitted</t>
  </si>
  <si>
    <t>2015-1-30 10:52:49.251: OrderManager - UpdateOrderStatus - id 1432 Setting status to PreSubmitted workingOrderCount is now 1 workingQty -2966</t>
  </si>
  <si>
    <t>2015-1-30 10:52:49.251: OrderManagerView - UpdateMainSheetOpenOrder - entering UpdateMainSheetOpenOrder order.status is PreSubmitted</t>
  </si>
  <si>
    <t>2015-1-30 10:52:49.255: RTWSControl - OrderStatus - Got OrderStatus Message id:1432 status: PreSubmitted filled: 0</t>
  </si>
  <si>
    <t>2015-1-30 10:52:49.256: RTWSControl - OrderStatus - exiting orderStatus</t>
  </si>
  <si>
    <t>2015-1-30 10:52:49.278: openOrderEx - I am here</t>
  </si>
  <si>
    <t>2015-1-30 10:52:49.279: OrderManagerView - UpdateMainSheetOpenOrder - entering UpdateMainSheetOpenOrder order.status is PreSubmitted</t>
  </si>
  <si>
    <t>2015-1-30 10:52:49.306: RTWSControl - orderStatus -  entering orderStatus id is 1432 status is PreSubmitted</t>
  </si>
  <si>
    <t>2015-1-30 10:52:49.307: OrderManager - UpdateOrderStatus - id 1432 Setting status to PreSubmitted workingOrderCount is now 1 workingQty -2966</t>
  </si>
  <si>
    <t>2015-1-30 10:52:49.307: OrderManagerView - UpdateMainSheetOpenOrder - entering UpdateMainSheetOpenOrder order.status is PreSubmitted</t>
  </si>
  <si>
    <t>2015-1-30 10:52:49.309: RTWSControl - OrderStatus - Got OrderStatus Message id:1432 status: PreSubmitted filled: 0</t>
  </si>
  <si>
    <t>2015-1-30 10:52:49.310: RTWSControl - OrderStatus - exiting orderStatus</t>
  </si>
  <si>
    <t>2015-1-30 10:52:50.0: OrderManagerView - UpdateMainSheetOpenOrder - entering UpdateMainSheetOpenOrder order.status is PreSubmitted</t>
  </si>
  <si>
    <t>2015-1-30 10:52:50.3: OrderManagerView - UpdateMainSheetOpenOrder - entering UpdateMainSheetOpenOrder order.status is PreSubmitted</t>
  </si>
  <si>
    <t>2015-1-30 10:52:50.5: OrderManagerView - UpdateMainSheetOpenOrder - entering UpdateMainSheetOpenOrder order.status is PreSubmitted</t>
  </si>
  <si>
    <t>2015-1-30 10:52:50.10: OrderManagerView - UpdateMainSheetOpenOrder - entering UpdateMainSheetOpenOrder order.status is PreSubmitted</t>
  </si>
  <si>
    <t>2015-1-30 10:52:50.11: OrderManagerView - UpdateMainSheetOpenOrder - entering UpdateMainSheetOpenOrder order.status is PreSubmitted</t>
  </si>
  <si>
    <t>2015-1-30 10:52:51.374: OrderManager - cancelOrder - cancelling order id 1431</t>
  </si>
  <si>
    <t>2015-1-30 10:52:51.375: OrderManager - PlaceOrder - id 1433 workingQty -2942</t>
  </si>
  <si>
    <t>2015-1-30 10:52:51.375: OrderManagerView - UpdateMainSheetOpenOrder - entering UpdateMainSheetOpenOrder order.status is In-Flight</t>
  </si>
  <si>
    <t>2015-1-30 10:52:51.378: OrderManager - sendOrder - exiting place order id 1433 BUY 24 1.5124  - workingQty -2942 currentPosition is 21 workingOrderCount is 2</t>
  </si>
  <si>
    <t>2015-1-30 10:52:51.644: RTWSControl - nextValidId - entering nextValidId id is 1434</t>
  </si>
  <si>
    <t>2015-1-30 10:52:51.675: RTWSControl - orderStatus -  entering orderStatus id is 1431 status is Cancelled</t>
  </si>
  <si>
    <t>2015-1-30 10:52:51.676: OrderManager - UpdateOrderStatus - id 1431 Setting status to Cancelled workingOrderCount is now 2 workingQty -2942</t>
  </si>
  <si>
    <t>2015-1-30 10:52:51.676: OrderManagerView - UpdateMainSheetOpenOrder - entering UpdateMainSheetOpenOrder order.status is Cancelled</t>
  </si>
  <si>
    <t>2015-1-30 10:52:51.678: RTWSControl - OrderStatus - Got OrderStatus Message id:1431 status: Cancelled filled: 0</t>
  </si>
  <si>
    <t>2015-1-30 10:52:51.679: RTWSControl - OrderStatus - exiting orderStatus</t>
  </si>
  <si>
    <t>2015-1-30 10:52:51.689: RTWSControl - errMsg - got error message 202:Order Canceled - reason:with id 1431</t>
  </si>
  <si>
    <t>2015-1-30 10:52:51.690: OrderManager - canceledOrder - cleaning up after canceled order 1431BEWARE UNACCOUNTED FOR EXECUTIONS!!!</t>
  </si>
  <si>
    <t>2015-1-30 10:52:51.690: OrderManager - terminateOrder - cleaning up after Canceled 1431  order was supposed to BUY 24 1.5122 STP LMT workingQty/OrderCount now -2966/1</t>
  </si>
  <si>
    <t>2015-1-30 10:52:51.692: OrderManagerView - UpdateMainSheetOpenOrder - entering UpdateMainSheetOpenOrder order.status is Canceled</t>
  </si>
  <si>
    <t>2015-1-30 10:52:51.769: RTWSControl - errMsg - got error message 399:Order Message:
BUY 24 GBP MAR'15
Warning: your order will not be placed at the exchange until 2015-01-30 08:30:00 US/Centralwith id 1433</t>
  </si>
  <si>
    <t>2015-1-30 10:52:51.770: RTWSControl - errMsg - Got Error_x000D_id: 1433_x000D_errorCode: 399_x000D_errorMsg: Order Message:
BUY 24 GBP MAR'15
Warning: your order will not be placed at the exchange until 2015-01-30 08:30:00 US/Central</t>
  </si>
  <si>
    <t>2015-1-30 10:52:51.803: openOrderEx - I am here</t>
  </si>
  <si>
    <t>2015-1-30 10:52:51.803: OrderManagerView - UpdateMainSheetOpenOrder - entering UpdateMainSheetOpenOrder order.status is In-Flight</t>
  </si>
  <si>
    <t>2015-1-30 10:52:51.815: RTWSControl - orderStatus -  entering orderStatus id is 1433 status is PreSubmitted</t>
  </si>
  <si>
    <t>2015-1-30 10:52:51.816: OrderManager - UpdateOrderStatus - id 1433 Setting status to PreSubmitted workingOrderCount is now 1 workingQty -2966</t>
  </si>
  <si>
    <t>2015-1-30 10:52:51.816: OrderManagerView - UpdateMainSheetOpenOrder - entering UpdateMainSheetOpenOrder order.status is PreSubmitted</t>
  </si>
  <si>
    <t>2015-1-30 10:52:51.819: RTWSControl - OrderStatus - Got OrderStatus Message id:1433 status: PreSubmitted filled: 0</t>
  </si>
  <si>
    <t>2015-1-30 10:52:51.819: RTWSControl - OrderStatus - exiting orderStatus</t>
  </si>
  <si>
    <t>2015-1-30 10:52:51.849: openOrderEx - I am here</t>
  </si>
  <si>
    <t>2015-1-30 10:52:51.849: OrderManagerView - UpdateMainSheetOpenOrder - entering UpdateMainSheetOpenOrder order.status is PreSubmitted</t>
  </si>
  <si>
    <t>2015-1-30 10:52:51.883: RTWSControl - orderStatus -  entering orderStatus id is 1433 status is PreSubmitted</t>
  </si>
  <si>
    <t>2015-1-30 10:52:51.884: OrderManager - UpdateOrderStatus - id 1433 Setting status to PreSubmitted workingOrderCount is now 1 workingQty -2966</t>
  </si>
  <si>
    <t>2015-1-30 10:52:51.884: OrderManagerView - UpdateMainSheetOpenOrder - entering UpdateMainSheetOpenOrder order.status is PreSubmitted</t>
  </si>
  <si>
    <t>2015-1-30 10:52:51.886: RTWSControl - OrderStatus - Got OrderStatus Message id:1433 status: PreSubmitted filled: 0</t>
  </si>
  <si>
    <t>2015-1-30 10:52:51.887: RTWSControl - OrderStatus - exiting orderStatus</t>
  </si>
  <si>
    <t>2015-1-30 10:52:53.6: OrderManagerView - UpdateMainSheetOpenOrder - entering UpdateMainSheetOpenOrder order.status is PreSubmitted</t>
  </si>
  <si>
    <t>2015-1-30 10:52:53.9: OrderManagerView - UpdateMainSheetOpenOrder - entering UpdateMainSheetOpenOrder order.status is PreSubmitted</t>
  </si>
  <si>
    <t>2015-1-30 10:52:53.11: OrderManagerView - UpdateMainSheetOpenOrder - entering UpdateMainSheetOpenOrder order.status is PreSubmitted</t>
  </si>
  <si>
    <t>2015-1-30 10:52:57.657: OrderManagerView - UpdateMainSheetOpenOrder - entering UpdateMainSheetOpenOrder order.status is PreSubmitted</t>
  </si>
  <si>
    <t>2015-1-30 10:52:57.658: OrderManagerView - UpdateMainSheetOpenOrder - entering UpdateMainSheetOpenOrder order.status is PreSubmitted</t>
  </si>
  <si>
    <t>2015-1-30 10:52:58.437: OrderManager - cancelOrder - cancelling order id 1433</t>
  </si>
  <si>
    <t>2015-1-30 10:52:58.437: OrderManager - PlaceOrder - id 1434 workingQty -2943</t>
  </si>
  <si>
    <t>2015-1-30 10:52:58.437: OrderManagerView - UpdateMainSheetOpenOrder - entering UpdateMainSheetOpenOrder order.status is In-Flight</t>
  </si>
  <si>
    <t>2015-1-30 10:52:58.439: OrderManager - sendOrder - exiting place order id 1434 BUY 23 1.5121  - workingQty -2943 currentPosition is 21 workingOrderCount is 2</t>
  </si>
  <si>
    <t>2015-1-30 10:52:58.681: RTWSControl - nextValidId - entering nextValidId id is 1435</t>
  </si>
  <si>
    <t>2015-1-30 10:52:58.699: RTWSControl - orderStatus -  entering orderStatus id is 1433 status is Cancelled</t>
  </si>
  <si>
    <t>2015-1-30 10:52:58.700: OrderManager - UpdateOrderStatus - id 1433 Setting status to Cancelled workingOrderCount is now 2 workingQty -2943</t>
  </si>
  <si>
    <t>2015-1-30 10:52:58.700: OrderManagerView - UpdateMainSheetOpenOrder - entering UpdateMainSheetOpenOrder order.status is Cancelled</t>
  </si>
  <si>
    <t>2015-1-30 10:52:58.703: RTWSControl - OrderStatus - Got OrderStatus Message id:1433 status: Cancelled filled: 0</t>
  </si>
  <si>
    <t>2015-1-30 10:52:58.704: RTWSControl - OrderStatus - exiting orderStatus</t>
  </si>
  <si>
    <t>2015-1-30 10:52:58.723: RTWSControl - errMsg - got error message 202:Order Canceled - reason:with id 1433</t>
  </si>
  <si>
    <t>2015-1-30 10:52:58.724: OrderManager - canceledOrder - cleaning up after canceled order 1433BEWARE UNACCOUNTED FOR EXECUTIONS!!!</t>
  </si>
  <si>
    <t>2015-1-30 10:52:58.725: OrderManager - terminateOrder - cleaning up after Canceled 1433  order was supposed to BUY 24 1.5124 STP LMT workingQty/OrderCount now -2967/1</t>
  </si>
  <si>
    <t>2015-1-30 10:52:58.726: OrderManagerView - UpdateMainSheetOpenOrder - entering UpdateMainSheetOpenOrder order.status is Canceled</t>
  </si>
  <si>
    <t>2015-1-30 10:52:58.759: RTWSControl - errMsg - got error message 399:Order Message:
BUY 23 GBP MAR'15
Warning: your order will not be placed at the exchange until 2015-01-30 08:30:00 US/Centralwith id 1434</t>
  </si>
  <si>
    <t>2015-1-30 10:52:58.760: RTWSControl - errMsg - Got Error_x000D_id: 1434_x000D_errorCode: 399_x000D_errorMsg: Order Message:
BUY 23 GBP MAR'15
Warning: your order will not be placed at the exchange until 2015-01-30 08:30:00 US/Central</t>
  </si>
  <si>
    <t>2015-1-30 10:52:58.768: openOrderEx - I am here</t>
  </si>
  <si>
    <t>2015-1-30 10:52:58.768: OrderManagerView - UpdateMainSheetOpenOrder - entering UpdateMainSheetOpenOrder order.status is In-Flight</t>
  </si>
  <si>
    <t>2015-1-30 10:52:58.802: RTWSControl - orderStatus -  entering orderStatus id is 1434 status is PreSubmitted</t>
  </si>
  <si>
    <t>2015-1-30 10:52:58.802: OrderManager - UpdateOrderStatus - id 1434 Setting status to PreSubmitted workingOrderCount is now 1 workingQty -2967</t>
  </si>
  <si>
    <t>2015-1-30 10:52:58.803: OrderManagerView - UpdateMainSheetOpenOrder - entering UpdateMainSheetOpenOrder order.status is PreSubmitted</t>
  </si>
  <si>
    <t>2015-1-30 10:52:58.805: RTWSControl - OrderStatus - Got OrderStatus Message id:1434 status: PreSubmitted filled: 0</t>
  </si>
  <si>
    <t>2015-1-30 10:52:58.805: RTWSControl - OrderStatus - exiting orderStatus</t>
  </si>
  <si>
    <t>2015-1-30 10:52:59.13: openOrderEx - I am here</t>
  </si>
  <si>
    <t>2015-1-30 10:52:59.13: OrderManagerView - UpdateMainSheetOpenOrder - entering UpdateMainSheetOpenOrder order.status is PreSubmitted</t>
  </si>
  <si>
    <t>2015-1-30 10:52:59.25: RTWSControl - orderStatus -  entering orderStatus id is 1434 status is PreSubmitted</t>
  </si>
  <si>
    <t>2015-1-30 10:52:59.25: OrderManager - UpdateOrderStatus - id 1434 Setting status to PreSubmitted workingOrderCount is now 1 workingQty -2967</t>
  </si>
  <si>
    <t>2015-1-30 10:52:59.26: OrderManagerView - UpdateMainSheetOpenOrder - entering UpdateMainSheetOpenOrder order.status is PreSubmitted</t>
  </si>
  <si>
    <t>2015-1-30 10:52:59.28: RTWSControl - OrderStatus - Got OrderStatus Message id:1434 status: PreSubmitted filled: 0</t>
  </si>
  <si>
    <t>2015-1-30 10:52:59.28: RTWSControl - OrderStatus - exiting orderStatus</t>
  </si>
  <si>
    <t>2015-1-30 10:53:4.284: OrderManagerView - UpdateMainSheetOpenOrder - entering UpdateMainSheetOpenOrder order.status is PreSubmitted</t>
  </si>
  <si>
    <t>2015-1-30 10:53:4.286: OrderManagerView - UpdateMainSheetOpenOrder - entering UpdateMainSheetOpenOrder order.status is PreSubmitted</t>
  </si>
  <si>
    <t>2015-1-30 10:53:7.426: OrderManager - cancelOrder - cancelling order id 1434</t>
  </si>
  <si>
    <t>2015-1-30 10:53:7.426: OrderManager - PlaceOrder - id 1435 workingQty -2943</t>
  </si>
  <si>
    <t>2015-1-30 10:53:7.426: OrderManagerView - UpdateMainSheetOpenOrder - entering UpdateMainSheetOpenOrder order.status is In-Flight</t>
  </si>
  <si>
    <t>2015-1-30 10:53:7.428: OrderManager - sendOrder - exiting place order id 1435 BUY 24 1.5124  - workingQty -2943 currentPosition is 21 workingOrderCount is 2</t>
  </si>
  <si>
    <t>2015-1-30 10:53:7.841: RTWSControl - nextValidId - entering nextValidId id is 1436</t>
  </si>
  <si>
    <t>2015-1-30 10:53:7.846: RTWSControl - orderStatus -  entering orderStatus id is 1434 status is Cancelled</t>
  </si>
  <si>
    <t>2015-1-30 10:53:7.847: OrderManager - UpdateOrderStatus - id 1434 Setting status to Cancelled workingOrderCount is now 2 workingQty -2943</t>
  </si>
  <si>
    <t>2015-1-30 10:53:7.848: OrderManagerView - UpdateMainSheetOpenOrder - entering UpdateMainSheetOpenOrder order.status is Cancelled</t>
  </si>
  <si>
    <t>2015-1-30 10:53:7.850: RTWSControl - OrderStatus - Got OrderStatus Message id:1434 status: Cancelled filled: 0</t>
  </si>
  <si>
    <t>2015-1-30 10:53:7.850: RTWSControl - OrderStatus - exiting orderStatus</t>
  </si>
  <si>
    <t>2015-1-30 10:53:7.886: RTWSControl - errMsg - got error message 202:Order Canceled - reason:with id 1434</t>
  </si>
  <si>
    <t>2015-1-30 10:53:7.887: OrderManager - canceledOrder - cleaning up after canceled order 1434BEWARE UNACCOUNTED FOR EXECUTIONS!!!</t>
  </si>
  <si>
    <t>2015-1-30 10:53:7.887: OrderManager - terminateOrder - cleaning up after Canceled 1434  order was supposed to BUY 23 1.5121 STP LMT workingQty/OrderCount now -2966/1</t>
  </si>
  <si>
    <t>2015-1-30 10:53:7.888: OrderManagerView - UpdateMainSheetOpenOrder - entering UpdateMainSheetOpenOrder order.status is Canceled</t>
  </si>
  <si>
    <t>2015-1-30 10:53:7.899: RTWSControl - errMsg - got error message 399:Order Message:
BUY 24 GBP MAR'15
Warning: your order will not be placed at the exchange until 2015-01-30 08:30:00 US/Centralwith id 1435</t>
  </si>
  <si>
    <t>2015-1-30 10:53:7.900: RTWSControl - errMsg - Got Error_x000D_id: 1435_x000D_errorCode: 399_x000D_errorMsg: Order Message:
BUY 24 GBP MAR'15
Warning: your order will not be placed at the exchange until 2015-01-30 08:30:00 US/Central</t>
  </si>
  <si>
    <t>2015-1-30 10:53:7.929: openOrderEx - I am here</t>
  </si>
  <si>
    <t>2015-1-30 10:53:7.929: OrderManagerView - UpdateMainSheetOpenOrder - entering UpdateMainSheetOpenOrder order.status is In-Flight</t>
  </si>
  <si>
    <t>2015-1-30 10:53:7.941: RTWSControl - orderStatus -  entering orderStatus id is 1435 status is PreSubmitted</t>
  </si>
  <si>
    <t>2015-1-30 10:53:7.942: OrderManager - UpdateOrderStatus - id 1435 Setting status to PreSubmitted workingOrderCount is now 1 workingQty -2966</t>
  </si>
  <si>
    <t>2015-1-30 10:53:7.942: OrderManagerView - UpdateMainSheetOpenOrder - entering UpdateMainSheetOpenOrder order.status is PreSubmitted</t>
  </si>
  <si>
    <t>2015-1-30 10:53:7.945: RTWSControl - OrderStatus - Got OrderStatus Message id:1435 status: PreSubmitted filled: 0</t>
  </si>
  <si>
    <t>2015-1-30 10:53:7.945: RTWSControl - OrderStatus - exiting orderStatus</t>
  </si>
  <si>
    <t>2015-1-30 10:53:7.975: openOrderEx - I am here</t>
  </si>
  <si>
    <t>2015-1-30 10:53:7.975: OrderManagerView - UpdateMainSheetOpenOrder - entering UpdateMainSheetOpenOrder order.status is PreSubmitted</t>
  </si>
  <si>
    <t>2015-1-30 10:53:8.9: RTWSControl - orderStatus -  entering orderStatus id is 1435 status is PreSubmitted</t>
  </si>
  <si>
    <t>2015-1-30 10:53:8.10: OrderManager - UpdateOrderStatus - id 1435 Setting status to PreSubmitted workingOrderCount is now 1 workingQty -2966</t>
  </si>
  <si>
    <t>2015-1-30 10:53:8.10: OrderManagerView - UpdateMainSheetOpenOrder - entering UpdateMainSheetOpenOrder order.status is PreSubmitted</t>
  </si>
  <si>
    <t>2015-1-30 10:53:8.12: RTWSControl - OrderStatus - Got OrderStatus Message id:1435 status: PreSubmitted filled: 0</t>
  </si>
  <si>
    <t>2015-1-30 10:53:8.13: RTWSControl - OrderStatus - exiting orderStatus</t>
  </si>
  <si>
    <t>2015-1-30 10:53:10.470: OrderManager - cancelOrder - cancelling order id 1435</t>
  </si>
  <si>
    <t>2015-1-30 10:53:10.470: OrderManager - PlaceOrder - id 1436 workingQty -2944</t>
  </si>
  <si>
    <t>2015-1-30 10:53:10.470: OrderManagerView - UpdateMainSheetOpenOrder - entering UpdateMainSheetOpenOrder order.status is In-Flight</t>
  </si>
  <si>
    <t>2015-1-30 10:53:10.472: OrderManager - sendOrder - exiting place order id 1436 BUY 22 1.512  - workingQty -2944 currentPosition is 21 workingOrderCount is 2</t>
  </si>
  <si>
    <t>2015-1-30 10:53:10.473: OrderManager - cancelOrder - cancelling order id 1432</t>
  </si>
  <si>
    <t>2015-1-30 10:53:10.473: OrderManager - createOrder - exiting without creating order - did not have validID</t>
  </si>
  <si>
    <t>2015-1-30 10:53:10.592: RTWSControl - nextValidId - entering nextValidId id is 1437</t>
  </si>
  <si>
    <t>2015-1-30 10:53:10.788: RTWSControl - orderStatus -  entering orderStatus id is 1435 status is Cancelled</t>
  </si>
  <si>
    <t>2015-1-30 10:53:10.790: OrderManager - UpdateOrderStatus - id 1435 Setting status to Cancelled workingOrderCount is now 2 workingQty -2944</t>
  </si>
  <si>
    <t>2015-1-30 10:53:10.791: OrderManagerView - UpdateMainSheetOpenOrder - entering UpdateMainSheetOpenOrder order.status is Cancelled</t>
  </si>
  <si>
    <t>2015-1-30 10:53:10.801: RTWSControl - OrderStatus - Got OrderStatus Message id:1435 status: Cancelled filled: 0</t>
  </si>
  <si>
    <t>2015-1-30 10:53:10.803: RTWSControl - OrderStatus - exiting orderStatus</t>
  </si>
  <si>
    <t>2015-1-30 10:53:10.882: RTWSControl - errMsg - got error message 202:Order Canceled - reason:with id 1435</t>
  </si>
  <si>
    <t>2015-1-30 10:53:10.883: OrderManager - canceledOrder - cleaning up after canceled order 1435BEWARE UNACCOUNTED FOR EXECUTIONS!!!</t>
  </si>
  <si>
    <t>2015-1-30 10:53:10.884: OrderManager - terminateOrder - cleaning up after Canceled 1435  order was supposed to BUY 24 1.5124 STP LMT workingQty/OrderCount now -2968/1</t>
  </si>
  <si>
    <t>2015-1-30 10:53:10.888: OrderManagerView - UpdateMainSheetOpenOrder - entering UpdateMainSheetOpenOrder order.status is Canceled</t>
  </si>
  <si>
    <t>2015-1-30 10:53:11.74: OrderManager - PlaceOrder - id 1437 workingQty -2990</t>
  </si>
  <si>
    <t>2015-1-30 10:53:11.74: OrderManagerView - UpdateMainSheetOpenOrder - entering UpdateMainSheetOpenOrder order.status is In-Flight</t>
  </si>
  <si>
    <t>2015-1-30 10:53:11.76: OrderManager - sendOrder - exiting place order id 1437 SELL 22 1.5065  - workingQty -2990 currentPosition is 21 workingOrderCount is 2</t>
  </si>
  <si>
    <t>2015-1-30 10:53:11.180: RTWSControl - errMsg - got error message 399:Order Message:
BUY 22 GBP MAR'15
Warning: your order will not be placed at the exchange until 2015-01-30 08:30:00 US/Centralwith id 1436</t>
  </si>
  <si>
    <t>2015-1-30 10:53:11.181: RTWSControl - errMsg - Got Error_x000D_id: 1436_x000D_errorCode: 399_x000D_errorMsg: Order Message:
BUY 22 GBP MAR'15
Warning: your order will not be placed at the exchange until 2015-01-30 08:30:00 US/Central</t>
  </si>
  <si>
    <t>2015-1-30 10:53:11.189: openOrderEx - I am here</t>
  </si>
  <si>
    <t>2015-1-30 10:53:11.190: OrderManagerView - UpdateMainSheetOpenOrder - entering UpdateMainSheetOpenOrder order.status is In-Flight</t>
  </si>
  <si>
    <t>2015-1-30 10:53:11.222: RTWSControl - orderStatus -  entering orderStatus id is 1436 status is PreSubmitted</t>
  </si>
  <si>
    <t>2015-1-30 10:53:11.223: OrderManager - UpdateOrderStatus - id 1436 Setting status to PreSubmitted workingOrderCount is now 2 workingQty -2990</t>
  </si>
  <si>
    <t>2015-1-30 10:53:11.223: OrderManagerView - UpdateMainSheetOpenOrder - entering UpdateMainSheetOpenOrder order.status is PreSubmitted</t>
  </si>
  <si>
    <t>2015-1-30 10:53:11.226: RTWSControl - OrderStatus - Got OrderStatus Message id:1436 status: PreSubmitted filled: 0</t>
  </si>
  <si>
    <t>2015-1-30 10:53:11.226: RTWSControl - OrderStatus - exiting orderStatus</t>
  </si>
  <si>
    <t>2015-1-30 10:53:11.305: RTWSControl - orderStatus -  entering orderStatus id is 1432 status is Cancelled</t>
  </si>
  <si>
    <t>2015-1-30 10:53:11.305: OrderManager - UpdateOrderStatus - id 1432 Setting status to Cancelled workingOrderCount is now 2 workingQty -2990</t>
  </si>
  <si>
    <t>2015-1-30 10:53:11.306: OrderManagerView - UpdateMainSheetOpenOrder - entering UpdateMainSheetOpenOrder order.status is Cancelled</t>
  </si>
  <si>
    <t>2015-1-30 10:53:11.308: RTWSControl - OrderStatus - Got OrderStatus Message id:1432 status: Cancelled filled: 0</t>
  </si>
  <si>
    <t>2015-1-30 10:53:11.309: RTWSControl - OrderStatus - exiting orderStatus</t>
  </si>
  <si>
    <t>2015-1-30 10:53:11.342: RTWSControl - errMsg - got error message 202:Order Canceled - reason:with id 1432</t>
  </si>
  <si>
    <t>2015-1-30 10:53:11.343: OrderManager - canceledOrder - cleaning up after canceled order 1432BEWARE UNACCOUNTED FOR EXECUTIONS!!!</t>
  </si>
  <si>
    <t>2015-1-30 10:53:11.343: OrderManager - terminateOrder - cleaning up after Canceled 1432  order was supposed to SELL 24 1.5065 STP LMT workingQty/OrderCount now -3014/1</t>
  </si>
  <si>
    <t>2015-1-30 10:53:11.344: OrderManagerView - UpdateMainSheetOpenOrder - entering UpdateMainSheetOpenOrder order.status is Canceled</t>
  </si>
  <si>
    <t>2015-1-30 10:53:11.359: openOrderEx - I am here</t>
  </si>
  <si>
    <t>2015-1-30 10:53:11.359: OrderManagerView - UpdateMainSheetOpenOrder - entering UpdateMainSheetOpenOrder order.status is PreSubmitted</t>
  </si>
  <si>
    <t>2015-1-30 10:53:11.390: RTWSControl - orderStatus -  entering orderStatus id is 1436 status is PreSubmitted</t>
  </si>
  <si>
    <t>2015-1-30 10:53:11.390: OrderManager - UpdateOrderStatus - id 1436 Setting status to PreSubmitted workingOrderCount is now 1 workingQty -3014</t>
  </si>
  <si>
    <t>2015-1-30 10:53:11.391: OrderManagerView - UpdateMainSheetOpenOrder - entering UpdateMainSheetOpenOrder order.status is PreSubmitted</t>
  </si>
  <si>
    <t>2015-1-30 10:53:11.393: RTWSControl - OrderStatus - Got OrderStatus Message id:1436 status: PreSubmitted filled: 0</t>
  </si>
  <si>
    <t>2015-1-30 10:53:11.393: RTWSControl - OrderStatus - exiting orderStatus</t>
  </si>
  <si>
    <t>2015-1-30 10:53:11.425: RTWSControl - nextValidId - entering nextValidId id is 1438</t>
  </si>
  <si>
    <t>2015-1-30 10:53:11.431: RTWSControl - errMsg - got error message 399:Order Message:
SELL 22 GBP MAR'15
Warning: your order will not be placed at the exchange until 2015-01-30 08:30:00 US/Centralwith id 1437</t>
  </si>
  <si>
    <t>2015-1-30 10:53:11.432: RTWSControl - errMsg - Got Error_x000D_id: 1437_x000D_errorCode: 399_x000D_errorMsg: Order Message:
SELL 22 GBP MAR'15
Warning: your order will not be placed at the exchange until 2015-01-30 08:30:00 US/Central</t>
  </si>
  <si>
    <t>2015-1-30 10:53:11.440: openOrderEx - I am here</t>
  </si>
  <si>
    <t>2015-1-30 10:53:11.440: OrderManagerView - UpdateMainSheetOpenOrder - entering UpdateMainSheetOpenOrder order.status is In-Flight</t>
  </si>
  <si>
    <t>2015-1-30 10:53:11.471: RTWSControl - orderStatus -  entering orderStatus id is 1437 status is PreSubmitted</t>
  </si>
  <si>
    <t>2015-1-30 10:53:11.472: OrderManager - UpdateOrderStatus - id 1437 Setting status to PreSubmitted workingOrderCount is now 1 workingQty -3014</t>
  </si>
  <si>
    <t>2015-1-30 10:53:11.472: OrderManagerView - UpdateMainSheetOpenOrder - entering UpdateMainSheetOpenOrder order.status is PreSubmitted</t>
  </si>
  <si>
    <t>2015-1-30 10:53:11.475: RTWSControl - OrderStatus - Got OrderStatus Message id:1437 status: PreSubmitted filled: 0</t>
  </si>
  <si>
    <t>2015-1-30 10:53:11.475: RTWSControl - OrderStatus - exiting orderStatus</t>
  </si>
  <si>
    <t>2015-1-30 10:53:11.512: openOrderEx - I am here</t>
  </si>
  <si>
    <t>2015-1-30 10:53:11.512: OrderManagerView - UpdateMainSheetOpenOrder - entering UpdateMainSheetOpenOrder order.status is PreSubmitted</t>
  </si>
  <si>
    <t>2015-1-30 10:53:11.524: RTWSControl - orderStatus -  entering orderStatus id is 1437 status is PreSubmitted</t>
  </si>
  <si>
    <t>2015-1-30 10:53:11.525: OrderManager - UpdateOrderStatus - id 1437 Setting status to PreSubmitted workingOrderCount is now 1 workingQty -3014</t>
  </si>
  <si>
    <t>2015-1-30 10:53:11.525: OrderManagerView - UpdateMainSheetOpenOrder - entering UpdateMainSheetOpenOrder order.status is PreSubmitted</t>
  </si>
  <si>
    <t>2015-1-30 10:53:11.528: RTWSControl - OrderStatus - Got OrderStatus Message id:1437 status: PreSubmitted filled: 0</t>
  </si>
  <si>
    <t>2015-1-30 10:53:11.529: RTWSControl - OrderStatus - exiting orderStatus</t>
  </si>
  <si>
    <t>2015-1-30 10:53:12.59: OrderManagerView - UpdateMainSheetOpenOrder - entering UpdateMainSheetOpenOrder order.status is Canceled</t>
  </si>
  <si>
    <t>2015-1-30 10:53:12.67: OrderManagerView - UpdateMainSheetOpenOrder - entering UpdateMainSheetOpenOrder order.status is Canceled</t>
  </si>
  <si>
    <t>2015-1-30 10:53:12.72: OrderManagerView - UpdateMainSheetOpenOrder - entering UpdateMainSheetOpenOrder order.status is PreSubmitted</t>
  </si>
  <si>
    <t>2015-1-30 10:53:12.79: OrderManagerView - UpdateMainSheetOpenOrder - entering UpdateMainSheetOpenOrder order.status is PreSubmitted</t>
  </si>
  <si>
    <t>2015-1-30 10:53:12.82: OrderManagerView - UpdateMainSheetOpenOrder - entering UpdateMainSheetOpenOrder order.status is PreSubmitted</t>
  </si>
  <si>
    <t>2015-1-30 10:53:12.85: OrderManagerView - UpdateMainSheetOpenOrder - entering UpdateMainSheetOpenOrder order.status is PreSubmitted</t>
  </si>
  <si>
    <t>2015-1-30 10:53:12.89: OrderManagerView - UpdateMainSheetOpenOrder - entering UpdateMainSheetOpenOrder order.status is PreSubmitted</t>
  </si>
  <si>
    <t>2015-1-30 10:53:14.105: OrderManager - cancelOrder - cancelling order id 1436</t>
  </si>
  <si>
    <t>2015-1-30 10:53:14.107: OrderManager - PlaceOrder - id 1438 workingQty -2990</t>
  </si>
  <si>
    <t>2015-1-30 10:53:14.108: OrderManagerView - UpdateMainSheetOpenOrder - entering UpdateMainSheetOpenOrder order.status is In-Flight</t>
  </si>
  <si>
    <t>2015-1-30 10:53:14.115: OrderManager - sendOrder - exiting place order id 1438 BUY 24 1.512  - workingQty -2990 currentPosition is 21 workingOrderCount is 2</t>
  </si>
  <si>
    <t>2015-1-30 10:53:14.117: OrderManager - cancelOrder - cancelling order id 1437</t>
  </si>
  <si>
    <t>2015-1-30 10:53:14.117: OrderManager - createOrder - exiting without creating order - did not have validID</t>
  </si>
  <si>
    <t>2015-1-30 10:53:14.304: RTWSControl - nextValidId - entering nextValidId id is 1439</t>
  </si>
  <si>
    <t>2015-1-30 10:53:14.431: RTWSControl - orderStatus -  entering orderStatus id is 1436 status is Cancelled</t>
  </si>
  <si>
    <t>2015-1-30 10:53:14.433: OrderManager - UpdateOrderStatus - id 1436 Setting status to Cancelled workingOrderCount is now 2 workingQty -2990</t>
  </si>
  <si>
    <t>2015-1-30 10:53:14.435: OrderManagerView - UpdateMainSheetOpenOrder - entering UpdateMainSheetOpenOrder order.status is Cancelled</t>
  </si>
  <si>
    <t>2015-1-30 10:53:14.445: RTWSControl - OrderStatus - Got OrderStatus Message id:1436 status: Cancelled filled: 0</t>
  </si>
  <si>
    <t>2015-1-30 10:53:14.446: RTWSControl - OrderStatus - exiting orderStatus</t>
  </si>
  <si>
    <t>2015-1-30 10:53:14.494: RTWSControl - errMsg - got error message 202:Order Canceled - reason:with id 1436</t>
  </si>
  <si>
    <t>2015-1-30 10:53:14.495: OrderManager - canceledOrder - cleaning up after canceled order 1436BEWARE UNACCOUNTED FOR EXECUTIONS!!!</t>
  </si>
  <si>
    <t>2015-1-30 10:53:14.495: OrderManager - terminateOrder - cleaning up after Canceled 1436  order was supposed to BUY 22 1.512 STP LMT workingQty/OrderCount now -3012/1</t>
  </si>
  <si>
    <t>2015-1-30 10:53:14.499: OrderManagerView - UpdateMainSheetOpenOrder - entering UpdateMainSheetOpenOrder order.status is Canceled</t>
  </si>
  <si>
    <t>2015-1-30 10:53:14.539: RTWSControl - errMsg - got error message 399:Order Message:
BUY 24 GBP MAR'15
Warning: your order will not be placed at the exchange until 2015-01-30 08:30:00 US/Centralwith id 1438</t>
  </si>
  <si>
    <t>2015-1-30 10:53:14.540: RTWSControl - errMsg - Got Error_x000D_id: 1438_x000D_errorCode: 399_x000D_errorMsg: Order Message:
BUY 24 GBP MAR'15
Warning: your order will not be placed at the exchange until 2015-01-30 08:30:00 US/Central</t>
  </si>
  <si>
    <t>2015-1-30 10:53:14.552: openOrderEx - I am here</t>
  </si>
  <si>
    <t>2015-1-30 10:53:14.552: OrderManagerView - UpdateMainSheetOpenOrder - entering UpdateMainSheetOpenOrder order.status is In-Flight</t>
  </si>
  <si>
    <t>2015-1-30 10:53:14.593: RTWSControl - orderStatus -  entering orderStatus id is 1438 status is PreSubmitted</t>
  </si>
  <si>
    <t>2015-1-30 10:53:14.594: OrderManager - UpdateOrderStatus - id 1438 Setting status to PreSubmitted workingOrderCount is now 1 workingQty -3012</t>
  </si>
  <si>
    <t>2015-1-30 10:53:14.594: OrderManagerView - UpdateMainSheetOpenOrder - entering UpdateMainSheetOpenOrder order.status is PreSubmitted</t>
  </si>
  <si>
    <t>2015-1-30 10:53:14.596: RTWSControl - OrderStatus - Got OrderStatus Message id:1438 status: PreSubmitted filled: 0</t>
  </si>
  <si>
    <t>2015-1-30 10:53:14.597: RTWSControl - OrderStatus - exiting orderStatus</t>
  </si>
  <si>
    <t>2015-1-30 10:53:14.610: openOrderEx - I am here</t>
  </si>
  <si>
    <t>2015-1-30 10:53:14.610: OrderManagerView - UpdateMainSheetOpenOrder - entering UpdateMainSheetOpenOrder order.status is PreSubmitted</t>
  </si>
  <si>
    <t>2015-1-30 10:53:14.640: RTWSControl - orderStatus -  entering orderStatus id is 1438 status is PreSubmitted</t>
  </si>
  <si>
    <t>2015-1-30 10:53:14.641: OrderManager - UpdateOrderStatus - id 1438 Setting status to PreSubmitted workingOrderCount is now 1 workingQty -3012</t>
  </si>
  <si>
    <t>2015-1-30 10:53:14.641: OrderManagerView - UpdateMainSheetOpenOrder - entering UpdateMainSheetOpenOrder order.status is PreSubmitted</t>
  </si>
  <si>
    <t>2015-1-30 10:53:14.643: RTWSControl - OrderStatus - Got OrderStatus Message id:1438 status: PreSubmitted filled: 0</t>
  </si>
  <si>
    <t>2015-1-30 10:53:14.644: RTWSControl - OrderStatus - exiting orderStatus</t>
  </si>
  <si>
    <t>2015-1-30 10:53:14.721: RTWSControl - orderStatus -  entering orderStatus id is 1437 status is Cancelled</t>
  </si>
  <si>
    <t>2015-1-30 10:53:14.722: OrderManager - UpdateOrderStatus - id 1437 Setting status to Cancelled workingOrderCount is now 1 workingQty -3012</t>
  </si>
  <si>
    <t>2015-1-30 10:53:14.722: OrderManagerView - UpdateMainSheetOpenOrder - entering UpdateMainSheetOpenOrder order.status is Cancelled</t>
  </si>
  <si>
    <t>2015-1-30 10:53:14.724: RTWSControl - OrderStatus - Got OrderStatus Message id:1437 status: Cancelled filled: 0</t>
  </si>
  <si>
    <t>2015-1-30 10:53:14.725: RTWSControl - OrderStatus - exiting orderStatus</t>
  </si>
  <si>
    <t>2015-1-30 10:53:14.761: RTWSControl - errMsg - got error message 202:Order Canceled - reason:with id 1437</t>
  </si>
  <si>
    <t>2015-1-30 10:53:14.761: OrderManager - canceledOrder - cleaning up after canceled order 1437BEWARE UNACCOUNTED FOR EXECUTIONS!!!</t>
  </si>
  <si>
    <t>2015-1-30 10:53:14.762: OrderManager - terminateOrder - cleaning up after Canceled 1437  order was supposed to SELL 22 1.5065 STP LMT workingQty/OrderCount now -3034/0</t>
  </si>
  <si>
    <t>2015-1-30 10:53:14.764: OrderManagerView - UpdateMainSheetOpenOrder - entering UpdateMainSheetOpenOrder order.status is Canceled</t>
  </si>
  <si>
    <t>2015-1-30 10:53:14.777: OrderManager - PlaceOrder - id 1439 workingQty -3058</t>
  </si>
  <si>
    <t>2015-1-30 10:53:14.778: OrderManagerView - UpdateMainSheetOpenOrder - entering UpdateMainSheetOpenOrder order.status is In-Flight</t>
  </si>
  <si>
    <t>2015-1-30 10:53:14.780: OrderManager - sendOrder - exiting place order id 1439 SELL 24 1.5064  - workingQty -3058 currentPosition is 21 workingOrderCount is 1</t>
  </si>
  <si>
    <t>2015-1-30 10:53:14.968: RTWSControl - nextValidId - entering nextValidId id is 1440</t>
  </si>
  <si>
    <t>2015-1-30 10:53:15.14: OrderManagerView - UpdateMainSheetOpenOrder - entering UpdateMainSheetOpenOrder order.status is Canceled</t>
  </si>
  <si>
    <t>2015-1-30 10:53:15.16: OrderManagerView - UpdateMainSheetOpenOrder - entering UpdateMainSheetOpenOrder order.status is Canceled</t>
  </si>
  <si>
    <t>2015-1-30 10:53:15.17: OrderManagerView - UpdateMainSheetOpenOrder - entering UpdateMainSheetOpenOrder order.status is PreSubmitted</t>
  </si>
  <si>
    <t>2015-1-30 10:53:15.19: OrderManagerView - UpdateMainSheetOpenOrder - entering UpdateMainSheetOpenOrder order.status is In-Flight</t>
  </si>
  <si>
    <t>2015-1-30 10:53:15.20: OrderManagerView - UpdateMainSheetOpenOrder - entering UpdateMainSheetOpenOrder order.status is PreSubmitted</t>
  </si>
  <si>
    <t>2015-1-30 10:53:15.22: OrderManagerView - UpdateMainSheetOpenOrder - entering UpdateMainSheetOpenOrder order.status is In-Flight</t>
  </si>
  <si>
    <t>2015-1-30 10:53:15.23: OrderManagerView - UpdateMainSheetOpenOrder - entering UpdateMainSheetOpenOrder order.status is In-Flight</t>
  </si>
  <si>
    <t>2015-1-30 10:53:15.394: RTWSControl - errMsg - got error message 399:Order Message:
SELL 24 GBP MAR'15
Warning: your order will not be placed at the exchange until 2015-01-30 08:30:00 US/Centralwith id 1439</t>
  </si>
  <si>
    <t>2015-1-30 10:53:15.395: RTWSControl - errMsg - Got Error_x000D_id: 1439_x000D_errorCode: 399_x000D_errorMsg: Order Message:
SELL 24 GBP MAR'15
Warning: your order will not be placed at the exchange until 2015-01-30 08:30:00 US/Central</t>
  </si>
  <si>
    <t>2015-1-30 10:53:15.425: openOrderEx - I am here</t>
  </si>
  <si>
    <t>2015-1-30 10:53:15.426: OrderManagerView - UpdateMainSheetOpenOrder - entering UpdateMainSheetOpenOrder order.status is In-Flight</t>
  </si>
  <si>
    <t>2015-1-30 10:53:15.438: RTWSControl - orderStatus -  entering orderStatus id is 1439 status is PreSubmitted</t>
  </si>
  <si>
    <t>2015-1-30 10:53:15.438: OrderManager - UpdateOrderStatus - id 1439 Setting status to PreSubmitted workingOrderCount is now 1 workingQty -3058</t>
  </si>
  <si>
    <t>2015-1-30 10:53:15.439: OrderManagerView - UpdateMainSheetOpenOrder - entering UpdateMainSheetOpenOrder order.status is PreSubmitted</t>
  </si>
  <si>
    <t>2015-1-30 10:53:15.441: RTWSControl - OrderStatus - Got OrderStatus Message id:1439 status: PreSubmitted filled: 0</t>
  </si>
  <si>
    <t>2015-1-30 10:53:15.442: RTWSControl - OrderStatus - exiting orderStatus</t>
  </si>
  <si>
    <t>2015-1-30 10:53:15.475: openOrderEx - I am here</t>
  </si>
  <si>
    <t>2015-1-30 10:53:15.475: OrderManagerView - UpdateMainSheetOpenOrder - entering UpdateMainSheetOpenOrder order.status is PreSubmitted</t>
  </si>
  <si>
    <t>2015-1-30 10:53:15.509: RTWSControl - orderStatus -  entering orderStatus id is 1439 status is PreSubmitted</t>
  </si>
  <si>
    <t>2015-1-30 10:53:15.510: OrderManager - UpdateOrderStatus - id 1439 Setting status to PreSubmitted workingOrderCount is now 1 workingQty -3058</t>
  </si>
  <si>
    <t>2015-1-30 10:53:15.510: OrderManagerView - UpdateMainSheetOpenOrder - entering UpdateMainSheetOpenOrder order.status is PreSubmitted</t>
  </si>
  <si>
    <t>2015-1-30 10:53:15.512: RTWSControl - OrderStatus - Got OrderStatus Message id:1439 status: PreSubmitted filled: 0</t>
  </si>
  <si>
    <t>2015-1-30 10:53:15.512: RTWSControl - OrderStatus - exiting orderStatus</t>
  </si>
  <si>
    <t>2015-1-30 10:53:15.917: OrderManager - cancelOrder - cancelling order id 1438</t>
  </si>
  <si>
    <t>2015-1-30 10:53:15.918: OrderManager - PlaceOrder - id 1440 workingQty -3034</t>
  </si>
  <si>
    <t>2015-1-30 10:53:15.918: OrderManagerView - UpdateMainSheetOpenOrder - entering UpdateMainSheetOpenOrder order.status is In-Flight</t>
  </si>
  <si>
    <t>2015-1-30 10:53:15.921: OrderManager - sendOrder - exiting place order id 1440 BUY 24 1.5123  - workingQty -3034 currentPosition is 21 workingOrderCount is 2</t>
  </si>
  <si>
    <t>2015-1-30 10:53:16.13: OrderManagerView - UpdateMainSheetOpenOrder - entering UpdateMainSheetOpenOrder order.status is PreSubmitted</t>
  </si>
  <si>
    <t>2015-1-30 10:53:16.16: OrderManagerView - UpdateMainSheetOpenOrder - entering UpdateMainSheetOpenOrder order.status is PreSubmitted</t>
  </si>
  <si>
    <t>2015-1-30 10:53:16.18: OrderManagerView - UpdateMainSheetOpenOrder - entering UpdateMainSheetOpenOrder order.status is In-Flight</t>
  </si>
  <si>
    <t>2015-1-30 10:53:16.19: OrderManagerView - UpdateMainSheetOpenOrder - entering UpdateMainSheetOpenOrder order.status is PreSubmitted</t>
  </si>
  <si>
    <t>2015-1-30 10:53:16.20: OrderManagerView - UpdateMainSheetOpenOrder - entering UpdateMainSheetOpenOrder order.status is In-Flight</t>
  </si>
  <si>
    <t>2015-1-30 10:53:16.65: RTWSControl - nextValidId - entering nextValidId id is 1441</t>
  </si>
  <si>
    <t>2015-1-30 10:53:16.220: RTWSControl - orderStatus -  entering orderStatus id is 1438 status is Cancelled</t>
  </si>
  <si>
    <t>2015-1-30 10:53:16.221: OrderManager - UpdateOrderStatus - id 1438 Setting status to Cancelled workingOrderCount is now 2 workingQty -3034</t>
  </si>
  <si>
    <t>2015-1-30 10:53:16.222: OrderManagerView - UpdateMainSheetOpenOrder - entering UpdateMainSheetOpenOrder order.status is Cancelled</t>
  </si>
  <si>
    <t>2015-1-30 10:53:16.226: RTWSControl - OrderStatus - Got OrderStatus Message id:1438 status: Cancelled filled: 0</t>
  </si>
  <si>
    <t>2015-1-30 10:53:16.227: RTWSControl - OrderStatus - exiting orderStatus</t>
  </si>
  <si>
    <t>2015-1-30 10:53:16.244: RTWSControl - errMsg - got error message 202:Order Canceled - reason:with id 1438</t>
  </si>
  <si>
    <t>2015-1-30 10:53:16.245: OrderManager - canceledOrder - cleaning up after canceled order 1438BEWARE UNACCOUNTED FOR EXECUTIONS!!!</t>
  </si>
  <si>
    <t>2015-1-30 10:53:16.245: OrderManager - terminateOrder - cleaning up after Canceled 1438  order was supposed to BUY 24 1.512 STP LMT workingQty/OrderCount now -3058/1</t>
  </si>
  <si>
    <t>2015-1-30 10:53:16.248: OrderManagerView - UpdateMainSheetOpenOrder - entering UpdateMainSheetOpenOrder order.status is Canceled</t>
  </si>
  <si>
    <t>2015-1-30 10:53:16.283: RTWSControl - errMsg - got error message 399:Order Message:
BUY 24 GBP MAR'15
Warning: your order will not be placed at the exchange until 2015-01-30 08:30:00 US/Centralwith id 1440</t>
  </si>
  <si>
    <t>2015-1-30 10:53:16.284: RTWSControl - errMsg - Got Error_x000D_id: 1440_x000D_errorCode: 399_x000D_errorMsg: Order Message:
BUY 24 GBP MAR'15
Warning: your order will not be placed at the exchange until 2015-01-30 08:30:00 US/Central</t>
  </si>
  <si>
    <t>2015-1-30 10:53:16.294: openOrderEx - I am here</t>
  </si>
  <si>
    <t>2015-1-30 10:53:16.294: OrderManagerView - UpdateMainSheetOpenOrder - entering UpdateMainSheetOpenOrder order.status is In-Flight</t>
  </si>
  <si>
    <t>2015-1-30 10:53:16.325: RTWSControl - orderStatus -  entering orderStatus id is 1440 status is PreSubmitted</t>
  </si>
  <si>
    <t>2015-1-30 10:53:16.325: OrderManager - UpdateOrderStatus - id 1440 Setting status to PreSubmitted workingOrderCount is now 1 workingQty -3058</t>
  </si>
  <si>
    <t>2015-1-30 10:53:16.326: OrderManagerView - UpdateMainSheetOpenOrder - entering UpdateMainSheetOpenOrder order.status is PreSubmitted</t>
  </si>
  <si>
    <t>2015-1-30 10:53:16.328: RTWSControl - OrderStatus - Got OrderStatus Message id:1440 status: PreSubmitted filled: 0</t>
  </si>
  <si>
    <t>2015-1-30 10:53:16.329: RTWSControl - OrderStatus - exiting orderStatus</t>
  </si>
  <si>
    <t>2015-1-30 10:53:16.346: OrderManager - cancelOrder - cancelling order id 1439</t>
  </si>
  <si>
    <t>2015-1-30 10:53:16.347: OrderManager - PlaceOrder - id 1441 workingQty -3082</t>
  </si>
  <si>
    <t>2015-1-30 10:53:16.347: OrderManagerView - UpdateMainSheetOpenOrder - entering UpdateMainSheetOpenOrder order.status is In-Flight</t>
  </si>
  <si>
    <t>2015-1-30 10:53:16.349: OrderManager - sendOrder - exiting place order id 1441 SELL 24 1.5066  - workingQty -3082 currentPosition is 21 workingOrderCount is 2</t>
  </si>
  <si>
    <t>2015-1-30 10:53:16.470: openOrderEx - I am here</t>
  </si>
  <si>
    <t>2015-1-30 10:53:16.470: OrderManagerView - UpdateMainSheetOpenOrder - entering UpdateMainSheetOpenOrder order.status is PreSubmitted</t>
  </si>
  <si>
    <t>2015-1-30 10:53:16.483: RTWSControl - orderStatus -  entering orderStatus id is 1440 status is PreSubmitted</t>
  </si>
  <si>
    <t>2015-1-30 10:53:16.484: OrderManager - UpdateOrderStatus - id 1440 Setting status to PreSubmitted workingOrderCount is now 2 workingQty -3082</t>
  </si>
  <si>
    <t>2015-1-30 10:53:16.484: OrderManagerView - UpdateMainSheetOpenOrder - entering UpdateMainSheetOpenOrder order.status is PreSubmitted</t>
  </si>
  <si>
    <t>2015-1-30 10:53:16.486: RTWSControl - OrderStatus - Got OrderStatus Message id:1440 status: PreSubmitted filled: 0</t>
  </si>
  <si>
    <t>2015-1-30 10:53:16.487: RTWSControl - OrderStatus - exiting orderStatus</t>
  </si>
  <si>
    <t>2015-1-30 10:53:17.6: OrderManagerView - UpdateMainSheetOpenOrder - entering UpdateMainSheetOpenOrder order.status is PreSubmitted</t>
  </si>
  <si>
    <t>2015-1-30 10:53:17.9: OrderManagerView - UpdateMainSheetOpenOrder - entering UpdateMainSheetOpenOrder order.status is PreSubmitted</t>
  </si>
  <si>
    <t>2015-1-30 10:53:17.11: OrderManagerView - UpdateMainSheetOpenOrder - entering UpdateMainSheetOpenOrder order.status is In-Flight</t>
  </si>
  <si>
    <t>2015-1-30 10:53:17.12: OrderManagerView - UpdateMainSheetOpenOrder - entering UpdateMainSheetOpenOrder order.status is PreSubmitted</t>
  </si>
  <si>
    <t>2015-1-30 10:53:17.13: OrderManagerView - UpdateMainSheetOpenOrder - entering UpdateMainSheetOpenOrder order.status is In-Flight</t>
  </si>
  <si>
    <t>2015-1-30 10:53:17.17: OrderManagerView - UpdateMainSheetOpenOrder - entering UpdateMainSheetOpenOrder order.status is PreSubmitted</t>
  </si>
  <si>
    <t>2015-1-30 10:53:17.19: OrderManagerView - UpdateMainSheetOpenOrder - entering UpdateMainSheetOpenOrder order.status is PreSubmitted</t>
  </si>
  <si>
    <t>2015-1-30 10:53:17.19: OrderManagerView - UpdateMainSheetOpenOrder - entering UpdateMainSheetOpenOrder order.status is In-Flight</t>
  </si>
  <si>
    <t>2015-1-30 10:53:17.924: RTWSControl - nextValidId - entering nextValidId id is 1442</t>
  </si>
  <si>
    <t>2015-1-30 10:53:17.931: RTWSControl - orderStatus -  entering orderStatus id is 1439 status is Cancelled</t>
  </si>
  <si>
    <t>2015-1-30 10:53:17.932: OrderManager - UpdateOrderStatus - id 1439 Setting status to Cancelled workingOrderCount is now 2 workingQty -3082</t>
  </si>
  <si>
    <t>2015-1-30 10:53:17.932: OrderManagerView - UpdateMainSheetOpenOrder - entering UpdateMainSheetOpenOrder order.status is Cancelled</t>
  </si>
  <si>
    <t>2015-1-30 10:53:17.934: RTWSControl - OrderStatus - Got OrderStatus Message id:1439 status: Cancelled filled: 0</t>
  </si>
  <si>
    <t>2015-1-30 10:53:17.935: RTWSControl - OrderStatus - exiting orderStatus</t>
  </si>
  <si>
    <t>2015-1-30 10:53:17.967: RTWSControl - errMsg - got error message 202:Order Canceled - reason:with id 1439</t>
  </si>
  <si>
    <t>2015-1-30 10:53:17.968: OrderManager - canceledOrder - cleaning up after canceled order 1439BEWARE UNACCOUNTED FOR EXECUTIONS!!!</t>
  </si>
  <si>
    <t>2015-1-30 10:53:17.968: OrderManager - terminateOrder - cleaning up after Canceled 1439  order was supposed to SELL 24 1.5064 STP LMT workingQty/OrderCount now -3106/1</t>
  </si>
  <si>
    <t>2015-1-30 10:53:17.969: OrderManagerView - UpdateMainSheetOpenOrder - entering UpdateMainSheetOpenOrder order.status is Canceled</t>
  </si>
  <si>
    <t>2015-1-30 10:53:17.980: RTWSControl - errMsg - got error message 399:Order Message:
SELL 24 GBP MAR'15
Warning: your order will not be placed at the exchange until 2015-01-30 08:30:00 US/Centralwith id 1441</t>
  </si>
  <si>
    <t>2015-1-30 10:53:17.981: RTWSControl - errMsg - Got Error_x000D_id: 1441_x000D_errorCode: 399_x000D_errorMsg: Order Message:
SELL 24 GBP MAR'15
Warning: your order will not be placed at the exchange until 2015-01-30 08:30:00 US/Central</t>
  </si>
  <si>
    <t>2015-1-30 10:53:18.12: openOrderEx - I am here</t>
  </si>
  <si>
    <t>2015-1-30 10:53:18.12: OrderManagerView - UpdateMainSheetOpenOrder - entering UpdateMainSheetOpenOrder order.status is In-Flight</t>
  </si>
  <si>
    <t>2015-1-30 10:53:18.24: RTWSControl - orderStatus -  entering orderStatus id is 1441 status is PreSubmitted</t>
  </si>
  <si>
    <t>2015-1-30 10:53:18.25: OrderManager - UpdateOrderStatus - id 1441 Setting status to PreSubmitted workingOrderCount is now 1 workingQty -3106</t>
  </si>
  <si>
    <t>2015-1-30 10:53:18.25: OrderManagerView - UpdateMainSheetOpenOrder - entering UpdateMainSheetOpenOrder order.status is PreSubmitted</t>
  </si>
  <si>
    <t>2015-1-30 10:53:18.27: RTWSControl - OrderStatus - Got OrderStatus Message id:1441 status: PreSubmitted filled: 0</t>
  </si>
  <si>
    <t>2015-1-30 10:53:18.28: RTWSControl - OrderStatus - exiting orderStatus</t>
  </si>
  <si>
    <t>2015-1-30 10:53:18.58: OrderManager - cancelOrder - cancelling order id 1440</t>
  </si>
  <si>
    <t>2015-1-30 10:53:18.59: OrderManager - PlaceOrder - id 1442 workingQty -3080</t>
  </si>
  <si>
    <t>2015-1-30 10:53:18.59: OrderManagerView - UpdateMainSheetOpenOrder - entering UpdateMainSheetOpenOrder order.status is In-Flight</t>
  </si>
  <si>
    <t>2015-1-30 10:53:18.61: OrderManager - sendOrder - exiting place order id 1442 BUY 26 1.5127  - workingQty -3080 currentPosition is 21 workingOrderCount is 2</t>
  </si>
  <si>
    <t>2015-1-30 10:53:18.61: OrderManager - cancelOrder - cancelling order id 1441</t>
  </si>
  <si>
    <t>2015-1-30 10:53:18.61: OrderManager - createOrder - exiting without creating order - did not have validID</t>
  </si>
  <si>
    <t>2015-1-30 10:53:18.183: openOrderEx - I am here</t>
  </si>
  <si>
    <t>2015-1-30 10:53:18.184: OrderManagerView - UpdateMainSheetOpenOrder - entering UpdateMainSheetOpenOrder order.status is PreSubmitted</t>
  </si>
  <si>
    <t>2015-1-30 10:53:18.218: RTWSControl - orderStatus -  entering orderStatus id is 1441 status is PreSubmitted</t>
  </si>
  <si>
    <t>2015-1-30 10:53:18.218: OrderManager - UpdateOrderStatus - id 1441 Setting status to PreSubmitted workingOrderCount is now 2 workingQty -3080</t>
  </si>
  <si>
    <t>2015-1-30 10:53:18.219: OrderManagerView - UpdateMainSheetOpenOrder - entering UpdateMainSheetOpenOrder order.status is PreSubmitted</t>
  </si>
  <si>
    <t>2015-1-30 10:53:18.221: RTWSControl - OrderStatus - Got OrderStatus Message id:1441 status: PreSubmitted filled: 0</t>
  </si>
  <si>
    <t>2015-1-30 10:53:18.221: RTWSControl - OrderStatus - exiting orderStatus</t>
  </si>
  <si>
    <t>2015-1-30 10:53:18.233: OrderManager - createOrder - exiting without creating order - did not have validID</t>
  </si>
  <si>
    <t>2015-1-30 10:53:18.354: OrderManager - createOrder - exiting without creating order - did not have validID</t>
  </si>
  <si>
    <t>2015-1-30 10:53:19.29: OrderManagerView - UpdateMainSheetOpenOrder - entering UpdateMainSheetOpenOrder order.status is PreSubmitted</t>
  </si>
  <si>
    <t>2015-1-30 10:53:19.32: OrderManagerView - UpdateMainSheetOpenOrder - entering UpdateMainSheetOpenOrder order.status is PreSubmitted</t>
  </si>
  <si>
    <t>2015-1-30 10:53:19.33: OrderManagerView - UpdateMainSheetOpenOrder - entering UpdateMainSheetOpenOrder order.status is In-Flight</t>
  </si>
  <si>
    <t>2015-1-30 10:53:19.35: OrderManagerView - UpdateMainSheetOpenOrder - entering UpdateMainSheetOpenOrder order.status is PreSubmitted</t>
  </si>
  <si>
    <t>2015-1-30 10:53:19.36: OrderManagerView - UpdateMainSheetOpenOrder - entering UpdateMainSheetOpenOrder order.status is In-Flight</t>
  </si>
  <si>
    <t>2015-1-30 10:53:19.52: OrderManagerView - UpdateMainSheetOpenOrder - entering UpdateMainSheetOpenOrder order.status is PreSubmitted</t>
  </si>
  <si>
    <t>2015-1-30 10:53:19.54: OrderManagerView - UpdateMainSheetOpenOrder - entering UpdateMainSheetOpenOrder order.status is PreSubmitted</t>
  </si>
  <si>
    <t>2015-1-30 10:53:19.55: OrderManagerView - UpdateMainSheetOpenOrder - entering UpdateMainSheetOpenOrder order.status is In-Flight</t>
  </si>
  <si>
    <t>2015-1-30 10:53:19.887: OrderManager - createOrder - exiting without creating order - did not have validID</t>
  </si>
  <si>
    <t>2015-1-30 10:53:19.978: RTWSControl - nextValidId - entering nextValidId id is 1443</t>
  </si>
  <si>
    <t>2015-1-30 10:53:20.9: OrderManagerView - UpdateMainSheetOpenOrder - entering UpdateMainSheetOpenOrder order.status is PreSubmitted</t>
  </si>
  <si>
    <t>2015-1-30 10:53:20.10: OrderManagerView - UpdateMainSheetOpenOrder - entering UpdateMainSheetOpenOrder order.status is PreSubmitted</t>
  </si>
  <si>
    <t>2015-1-30 10:53:20.12: OrderManagerView - UpdateMainSheetOpenOrder - entering UpdateMainSheetOpenOrder order.status is In-Flight</t>
  </si>
  <si>
    <t>2015-1-30 10:53:20.16: OrderManagerView - UpdateMainSheetOpenOrder - entering UpdateMainSheetOpenOrder order.status is PreSubmitted</t>
  </si>
  <si>
    <t>2015-1-30 10:53:20.18: OrderManagerView - UpdateMainSheetOpenOrder - entering UpdateMainSheetOpenOrder order.status is PreSubmitted</t>
  </si>
  <si>
    <t>2015-1-30 10:53:20.19: OrderManagerView - UpdateMainSheetOpenOrder - entering UpdateMainSheetOpenOrder order.status is In-Flight</t>
  </si>
  <si>
    <t>2015-1-30 10:53:20.31: RTWSControl - orderStatus -  entering orderStatus id is 1440 status is Cancelled</t>
  </si>
  <si>
    <t>2015-1-30 10:53:20.32: OrderManager - UpdateOrderStatus - id 1440 Setting status to Cancelled workingOrderCount is now 2 workingQty -3080</t>
  </si>
  <si>
    <t>2015-1-30 10:53:20.33: OrderManagerView - UpdateMainSheetOpenOrder - entering UpdateMainSheetOpenOrder order.status is Cancelled</t>
  </si>
  <si>
    <t>2015-1-30 10:53:20.35: RTWSControl - OrderStatus - Got OrderStatus Message id:1440 status: Cancelled filled: 0</t>
  </si>
  <si>
    <t>2015-1-30 10:53:20.36: RTWSControl - OrderStatus - exiting orderStatus</t>
  </si>
  <si>
    <t>2015-1-30 10:53:20.64: RTWSControl - errMsg - got error message 202:Order Canceled - reason:with id 1440</t>
  </si>
  <si>
    <t>2015-1-30 10:53:20.65: OrderManager - canceledOrder - cleaning up after canceled order 1440BEWARE UNACCOUNTED FOR EXECUTIONS!!!</t>
  </si>
  <si>
    <t>2015-1-30 10:53:20.65: OrderManager - terminateOrder - cleaning up after Canceled 1440  order was supposed to BUY 24 1.5123 STP LMT workingQty/OrderCount now -3104/1</t>
  </si>
  <si>
    <t>2015-1-30 10:53:20.68: OrderManagerView - UpdateMainSheetOpenOrder - entering UpdateMainSheetOpenOrder order.status is Canceled</t>
  </si>
  <si>
    <t>2015-1-30 10:53:20.91: RTWSControl - errMsg - got error message 399:Order Message:
BUY 26 GBP MAR'15
Warning: your order will not be placed at the exchange until 2015-01-30 08:30:00 US/Centralwith id 1442</t>
  </si>
  <si>
    <t>2015-1-30 10:53:20.92: RTWSControl - errMsg - Got Error_x000D_id: 1442_x000D_errorCode: 399_x000D_errorMsg: Order Message:
BUY 26 GBP MAR'15
Warning: your order will not be placed at the exchange until 2015-01-30 08:30:00 US/Central</t>
  </si>
  <si>
    <t>2015-1-30 10:53:20.100: openOrderEx - I am here</t>
  </si>
  <si>
    <t>2015-1-30 10:53:20.101: OrderManagerView - UpdateMainSheetOpenOrder - entering UpdateMainSheetOpenOrder order.status is In-Flight</t>
  </si>
  <si>
    <t>2015-1-30 10:53:20.137: RTWSControl - orderStatus -  entering orderStatus id is 1442 status is PreSubmitted</t>
  </si>
  <si>
    <t>2015-1-30 10:53:20.138: OrderManager - UpdateOrderStatus - id 1442 Setting status to PreSubmitted workingOrderCount is now 1 workingQty -3104</t>
  </si>
  <si>
    <t>2015-1-30 10:53:20.138: OrderManagerView - UpdateMainSheetOpenOrder - entering UpdateMainSheetOpenOrder order.status is PreSubmitted</t>
  </si>
  <si>
    <t>2015-1-30 10:53:20.140: RTWSControl - OrderStatus - Got OrderStatus Message id:1442 status: PreSubmitted filled: 0</t>
  </si>
  <si>
    <t>2015-1-30 10:53:20.141: RTWSControl - OrderStatus - exiting orderStatus</t>
  </si>
  <si>
    <t>2015-1-30 10:53:20.179: openOrderEx - I am here</t>
  </si>
  <si>
    <t>2015-1-30 10:53:20.179: OrderManagerView - UpdateMainSheetOpenOrder - entering UpdateMainSheetOpenOrder order.status is PreSubmitted</t>
  </si>
  <si>
    <t>2015-1-30 10:53:20.191: RTWSControl - orderStatus -  entering orderStatus id is 1442 status is PreSubmitted</t>
  </si>
  <si>
    <t>2015-1-30 10:53:20.192: OrderManager - UpdateOrderStatus - id 1442 Setting status to PreSubmitted workingOrderCount is now 1 workingQty -3104</t>
  </si>
  <si>
    <t>2015-1-30 10:53:20.193: OrderManagerView - UpdateMainSheetOpenOrder - entering UpdateMainSheetOpenOrder order.status is PreSubmitted</t>
  </si>
  <si>
    <t>2015-1-30 10:53:20.195: RTWSControl - OrderStatus - Got OrderStatus Message id:1442 status: PreSubmitted filled: 0</t>
  </si>
  <si>
    <t>2015-1-30 10:53:20.195: RTWSControl - OrderStatus - exiting orderStatus</t>
  </si>
  <si>
    <t>2015-1-30 10:53:20.221: RTWSControl - orderStatus -  entering orderStatus id is 1441 status is Cancelled</t>
  </si>
  <si>
    <t>2015-1-30 10:53:20.222: OrderManager - UpdateOrderStatus - id 1441 Setting status to Cancelled workingOrderCount is now 1 workingQty -3104</t>
  </si>
  <si>
    <t>2015-1-30 10:53:20.223: OrderManagerView - UpdateMainSheetOpenOrder - entering UpdateMainSheetOpenOrder order.status is Cancelled</t>
  </si>
  <si>
    <t>2015-1-30 10:53:20.225: RTWSControl - OrderStatus - Got OrderStatus Message id:1441 status: Cancelled filled: 0</t>
  </si>
  <si>
    <t>2015-1-30 10:53:20.225: RTWSControl - OrderStatus - exiting orderStatus</t>
  </si>
  <si>
    <t>2015-1-30 10:53:20.259: RTWSControl - errMsg - got error message 202:Order Canceled - reason:with id 1441</t>
  </si>
  <si>
    <t>2015-1-30 10:53:20.260: OrderManager - canceledOrder - cleaning up after canceled order 1441BEWARE UNACCOUNTED FOR EXECUTIONS!!!</t>
  </si>
  <si>
    <t>2015-1-30 10:53:20.260: OrderManager - terminateOrder - cleaning up after Canceled 1441  order was supposed to SELL 24 1.5066 STP LMT workingQty/OrderCount now -3128/0</t>
  </si>
  <si>
    <t>2015-1-30 10:53:20.263: OrderManagerView - UpdateMainSheetOpenOrder - entering UpdateMainSheetOpenOrder order.status is Canceled</t>
  </si>
  <si>
    <t>2015-1-30 10:53:21.8: OrderManagerView - UpdateMainSheetOpenOrder - entering UpdateMainSheetOpenOrder order.status is Canceled</t>
  </si>
  <si>
    <t>2015-1-30 10:53:21.10: OrderManagerView - UpdateMainSheetOpenOrder - entering UpdateMainSheetOpenOrder order.status is PreSubmitted</t>
  </si>
  <si>
    <t>2015-1-30 10:53:21.12: OrderManagerView - UpdateMainSheetOpenOrder - entering UpdateMainSheetOpenOrder order.status is PreSubmitted</t>
  </si>
  <si>
    <t>2015-1-30 10:53:22.0: OrderManagerView - UpdateMainSheetOpenOrder - entering UpdateMainSheetOpenOrder order.status is PreSubmitted</t>
  </si>
  <si>
    <t>2015-1-30 10:53:22.518: OrderManager - PlaceOrder - id 1443 workingQty -3154</t>
  </si>
  <si>
    <t>2015-1-30 10:53:22.519: OrderManagerView - UpdateMainSheetOpenOrder - entering UpdateMainSheetOpenOrder order.status is In-Flight</t>
  </si>
  <si>
    <t>2015-1-30 10:53:22.522: OrderManager - sendOrder - exiting place order id 1443 SELL 26 1.5065  - workingQty -3154 currentPosition is 21 workingOrderCount is 1</t>
  </si>
  <si>
    <t>2015-1-30 10:53:22.676: RTWSControl - nextValidId - entering nextValidId id is 1444</t>
  </si>
  <si>
    <t>2015-1-30 10:53:22.830: RTWSControl - errMsg - got error message 399:Order Message:
SELL 26 GBP MAR'15
Warning: your order will not be placed at the exchange until 2015-01-30 08:30:00 US/Centralwith id 1443</t>
  </si>
  <si>
    <t>2015-1-30 10:53:22.833: RTWSControl - errMsg - Got Error_x000D_id: 1443_x000D_errorCode: 399_x000D_errorMsg: Order Message:
SELL 26 GBP MAR'15
Warning: your order will not be placed at the exchange until 2015-01-30 08:30:00 US/Central</t>
  </si>
  <si>
    <t>2015-1-30 10:53:22.859: openOrderEx - I am here</t>
  </si>
  <si>
    <t>2015-1-30 10:53:22.860: OrderManagerView - UpdateMainSheetOpenOrder - entering UpdateMainSheetOpenOrder order.status is In-Flight</t>
  </si>
  <si>
    <t>2015-1-30 10:53:22.926: RTWSControl - orderStatus -  entering orderStatus id is 1443 status is PreSubmitted</t>
  </si>
  <si>
    <t>2015-1-30 10:53:22.928: OrderManager - UpdateOrderStatus - id 1443 Setting status to PreSubmitted workingOrderCount is now 1 workingQty -3154</t>
  </si>
  <si>
    <t>2015-1-30 10:53:22.930: OrderManagerView - UpdateMainSheetOpenOrder - entering UpdateMainSheetOpenOrder order.status is PreSubmitted</t>
  </si>
  <si>
    <t>2015-1-30 10:53:22.938: RTWSControl - OrderStatus - Got OrderStatus Message id:1443 status: PreSubmitted filled: 0</t>
  </si>
  <si>
    <t>2015-1-30 10:53:22.939: RTWSControl - OrderStatus - exiting orderStatus</t>
  </si>
  <si>
    <t>2015-1-30 10:53:22.974: openOrderEx - I am here</t>
  </si>
  <si>
    <t>2015-1-30 10:53:22.975: OrderManagerView - UpdateMainSheetOpenOrder - entering UpdateMainSheetOpenOrder order.status is PreSubmitted</t>
  </si>
  <si>
    <t>2015-1-30 10:53:22.988: RTWSControl - orderStatus -  entering orderStatus id is 1443 status is PreSubmitted</t>
  </si>
  <si>
    <t>2015-1-30 10:53:22.989: OrderManager - UpdateOrderStatus - id 1443 Setting status to PreSubmitted workingOrderCount is now 1 workingQty -3154</t>
  </si>
  <si>
    <t>2015-1-30 10:53:22.989: OrderManagerView - UpdateMainSheetOpenOrder - entering UpdateMainSheetOpenOrder order.status is PreSubmitted</t>
  </si>
  <si>
    <t>2015-1-30 10:53:22.993: RTWSControl - OrderStatus - Got OrderStatus Message id:1443 status: PreSubmitted filled: 0</t>
  </si>
  <si>
    <t>2015-1-30 10:53:22.993: RTWSControl - OrderStatus - exiting orderStatus</t>
  </si>
  <si>
    <t>2015-1-30 10:53:25.27: OrderManagerView - UpdateMainSheetOpenOrder - entering UpdateMainSheetOpenOrder order.status is PreSubmitted</t>
  </si>
  <si>
    <t>2015-1-30 10:53:25.35: OrderManagerView - UpdateMainSheetOpenOrder - entering UpdateMainSheetOpenOrder order.status is PreSubmitted</t>
  </si>
  <si>
    <t>2015-1-30 10:53:25.58: OrderManagerView - UpdateMainSheetOpenOrder - entering UpdateMainSheetOpenOrder order.status is PreSubmitted</t>
  </si>
  <si>
    <t>2015-1-30 10:53:25.64: OrderManagerView - UpdateMainSheetOpenOrder - entering UpdateMainSheetOpenOrder order.status is PreSubmitted</t>
  </si>
  <si>
    <t>2015-1-30 10:53:26.40: OrderManagerView - UpdateMainSheetOpenOrder - entering UpdateMainSheetOpenOrder order.status is PreSubmitted</t>
  </si>
  <si>
    <t>2015-1-30 10:53:26.48: OrderManagerView - UpdateMainSheetOpenOrder - entering UpdateMainSheetOpenOrder order.status is PreSubmitted</t>
  </si>
  <si>
    <t>ID</t>
  </si>
  <si>
    <t>2015-1-30 10:53:37.397: OrderManager - cancelOrder - cancelling order id 1442</t>
  </si>
  <si>
    <t>2015-1-30 10:53:37.397: OrderManager - PlaceOrder - id 1444 workingQty -3131</t>
  </si>
  <si>
    <t>2015-1-30 10:53:37.397: OrderManagerView - UpdateMainSheetOpenOrder - entering UpdateMainSheetOpenOrder order.status is In-Flight</t>
  </si>
  <si>
    <t>2015-1-30 10:53:37.399: OrderManager - sendOrder - exiting place order id 1444 BUY 23 1.5123  - workingQty -3131 currentPosition is 21 workingOrderCount is 2</t>
  </si>
  <si>
    <t>2015-1-30 10:53:37.400: OrderManager - cancelOrder - cancelling order id 1443</t>
  </si>
  <si>
    <t>2015-1-30 10:53:37.400: OrderManager - createOrder - exiting without creating order - did not have validID</t>
  </si>
  <si>
    <t>2015-1-30 10:53:37.519: RTWSControl - nextValidId - entering nextValidId id is 1445</t>
  </si>
  <si>
    <t>2015-1-30 10:53:37.702: RTWSControl - orderStatus -  entering orderStatus id is 1442 status is Cancelled</t>
  </si>
  <si>
    <t>2015-1-30 10:53:37.704: OrderManager - UpdateOrderStatus - id 1442 Setting status to Cancelled workingOrderCount is now 2 workingQty -3131</t>
  </si>
  <si>
    <t>2015-1-30 10:53:37.705: OrderManagerView - UpdateMainSheetOpenOrder - entering UpdateMainSheetOpenOrder order.status is Cancelled</t>
  </si>
  <si>
    <t>2015-1-30 10:53:37.715: RTWSControl - OrderStatus - Got OrderStatus Message id:1442 status: Cancelled filled: 0</t>
  </si>
  <si>
    <t>2015-1-30 10:53:37.717: RTWSControl - OrderStatus - exiting orderStatus</t>
  </si>
  <si>
    <t>2015-1-30 10:53:37.741: RTWSControl - errMsg - got error message 202:Order Canceled - reason:with id 1442</t>
  </si>
  <si>
    <t>2015-1-30 10:53:37.741: OrderManager - canceledOrder - cleaning up after canceled order 1442BEWARE UNACCOUNTED FOR EXECUTIONS!!!</t>
  </si>
  <si>
    <t>2015-1-30 10:53:37.742: OrderManager - terminateOrder - cleaning up after Canceled 1442  order was supposed to BUY 26 1.5127 STP LMT workingQty/OrderCount now -3157/1</t>
  </si>
  <si>
    <t>2015-1-30 10:53:37.747: OrderManagerView - UpdateMainSheetOpenOrder - entering UpdateMainSheetOpenOrder order.status is Canceled</t>
  </si>
  <si>
    <t>2015-1-30 10:53:37.785: OrderManager - PlaceOrder - id 1445 workingQty -3180</t>
  </si>
  <si>
    <t>2015-1-30 10:53:37.785: OrderManagerView - UpdateMainSheetOpenOrder - entering UpdateMainSheetOpenOrder order.status is In-Flight</t>
  </si>
  <si>
    <t>2015-1-30 10:53:37.787: OrderManager - sendOrder - exiting place order id 1445 SELL 23 1.5064  - workingQty -3180 currentPosition is 21 workingOrderCount is 2</t>
  </si>
  <si>
    <t>2015-1-30 10:53:37.930: RTWSControl - errMsg - got error message 399:Order Message:
BUY 23 GBP MAR'15
Warning: your order will not be placed at the exchange until 2015-01-30 08:30:00 US/Centralwith id 1444</t>
  </si>
  <si>
    <t>2015-1-30 10:53:37.931: RTWSControl - errMsg - Got Error_x000D_id: 1444_x000D_errorCode: 399_x000D_errorMsg: Order Message:
BUY 23 GBP MAR'15
Warning: your order will not be placed at the exchange until 2015-01-30 08:30:00 US/Central</t>
  </si>
  <si>
    <t>2015-1-30 10:53:37.941: openOrderEx - I am here</t>
  </si>
  <si>
    <t>2015-1-30 10:53:37.941: OrderManagerView - UpdateMainSheetOpenOrder - entering UpdateMainSheetOpenOrder order.status is In-Flight</t>
  </si>
  <si>
    <t>2015-1-30 10:53:37.972: RTWSControl - orderStatus -  entering orderStatus id is 1444 status is PreSubmitted</t>
  </si>
  <si>
    <t>2015-1-30 10:53:37.973: OrderManager - UpdateOrderStatus - id 1444 Setting status to PreSubmitted workingOrderCount is now 2 workingQty -3180</t>
  </si>
  <si>
    <t>2015-1-30 10:53:37.973: OrderManagerView - UpdateMainSheetOpenOrder - entering UpdateMainSheetOpenOrder order.status is PreSubmitted</t>
  </si>
  <si>
    <t>2015-1-30 10:53:37.975: RTWSControl - OrderStatus - Got OrderStatus Message id:1444 status: PreSubmitted filled: 0</t>
  </si>
  <si>
    <t>2015-1-30 10:53:37.976: RTWSControl - OrderStatus - exiting orderStatus</t>
  </si>
  <si>
    <t>2015-1-30 10:53:38.8: RTWSControl - orderStatus -  entering orderStatus id is 1443 status is Cancelled</t>
  </si>
  <si>
    <t>2015-1-30 10:53:38.9: OrderManager - UpdateOrderStatus - id 1443 Setting status to Cancelled workingOrderCount is now 2 workingQty -3180</t>
  </si>
  <si>
    <t>2015-1-30 10:53:38.9: OrderManagerView - UpdateMainSheetOpenOrder - entering UpdateMainSheetOpenOrder order.status is Cancelled</t>
  </si>
  <si>
    <t>2015-1-30 10:53:38.11: RTWSControl - OrderStatus - Got OrderStatus Message id:1443 status: Cancelled filled: 0</t>
  </si>
  <si>
    <t>2015-1-30 10:53:38.12: RTWSControl - OrderStatus - exiting orderStatus</t>
  </si>
  <si>
    <t>2015-1-30 10:53:38.22: RTWSControl - errMsg - got error message 202:Order Canceled - reason:with id 1443</t>
  </si>
  <si>
    <t>2015-1-30 10:53:38.22: OrderManager - canceledOrder - cleaning up after canceled order 1443BEWARE UNACCOUNTED FOR EXECUTIONS!!!</t>
  </si>
  <si>
    <t>2015-1-30 10:53:38.23: OrderManager - terminateOrder - cleaning up after Canceled 1443  order was supposed to SELL 26 1.5065 STP LMT workingQty/OrderCount now -3206/1</t>
  </si>
  <si>
    <t>2015-1-30 10:53:38.24: OrderManagerView - UpdateMainSheetOpenOrder - entering UpdateMainSheetOpenOrder order.status is Canceled</t>
  </si>
  <si>
    <t>2015-1-30 10:53:38.57: openOrderEx - I am here</t>
  </si>
  <si>
    <t>2015-1-30 10:53:38.57: OrderManagerView - UpdateMainSheetOpenOrder - entering UpdateMainSheetOpenOrder order.status is PreSubmitted</t>
  </si>
  <si>
    <t>2015-1-30 10:53:38.93: RTWSControl - orderStatus -  entering orderStatus id is 1444 status is PreSubmitted</t>
  </si>
  <si>
    <t>2015-1-30 10:53:38.94: OrderManager - UpdateOrderStatus - id 1444 Setting status to PreSubmitted workingOrderCount is now 1 workingQty -3206</t>
  </si>
  <si>
    <t>2015-1-30 10:53:38.94: OrderManagerView - UpdateMainSheetOpenOrder - entering UpdateMainSheetOpenOrder order.status is PreSubmitted</t>
  </si>
  <si>
    <t>2015-1-30 10:53:38.96: RTWSControl - OrderStatus - Got OrderStatus Message id:1444 status: PreSubmitted filled: 0</t>
  </si>
  <si>
    <t>2015-1-30 10:53:38.97: RTWSControl - OrderStatus - exiting orderStatus</t>
  </si>
  <si>
    <t>2015-1-30 10:53:39.440: RTWSControl - nextValidId - entering nextValidId id is 1446</t>
  </si>
  <si>
    <t>2015-1-30 10:53:39.474: RTWSControl - errMsg - got error message 399:Order Message:
SELL 23 GBP MAR'15
Warning: your order will not be placed at the exchange until 2015-01-30 08:30:00 US/Centralwith id 1445</t>
  </si>
  <si>
    <t>2015-1-30 10:53:39.474: RTWSControl - errMsg - Got Error_x000D_id: 1445_x000D_errorCode: 399_x000D_errorMsg: Order Message:
SELL 23 GBP MAR'15
Warning: your order will not be placed at the exchange until 2015-01-30 08:30:00 US/Central</t>
  </si>
  <si>
    <t>2015-1-30 10:53:39.484: openOrderEx - I am here</t>
  </si>
  <si>
    <t>2015-1-30 10:53:39.484: OrderManagerView - UpdateMainSheetOpenOrder - entering UpdateMainSheetOpenOrder order.status is In-Flight</t>
  </si>
  <si>
    <t>2015-1-30 10:53:39.510: RTWSControl - orderStatus -  entering orderStatus id is 1445 status is PreSubmitted</t>
  </si>
  <si>
    <t>2015-1-30 10:53:39.511: OrderManager - UpdateOrderStatus - id 1445 Setting status to PreSubmitted workingOrderCount is now 1 workingQty -3206</t>
  </si>
  <si>
    <t>2015-1-30 10:53:39.511: OrderManagerView - UpdateMainSheetOpenOrder - entering UpdateMainSheetOpenOrder order.status is PreSubmitted</t>
  </si>
  <si>
    <t>2015-1-30 10:53:39.514: RTWSControl - OrderStatus - Got OrderStatus Message id:1445 status: PreSubmitted filled: 0</t>
  </si>
  <si>
    <t>2015-1-30 10:53:39.514: RTWSControl - OrderStatus - exiting orderStatus</t>
  </si>
  <si>
    <t>2015-1-30 10:53:39.528: openOrderEx - I am here</t>
  </si>
  <si>
    <t>2015-1-30 10:53:39.528: OrderManagerView - UpdateMainSheetOpenOrder - entering UpdateMainSheetOpenOrder order.status is PreSubmitted</t>
  </si>
  <si>
    <t>2015-1-30 10:53:39.557: RTWSControl - orderStatus -  entering orderStatus id is 1445 status is PreSubmitted</t>
  </si>
  <si>
    <t>2015-1-30 10:53:39.558: OrderManager - UpdateOrderStatus - id 1445 Setting status to PreSubmitted workingOrderCount is now 1 workingQty -3206</t>
  </si>
  <si>
    <t>2015-1-30 10:53:39.559: OrderManagerView - UpdateMainSheetOpenOrder - entering UpdateMainSheetOpenOrder order.status is PreSubmitted</t>
  </si>
  <si>
    <t>2015-1-30 10:53:39.561: RTWSControl - OrderStatus - Got OrderStatus Message id:1445 status: PreSubmitted filled: 0</t>
  </si>
  <si>
    <t>2015-1-30 10:53:39.561: RTWSControl - OrderStatus - exiting orderStatus</t>
  </si>
  <si>
    <t>2015-1-30 10:53:42.3: OrderManagerView - UpdateMainSheetOpenOrder - entering UpdateMainSheetOpenOrder order.status is Canceled</t>
  </si>
  <si>
    <t>2015-1-30 10:53:42.5: OrderManagerView - UpdateMainSheetOpenOrder - entering UpdateMainSheetOpenOrder order.status is PreSubmitted</t>
  </si>
  <si>
    <t>2015-1-30 10:53:42.6: OrderManagerView - UpdateMainSheetOpenOrder - entering UpdateMainSheetOpenOrder order.status is PreSubmitted</t>
  </si>
  <si>
    <t>2015-1-30 10:53:42.8: OrderManagerView - UpdateMainSheetOpenOrder - entering UpdateMainSheetOpenOrder order.status is PreSubmitted</t>
  </si>
  <si>
    <t>2015-1-30 10:53:42.9: OrderManagerView - UpdateMainSheetOpenOrder - entering UpdateMainSheetOpenOrder order.status is PreSubmitted</t>
  </si>
  <si>
    <t>2015-1-30 10:53:44.558: OrderManagerView - UpdateMainSheetOpenOrder - entering UpdateMainSheetOpenOrder order.status is PreSubmitted</t>
  </si>
  <si>
    <t>2015-1-30 10:53:44.560: OrderManagerView - UpdateMainSheetOpenOrder - entering UpdateMainSheetOpenOrder order.status is PreSubmitted</t>
  </si>
  <si>
    <t>2015-1-30 10:53:44.562: OrderManagerView - UpdateMainSheetOpenOrder - entering UpdateMainSheetOpenOrder order.status is PreSubmitted</t>
  </si>
  <si>
    <t>2015-1-30 10:53:46.603: Algorithm - FindNextStrikes - price is 1.5079 nextStrikeUp/Down 1.51/1.505</t>
  </si>
  <si>
    <t>2015-1-30 10:53:46.604: Algorithm - getPortfolioForwardDelta - required deltas is 21 currentHedgePosition is 21</t>
  </si>
  <si>
    <t>2015-1-30 10:53:46.605: Algorithm - getHedgeShortfall - required deltas is 21 price is 1.508 currentHedgePositionDeltas is 21</t>
  </si>
  <si>
    <t>2015-1-30 10:53:46.605: Algorithm - processTransitionPoint - nextUpper/LowerStrikes are 1.51/1.505 requiredDeltas/currentPosition/currentHedgeShortfall/direction/transitionPrice are 21/21/0/1/1.508</t>
  </si>
  <si>
    <t>2015-1-30 10:53:46.605: TransitionLogger - processTransitionpoint - checking transition - currentHedgeShortfall is 0</t>
  </si>
  <si>
    <t>2015-1-30 10:53:46.607: Algorithm - updatePortfolio - haveAllDetails is True</t>
  </si>
  <si>
    <t>2015-1-30 10:53:46.648: Algorithm - FindNextStrikes - price is 1.5079 nextStrikeUp/Down 1.51/1.505</t>
  </si>
  <si>
    <t>2015-1-30 10:53:46.649: Algorithm - getPortfolioForwardDelta - required deltas is 21 currentHedgePosition is 21</t>
  </si>
  <si>
    <t>2015-1-30 10:53:46.650: Algorithm - getHedgeShortfall - required deltas is 21 price is 1.508 currentHedgePositionDeltas is 21</t>
  </si>
  <si>
    <t>2015-1-30 10:53:46.650: Algorithm - processTransitionPoint - nextUpper/LowerStrikes are 1.51/1.505 requiredDeltas/currentPosition/currentHedgeShortfall/direction/transitionPrice are 21/21/0/1/1.508</t>
  </si>
  <si>
    <t>2015-1-30 10:53:46.650: TransitionLogger - processTransitionpoint - checking transition - currentHedgeShortfall is 0</t>
  </si>
  <si>
    <t>2015-1-30 10:53:46.651: Algorithm - updatePortfolio - haveAllDetails is True</t>
  </si>
  <si>
    <t>2015-1-30 10:53:46.719: Algorithm - FindNextStrikes - price is 1.5079 nextStrikeUp/Down 1.51/1.505</t>
  </si>
  <si>
    <t>2015-1-30 10:53:46.719: Algorithm - getPortfolioForwardDelta - required deltas is 21 currentHedgePosition is 21</t>
  </si>
  <si>
    <t>2015-1-30 10:53:46.719: Algorithm - getHedgeShortfall - required deltas is 21 price is 1.508 currentHedgePositionDeltas is 21</t>
  </si>
  <si>
    <t>2015-1-30 10:53:46.720: Algorithm - processTransitionPoint - nextUpper/LowerStrikes are 1.51/1.505 requiredDeltas/currentPosition/currentHedgeShortfall/direction/transitionPrice are 21/21/0/1/1.508</t>
  </si>
  <si>
    <t>2015-1-30 10:53:46.720: TransitionLogger - processTransitionpoint - checking transition - currentHedgeShortfall is 0</t>
  </si>
  <si>
    <t>2015-1-30 10:53:46.721: Algorithm - updatePortfolio - haveAllDetails is True</t>
  </si>
  <si>
    <t>2015-1-30 10:53:46.773: Algorithm - FindNextStrikes - price is 1.5079 nextStrikeUp/Down 1.51/1.505</t>
  </si>
  <si>
    <t>2015-1-30 10:53:46.774: Algorithm - getPortfolioForwardDelta - required deltas is 21 currentHedgePosition is 21</t>
  </si>
  <si>
    <t>2015-1-30 10:53:46.774: Algorithm - getHedgeShortfall - required deltas is 21 price is 1.508 currentHedgePositionDeltas is 21</t>
  </si>
  <si>
    <t>2015-1-30 10:53:46.774: Algorithm - processTransitionPoint - nextUpper/LowerStrikes are 1.51/1.505 requiredDeltas/currentPosition/currentHedgeShortfall/direction/transitionPrice are 21/21/0/1/1.508</t>
  </si>
  <si>
    <t>2015-1-30 10:53:46.775: TransitionLogger - processTransitionpoint - checking transition - currentHedgeShortfall is 0</t>
  </si>
  <si>
    <t>2015-1-30 10:53:46.776: Algorithm - updatePortfolio - haveAllDetails is True</t>
  </si>
  <si>
    <t>2015-1-30 10:53:46.819: Algorithm - FindNextStrikes - price is 1.5079 nextStrikeUp/Down 1.51/1.505</t>
  </si>
  <si>
    <t>2015-1-30 10:53:46.820: Algorithm - getPortfolioForwardDelta - required deltas is 21 currentHedgePosition is 21</t>
  </si>
  <si>
    <t>2015-1-30 10:53:46.820: Algorithm - getHedgeShortfall - required deltas is 21 price is 1.508 currentHedgePositionDeltas is 21</t>
  </si>
  <si>
    <t>2015-1-30 10:53:46.821: Algorithm - processTransitionPoint - nextUpper/LowerStrikes are 1.51/1.505 requiredDeltas/currentPosition/currentHedgeShortfall/direction/transitionPrice are 21/21/0/1/1.508</t>
  </si>
  <si>
    <t>2015-1-30 10:53:46.821: TransitionLogger - processTransitionpoint - checking transition - currentHedgeShortfall is 0</t>
  </si>
  <si>
    <t>2015-1-30 10:53:46.822: Algorithm - updatePortfolio - haveAllDetails is True</t>
  </si>
  <si>
    <t>2015-1-30 10:53:46.888: Algorithm - FindNextStrikes - price is 1.5079 nextStrikeUp/Down 1.51/1.505</t>
  </si>
  <si>
    <t>2015-1-30 10:53:46.888: Algorithm - getPortfolioForwardDelta - required deltas is 21 currentHedgePosition is 21</t>
  </si>
  <si>
    <t>2015-1-30 10:53:46.889: Algorithm - getHedgeShortfall - required deltas is 21 price is 1.508 currentHedgePositionDeltas is 21</t>
  </si>
  <si>
    <t>2015-1-30 10:53:46.889: Algorithm - processTransitionPoint - nextUpper/LowerStrikes are 1.51/1.505 requiredDeltas/currentPosition/currentHedgeShortfall/direction/transitionPrice are 21/21/0/1/1.508</t>
  </si>
  <si>
    <t>2015-1-30 10:53:46.889: TransitionLogger - processTransitionpoint - checking transition - currentHedgeShortfall is 0</t>
  </si>
  <si>
    <t>2015-1-30 10:53:46.890: Algorithm - updatePortfolio - haveAllDetails is True</t>
  </si>
  <si>
    <t>2015-1-30 10:53:46.941: Algorithm - FindNextStrikes - price is 1.5079 nextStrikeUp/Down 1.51/1.505</t>
  </si>
  <si>
    <t>2015-1-30 10:53:46.941: Algorithm - getPortfolioForwardDelta - required deltas is 21 currentHedgePosition is 21</t>
  </si>
  <si>
    <t>2015-1-30 10:53:46.941: Algorithm - getHedgeShortfall - required deltas is 21 price is 1.508 currentHedgePositionDeltas is 21</t>
  </si>
  <si>
    <t>2015-1-30 10:53:46.942: Algorithm - processTransitionPoint - nextUpper/LowerStrikes are 1.51/1.505 requiredDeltas/currentPosition/currentHedgeShortfall/direction/transitionPrice are 21/21/0/1/1.508</t>
  </si>
  <si>
    <t>2015-1-30 10:53:46.942: TransitionLogger - processTransitionpoint - checking transition - currentHedgeShortfall is 0</t>
  </si>
  <si>
    <t>2015-1-30 10:53:46.943: Algorithm - updatePortfolio - haveAllDetails is True</t>
  </si>
  <si>
    <t>2015-1-30 10:53:46.985: Algorithm - FindNextStrikes - price is 1.5079 nextStrikeUp/Down 1.51/1.505</t>
  </si>
  <si>
    <t>2015-1-30 10:53:46.986: Algorithm - getPortfolioForwardDelta - required deltas is 21 currentHedgePosition is 21</t>
  </si>
  <si>
    <t>2015-1-30 10:53:46.986: Algorithm - getHedgeShortfall - required deltas is 21 price is 1.508 currentHedgePositionDeltas is 21</t>
  </si>
  <si>
    <t>2015-1-30 10:53:46.986: Algorithm - processTransitionPoint - nextUpper/LowerStrikes are 1.51/1.505 requiredDeltas/currentPosition/currentHedgeShortfall/direction/transitionPrice are 21/21/0/1/1.508</t>
  </si>
  <si>
    <t>2015-1-30 10:53:46.987: TransitionLogger - processTransitionpoint - checking transition - currentHedgeShortfall is 0</t>
  </si>
  <si>
    <t>2015-1-30 10:53:46.988: Algorithm - updatePortfolio - haveAllDetails is True</t>
  </si>
  <si>
    <t>2015-1-30 10:53:47.23: OrderManagerView - UpdateMainSheetOpenOrder - entering UpdateMainSheetOpenOrder order.status is PreSubmitted</t>
  </si>
  <si>
    <t>2015-1-30 10:53:47.25: OrderManagerView - UpdateMainSheetOpenOrder - entering UpdateMainSheetOpenOrder order.status is PreSubmitted</t>
  </si>
  <si>
    <t>2015-1-30 10:53:47.67: Algorithm - FindNextStrikes - price is 1.5079 nextStrikeUp/Down 1.51/1.505</t>
  </si>
  <si>
    <t>2015-1-30 10:53:47.67: Algorithm - getPortfolioForwardDelta - required deltas is 21 currentHedgePosition is 21</t>
  </si>
  <si>
    <t>2015-1-30 10:53:47.68: Algorithm - getHedgeShortfall - required deltas is 21 price is 1.508 currentHedgePositionDeltas is 21</t>
  </si>
  <si>
    <t>2015-1-30 10:53:47.68: Algorithm - processTransitionPoint - nextUpper/LowerStrikes are 1.51/1.505 requiredDeltas/currentPosition/currentHedgeShortfall/direction/transitionPrice are 21/21/0/1/1.508</t>
  </si>
  <si>
    <t>2015-1-30 10:53:47.68: TransitionLogger - processTransitionpoint - checking transition - currentHedgeShortfall is 0</t>
  </si>
  <si>
    <t>2015-1-30 10:53:47.69: Algorithm - updatePortfolio - haveAllDetails is True</t>
  </si>
  <si>
    <t>2015-1-30 10:53:47.138: Algorithm - FindNextStrikes - price is 1.5079 nextStrikeUp/Down 1.51/1.505</t>
  </si>
  <si>
    <t>2015-1-30 10:53:47.139: Algorithm - getPortfolioForwardDelta - required deltas is 21 currentHedgePosition is 21</t>
  </si>
  <si>
    <t>2015-1-30 10:53:47.139: Algorithm - getHedgeShortfall - required deltas is 21 price is 1.508 currentHedgePositionDeltas is 21</t>
  </si>
  <si>
    <t>2015-1-30 10:53:47.140: Algorithm - processTransitionPoint - nextUpper/LowerStrikes are 1.51/1.505 requiredDeltas/currentPosition/currentHedgeShortfall/direction/transitionPrice are 21/21/0/1/1.508</t>
  </si>
  <si>
    <t>2015-1-30 10:53:47.140: TransitionLogger - processTransitionpoint - checking transition - currentHedgeShortfall is 0</t>
  </si>
  <si>
    <t>2015-1-30 10:53:47.141: Algorithm - updatePortfolio - haveAllDetails is True</t>
  </si>
  <si>
    <t>2015-1-30 10:53:47.191: Algorithm - FindNextStrikes - price is 1.5079 nextStrikeUp/Down 1.51/1.505</t>
  </si>
  <si>
    <t>2015-1-30 10:53:47.191: Algorithm - getPortfolioForwardDelta - required deltas is 21 currentHedgePosition is 21</t>
  </si>
  <si>
    <t>2015-1-30 10:53:47.191: Algorithm - getHedgeShortfall - required deltas is 21 price is 1.508 currentHedgePositionDeltas is 21</t>
  </si>
  <si>
    <t>2015-1-30 10:53:47.192: Algorithm - processTransitionPoint - nextUpper/LowerStrikes are 1.51/1.505 requiredDeltas/currentPosition/currentHedgeShortfall/direction/transitionPrice are 21/21/0/1/1.508</t>
  </si>
  <si>
    <t>2015-1-30 10:53:47.192: TransitionLogger - processTransitionpoint - checking transition - currentHedgeShortfall is 0</t>
  </si>
  <si>
    <t>2015-1-30 10:53:47.193: Algorithm - updatePortfolio - haveAllDetails is True</t>
  </si>
  <si>
    <t>2015-1-30 10:53:47.235: Algorithm - FindNextStrikes - price is 1.5079 nextStrikeUp/Down 1.51/1.505</t>
  </si>
  <si>
    <t>2015-1-30 10:53:47.236: Algorithm - getPortfolioForwardDelta - required deltas is 21 currentHedgePosition is 21</t>
  </si>
  <si>
    <t>2015-1-30 10:53:47.236: Algorithm - getHedgeShortfall - required deltas is 21 price is 1.508 currentHedgePositionDeltas is 21</t>
  </si>
  <si>
    <t>2015-1-30 10:53:47.236: Algorithm - processTransitionPoint - nextUpper/LowerStrikes are 1.51/1.505 requiredDeltas/currentPosition/currentHedgeShortfall/direction/transitionPrice are 21/21/0/1/1.508</t>
  </si>
  <si>
    <t>2015-1-30 10:53:47.237: TransitionLogger - processTransitionpoint - checking transition - currentHedgeShortfall is 0</t>
  </si>
  <si>
    <t>2015-1-30 10:53:47.238: Algorithm - updatePortfolio - haveAllDetails is True</t>
  </si>
  <si>
    <t>2015-1-30 10:53:47.306: Algorithm - FindNextStrikes - price is 1.5079 nextStrikeUp/Down 1.51/1.505</t>
  </si>
  <si>
    <t>2015-1-30 10:53:47.306: Algorithm - getPortfolioForwardDelta - required deltas is 21 currentHedgePosition is 21</t>
  </si>
  <si>
    <t>2015-1-30 10:53:47.307: Algorithm - getHedgeShortfall - required deltas is 21 price is 1.508 currentHedgePositionDeltas is 21</t>
  </si>
  <si>
    <t>2015-1-30 10:53:47.307: Algorithm - processTransitionPoint - nextUpper/LowerStrikes are 1.51/1.505 requiredDeltas/currentPosition/currentHedgeShortfall/direction/transitionPrice are 21/21/0/1/1.508</t>
  </si>
  <si>
    <t>2015-1-30 10:53:47.307: TransitionLogger - processTransitionpoint - checking transition - currentHedgeShortfall is 0</t>
  </si>
  <si>
    <t>2015-1-30 10:53:47.308: Algorithm - updatePortfolio - haveAllDetails is True</t>
  </si>
  <si>
    <t>2015-1-30 10:53:47.679: OrderManager - cancelOrder - cancelling order id 1445</t>
  </si>
  <si>
    <t>2015-1-30 10:53:47.679: OrderManager - PlaceOrder - id 1446 workingQty -3230</t>
  </si>
  <si>
    <t>2015-1-30 10:53:47.680: OrderManagerView - UpdateMainSheetOpenOrder - entering UpdateMainSheetOpenOrder order.status is In-Flight</t>
  </si>
  <si>
    <t>2015-1-30 10:53:47.681: OrderManager - sendOrder - exiting place order id 1446 SELL 24 1.5066  - workingQty -3230 currentPosition is 21 workingOrderCount is 2</t>
  </si>
  <si>
    <t>2015-1-30 10:53:48.306: RTWSControl - nextValidId - entering nextValidId id is 1447</t>
  </si>
  <si>
    <t>2015-1-30 10:53:48.311: RTWSControl - orderStatus -  entering orderStatus id is 1445 status is Cancelled</t>
  </si>
  <si>
    <t>2015-1-30 10:53:48.312: OrderManager - UpdateOrderStatus - id 1445 Setting status to Cancelled workingOrderCount is now 2 workingQty -3230</t>
  </si>
  <si>
    <t>2015-1-30 10:53:48.313: OrderManagerView - UpdateMainSheetOpenOrder - entering UpdateMainSheetOpenOrder order.status is Cancelled</t>
  </si>
  <si>
    <t>2015-1-30 10:53:48.314: RTWSControl - OrderStatus - Got OrderStatus Message id:1445 status: Cancelled filled: 0</t>
  </si>
  <si>
    <t>2015-1-30 10:53:48.315: RTWSControl - OrderStatus - exiting orderStatus</t>
  </si>
  <si>
    <t>2015-1-30 10:53:48.350: RTWSControl - errMsg - got error message 202:Order Canceled - reason:with id 1445</t>
  </si>
  <si>
    <t>2015-1-30 10:53:48.350: OrderManager - canceledOrder - cleaning up after canceled order 1445BEWARE UNACCOUNTED FOR EXECUTIONS!!!</t>
  </si>
  <si>
    <t>2015-1-30 10:53:48.351: OrderManager - terminateOrder - cleaning up after Canceled 1445  order was supposed to SELL 23 1.5064 STP LMT workingQty/OrderCount now -3253/1</t>
  </si>
  <si>
    <t>2015-1-30 10:53:48.352: OrderManagerView - UpdateMainSheetOpenOrder - entering UpdateMainSheetOpenOrder order.status is Canceled</t>
  </si>
  <si>
    <t>2015-1-30 10:53:48.770: RTWSControl - errMsg - got error message 399:Order Message:
SELL 24 GBP MAR'15
Warning: your order will not be placed at the exchange until 2015-01-30 08:30:00 US/Centralwith id 1446</t>
  </si>
  <si>
    <t>2015-1-30 10:53:48.771: RTWSControl - errMsg - Got Error_x000D_id: 1446_x000D_errorCode: 399_x000D_errorMsg: Order Message:
SELL 24 GBP MAR'15
Warning: your order will not be placed at the exchange until 2015-01-30 08:30:00 US/Central</t>
  </si>
  <si>
    <t>2015-1-30 10:53:48.780: openOrderEx - I am here</t>
  </si>
  <si>
    <t>2015-1-30 10:53:48.781: OrderManagerView - UpdateMainSheetOpenOrder - entering UpdateMainSheetOpenOrder order.status is In-Flight</t>
  </si>
  <si>
    <t>2015-1-30 10:53:48.806: RTWSControl - orderStatus -  entering orderStatus id is 1446 status is PreSubmitted</t>
  </si>
  <si>
    <t>2015-1-30 10:53:48.807: OrderManager - UpdateOrderStatus - id 1446 Setting status to PreSubmitted workingOrderCount is now 1 workingQty -3253</t>
  </si>
  <si>
    <t>2015-1-30 10:53:48.807: OrderManagerView - UpdateMainSheetOpenOrder - entering UpdateMainSheetOpenOrder order.status is PreSubmitted</t>
  </si>
  <si>
    <t>2015-1-30 10:53:48.809: RTWSControl - OrderStatus - Got OrderStatus Message id:1446 status: PreSubmitted filled: 0</t>
  </si>
  <si>
    <t>2015-1-30 10:53:48.809: RTWSControl - OrderStatus - exiting orderStatus</t>
  </si>
  <si>
    <t>2015-1-30 10:53:48.846: openOrderEx - I am here</t>
  </si>
  <si>
    <t>2015-1-30 10:53:48.846: OrderManagerView - UpdateMainSheetOpenOrder - entering UpdateMainSheetOpenOrder order.status is PreSubmitted</t>
  </si>
  <si>
    <t>2015-1-30 10:53:48.857: RTWSControl - orderStatus -  entering orderStatus id is 1446 status is PreSubmitted</t>
  </si>
  <si>
    <t>2015-1-30 10:53:48.858: OrderManager - UpdateOrderStatus - id 1446 Setting status to PreSubmitted workingOrderCount is now 1 workingQty -3253</t>
  </si>
  <si>
    <t>2015-1-30 10:53:48.858: OrderManagerView - UpdateMainSheetOpenOrder - entering UpdateMainSheetOpenOrder order.status is PreSubmitted</t>
  </si>
  <si>
    <t>2015-1-30 10:53:48.860: RTWSControl - OrderStatus - Got OrderStatus Message id:1446 status: PreSubmitted filled: 0</t>
  </si>
  <si>
    <t>2015-1-30 10:53:48.860: RTWSControl - OrderStatus - exiting orderStatus</t>
  </si>
  <si>
    <t>2015-1-30 10:53:53.23: OrderManagerView - UpdateMainSheetOpenOrder - entering UpdateMainSheetOpenOrder order.status is PreSubmitted</t>
  </si>
  <si>
    <t>2015-1-30 10:53:53.24: OrderManagerView - UpdateMainSheetOpenOrder - entering UpdateMainSheetOpenOrder order.status is PreSubmitted</t>
  </si>
  <si>
    <t>2015-1-30 10:53:58.349: OrderManager - cancelOrder - cancelling order id 1444</t>
  </si>
  <si>
    <t>2015-1-30 10:53:58.350: OrderManager - PlaceOrder - id 1447 workingQty -3228</t>
  </si>
  <si>
    <t>2015-1-30 10:53:58.351: OrderManagerView - UpdateMainSheetOpenOrder - entering UpdateMainSheetOpenOrder order.status is In-Flight</t>
  </si>
  <si>
    <t>2015-1-30 10:53:58.357: OrderManager - sendOrder - exiting place order id 1447 BUY 25 1.5125  - workingQty -3228 currentPosition is 21 workingOrderCount is 2</t>
  </si>
  <si>
    <t>2015-1-30 10:53:58.472: RTWSControl - nextValidId - entering nextValidId id is 1448</t>
  </si>
  <si>
    <t>2015-1-30 10:53:58.669: RTWSControl - orderStatus -  entering orderStatus id is 1444 status is Cancelled</t>
  </si>
  <si>
    <t>2015-1-30 10:53:58.671: OrderManager - UpdateOrderStatus - id 1444 Setting status to Cancelled workingOrderCount is now 2 workingQty -3228</t>
  </si>
  <si>
    <t>2015-1-30 10:53:58.673: OrderManagerView - UpdateMainSheetOpenOrder - entering UpdateMainSheetOpenOrder order.status is Cancelled</t>
  </si>
  <si>
    <t>2015-1-30 10:53:58.680: RTWSControl - OrderStatus - Got OrderStatus Message id:1444 status: Cancelled filled: 0</t>
  </si>
  <si>
    <t>2015-1-30 10:53:58.682: RTWSControl - OrderStatus - exiting orderStatus</t>
  </si>
  <si>
    <t>2015-1-30 10:53:58.752: RTWSControl - errMsg - got error message 202:Order Canceled - reason:with id 1444</t>
  </si>
  <si>
    <t>2015-1-30 10:53:58.752: OrderManager - canceledOrder - cleaning up after canceled order 1444BEWARE UNACCOUNTED FOR EXECUTIONS!!!</t>
  </si>
  <si>
    <t>2015-1-30 10:53:58.753: OrderManager - terminateOrder - cleaning up after Canceled 1444  order was supposed to BUY 23 1.5123 STP LMT workingQty/OrderCount now -3251/1</t>
  </si>
  <si>
    <t>2015-1-30 10:53:58.755: OrderManagerView - UpdateMainSheetOpenOrder - entering UpdateMainSheetOpenOrder order.status is Canceled</t>
  </si>
  <si>
    <t>2015-1-30 10:53:58.844: RTWSControl - errMsg - got error message 399:Order Message:
BUY 25 GBP MAR'15
Warning: your order will not be placed at the exchange until 2015-01-30 08:30:00 US/Centralwith id 1447</t>
  </si>
  <si>
    <t>2015-1-30 10:53:58.844: RTWSControl - errMsg - Got Error_x000D_id: 1447_x000D_errorCode: 399_x000D_errorMsg: Order Message:
BUY 25 GBP MAR'15
Warning: your order will not be placed at the exchange until 2015-01-30 08:30:00 US/Central</t>
  </si>
  <si>
    <t>2015-1-30 10:53:58.854: openOrderEx - I am here</t>
  </si>
  <si>
    <t>2015-1-30 10:53:58.854: OrderManagerView - UpdateMainSheetOpenOrder - entering UpdateMainSheetOpenOrder order.status is In-Flight</t>
  </si>
  <si>
    <t>2015-1-30 10:53:58.886: RTWSControl - orderStatus -  entering orderStatus id is 1447 status is PreSubmitted</t>
  </si>
  <si>
    <t>2015-1-30 10:53:58.886: OrderManager - UpdateOrderStatus - id 1447 Setting status to PreSubmitted workingOrderCount is now 1 workingQty -3251</t>
  </si>
  <si>
    <t>2015-1-30 10:53:58.887: OrderManagerView - UpdateMainSheetOpenOrder - entering UpdateMainSheetOpenOrder order.status is PreSubmitted</t>
  </si>
  <si>
    <t>2015-1-30 10:53:58.889: RTWSControl - OrderStatus - Got OrderStatus Message id:1447 status: PreSubmitted filled: 0</t>
  </si>
  <si>
    <t>2015-1-30 10:53:58.889: RTWSControl - OrderStatus - exiting orderStatus</t>
  </si>
  <si>
    <t>2015-1-30 10:53:58.902: openOrderEx - I am here</t>
  </si>
  <si>
    <t>2015-1-30 10:53:58.902: OrderManagerView - UpdateMainSheetOpenOrder - entering UpdateMainSheetOpenOrder order.status is PreSubmitted</t>
  </si>
  <si>
    <t>2015-1-30 10:53:58.932: RTWSControl - orderStatus -  entering orderStatus id is 1447 status is PreSubmitted</t>
  </si>
  <si>
    <t>2015-1-30 10:53:58.933: OrderManager - UpdateOrderStatus - id 1447 Setting status to PreSubmitted workingOrderCount is now 1 workingQty -3251</t>
  </si>
  <si>
    <t>2015-1-30 10:53:58.933: OrderManagerView - UpdateMainSheetOpenOrder - entering UpdateMainSheetOpenOrder order.status is PreSubmitted</t>
  </si>
  <si>
    <t>2015-1-30 10:53:58.935: RTWSControl - OrderStatus - Got OrderStatus Message id:1447 status: PreSubmitted filled: 0</t>
  </si>
  <si>
    <t>2015-1-30 10:53:58.935: RTWSControl - OrderStatus - exiting orderStatus</t>
  </si>
  <si>
    <t>2015-1-30 10:54:3.121: OrderManagerView - UpdateMainSheetOpenOrder - entering UpdateMainSheetOpenOrder order.status is PreSubmitted</t>
  </si>
  <si>
    <t>2015-1-30 10:54:3.130: OrderManagerView - UpdateMainSheetOpenOrder - entering UpdateMainSheetOpenOrder order.status is PreSubmitted</t>
  </si>
  <si>
    <t>2015-1-30 10:54:3.136: OrderManagerView - UpdateMainSheetOpenOrder - entering UpdateMainSheetOpenOrder order.status is PreSubmitted</t>
  </si>
  <si>
    <t>2015-1-30 10:54:41.202: OrderManager - cancelOrder - cancelling order id 1447</t>
  </si>
  <si>
    <t>2015-1-30 10:54:41.203: OrderManager - PlaceOrder - id 1448 workingQty -3228</t>
  </si>
  <si>
    <t>2015-1-30 10:54:41.204: OrderManagerView - UpdateMainSheetOpenOrder - entering UpdateMainSheetOpenOrder order.status is In-Flight</t>
  </si>
  <si>
    <t>2015-1-30 10:54:41.211: OrderManager - sendOrder - exiting place order id 1448 BUY 23 1.5123  - workingQty -3228 currentPosition is 21 workingOrderCount is 2</t>
  </si>
  <si>
    <t>2015-1-30 10:54:41.312: RTWSControl - nextValidId - entering nextValidId id is 1449</t>
  </si>
  <si>
    <t>2015-1-30 10:54:41.516: RTWSControl - orderStatus -  entering orderStatus id is 1447 status is Cancelled</t>
  </si>
  <si>
    <t>2015-1-30 10:54:41.518: OrderManager - UpdateOrderStatus - id 1447 Setting status to Cancelled workingOrderCount is now 2 workingQty -3228</t>
  </si>
  <si>
    <t>2015-1-30 10:54:41.520: OrderManagerView - UpdateMainSheetOpenOrder - entering UpdateMainSheetOpenOrder order.status is Cancelled</t>
  </si>
  <si>
    <t>2015-1-30 10:54:41.532: RTWSControl - OrderStatus - Got OrderStatus Message id:1447 status: Cancelled filled: 0</t>
  </si>
  <si>
    <t>2015-1-30 10:54:41.534: RTWSControl - OrderStatus - exiting orderStatus</t>
  </si>
  <si>
    <t>2015-1-30 10:54:41.551: RTWSControl - errMsg - got error message 202:Order Canceled - reason:with id 1447</t>
  </si>
  <si>
    <t>2015-1-30 10:54:41.552: OrderManager - canceledOrder - cleaning up after canceled order 1447BEWARE UNACCOUNTED FOR EXECUTIONS!!!</t>
  </si>
  <si>
    <t>2015-1-30 10:54:41.553: OrderManager - terminateOrder - cleaning up after Canceled 1447  order was supposed to BUY 25 1.5125 STP LMT workingQty/OrderCount now -3253/1</t>
  </si>
  <si>
    <t>2015-1-30 10:54:41.554: OrderManagerView - UpdateMainSheetOpenOrder - entering UpdateMainSheetOpenOrder order.status is Canceled</t>
  </si>
  <si>
    <t>2015-1-30 10:54:41.645: RTWSControl - errMsg - got error message 399:Order Message:
BUY 23 GBP MAR'15
Warning: your order will not be placed at the exchange until 2015-01-30 08:30:00 US/Centralwith id 1448</t>
  </si>
  <si>
    <t>2015-1-30 10:54:41.646: RTWSControl - errMsg - Got Error_x000D_id: 1448_x000D_errorCode: 399_x000D_errorMsg: Order Message:
BUY 23 GBP MAR'15
Warning: your order will not be placed at the exchange until 2015-01-30 08:30:00 US/Central</t>
  </si>
  <si>
    <t>2015-1-30 10:54:41.680: openOrderEx - I am here</t>
  </si>
  <si>
    <t>2015-1-30 10:54:41.681: OrderManagerView - UpdateMainSheetOpenOrder - entering UpdateMainSheetOpenOrder order.status is In-Flight</t>
  </si>
  <si>
    <t>2015-1-30 10:54:41.693: RTWSControl - orderStatus -  entering orderStatus id is 1448 status is PreSubmitted</t>
  </si>
  <si>
    <t>2015-1-30 10:54:41.694: OrderManager - UpdateOrderStatus - id 1448 Setting status to PreSubmitted workingOrderCount is now 1 workingQty -3253</t>
  </si>
  <si>
    <t>2015-1-30 10:54:41.694: OrderManagerView - UpdateMainSheetOpenOrder - entering UpdateMainSheetOpenOrder order.status is PreSubmitted</t>
  </si>
  <si>
    <t>2015-1-30 10:54:41.697: RTWSControl - OrderStatus - Got OrderStatus Message id:1448 status: PreSubmitted filled: 0</t>
  </si>
  <si>
    <t>2015-1-30 10:54:41.697: RTWSControl - OrderStatus - exiting orderStatus</t>
  </si>
  <si>
    <t>2015-1-30 10:54:41.727: openOrderEx - I am here</t>
  </si>
  <si>
    <t>2015-1-30 10:54:41.727: OrderManagerView - UpdateMainSheetOpenOrder - entering UpdateMainSheetOpenOrder order.status is PreSubmitted</t>
  </si>
  <si>
    <t>2015-1-30 10:54:41.761: RTWSControl - orderStatus -  entering orderStatus id is 1448 status is PreSubmitted</t>
  </si>
  <si>
    <t>2015-1-30 10:54:41.762: OrderManager - UpdateOrderStatus - id 1448 Setting status to PreSubmitted workingOrderCount is now 1 workingQty -3253</t>
  </si>
  <si>
    <t>2015-1-30 10:54:41.762: OrderManagerView - UpdateMainSheetOpenOrder - entering UpdateMainSheetOpenOrder order.status is PreSubmitted</t>
  </si>
  <si>
    <t>2015-1-30 10:54:41.764: RTWSControl - OrderStatus - Got OrderStatus Message id:1448 status: PreSubmitted filled: 0</t>
  </si>
  <si>
    <t>2015-1-30 10:54:41.765: RTWSControl - OrderStatus - exiting orderStatus</t>
  </si>
  <si>
    <t>2015-1-30 10:54:46.22: OrderManagerView - UpdateMainSheetOpenOrder - entering UpdateMainSheetOpenOrder order.status is PreSubmitted</t>
  </si>
  <si>
    <t>2015-1-30 10:54:46.29: OrderManagerView - UpdateMainSheetOpenOrder - entering UpdateMainSheetOpenOrder order.status is PreSubmitted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</si>
</sst>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4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7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9" fillId="0" borderId="0" xfId="0" applyFont="1"/>
    <xf numFmtId="0" fontId="20" fillId="0" borderId="0" xfId="0" applyFont="1"/>
    <xf numFmtId="0" fontId="10" fillId="0" borderId="0" xfId="0" applyFont="1" applyAlignment="1">
      <alignment wrapText="1"/>
    </xf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160459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266701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590549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590549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200024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1200151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122359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923926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7"/>
  <sheetViews>
    <sheetView tabSelected="1" topLeftCell="A13" zoomScale="65" zoomScaleNormal="65" workbookViewId="0">
      <selection activeCell="U40" sqref="U40"/>
    </sheetView>
  </sheetViews>
  <sheetFormatPr defaultRowHeight="15" x14ac:dyDescent="0.25"/>
  <cols>
    <col min="1" max="1" width="17.7109375" customWidth="1"/>
    <col min="2" max="2" width="9.71093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14062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185</v>
      </c>
      <c r="C1">
        <v>3</v>
      </c>
      <c r="D1" t="s">
        <v>186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108" t="s">
        <v>124</v>
      </c>
      <c r="B6" s="108"/>
      <c r="C6" s="108"/>
      <c r="D6" s="108"/>
      <c r="E6" s="108" t="s">
        <v>125</v>
      </c>
      <c r="F6" s="108"/>
      <c r="G6" s="108" t="s">
        <v>126</v>
      </c>
      <c r="H6" s="108"/>
      <c r="I6" s="108" t="s">
        <v>127</v>
      </c>
      <c r="J6" s="108"/>
      <c r="K6" s="108" t="s">
        <v>128</v>
      </c>
      <c r="L6" s="108"/>
      <c r="M6" s="108" t="s">
        <v>129</v>
      </c>
      <c r="N6" s="108"/>
      <c r="O6" s="108"/>
      <c r="P6" s="108"/>
      <c r="Q6" s="108"/>
      <c r="R6" s="108"/>
      <c r="S6" s="108"/>
      <c r="T6" s="108"/>
      <c r="U6" s="61"/>
      <c r="V6" s="61"/>
      <c r="W6" s="61"/>
      <c r="AF6" s="36"/>
    </row>
    <row r="7" spans="1:32" x14ac:dyDescent="0.25">
      <c r="A7" s="109" t="s">
        <v>130</v>
      </c>
      <c r="B7" s="109"/>
      <c r="C7" s="109">
        <v>7497</v>
      </c>
      <c r="D7" s="109"/>
      <c r="E7" s="109">
        <v>7</v>
      </c>
      <c r="F7" s="109"/>
      <c r="G7" s="109">
        <v>5</v>
      </c>
      <c r="H7" s="109"/>
      <c r="I7" s="110">
        <v>0.96388888888888891</v>
      </c>
      <c r="J7" s="111"/>
      <c r="K7" s="106" t="s">
        <v>200</v>
      </c>
      <c r="L7" s="107"/>
      <c r="M7" s="112"/>
      <c r="N7" s="113"/>
      <c r="O7" s="112"/>
      <c r="P7" s="113"/>
      <c r="Q7" s="112"/>
      <c r="R7" s="113"/>
      <c r="S7" s="112"/>
      <c r="T7" s="113"/>
      <c r="U7" s="62"/>
      <c r="V7" s="63"/>
      <c r="W7" s="63"/>
      <c r="AF7" s="36"/>
    </row>
    <row r="11" spans="1:32" ht="23.25" x14ac:dyDescent="0.35">
      <c r="A11" s="17" t="s">
        <v>134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17" t="s">
        <v>136</v>
      </c>
      <c r="B12" s="117"/>
      <c r="C12" s="117" t="s">
        <v>137</v>
      </c>
      <c r="D12" s="117"/>
      <c r="E12" s="65" t="s">
        <v>138</v>
      </c>
      <c r="F12" s="65"/>
      <c r="G12" s="117" t="s">
        <v>139</v>
      </c>
      <c r="H12" s="117"/>
      <c r="I12" s="117" t="s">
        <v>140</v>
      </c>
      <c r="J12" s="117"/>
      <c r="K12" s="108" t="s">
        <v>141</v>
      </c>
      <c r="L12" s="108"/>
      <c r="M12" s="108" t="s">
        <v>142</v>
      </c>
      <c r="N12" s="108"/>
      <c r="O12" s="61" t="s">
        <v>143</v>
      </c>
      <c r="P12" s="61"/>
      <c r="Q12" s="61" t="s">
        <v>144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985430.56</v>
      </c>
      <c r="B13" s="3"/>
      <c r="C13" s="5">
        <v>689382.61</v>
      </c>
      <c r="D13" s="3"/>
      <c r="E13" s="5">
        <v>562461.96</v>
      </c>
      <c r="F13" s="5"/>
      <c r="G13" s="5">
        <v>296047.95</v>
      </c>
      <c r="H13" s="5"/>
      <c r="I13" s="5">
        <v>56621</v>
      </c>
      <c r="J13" s="5"/>
      <c r="K13" s="6">
        <v>-5773</v>
      </c>
      <c r="L13" s="4"/>
      <c r="M13" s="62" t="s">
        <v>202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7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Y19" s="39"/>
      <c r="Z19" s="39"/>
      <c r="AA19" s="39"/>
      <c r="AB19" s="39"/>
    </row>
    <row r="20" spans="1:37" s="11" customFormat="1" ht="46.5" x14ac:dyDescent="0.35">
      <c r="A20" s="10" t="s">
        <v>146</v>
      </c>
      <c r="B20" s="10" t="s">
        <v>147</v>
      </c>
      <c r="C20" s="10"/>
      <c r="D20" s="10"/>
      <c r="E20" s="10" t="s">
        <v>148</v>
      </c>
      <c r="F20" s="10"/>
      <c r="G20" s="10" t="s">
        <v>149</v>
      </c>
      <c r="H20" s="10" t="s">
        <v>150</v>
      </c>
      <c r="I20" s="10" t="s">
        <v>151</v>
      </c>
      <c r="J20" s="10"/>
      <c r="K20" s="10" t="s">
        <v>152</v>
      </c>
      <c r="L20" s="10"/>
      <c r="M20" s="10" t="s">
        <v>153</v>
      </c>
      <c r="N20" s="10" t="s">
        <v>154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14">
        <v>5</v>
      </c>
      <c r="F21" s="114"/>
      <c r="G21" s="81">
        <v>5</v>
      </c>
      <c r="H21" s="81">
        <v>10</v>
      </c>
      <c r="I21" s="81">
        <v>0.2</v>
      </c>
      <c r="J21" s="81"/>
      <c r="K21" s="115">
        <v>8</v>
      </c>
      <c r="L21" s="116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155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156</v>
      </c>
      <c r="Q26" s="10"/>
      <c r="R26" s="10" t="s">
        <v>157</v>
      </c>
      <c r="S26" s="10" t="s">
        <v>158</v>
      </c>
      <c r="T26" s="10" t="s">
        <v>159</v>
      </c>
      <c r="U26" s="10" t="s">
        <v>160</v>
      </c>
      <c r="V26" s="10" t="s">
        <v>161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181</v>
      </c>
      <c r="I27" s="64" t="s">
        <v>25</v>
      </c>
      <c r="J27" s="64">
        <v>21</v>
      </c>
      <c r="K27" s="64">
        <v>1.5078</v>
      </c>
      <c r="L27" s="64"/>
      <c r="M27" s="64">
        <v>14</v>
      </c>
      <c r="N27" s="64">
        <v>1.5078</v>
      </c>
      <c r="O27" s="64">
        <v>1.508</v>
      </c>
      <c r="P27" s="64">
        <v>20</v>
      </c>
      <c r="Q27" s="64"/>
      <c r="R27" s="64">
        <v>1.50794995</v>
      </c>
      <c r="S27" s="64">
        <v>1979184.31</v>
      </c>
      <c r="T27" s="64">
        <v>94214.96</v>
      </c>
      <c r="U27" s="64">
        <v>670.15</v>
      </c>
      <c r="V27" s="64">
        <v>-5772.6</v>
      </c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4" t="s">
        <v>162</v>
      </c>
      <c r="D29" s="105"/>
      <c r="E29" s="12">
        <v>1.5049999999999999</v>
      </c>
      <c r="F29" s="12"/>
      <c r="G29" s="105" t="s">
        <v>163</v>
      </c>
      <c r="H29" s="105"/>
      <c r="I29" s="12">
        <v>1.51</v>
      </c>
      <c r="J29" s="12"/>
      <c r="K29" s="105" t="s">
        <v>164</v>
      </c>
      <c r="L29" s="105"/>
      <c r="M29" s="12">
        <v>21</v>
      </c>
      <c r="N29" s="13"/>
      <c r="O29" s="105" t="s">
        <v>165</v>
      </c>
      <c r="P29" s="105"/>
      <c r="Q29" s="30">
        <v>1.5079220210564308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4"/>
      <c r="D30" s="105"/>
      <c r="E30" s="12">
        <v>29</v>
      </c>
      <c r="F30" s="12"/>
      <c r="G30" s="105" t="s">
        <v>196</v>
      </c>
      <c r="H30" s="105"/>
      <c r="I30" s="12">
        <v>21</v>
      </c>
      <c r="J30" s="12"/>
      <c r="K30" s="105" t="s">
        <v>198</v>
      </c>
      <c r="L30" s="105"/>
      <c r="M30" s="12">
        <v>21</v>
      </c>
      <c r="N30" s="13"/>
      <c r="O30" s="105" t="s">
        <v>166</v>
      </c>
      <c r="P30" s="105"/>
      <c r="Q30" s="30">
        <v>1.5079334048956761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4"/>
      <c r="D31" s="105"/>
      <c r="E31" s="12">
        <v>28</v>
      </c>
      <c r="F31" s="12"/>
      <c r="G31" s="105" t="s">
        <v>194</v>
      </c>
      <c r="H31" s="105"/>
      <c r="I31" s="12">
        <v>20</v>
      </c>
      <c r="J31" s="12"/>
      <c r="K31" s="105" t="s">
        <v>199</v>
      </c>
      <c r="L31" s="105"/>
      <c r="M31" s="12">
        <v>0</v>
      </c>
      <c r="N31" s="13"/>
      <c r="O31" s="105" t="s">
        <v>99</v>
      </c>
      <c r="P31" s="105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181</v>
      </c>
      <c r="B32" t="s">
        <v>195</v>
      </c>
      <c r="C32" s="101">
        <v>73</v>
      </c>
      <c r="D32" s="91"/>
      <c r="E32" s="91">
        <v>1.5037</v>
      </c>
      <c r="F32" s="91"/>
      <c r="G32" s="91" t="s">
        <v>194</v>
      </c>
      <c r="H32" s="91"/>
      <c r="I32" s="91">
        <v>73</v>
      </c>
      <c r="J32" s="91"/>
      <c r="K32" s="91">
        <v>0</v>
      </c>
      <c r="L32" s="91"/>
      <c r="M32" s="91"/>
      <c r="N32" s="92"/>
      <c r="O32" s="91"/>
      <c r="P32" s="91"/>
      <c r="Q32" s="91"/>
      <c r="R32" s="92"/>
      <c r="S32" s="91"/>
      <c r="T32" s="92"/>
      <c r="U32" s="91"/>
      <c r="V32" s="92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97" t="s">
        <v>167</v>
      </c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Q34" s="93" t="s">
        <v>187</v>
      </c>
      <c r="R34" s="93"/>
      <c r="S34" s="93"/>
      <c r="T34" s="93"/>
      <c r="U34" s="93"/>
      <c r="V34" s="93"/>
      <c r="W34" s="93"/>
    </row>
    <row r="35" spans="1:33" s="11" customFormat="1" ht="39" customHeight="1" x14ac:dyDescent="0.3">
      <c r="A35" s="87" t="s">
        <v>26</v>
      </c>
      <c r="B35" s="95" t="s">
        <v>27</v>
      </c>
      <c r="C35" s="95"/>
      <c r="D35" s="95"/>
      <c r="E35" s="95"/>
      <c r="F35" s="88"/>
      <c r="G35" s="95" t="s">
        <v>28</v>
      </c>
      <c r="H35" s="95"/>
      <c r="I35" s="95"/>
      <c r="J35" s="95"/>
      <c r="K35" s="95"/>
      <c r="L35" s="88"/>
      <c r="M35" s="95" t="s">
        <v>168</v>
      </c>
      <c r="N35" s="95"/>
      <c r="O35" s="96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89" t="s">
        <v>0</v>
      </c>
      <c r="B36" s="90" t="s">
        <v>32</v>
      </c>
      <c r="C36" s="90" t="s">
        <v>33</v>
      </c>
      <c r="D36" s="90" t="s">
        <v>34</v>
      </c>
      <c r="E36" s="90" t="s">
        <v>47</v>
      </c>
      <c r="F36" s="90" t="s">
        <v>6102</v>
      </c>
      <c r="G36" s="90" t="s">
        <v>12</v>
      </c>
      <c r="H36" s="90" t="s">
        <v>37</v>
      </c>
      <c r="I36" s="90" t="s">
        <v>38</v>
      </c>
      <c r="J36" s="90" t="s">
        <v>39</v>
      </c>
      <c r="K36" s="90" t="s">
        <v>40</v>
      </c>
      <c r="L36" s="90" t="s">
        <v>169</v>
      </c>
      <c r="M36" s="90" t="s">
        <v>170</v>
      </c>
      <c r="N36" s="90" t="s">
        <v>171</v>
      </c>
      <c r="O36" s="90" t="s">
        <v>172</v>
      </c>
      <c r="Q36" s="75">
        <f>SUM(U45:U65)+J27</f>
        <v>19.219723529162614</v>
      </c>
      <c r="R36" s="76">
        <f>SUM(X45:X65)</f>
        <v>-12745.922498127113</v>
      </c>
      <c r="S36" s="74">
        <f>SUM(W45:W65)</f>
        <v>0.85223202289344235</v>
      </c>
      <c r="T36" s="76">
        <f>S36*62500</f>
        <v>53264.501430840144</v>
      </c>
      <c r="U36" s="73">
        <v>0.05</v>
      </c>
      <c r="V36" s="77">
        <f>-1*U36*W36</f>
        <v>-532.8125</v>
      </c>
      <c r="W36" s="77">
        <f>AG43</f>
        <v>10656.25</v>
      </c>
      <c r="X36" s="46"/>
      <c r="Y36" s="46"/>
      <c r="AC36" s="38"/>
    </row>
    <row r="37" spans="1:33" ht="18.75" x14ac:dyDescent="0.3">
      <c r="A37" s="2" t="s">
        <v>181</v>
      </c>
      <c r="B37" s="16" t="s">
        <v>195</v>
      </c>
      <c r="C37" s="16">
        <v>24</v>
      </c>
      <c r="D37" s="16" t="s">
        <v>197</v>
      </c>
      <c r="E37" s="16">
        <v>1.5076000000000001</v>
      </c>
      <c r="F37" s="2">
        <v>1446</v>
      </c>
      <c r="G37" s="18" t="s">
        <v>194</v>
      </c>
      <c r="H37" s="2">
        <v>0</v>
      </c>
      <c r="I37" s="2">
        <v>24</v>
      </c>
      <c r="J37" s="2">
        <v>0</v>
      </c>
      <c r="K37" s="2">
        <v>0</v>
      </c>
      <c r="L37" s="2"/>
      <c r="M37" s="2"/>
      <c r="N37" s="2"/>
      <c r="O37" s="2"/>
      <c r="Q37" s="71" t="s">
        <v>131</v>
      </c>
      <c r="R37" s="76">
        <f>ticksUpToLoss(V36,Q36,R36)</f>
        <v>34.083009371181468</v>
      </c>
      <c r="S37" s="76">
        <f>ticksDownToLoss(V36,Q36,R36)</f>
        <v>-3.9247787182228251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 t="s">
        <v>181</v>
      </c>
      <c r="B38" s="16" t="s">
        <v>185</v>
      </c>
      <c r="C38" s="16">
        <v>23</v>
      </c>
      <c r="D38" s="16" t="s">
        <v>197</v>
      </c>
      <c r="E38" s="16">
        <v>1.5113000000000001</v>
      </c>
      <c r="F38" s="2">
        <v>1448</v>
      </c>
      <c r="G38" s="18" t="s">
        <v>194</v>
      </c>
      <c r="H38" s="2">
        <v>0</v>
      </c>
      <c r="I38" s="2">
        <v>23</v>
      </c>
      <c r="J38" s="2">
        <v>0</v>
      </c>
      <c r="K38" s="2">
        <v>0</v>
      </c>
      <c r="L38" s="2"/>
      <c r="M38" s="2"/>
      <c r="N38" s="2"/>
      <c r="O38" s="2"/>
      <c r="Q38" s="71" t="s">
        <v>132</v>
      </c>
      <c r="R38" s="76">
        <f>Q36+R36*(R37*0.0001)</f>
        <v>-24.222216065639294</v>
      </c>
      <c r="S38" s="76">
        <f>Q36+R36*(S37*0.0001)</f>
        <v>24.222216065639294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93" t="s">
        <v>133</v>
      </c>
      <c r="R39" s="93"/>
      <c r="S39" s="93"/>
      <c r="T39" s="93" t="s">
        <v>190</v>
      </c>
      <c r="U39" s="93"/>
      <c r="V39" s="93" t="s">
        <v>191</v>
      </c>
      <c r="W39" s="93"/>
      <c r="Y39" s="37"/>
      <c r="Z39" s="37"/>
      <c r="AA39" s="37"/>
      <c r="AB39" s="37"/>
      <c r="AC39" s="37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1" t="s">
        <v>135</v>
      </c>
      <c r="R40" s="84">
        <f>midMarket(N27,O27)+R37/10000</f>
        <v>1.5113083009371182</v>
      </c>
      <c r="S40" s="76">
        <f>ROUND(-R38,0)</f>
        <v>24</v>
      </c>
      <c r="T40" s="72" t="s">
        <v>188</v>
      </c>
      <c r="U40" s="78">
        <v>25</v>
      </c>
      <c r="V40" s="84">
        <v>1.5113000000000001</v>
      </c>
      <c r="W40" s="76">
        <v>23</v>
      </c>
      <c r="Y40" s="37"/>
      <c r="Z40" s="37"/>
      <c r="AA40" s="37"/>
      <c r="AB40" s="37"/>
      <c r="AC40" s="37"/>
    </row>
    <row r="41" spans="1:33" ht="21" x14ac:dyDescent="0.35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1" t="s">
        <v>145</v>
      </c>
      <c r="R41" s="84">
        <f>midMarket(N27,O27)+S37/10000</f>
        <v>1.5075075221281777</v>
      </c>
      <c r="S41" s="76">
        <f>ROUND(-S38,0)</f>
        <v>-24</v>
      </c>
      <c r="T41" s="72" t="s">
        <v>189</v>
      </c>
      <c r="U41" s="78">
        <v>2</v>
      </c>
      <c r="V41" s="84">
        <v>1.5076000000000001</v>
      </c>
      <c r="W41" s="76">
        <v>24</v>
      </c>
      <c r="X41" s="37"/>
      <c r="Y41" s="37"/>
      <c r="Z41" s="37"/>
      <c r="AA41" s="37"/>
      <c r="AB41" s="37"/>
      <c r="AC41" s="37"/>
    </row>
    <row r="43" spans="1:33" x14ac:dyDescent="0.25">
      <c r="A43" s="98" t="s">
        <v>13</v>
      </c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4" t="s">
        <v>101</v>
      </c>
      <c r="O43" s="94"/>
      <c r="P43" s="94"/>
      <c r="Q43" s="94"/>
      <c r="R43" s="94"/>
      <c r="S43" s="94"/>
      <c r="T43" s="94" t="s">
        <v>108</v>
      </c>
      <c r="U43" s="94"/>
      <c r="V43" s="94"/>
      <c r="W43" s="94"/>
      <c r="AG43" s="48">
        <f>SUM(AD45:AD65)</f>
        <v>10656.25</v>
      </c>
    </row>
    <row r="44" spans="1:33" ht="30" x14ac:dyDescent="0.25">
      <c r="A44" s="1" t="s">
        <v>9</v>
      </c>
      <c r="B44" s="1" t="s">
        <v>11</v>
      </c>
      <c r="C44" s="1" t="s">
        <v>173</v>
      </c>
      <c r="D44" s="1" t="s">
        <v>158</v>
      </c>
      <c r="E44" s="1" t="s">
        <v>159</v>
      </c>
      <c r="F44" s="1" t="s">
        <v>180</v>
      </c>
      <c r="G44" s="1" t="s">
        <v>174</v>
      </c>
      <c r="H44" s="61" t="s">
        <v>19</v>
      </c>
      <c r="I44" s="61" t="s">
        <v>21</v>
      </c>
      <c r="J44" s="61" t="s">
        <v>22</v>
      </c>
      <c r="K44" s="61" t="s">
        <v>18</v>
      </c>
      <c r="L44" s="61" t="s">
        <v>20</v>
      </c>
      <c r="M44" s="61" t="s">
        <v>23</v>
      </c>
      <c r="N44" s="31" t="s">
        <v>102</v>
      </c>
      <c r="O44" s="31" t="s">
        <v>103</v>
      </c>
      <c r="P44" s="31" t="s">
        <v>104</v>
      </c>
      <c r="Q44" s="31" t="s">
        <v>105</v>
      </c>
      <c r="R44" s="31" t="s">
        <v>106</v>
      </c>
      <c r="S44" s="31" t="s">
        <v>107</v>
      </c>
      <c r="T44" s="35" t="s">
        <v>112</v>
      </c>
      <c r="U44" s="31" t="s">
        <v>103</v>
      </c>
      <c r="V44" s="31" t="s">
        <v>104</v>
      </c>
      <c r="W44" s="31" t="s">
        <v>105</v>
      </c>
      <c r="X44" s="35" t="s">
        <v>113</v>
      </c>
      <c r="Y44" s="35" t="s">
        <v>114</v>
      </c>
      <c r="Z44" s="35" t="s">
        <v>119</v>
      </c>
      <c r="AA44" s="50" t="s">
        <v>118</v>
      </c>
      <c r="AB44" s="50" t="s">
        <v>115</v>
      </c>
      <c r="AC44" s="50" t="s">
        <v>116</v>
      </c>
      <c r="AD44" s="50" t="s">
        <v>117</v>
      </c>
    </row>
    <row r="45" spans="1:33" x14ac:dyDescent="0.25">
      <c r="A45" s="2" t="s">
        <v>203</v>
      </c>
      <c r="B45" s="2">
        <v>-30</v>
      </c>
      <c r="C45" s="2">
        <v>8.7478E-3</v>
      </c>
      <c r="D45" s="2">
        <v>-16402.16</v>
      </c>
      <c r="E45" s="2">
        <v>503.79</v>
      </c>
      <c r="F45" s="28">
        <v>-1288.46</v>
      </c>
      <c r="G45" s="2">
        <v>0</v>
      </c>
      <c r="H45" s="2">
        <v>0</v>
      </c>
      <c r="I45" s="2">
        <v>0</v>
      </c>
      <c r="J45" s="2">
        <v>0</v>
      </c>
      <c r="K45" s="2">
        <v>-1</v>
      </c>
      <c r="L45" s="2">
        <v>-1</v>
      </c>
      <c r="M45" s="2">
        <v>0</v>
      </c>
      <c r="N45" s="2">
        <v>0.15048667130145077</v>
      </c>
      <c r="O45" s="2">
        <v>0.86265886631963218</v>
      </c>
      <c r="P45" s="2">
        <v>0</v>
      </c>
      <c r="Q45" s="33">
        <v>-2.1370289076705425E-3</v>
      </c>
      <c r="R45" s="2">
        <v>1.188130157693916E-4</v>
      </c>
      <c r="S45" s="2">
        <v>1.5079</v>
      </c>
      <c r="T45" s="2">
        <v>30.507462024636787</v>
      </c>
      <c r="U45" s="2">
        <f t="shared" ref="U45:U65" si="0">O45*B45</f>
        <v>-25.879765989588964</v>
      </c>
      <c r="V45" s="2">
        <v>1.5804</v>
      </c>
      <c r="W45" s="2">
        <f t="shared" ref="W45:W65" si="1">Q45*B45</f>
        <v>6.4110867230116275E-2</v>
      </c>
      <c r="X45">
        <f>IF(ISERR(T45),0,T45*B45)</f>
        <v>-915.22386073910366</v>
      </c>
      <c r="Y45">
        <f t="shared" ref="Y45:Y65" si="2">IF(X45 = 0,0,(W45*-10000)/X45)</f>
        <v>0.70049383522783726</v>
      </c>
      <c r="Z45" s="85">
        <f>midMarket(K45,L45) +AA45/10000</f>
        <v>7.8000000000000283E-3</v>
      </c>
      <c r="AA45">
        <f>IF(rightFromSymbol(A45)="C",MAX(0,$N$27-strikeFromSymbol(A45)),MAX(0,strikeFromSymbol(A45)-$N$27))*10000</f>
        <v>78.000000000000284</v>
      </c>
      <c r="AB45" s="86">
        <f>MAX(0,Z45-AA45) * 10000</f>
        <v>0</v>
      </c>
      <c r="AC45" s="49">
        <f t="shared" ref="AC45:AC65" si="3">-AB45*B45</f>
        <v>0</v>
      </c>
      <c r="AD45" s="48">
        <f t="shared" ref="AD45:AD53" si="4">MAX(0,AC45*6.25)</f>
        <v>0</v>
      </c>
    </row>
    <row r="46" spans="1:33" x14ac:dyDescent="0.25">
      <c r="A46" s="2" t="s">
        <v>204</v>
      </c>
      <c r="B46" s="2">
        <v>-50</v>
      </c>
      <c r="C46" s="2">
        <v>4.7053499999999996E-3</v>
      </c>
      <c r="D46" s="2">
        <v>-14704.17</v>
      </c>
      <c r="E46" s="2">
        <v>360.04</v>
      </c>
      <c r="F46" s="28">
        <v>3297.83</v>
      </c>
      <c r="G46" s="2">
        <v>0</v>
      </c>
      <c r="H46" s="2">
        <v>0</v>
      </c>
      <c r="I46" s="2">
        <v>0</v>
      </c>
      <c r="J46" s="2">
        <v>30</v>
      </c>
      <c r="K46" s="2">
        <v>3.5999999999999999E-3</v>
      </c>
      <c r="L46" s="2">
        <v>4.5999999999999999E-3</v>
      </c>
      <c r="M46" s="2">
        <v>60</v>
      </c>
      <c r="N46" s="2">
        <v>0.13416257826372657</v>
      </c>
      <c r="O46" s="2">
        <v>0.67285129656467202</v>
      </c>
      <c r="P46" s="2">
        <v>0</v>
      </c>
      <c r="Q46" s="33">
        <v>-3.1203653297999369E-3</v>
      </c>
      <c r="R46" s="2">
        <v>1.7781082210112809E-4</v>
      </c>
      <c r="S46" s="2">
        <v>1.5079</v>
      </c>
      <c r="T46" s="2">
        <v>48.02151466642691</v>
      </c>
      <c r="U46" s="2">
        <f t="shared" si="0"/>
        <v>-33.642564828233603</v>
      </c>
      <c r="V46" s="2">
        <v>1.5804</v>
      </c>
      <c r="W46" s="2">
        <f t="shared" si="1"/>
        <v>0.15601826648999684</v>
      </c>
      <c r="X46">
        <f t="shared" ref="X46:X65" si="5">IF(ISERR(T46),0,T46*B46)</f>
        <v>-2401.0757333213455</v>
      </c>
      <c r="Y46">
        <f t="shared" si="2"/>
        <v>0.64978486236325761</v>
      </c>
      <c r="Z46" s="85">
        <f>midMarket(K46,L46) +AA46/10000</f>
        <v>6.9000000000001352E-3</v>
      </c>
      <c r="AA46">
        <f>IF(rightFromSymbol(A46)="C",MAX(0,$N$27-strikeFromSymbol(A46)),MAX(0,strikeFromSymbol(A46)-$N$27))*10000</f>
        <v>28.000000000001357</v>
      </c>
      <c r="AB46" s="86">
        <f t="shared" ref="AB46:AB65" si="6">MAX(0,Z46-AA46) * 10000</f>
        <v>0</v>
      </c>
      <c r="AC46" s="49">
        <f t="shared" si="3"/>
        <v>0</v>
      </c>
      <c r="AD46" s="48">
        <f t="shared" si="4"/>
        <v>0</v>
      </c>
    </row>
    <row r="47" spans="1:33" x14ac:dyDescent="0.25">
      <c r="A47" s="2" t="s">
        <v>205</v>
      </c>
      <c r="B47" s="2">
        <v>-50</v>
      </c>
      <c r="C47" s="2">
        <v>2.6394999999999999E-4</v>
      </c>
      <c r="D47" s="2">
        <v>-824.84</v>
      </c>
      <c r="E47" s="2">
        <v>335.04</v>
      </c>
      <c r="F47" s="28">
        <v>15927.16</v>
      </c>
      <c r="G47" s="2">
        <v>0</v>
      </c>
      <c r="H47" s="2">
        <v>0</v>
      </c>
      <c r="I47" s="2">
        <v>0</v>
      </c>
      <c r="J47" s="2">
        <v>25</v>
      </c>
      <c r="K47" s="2">
        <v>1E-4</v>
      </c>
      <c r="L47" s="2">
        <v>4.0000000000000002E-4</v>
      </c>
      <c r="M47" s="2">
        <v>30</v>
      </c>
      <c r="N47" s="2">
        <v>0.17960849521921318</v>
      </c>
      <c r="O47" s="2">
        <v>-6.7467615003352091E-2</v>
      </c>
      <c r="P47" s="2">
        <v>0</v>
      </c>
      <c r="Q47" s="33">
        <v>-1.5099740887633028E-3</v>
      </c>
      <c r="R47" s="2">
        <v>6.0155326327163421E-5</v>
      </c>
      <c r="S47" s="2">
        <v>1.5079</v>
      </c>
      <c r="T47" s="2">
        <v>17.631450113041019</v>
      </c>
      <c r="U47" s="2">
        <f t="shared" si="0"/>
        <v>3.3733807501676045</v>
      </c>
      <c r="V47" s="2">
        <v>1.5804</v>
      </c>
      <c r="W47" s="2">
        <f t="shared" si="1"/>
        <v>7.5498704438165143E-2</v>
      </c>
      <c r="X47">
        <f t="shared" si="5"/>
        <v>-881.57250565205095</v>
      </c>
      <c r="Y47">
        <f t="shared" si="2"/>
        <v>0.8564094723249438</v>
      </c>
      <c r="Z47" s="85">
        <f>midMarket(K47,L47) +AA47/10000</f>
        <v>2.5000000000000001E-4</v>
      </c>
      <c r="AA47">
        <f>IF(rightFromSymbol(A47)="C",MAX(0,$N$27-strikeFromSymbol(A47)),MAX(0,strikeFromSymbol(A47)-$N$27))*10000</f>
        <v>0</v>
      </c>
      <c r="AB47" s="86">
        <f t="shared" si="6"/>
        <v>2.5</v>
      </c>
      <c r="AC47" s="49">
        <f t="shared" si="3"/>
        <v>125</v>
      </c>
      <c r="AD47" s="48">
        <f t="shared" si="4"/>
        <v>781.25</v>
      </c>
    </row>
    <row r="48" spans="1:33" x14ac:dyDescent="0.25">
      <c r="A48" s="2" t="s">
        <v>206</v>
      </c>
      <c r="B48" s="2">
        <v>-50</v>
      </c>
      <c r="C48" s="2">
        <v>6.0535000000000005E-4</v>
      </c>
      <c r="D48" s="2">
        <v>-1891.67</v>
      </c>
      <c r="E48" s="2">
        <v>466.29</v>
      </c>
      <c r="F48" s="28">
        <v>21422.83</v>
      </c>
      <c r="G48" s="2">
        <v>0</v>
      </c>
      <c r="H48" s="2">
        <v>0</v>
      </c>
      <c r="I48" s="2">
        <v>0</v>
      </c>
      <c r="J48" s="2">
        <v>30</v>
      </c>
      <c r="K48" s="2">
        <v>1E-4</v>
      </c>
      <c r="L48" s="2">
        <v>5.9999999999999995E-4</v>
      </c>
      <c r="M48" s="2">
        <v>30</v>
      </c>
      <c r="N48" s="2">
        <v>0.15076431401473656</v>
      </c>
      <c r="O48" s="2">
        <v>-0.13814960181271727</v>
      </c>
      <c r="P48" s="2">
        <v>0</v>
      </c>
      <c r="Q48" s="33">
        <v>-2.1457957135962418E-3</v>
      </c>
      <c r="R48" s="2">
        <v>1.1881303610146768E-4</v>
      </c>
      <c r="S48" s="2">
        <v>1.5079</v>
      </c>
      <c r="T48" s="2">
        <v>30.179556707119005</v>
      </c>
      <c r="U48" s="2">
        <f t="shared" si="0"/>
        <v>6.9074800906358629</v>
      </c>
      <c r="V48" s="2">
        <v>1.5804</v>
      </c>
      <c r="W48" s="2">
        <f t="shared" si="1"/>
        <v>0.10728978567981209</v>
      </c>
      <c r="X48">
        <f t="shared" si="5"/>
        <v>-1508.9778353559502</v>
      </c>
      <c r="Y48">
        <f t="shared" si="2"/>
        <v>0.71100968593421188</v>
      </c>
      <c r="Z48" s="85">
        <f t="shared" ref="Z48:Z65" si="7">midMarket(K48,L48) +AA48/10000</f>
        <v>3.5E-4</v>
      </c>
      <c r="AA48">
        <f>IF(rightFromSymbol(A48)="C",MAX(0,$N$27-strikeFromSymbol(A48)),MAX(0,strikeFromSymbol(A48)-$N$27))*10000</f>
        <v>0</v>
      </c>
      <c r="AB48" s="86">
        <f t="shared" si="6"/>
        <v>3.5</v>
      </c>
      <c r="AC48" s="49">
        <f t="shared" si="3"/>
        <v>175</v>
      </c>
      <c r="AD48" s="48">
        <f t="shared" si="4"/>
        <v>1093.75</v>
      </c>
    </row>
    <row r="49" spans="1:30" x14ac:dyDescent="0.25">
      <c r="A49" s="2" t="s">
        <v>207</v>
      </c>
      <c r="B49" s="2">
        <v>-50</v>
      </c>
      <c r="C49" s="2">
        <v>1.60265E-3</v>
      </c>
      <c r="D49" s="2">
        <v>-5008.33</v>
      </c>
      <c r="E49" s="2">
        <v>585.04</v>
      </c>
      <c r="F49" s="28">
        <v>24243.67</v>
      </c>
      <c r="G49" s="2">
        <v>0</v>
      </c>
      <c r="H49" s="2">
        <v>0</v>
      </c>
      <c r="I49" s="2">
        <v>0</v>
      </c>
      <c r="J49" s="2">
        <v>30</v>
      </c>
      <c r="K49" s="2">
        <v>8.9999999999999998E-4</v>
      </c>
      <c r="L49" s="2">
        <v>1.6000000000000001E-3</v>
      </c>
      <c r="M49" s="2">
        <v>30</v>
      </c>
      <c r="N49" s="2">
        <v>0.13416257826372657</v>
      </c>
      <c r="O49" s="2">
        <v>-0.32747008684661372</v>
      </c>
      <c r="P49" s="34">
        <v>0</v>
      </c>
      <c r="Q49" s="33">
        <v>-3.1203878695743687E-3</v>
      </c>
      <c r="R49" s="2">
        <v>1.7781087018422528E-4</v>
      </c>
      <c r="S49" s="2">
        <v>1.5079</v>
      </c>
      <c r="T49" s="2">
        <v>47.800462732724796</v>
      </c>
      <c r="U49" s="2">
        <f t="shared" si="0"/>
        <v>16.373504342330687</v>
      </c>
      <c r="V49" s="2">
        <v>1.5804</v>
      </c>
      <c r="W49" s="2">
        <f t="shared" si="1"/>
        <v>0.15601939347871843</v>
      </c>
      <c r="X49">
        <f t="shared" si="5"/>
        <v>-2390.02313663624</v>
      </c>
      <c r="Y49">
        <f t="shared" si="2"/>
        <v>0.6527944900914342</v>
      </c>
      <c r="Z49" s="85">
        <f t="shared" si="7"/>
        <v>1.25E-3</v>
      </c>
      <c r="AA49">
        <f>IF(rightFromSymbol(A49)="C",MAX(0,$N$27-strikeFromSymbol(A49)),MAX(0,strikeFromSymbol(A49)-$N$27))*10000</f>
        <v>0</v>
      </c>
      <c r="AB49" s="86">
        <f t="shared" si="6"/>
        <v>12.5</v>
      </c>
      <c r="AC49" s="49">
        <f t="shared" si="3"/>
        <v>625</v>
      </c>
      <c r="AD49" s="48">
        <f t="shared" si="4"/>
        <v>3906.25</v>
      </c>
    </row>
    <row r="50" spans="1:30" x14ac:dyDescent="0.25">
      <c r="A50" s="2" t="s">
        <v>208</v>
      </c>
      <c r="B50" s="2">
        <v>-50</v>
      </c>
      <c r="C50" s="2">
        <v>1.8053500000000001E-3</v>
      </c>
      <c r="D50" s="2">
        <v>-5641.67</v>
      </c>
      <c r="E50" s="2">
        <v>241.29</v>
      </c>
      <c r="F50" s="28">
        <v>6422.83</v>
      </c>
      <c r="G50" s="2">
        <v>0</v>
      </c>
      <c r="H50" s="2">
        <v>1.5E-3</v>
      </c>
      <c r="I50" s="2">
        <v>4</v>
      </c>
      <c r="J50" s="2">
        <v>30</v>
      </c>
      <c r="K50" s="2">
        <v>1.1000000000000001E-3</v>
      </c>
      <c r="L50" s="2">
        <v>1.8E-3</v>
      </c>
      <c r="M50" s="2">
        <v>30</v>
      </c>
      <c r="N50" s="2">
        <v>0.12980328796606955</v>
      </c>
      <c r="O50" s="2">
        <v>0.37031518714911726</v>
      </c>
      <c r="P50" s="2">
        <v>0</v>
      </c>
      <c r="Q50" s="33">
        <v>-3.1727789149529621E-3</v>
      </c>
      <c r="R50" s="2">
        <v>1.7810597665291069E-4</v>
      </c>
      <c r="S50" s="2">
        <v>1.5079</v>
      </c>
      <c r="T50" s="2">
        <v>51.161844884112952</v>
      </c>
      <c r="U50" s="2">
        <f t="shared" si="0"/>
        <v>-18.515759357455863</v>
      </c>
      <c r="V50" s="2">
        <v>1.5804</v>
      </c>
      <c r="W50" s="2">
        <f t="shared" si="1"/>
        <v>0.15863894574764811</v>
      </c>
      <c r="X50">
        <f t="shared" si="5"/>
        <v>-2558.0922442056476</v>
      </c>
      <c r="Y50">
        <f t="shared" si="2"/>
        <v>0.62014552488082586</v>
      </c>
      <c r="Z50" s="85">
        <f t="shared" si="7"/>
        <v>1.4499999999999999E-3</v>
      </c>
      <c r="AA50">
        <f>IF(rightFromSymbol(A50)="C",MAX(0,$N$27-strikeFromSymbol(A50)),MAX(0,strikeFromSymbol(A50)-$N$27))*10000</f>
        <v>0</v>
      </c>
      <c r="AB50" s="86">
        <f t="shared" si="6"/>
        <v>14.499999999999998</v>
      </c>
      <c r="AC50" s="49">
        <f t="shared" si="3"/>
        <v>724.99999999999989</v>
      </c>
      <c r="AD50" s="48">
        <f t="shared" si="4"/>
        <v>4531.2499999999991</v>
      </c>
    </row>
    <row r="51" spans="1:30" x14ac:dyDescent="0.25">
      <c r="A51" s="2" t="s">
        <v>209</v>
      </c>
      <c r="B51" s="2">
        <v>-10</v>
      </c>
      <c r="C51" s="2">
        <v>5.0535E-4</v>
      </c>
      <c r="D51" s="2">
        <v>-315.83</v>
      </c>
      <c r="E51" s="2">
        <v>191.29</v>
      </c>
      <c r="F51" s="28">
        <v>1597.07</v>
      </c>
      <c r="G51" s="2">
        <v>0</v>
      </c>
      <c r="H51" s="2">
        <v>0</v>
      </c>
      <c r="I51" s="2">
        <v>0</v>
      </c>
      <c r="J51" s="2">
        <v>0</v>
      </c>
      <c r="K51" s="2">
        <v>-1</v>
      </c>
      <c r="L51" s="2">
        <v>5.0000000000000001E-4</v>
      </c>
      <c r="M51" s="2">
        <v>30</v>
      </c>
      <c r="N51" s="2">
        <v>0.13768644312199285</v>
      </c>
      <c r="O51" s="2">
        <v>0.14470551480261923</v>
      </c>
      <c r="P51" s="2">
        <v>0</v>
      </c>
      <c r="Q51" s="33">
        <v>-2.018722884565503E-3</v>
      </c>
      <c r="R51" s="2">
        <v>1.1940566239067069E-4</v>
      </c>
      <c r="S51" s="2">
        <v>1.5079</v>
      </c>
      <c r="T51" s="2">
        <v>33.828127140950166</v>
      </c>
      <c r="U51" s="2">
        <f t="shared" si="0"/>
        <v>-1.4470551480261924</v>
      </c>
      <c r="V51" s="2">
        <v>1.5804</v>
      </c>
      <c r="W51" s="2">
        <f t="shared" si="1"/>
        <v>2.018722884565503E-2</v>
      </c>
      <c r="X51">
        <f t="shared" si="5"/>
        <v>-338.28127140950164</v>
      </c>
      <c r="Y51">
        <f t="shared" si="2"/>
        <v>0.59675869023259243</v>
      </c>
      <c r="Z51" s="85">
        <f t="shared" si="7"/>
        <v>2.5000000000000001E-4</v>
      </c>
      <c r="AA51">
        <f>IF(rightFromSymbol(A51)="C",MAX(0,$N$27-strikeFromSymbol(A51)),MAX(0,strikeFromSymbol(A51)-$N$27))*10000</f>
        <v>0</v>
      </c>
      <c r="AB51" s="86">
        <f t="shared" si="6"/>
        <v>2.5</v>
      </c>
      <c r="AC51" s="49">
        <f t="shared" si="3"/>
        <v>25</v>
      </c>
      <c r="AD51" s="48">
        <f t="shared" si="4"/>
        <v>156.25</v>
      </c>
    </row>
    <row r="52" spans="1:30" x14ac:dyDescent="0.25">
      <c r="A52" s="2" t="s">
        <v>210</v>
      </c>
      <c r="B52" s="2">
        <v>-10</v>
      </c>
      <c r="C52" s="2">
        <v>4.00265E-3</v>
      </c>
      <c r="D52" s="2">
        <v>-2501.67</v>
      </c>
      <c r="E52" s="2">
        <v>116.29</v>
      </c>
      <c r="F52" s="28">
        <v>-1338.77</v>
      </c>
      <c r="G52" s="2">
        <v>0</v>
      </c>
      <c r="H52" s="2">
        <v>0</v>
      </c>
      <c r="I52" s="2">
        <v>0</v>
      </c>
      <c r="J52" s="2">
        <v>30</v>
      </c>
      <c r="K52" s="2">
        <v>3.0000000000000001E-3</v>
      </c>
      <c r="L52" s="2">
        <v>4.0000000000000001E-3</v>
      </c>
      <c r="M52" s="2">
        <v>30</v>
      </c>
      <c r="N52" s="2">
        <v>0.12980328796606955</v>
      </c>
      <c r="O52" s="2">
        <v>-0.63000646743222122</v>
      </c>
      <c r="P52" s="2">
        <v>0</v>
      </c>
      <c r="Q52" s="33">
        <v>-3.1727677597215404E-3</v>
      </c>
      <c r="R52" s="2">
        <v>1.7810607565514657E-4</v>
      </c>
      <c r="S52" s="2">
        <v>1.5079</v>
      </c>
      <c r="T52" s="2">
        <v>50.835952429253538</v>
      </c>
      <c r="U52" s="2">
        <f t="shared" si="0"/>
        <v>6.3000646743222122</v>
      </c>
      <c r="V52" s="2">
        <v>1.5804</v>
      </c>
      <c r="W52" s="2">
        <f t="shared" si="1"/>
        <v>3.1727677597215405E-2</v>
      </c>
      <c r="X52">
        <f t="shared" si="5"/>
        <v>-508.35952429253541</v>
      </c>
      <c r="Y52">
        <f t="shared" si="2"/>
        <v>0.62411887809851907</v>
      </c>
      <c r="Z52" s="85">
        <f t="shared" si="7"/>
        <v>5.6999999999999794E-3</v>
      </c>
      <c r="AA52">
        <f>IF(rightFromSymbol(A52)="C",MAX(0,$N$27-strikeFromSymbol(A52)),MAX(0,strikeFromSymbol(A52)-$N$27))*10000</f>
        <v>21.999999999999797</v>
      </c>
      <c r="AB52" s="86">
        <f t="shared" si="6"/>
        <v>0</v>
      </c>
      <c r="AC52" s="49">
        <f t="shared" si="3"/>
        <v>0</v>
      </c>
      <c r="AD52" s="48">
        <f t="shared" si="4"/>
        <v>0</v>
      </c>
    </row>
    <row r="53" spans="1:30" x14ac:dyDescent="0.25">
      <c r="A53" s="2" t="s">
        <v>211</v>
      </c>
      <c r="B53" s="2">
        <v>-9</v>
      </c>
      <c r="C53" s="2">
        <v>7.9527499999999997E-3</v>
      </c>
      <c r="D53" s="2">
        <v>-4473.43</v>
      </c>
      <c r="E53" s="2">
        <v>241.29</v>
      </c>
      <c r="F53" s="28">
        <v>-2301.8200000000002</v>
      </c>
      <c r="G53" s="2">
        <v>0</v>
      </c>
      <c r="H53" s="2">
        <v>0</v>
      </c>
      <c r="I53" s="2">
        <v>0</v>
      </c>
      <c r="J53" s="2">
        <v>0</v>
      </c>
      <c r="K53" s="2">
        <v>-1</v>
      </c>
      <c r="L53" s="2">
        <v>-1</v>
      </c>
      <c r="M53" s="2">
        <v>0</v>
      </c>
      <c r="N53" s="2">
        <v>0.13768644312199285</v>
      </c>
      <c r="O53" s="2">
        <v>-0.8556165193442028</v>
      </c>
      <c r="P53" s="2">
        <v>0</v>
      </c>
      <c r="Q53" s="33">
        <v>-2.0186784740385921E-3</v>
      </c>
      <c r="R53" s="2">
        <v>1.1940576315782638E-4</v>
      </c>
      <c r="S53" s="2">
        <v>1.5079</v>
      </c>
      <c r="T53" s="2">
        <v>33.419109418430693</v>
      </c>
      <c r="U53" s="2">
        <f t="shared" si="0"/>
        <v>7.7005486740978251</v>
      </c>
      <c r="V53" s="2">
        <v>1.5804</v>
      </c>
      <c r="W53" s="2">
        <f t="shared" si="1"/>
        <v>1.8168106266347329E-2</v>
      </c>
      <c r="X53">
        <f t="shared" si="5"/>
        <v>-300.77198476587625</v>
      </c>
      <c r="Y53">
        <f t="shared" si="2"/>
        <v>0.60404915306488915</v>
      </c>
      <c r="Z53" s="85">
        <f t="shared" si="7"/>
        <v>7.1999999999998732E-3</v>
      </c>
      <c r="AA53">
        <f>IF(rightFromSymbol(A53)="C",MAX(0,$N$27-strikeFromSymbol(A53)),MAX(0,strikeFromSymbol(A53)-$N$27))*10000</f>
        <v>71.999999999998735</v>
      </c>
      <c r="AB53" s="86">
        <f t="shared" si="6"/>
        <v>0</v>
      </c>
      <c r="AC53" s="49">
        <f t="shared" si="3"/>
        <v>0</v>
      </c>
      <c r="AD53" s="48">
        <f t="shared" si="4"/>
        <v>0</v>
      </c>
    </row>
    <row r="54" spans="1:30" x14ac:dyDescent="0.25">
      <c r="A54" s="2" t="s">
        <v>212</v>
      </c>
      <c r="B54" s="2">
        <v>-20</v>
      </c>
      <c r="C54" s="2">
        <v>8.9999999999999996E-7</v>
      </c>
      <c r="D54" s="2">
        <v>-1.1200000000000001</v>
      </c>
      <c r="E54" s="2">
        <v>203.79</v>
      </c>
      <c r="F54" s="28">
        <v>4074.68</v>
      </c>
      <c r="G54" s="2">
        <v>0</v>
      </c>
      <c r="H54" s="2">
        <v>0</v>
      </c>
      <c r="I54" s="2">
        <v>0</v>
      </c>
      <c r="J54" s="2">
        <v>0</v>
      </c>
      <c r="K54" s="2">
        <v>-1</v>
      </c>
      <c r="L54" s="2">
        <v>2.9999999999999997E-4</v>
      </c>
      <c r="M54" s="2">
        <v>30</v>
      </c>
      <c r="N54" s="2">
        <v>0.19018008979401202</v>
      </c>
      <c r="O54" s="2">
        <v>3.2526969144336351E-2</v>
      </c>
      <c r="P54" s="2">
        <v>0</v>
      </c>
      <c r="Q54" s="33">
        <v>-8.8625743569251776E-4</v>
      </c>
      <c r="R54" s="2">
        <v>3.5446589653726697E-5</v>
      </c>
      <c r="S54" s="2">
        <v>1.5079</v>
      </c>
      <c r="T54" s="2">
        <v>10.926951256096604</v>
      </c>
      <c r="U54" s="2">
        <f t="shared" si="0"/>
        <v>-0.65053938288672697</v>
      </c>
      <c r="V54" s="2">
        <v>1.5804</v>
      </c>
      <c r="W54" s="2">
        <f t="shared" si="1"/>
        <v>1.7725148713850357E-2</v>
      </c>
      <c r="X54">
        <f t="shared" si="5"/>
        <v>-218.53902512193207</v>
      </c>
      <c r="Y54">
        <f t="shared" si="2"/>
        <v>0.81107475902579662</v>
      </c>
      <c r="Z54" s="85">
        <f t="shared" si="7"/>
        <v>1.4999999999999999E-4</v>
      </c>
      <c r="AA54">
        <f>IF(rightFromSymbol(A54)="C",MAX(0,$N$27-strikeFromSymbol(A54)),MAX(0,strikeFromSymbol(A54)-$N$27))*10000</f>
        <v>0</v>
      </c>
      <c r="AB54" s="86">
        <f t="shared" si="6"/>
        <v>1.4999999999999998</v>
      </c>
      <c r="AC54" s="49">
        <f t="shared" si="3"/>
        <v>29.999999999999996</v>
      </c>
      <c r="AD54" s="48">
        <f>MAX(0,AC54*6.25)</f>
        <v>187.49999999999997</v>
      </c>
    </row>
    <row r="55" spans="1:30" x14ac:dyDescent="0.25">
      <c r="A55" s="2" t="s">
        <v>213</v>
      </c>
      <c r="B55" s="2">
        <v>-40</v>
      </c>
      <c r="C55" s="2">
        <v>1.2403249999999999E-2</v>
      </c>
      <c r="D55" s="2">
        <v>-31008.11</v>
      </c>
      <c r="E55" s="2">
        <v>372.54</v>
      </c>
      <c r="F55" s="28">
        <v>-16106.51</v>
      </c>
      <c r="G55" s="2">
        <v>0</v>
      </c>
      <c r="H55" s="2">
        <v>0</v>
      </c>
      <c r="I55" s="2">
        <v>0</v>
      </c>
      <c r="J55" s="2">
        <v>0</v>
      </c>
      <c r="K55" s="2">
        <v>-1</v>
      </c>
      <c r="L55" s="2">
        <v>-1</v>
      </c>
      <c r="M55" s="2">
        <v>0</v>
      </c>
      <c r="N55" s="2">
        <v>0.15781204373126911</v>
      </c>
      <c r="O55" s="2">
        <v>-0.94251074259499412</v>
      </c>
      <c r="P55" s="2">
        <v>0</v>
      </c>
      <c r="Q55" s="33">
        <v>-1.1711974601479318E-3</v>
      </c>
      <c r="R55" s="2">
        <v>5.773917191303872E-5</v>
      </c>
      <c r="S55" s="2">
        <v>1.5079</v>
      </c>
      <c r="T55" s="2">
        <v>18.125134415673241</v>
      </c>
      <c r="U55" s="2">
        <f t="shared" si="0"/>
        <v>37.700429703799763</v>
      </c>
      <c r="V55" s="2">
        <v>1.5804</v>
      </c>
      <c r="W55" s="2">
        <f t="shared" si="1"/>
        <v>4.6847898405917271E-2</v>
      </c>
      <c r="X55">
        <f t="shared" si="5"/>
        <v>-725.00537662692966</v>
      </c>
      <c r="Y55">
        <f t="shared" si="2"/>
        <v>0.64617311700329738</v>
      </c>
      <c r="Z55" s="85">
        <f t="shared" si="7"/>
        <v>1.2199999999999989E-2</v>
      </c>
      <c r="AA55">
        <f>IF(rightFromSymbol(A55)="C",MAX(0,$N$27-strikeFromSymbol(A55)),MAX(0,strikeFromSymbol(A55)-$N$27))*10000</f>
        <v>121.99999999999989</v>
      </c>
      <c r="AB55" s="86">
        <f t="shared" si="6"/>
        <v>0</v>
      </c>
      <c r="AC55" s="49">
        <f t="shared" si="3"/>
        <v>0</v>
      </c>
      <c r="AD55" s="48">
        <f t="shared" ref="AD55:AD65" si="8">MAX(0,AC55*6.25)</f>
        <v>0</v>
      </c>
    </row>
    <row r="56" spans="1:30" x14ac:dyDescent="0.25">
      <c r="A56" s="2"/>
      <c r="B56" s="2"/>
      <c r="C56" s="2"/>
      <c r="D56" s="2"/>
      <c r="E56" s="2"/>
      <c r="F56" s="28"/>
      <c r="G56" s="2"/>
      <c r="H56" s="2"/>
      <c r="I56" s="2"/>
      <c r="J56" s="2"/>
      <c r="K56" s="2"/>
      <c r="L56" s="2"/>
      <c r="M56" s="2"/>
      <c r="N56" s="2"/>
      <c r="O56" s="2"/>
      <c r="P56" s="2"/>
      <c r="Q56" s="33"/>
      <c r="R56" s="2"/>
      <c r="S56" s="2"/>
      <c r="T56" s="2"/>
      <c r="U56" s="2">
        <f t="shared" si="0"/>
        <v>0</v>
      </c>
      <c r="V56" s="2"/>
      <c r="W56" s="2">
        <f t="shared" si="1"/>
        <v>0</v>
      </c>
      <c r="X56">
        <f t="shared" si="5"/>
        <v>0</v>
      </c>
      <c r="Y56">
        <f t="shared" si="2"/>
        <v>0</v>
      </c>
      <c r="Z56" s="85">
        <f t="shared" si="7"/>
        <v>0</v>
      </c>
      <c r="AA56">
        <f>IF(rightFromSymbol(A56)="C",MAX(0,$N$27-strikeFromSymbol(A56)),MAX(0,strikeFromSymbol(A56)-$N$27))*10000</f>
        <v>0</v>
      </c>
      <c r="AB56" s="86">
        <f t="shared" si="6"/>
        <v>0</v>
      </c>
      <c r="AC56" s="49">
        <f t="shared" si="3"/>
        <v>0</v>
      </c>
      <c r="AD56" s="48">
        <f t="shared" si="8"/>
        <v>0</v>
      </c>
    </row>
    <row r="57" spans="1:30" x14ac:dyDescent="0.25">
      <c r="A57" s="2"/>
      <c r="B57" s="2"/>
      <c r="C57" s="2"/>
      <c r="D57" s="2"/>
      <c r="E57" s="2"/>
      <c r="F57" s="28"/>
      <c r="G57" s="2"/>
      <c r="H57" s="2"/>
      <c r="I57" s="2"/>
      <c r="J57" s="2"/>
      <c r="K57" s="2"/>
      <c r="L57" s="2"/>
      <c r="M57" s="2"/>
      <c r="N57" s="2"/>
      <c r="O57" s="2"/>
      <c r="P57" s="2"/>
      <c r="Q57" s="33"/>
      <c r="R57" s="2"/>
      <c r="S57" s="2"/>
      <c r="T57" s="2"/>
      <c r="U57" s="2">
        <f t="shared" si="0"/>
        <v>0</v>
      </c>
      <c r="V57" s="2"/>
      <c r="W57" s="2">
        <f t="shared" si="1"/>
        <v>0</v>
      </c>
      <c r="X57">
        <f t="shared" si="5"/>
        <v>0</v>
      </c>
      <c r="Y57">
        <f t="shared" si="2"/>
        <v>0</v>
      </c>
      <c r="Z57" s="85">
        <f t="shared" si="7"/>
        <v>0</v>
      </c>
      <c r="AA57">
        <f>IF(rightFromSymbol(A57)="C",MAX(0,$N$27-strikeFromSymbol(A57)),MAX(0,strikeFromSymbol(A57)-$N$27))*10000</f>
        <v>0</v>
      </c>
      <c r="AB57" s="86">
        <f t="shared" si="6"/>
        <v>0</v>
      </c>
      <c r="AC57" s="49">
        <f t="shared" si="3"/>
        <v>0</v>
      </c>
      <c r="AD57" s="48">
        <f t="shared" si="8"/>
        <v>0</v>
      </c>
    </row>
    <row r="58" spans="1:30" x14ac:dyDescent="0.25">
      <c r="A58" s="2"/>
      <c r="B58" s="2"/>
      <c r="C58" s="2"/>
      <c r="D58" s="2"/>
      <c r="E58" s="2"/>
      <c r="F58" s="28"/>
      <c r="G58" s="2"/>
      <c r="H58" s="2"/>
      <c r="I58" s="2"/>
      <c r="J58" s="2"/>
      <c r="K58" s="2"/>
      <c r="L58" s="2"/>
      <c r="M58" s="2"/>
      <c r="N58" s="2"/>
      <c r="O58" s="2"/>
      <c r="P58" s="2"/>
      <c r="Q58" s="33"/>
      <c r="R58" s="2"/>
      <c r="S58" s="2"/>
      <c r="T58" s="2"/>
      <c r="U58" s="2">
        <f t="shared" si="0"/>
        <v>0</v>
      </c>
      <c r="V58" s="2"/>
      <c r="W58" s="2">
        <f t="shared" si="1"/>
        <v>0</v>
      </c>
      <c r="X58">
        <f t="shared" si="5"/>
        <v>0</v>
      </c>
      <c r="Y58">
        <f t="shared" si="2"/>
        <v>0</v>
      </c>
      <c r="Z58" s="85">
        <f t="shared" si="7"/>
        <v>0</v>
      </c>
      <c r="AA58">
        <f>IF(rightFromSymbol(A58)="C",MAX(0,$N$27-strikeFromSymbol(A58)),MAX(0,strikeFromSymbol(A58)-$N$27))*10000</f>
        <v>0</v>
      </c>
      <c r="AB58" s="86">
        <f t="shared" si="6"/>
        <v>0</v>
      </c>
      <c r="AC58" s="49">
        <f t="shared" si="3"/>
        <v>0</v>
      </c>
      <c r="AD58" s="48">
        <f t="shared" si="8"/>
        <v>0</v>
      </c>
    </row>
    <row r="59" spans="1:30" x14ac:dyDescent="0.25">
      <c r="A59" s="2"/>
      <c r="B59" s="2"/>
      <c r="C59" s="2"/>
      <c r="D59" s="2"/>
      <c r="E59" s="2"/>
      <c r="F59" s="28"/>
      <c r="G59" s="2"/>
      <c r="H59" s="2"/>
      <c r="I59" s="2"/>
      <c r="J59" s="2"/>
      <c r="K59" s="2"/>
      <c r="L59" s="2"/>
      <c r="M59" s="2"/>
      <c r="N59" s="2"/>
      <c r="O59" s="2"/>
      <c r="P59" s="2"/>
      <c r="Q59" s="33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85">
        <f t="shared" si="7"/>
        <v>0</v>
      </c>
      <c r="AA59">
        <f>IF(rightFromSymbol(A59)="C",MAX(0,$N$27-strikeFromSymbol(A59)),MAX(0,strikeFromSymbol(A59)-$N$27))*10000</f>
        <v>0</v>
      </c>
      <c r="AB59" s="86">
        <f t="shared" si="6"/>
        <v>0</v>
      </c>
      <c r="AC59" s="49">
        <f t="shared" si="3"/>
        <v>0</v>
      </c>
      <c r="AD59" s="48">
        <f t="shared" si="8"/>
        <v>0</v>
      </c>
    </row>
    <row r="60" spans="1:30" x14ac:dyDescent="0.25">
      <c r="A60" s="2"/>
      <c r="B60" s="2"/>
      <c r="C60" s="2"/>
      <c r="D60" s="2"/>
      <c r="E60" s="2"/>
      <c r="F60" s="28"/>
      <c r="G60" s="2"/>
      <c r="H60" s="2"/>
      <c r="I60" s="2"/>
      <c r="J60" s="2"/>
      <c r="K60" s="2"/>
      <c r="L60" s="2"/>
      <c r="M60" s="2"/>
      <c r="N60" s="2"/>
      <c r="O60" s="2"/>
      <c r="P60" s="2"/>
      <c r="Q60" s="33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85">
        <f t="shared" si="7"/>
        <v>0</v>
      </c>
      <c r="AA60">
        <f>IF(rightFromSymbol(A60)="C",MAX(0,$N$27-strikeFromSymbol(A60)),MAX(0,strikeFromSymbol(A60)-$N$27))*10000</f>
        <v>0</v>
      </c>
      <c r="AB60" s="86">
        <f t="shared" si="6"/>
        <v>0</v>
      </c>
      <c r="AC60" s="49">
        <f t="shared" si="3"/>
        <v>0</v>
      </c>
      <c r="AD60" s="48">
        <f t="shared" si="8"/>
        <v>0</v>
      </c>
    </row>
    <row r="61" spans="1:30" x14ac:dyDescent="0.25">
      <c r="A61" s="2"/>
      <c r="B61" s="2"/>
      <c r="C61" s="2"/>
      <c r="D61" s="2"/>
      <c r="E61" s="2"/>
      <c r="F61" s="28"/>
      <c r="G61" s="2"/>
      <c r="H61" s="2"/>
      <c r="I61" s="2"/>
      <c r="J61" s="2"/>
      <c r="K61" s="2"/>
      <c r="L61" s="2"/>
      <c r="M61" s="2"/>
      <c r="N61" s="2"/>
      <c r="O61" s="2"/>
      <c r="P61" s="2"/>
      <c r="Q61" s="33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85">
        <f t="shared" si="7"/>
        <v>0</v>
      </c>
      <c r="AA61">
        <f>IF(rightFromSymbol(A61)="C",MAX(0,$N$27-strikeFromSymbol(A61)),MAX(0,strikeFromSymbol(A61)-$N$27))*10000</f>
        <v>0</v>
      </c>
      <c r="AB61" s="86">
        <f t="shared" si="6"/>
        <v>0</v>
      </c>
      <c r="AC61" s="49">
        <f t="shared" si="3"/>
        <v>0</v>
      </c>
      <c r="AD61" s="48">
        <f t="shared" si="8"/>
        <v>0</v>
      </c>
    </row>
    <row r="62" spans="1:30" x14ac:dyDescent="0.25">
      <c r="A62" s="2"/>
      <c r="B62" s="2"/>
      <c r="C62" s="2"/>
      <c r="D62" s="2"/>
      <c r="E62" s="2"/>
      <c r="F62" s="28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85">
        <f t="shared" si="7"/>
        <v>0</v>
      </c>
      <c r="AA62">
        <f>IF(rightFromSymbol(A62)="C",MAX(0,$N$27-strikeFromSymbol(A62)),MAX(0,strikeFromSymbol(A62)-$N$27))*10000</f>
        <v>0</v>
      </c>
      <c r="AB62" s="86">
        <f t="shared" si="6"/>
        <v>0</v>
      </c>
      <c r="AC62" s="49">
        <f t="shared" si="3"/>
        <v>0</v>
      </c>
      <c r="AD62" s="48">
        <f t="shared" si="8"/>
        <v>0</v>
      </c>
    </row>
    <row r="63" spans="1:30" x14ac:dyDescent="0.25">
      <c r="A63" s="2"/>
      <c r="B63" s="2"/>
      <c r="C63" s="2"/>
      <c r="D63" s="2"/>
      <c r="E63" s="2"/>
      <c r="F63" s="28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85">
        <f t="shared" si="7"/>
        <v>0</v>
      </c>
      <c r="AA63">
        <f>IF(rightFromSymbol(A63)="C",MAX(0,$N$27-strikeFromSymbol(A63)),MAX(0,strikeFromSymbol(A63)-$N$27))*10000</f>
        <v>0</v>
      </c>
      <c r="AB63" s="86">
        <f t="shared" si="6"/>
        <v>0</v>
      </c>
      <c r="AC63" s="49">
        <f t="shared" si="3"/>
        <v>0</v>
      </c>
      <c r="AD63" s="48">
        <f t="shared" si="8"/>
        <v>0</v>
      </c>
    </row>
    <row r="64" spans="1:30" x14ac:dyDescent="0.25">
      <c r="A64" s="2"/>
      <c r="B64" s="2"/>
      <c r="C64" s="2"/>
      <c r="D64" s="2"/>
      <c r="E64" s="2"/>
      <c r="F64" s="2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85">
        <f t="shared" si="7"/>
        <v>0</v>
      </c>
      <c r="AA64">
        <f>IF(rightFromSymbol(A64)="C",MAX(0,$N$27-strikeFromSymbol(A64)),MAX(0,strikeFromSymbol(A64)-$N$27))*10000</f>
        <v>0</v>
      </c>
      <c r="AB64" s="86">
        <f t="shared" si="6"/>
        <v>0</v>
      </c>
      <c r="AC64" s="49">
        <f t="shared" si="3"/>
        <v>0</v>
      </c>
      <c r="AD64" s="48">
        <f t="shared" si="8"/>
        <v>0</v>
      </c>
    </row>
    <row r="65" spans="1:30" x14ac:dyDescent="0.25">
      <c r="A65" s="2"/>
      <c r="B65" s="2"/>
      <c r="C65" s="2"/>
      <c r="D65" s="2"/>
      <c r="E65" s="2"/>
      <c r="F65" s="28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85">
        <f t="shared" si="7"/>
        <v>0</v>
      </c>
      <c r="AA65">
        <f>IF(rightFromSymbol(A65)="C",MAX(0,$N$27-strikeFromSymbol(A65)),MAX(0,strikeFromSymbol(A65)-$N$27))*10000</f>
        <v>0</v>
      </c>
      <c r="AB65" s="86">
        <f t="shared" si="6"/>
        <v>0</v>
      </c>
      <c r="AC65" s="49">
        <f t="shared" si="3"/>
        <v>0</v>
      </c>
      <c r="AD65" s="48">
        <f t="shared" si="8"/>
        <v>0</v>
      </c>
    </row>
    <row r="71" spans="1:30" x14ac:dyDescent="0.25">
      <c r="A71" s="102" t="s">
        <v>175</v>
      </c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</row>
    <row r="72" spans="1:30" x14ac:dyDescent="0.25">
      <c r="A72" s="99" t="s">
        <v>41</v>
      </c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</row>
    <row r="73" spans="1:30" x14ac:dyDescent="0.25">
      <c r="A73" s="70" t="s">
        <v>9</v>
      </c>
      <c r="B73" s="69" t="s">
        <v>42</v>
      </c>
      <c r="C73" s="69" t="s">
        <v>43</v>
      </c>
      <c r="D73" s="69" t="s">
        <v>44</v>
      </c>
      <c r="E73" s="69" t="s">
        <v>45</v>
      </c>
      <c r="F73" s="69" t="s">
        <v>33</v>
      </c>
      <c r="G73" s="69" t="s">
        <v>46</v>
      </c>
      <c r="H73" s="69" t="s">
        <v>47</v>
      </c>
      <c r="I73" s="69" t="s">
        <v>48</v>
      </c>
      <c r="J73" s="69" t="s">
        <v>49</v>
      </c>
      <c r="K73" s="69" t="s">
        <v>50</v>
      </c>
      <c r="L73" s="69" t="s">
        <v>51</v>
      </c>
      <c r="M73" s="69" t="s">
        <v>52</v>
      </c>
    </row>
    <row r="74" spans="1:30" x14ac:dyDescent="0.25">
      <c r="A74" s="2"/>
      <c r="B74" s="16"/>
      <c r="C74" s="20"/>
      <c r="D74" s="16"/>
      <c r="E74" s="16"/>
      <c r="F74" s="16"/>
      <c r="G74" s="16"/>
      <c r="H74" s="16"/>
      <c r="I74" s="16"/>
      <c r="J74" s="16"/>
      <c r="K74" s="16"/>
      <c r="L74" s="16"/>
      <c r="M74" s="16"/>
    </row>
    <row r="75" spans="1:30" x14ac:dyDescent="0.25">
      <c r="A75" s="2"/>
      <c r="B75" s="16"/>
      <c r="C75" s="20"/>
      <c r="D75" s="16"/>
      <c r="E75" s="16"/>
      <c r="F75" s="16"/>
      <c r="G75" s="16"/>
      <c r="H75" s="16"/>
      <c r="I75" s="16"/>
      <c r="J75" s="16"/>
      <c r="K75" s="16"/>
      <c r="L75" s="16"/>
      <c r="M75" s="16"/>
    </row>
    <row r="76" spans="1:30" x14ac:dyDescent="0.25">
      <c r="A76" s="2"/>
      <c r="B76" s="16"/>
      <c r="C76" s="20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0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2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2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2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0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2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0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2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0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2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0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2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0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0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0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0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2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2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0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0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2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0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2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2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21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21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21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21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21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21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21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21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21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21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21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21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21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21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21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21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21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21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21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21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</sheetData>
  <dataConsolidate/>
  <mergeCells count="64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72:M72"/>
    <mergeCell ref="A43:M43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1:M71"/>
    <mergeCell ref="Q32:R32"/>
    <mergeCell ref="Q34:W34"/>
    <mergeCell ref="S32:T32"/>
    <mergeCell ref="N43:S43"/>
    <mergeCell ref="T43:W43"/>
    <mergeCell ref="U32:V32"/>
    <mergeCell ref="M35:O35"/>
    <mergeCell ref="A34:O34"/>
    <mergeCell ref="Q39:S39"/>
    <mergeCell ref="T39:U39"/>
    <mergeCell ref="V39:W3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123825</xdr:colOff>
                <xdr:row>25</xdr:row>
                <xdr:rowOff>0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19" t="s">
        <v>123</v>
      </c>
      <c r="AF1" s="119"/>
      <c r="AG1" s="119"/>
      <c r="AH1" s="119"/>
      <c r="AI1" s="119"/>
      <c r="AJ1" s="119"/>
      <c r="AK1" s="119"/>
    </row>
    <row r="4" spans="2:37" x14ac:dyDescent="0.25">
      <c r="B4" s="97" t="s">
        <v>13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97"/>
      <c r="R4" s="98"/>
      <c r="S4" s="98"/>
      <c r="T4" s="94" t="s">
        <v>101</v>
      </c>
      <c r="U4" s="94"/>
      <c r="V4" s="94"/>
      <c r="W4" s="94"/>
      <c r="X4" s="94"/>
      <c r="Y4" s="94"/>
      <c r="Z4" s="94"/>
      <c r="AA4" s="94"/>
      <c r="AB4" s="94" t="s">
        <v>108</v>
      </c>
      <c r="AC4" s="94"/>
      <c r="AD4" s="94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9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176</v>
      </c>
      <c r="B1">
        <v>74</v>
      </c>
    </row>
    <row r="2" spans="1:2" x14ac:dyDescent="0.25">
      <c r="A2" t="s">
        <v>177</v>
      </c>
      <c r="B2">
        <v>1003</v>
      </c>
    </row>
    <row r="3" spans="1:2" x14ac:dyDescent="0.25">
      <c r="A3" t="s">
        <v>178</v>
      </c>
      <c r="B3">
        <v>45</v>
      </c>
    </row>
    <row r="4" spans="1:2" x14ac:dyDescent="0.25">
      <c r="A4" t="s">
        <v>179</v>
      </c>
      <c r="B4">
        <v>65</v>
      </c>
    </row>
    <row r="5" spans="1:2" x14ac:dyDescent="0.25">
      <c r="A5" t="s">
        <v>182</v>
      </c>
      <c r="B5">
        <v>1E-4</v>
      </c>
    </row>
    <row r="6" spans="1:2" x14ac:dyDescent="0.25">
      <c r="A6" t="s">
        <v>183</v>
      </c>
      <c r="B6">
        <v>37</v>
      </c>
    </row>
    <row r="7" spans="1:2" x14ac:dyDescent="0.25">
      <c r="A7" t="s">
        <v>184</v>
      </c>
      <c r="B7">
        <v>5</v>
      </c>
    </row>
    <row r="8" spans="1:2" x14ac:dyDescent="0.25">
      <c r="A8" t="s">
        <v>192</v>
      </c>
      <c r="B8">
        <v>34</v>
      </c>
    </row>
    <row r="9" spans="1:2" x14ac:dyDescent="0.25">
      <c r="A9" t="s">
        <v>193</v>
      </c>
      <c r="B9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448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216</v>
      </c>
    </row>
    <row r="2" spans="1:1" x14ac:dyDescent="0.25">
      <c r="A2" s="124" t="s">
        <v>217</v>
      </c>
    </row>
    <row r="3" spans="1:1" x14ac:dyDescent="0.25">
      <c r="A3" t="s">
        <v>218</v>
      </c>
    </row>
    <row r="4" spans="1:1" x14ac:dyDescent="0.25">
      <c r="A4" s="27" t="s">
        <v>219</v>
      </c>
    </row>
    <row r="5" spans="1:1" x14ac:dyDescent="0.25">
      <c r="A5" s="27" t="s">
        <v>220</v>
      </c>
    </row>
    <row r="6" spans="1:1" x14ac:dyDescent="0.25">
      <c r="A6" s="27" t="s">
        <v>221</v>
      </c>
    </row>
    <row r="7" spans="1:1" x14ac:dyDescent="0.25">
      <c r="A7" s="27" t="s">
        <v>222</v>
      </c>
    </row>
    <row r="8" spans="1:1" x14ac:dyDescent="0.25">
      <c r="A8" s="27" t="s">
        <v>223</v>
      </c>
    </row>
    <row r="9" spans="1:1" x14ac:dyDescent="0.25">
      <c r="A9" s="27" t="s">
        <v>223</v>
      </c>
    </row>
    <row r="10" spans="1:1" x14ac:dyDescent="0.25">
      <c r="A10" s="27" t="s">
        <v>224</v>
      </c>
    </row>
    <row r="11" spans="1:1" x14ac:dyDescent="0.25">
      <c r="A11" s="27" t="s">
        <v>225</v>
      </c>
    </row>
    <row r="12" spans="1:1" x14ac:dyDescent="0.25">
      <c r="A12" s="27" t="s">
        <v>225</v>
      </c>
    </row>
    <row r="13" spans="1:1" x14ac:dyDescent="0.25">
      <c r="A13" s="27" t="s">
        <v>226</v>
      </c>
    </row>
    <row r="14" spans="1:1" x14ac:dyDescent="0.25">
      <c r="A14" s="27" t="s">
        <v>226</v>
      </c>
    </row>
    <row r="15" spans="1:1" x14ac:dyDescent="0.25">
      <c r="A15" s="27" t="s">
        <v>227</v>
      </c>
    </row>
    <row r="16" spans="1:1" x14ac:dyDescent="0.25">
      <c r="A16" s="27" t="s">
        <v>228</v>
      </c>
    </row>
    <row r="17" spans="1:1" x14ac:dyDescent="0.25">
      <c r="A17" s="27" t="s">
        <v>228</v>
      </c>
    </row>
    <row r="18" spans="1:1" x14ac:dyDescent="0.25">
      <c r="A18" s="125" t="s">
        <v>229</v>
      </c>
    </row>
    <row r="19" spans="1:1" x14ac:dyDescent="0.25">
      <c r="A19" s="124" t="s">
        <v>230</v>
      </c>
    </row>
    <row r="20" spans="1:1" x14ac:dyDescent="0.25">
      <c r="A20" t="s">
        <v>231</v>
      </c>
    </row>
    <row r="21" spans="1:1" x14ac:dyDescent="0.25">
      <c r="A21" s="27" t="s">
        <v>232</v>
      </c>
    </row>
    <row r="22" spans="1:1" x14ac:dyDescent="0.25">
      <c r="A22" s="27" t="s">
        <v>233</v>
      </c>
    </row>
    <row r="23" spans="1:1" x14ac:dyDescent="0.25">
      <c r="A23" s="27" t="s">
        <v>234</v>
      </c>
    </row>
    <row r="24" spans="1:1" x14ac:dyDescent="0.25">
      <c r="A24" s="27" t="s">
        <v>235</v>
      </c>
    </row>
    <row r="25" spans="1:1" x14ac:dyDescent="0.25">
      <c r="A25" s="27" t="s">
        <v>235</v>
      </c>
    </row>
    <row r="26" spans="1:1" x14ac:dyDescent="0.25">
      <c r="A26" s="27" t="s">
        <v>236</v>
      </c>
    </row>
    <row r="27" spans="1:1" x14ac:dyDescent="0.25">
      <c r="A27" s="27" t="s">
        <v>237</v>
      </c>
    </row>
    <row r="28" spans="1:1" x14ac:dyDescent="0.25">
      <c r="A28" s="27" t="s">
        <v>237</v>
      </c>
    </row>
    <row r="29" spans="1:1" x14ac:dyDescent="0.25">
      <c r="A29" s="27" t="s">
        <v>238</v>
      </c>
    </row>
    <row r="30" spans="1:1" x14ac:dyDescent="0.25">
      <c r="A30" s="27" t="s">
        <v>239</v>
      </c>
    </row>
    <row r="31" spans="1:1" x14ac:dyDescent="0.25">
      <c r="A31" s="27" t="s">
        <v>239</v>
      </c>
    </row>
    <row r="32" spans="1:1" x14ac:dyDescent="0.25">
      <c r="A32" s="27" t="s">
        <v>240</v>
      </c>
    </row>
    <row r="33" spans="1:1" x14ac:dyDescent="0.25">
      <c r="A33" s="27" t="s">
        <v>240</v>
      </c>
    </row>
    <row r="34" spans="1:1" x14ac:dyDescent="0.25">
      <c r="A34" s="27" t="s">
        <v>241</v>
      </c>
    </row>
    <row r="35" spans="1:1" x14ac:dyDescent="0.25">
      <c r="A35" s="125" t="s">
        <v>242</v>
      </c>
    </row>
    <row r="36" spans="1:1" x14ac:dyDescent="0.25">
      <c r="A36" s="125" t="s">
        <v>243</v>
      </c>
    </row>
    <row r="37" spans="1:1" x14ac:dyDescent="0.25">
      <c r="A37" s="124" t="s">
        <v>244</v>
      </c>
    </row>
    <row r="38" spans="1:1" x14ac:dyDescent="0.25">
      <c r="A38" s="27" t="s">
        <v>245</v>
      </c>
    </row>
    <row r="39" spans="1:1" x14ac:dyDescent="0.25">
      <c r="A39" s="27" t="s">
        <v>246</v>
      </c>
    </row>
    <row r="40" spans="1:1" x14ac:dyDescent="0.25">
      <c r="A40" s="27" t="s">
        <v>247</v>
      </c>
    </row>
    <row r="41" spans="1:1" x14ac:dyDescent="0.25">
      <c r="A41" s="27" t="s">
        <v>248</v>
      </c>
    </row>
    <row r="42" spans="1:1" x14ac:dyDescent="0.25">
      <c r="A42" s="27" t="s">
        <v>249</v>
      </c>
    </row>
    <row r="43" spans="1:1" x14ac:dyDescent="0.25">
      <c r="A43" s="27" t="s">
        <v>250</v>
      </c>
    </row>
    <row r="44" spans="1:1" x14ac:dyDescent="0.25">
      <c r="A44" s="27" t="s">
        <v>251</v>
      </c>
    </row>
    <row r="45" spans="1:1" x14ac:dyDescent="0.25">
      <c r="A45" t="s">
        <v>252</v>
      </c>
    </row>
    <row r="46" spans="1:1" x14ac:dyDescent="0.25">
      <c r="A46" t="s">
        <v>253</v>
      </c>
    </row>
    <row r="47" spans="1:1" x14ac:dyDescent="0.25">
      <c r="A47" s="125" t="s">
        <v>254</v>
      </c>
    </row>
    <row r="48" spans="1:1" x14ac:dyDescent="0.25">
      <c r="A48" s="124" t="s">
        <v>255</v>
      </c>
    </row>
    <row r="49" spans="1:1" x14ac:dyDescent="0.25">
      <c r="A49" t="s">
        <v>256</v>
      </c>
    </row>
    <row r="50" spans="1:1" x14ac:dyDescent="0.25">
      <c r="A50" s="27" t="s">
        <v>257</v>
      </c>
    </row>
    <row r="51" spans="1:1" x14ac:dyDescent="0.25">
      <c r="A51" s="27" t="s">
        <v>258</v>
      </c>
    </row>
    <row r="52" spans="1:1" x14ac:dyDescent="0.25">
      <c r="A52" s="27" t="s">
        <v>259</v>
      </c>
    </row>
    <row r="53" spans="1:1" x14ac:dyDescent="0.25">
      <c r="A53" s="27" t="s">
        <v>260</v>
      </c>
    </row>
    <row r="54" spans="1:1" x14ac:dyDescent="0.25">
      <c r="A54" s="27" t="s">
        <v>261</v>
      </c>
    </row>
    <row r="55" spans="1:1" x14ac:dyDescent="0.25">
      <c r="A55" s="27" t="s">
        <v>262</v>
      </c>
    </row>
    <row r="56" spans="1:1" x14ac:dyDescent="0.25">
      <c r="A56" s="27" t="s">
        <v>263</v>
      </c>
    </row>
    <row r="57" spans="1:1" x14ac:dyDescent="0.25">
      <c r="A57" s="27" t="s">
        <v>264</v>
      </c>
    </row>
    <row r="58" spans="1:1" x14ac:dyDescent="0.25">
      <c r="A58" s="27" t="s">
        <v>265</v>
      </c>
    </row>
    <row r="59" spans="1:1" x14ac:dyDescent="0.25">
      <c r="A59" s="27" t="s">
        <v>266</v>
      </c>
    </row>
    <row r="60" spans="1:1" x14ac:dyDescent="0.25">
      <c r="A60" s="27" t="s">
        <v>267</v>
      </c>
    </row>
    <row r="61" spans="1:1" x14ac:dyDescent="0.25">
      <c r="A61" s="27" t="s">
        <v>268</v>
      </c>
    </row>
    <row r="62" spans="1:1" x14ac:dyDescent="0.25">
      <c r="A62" s="27" t="s">
        <v>269</v>
      </c>
    </row>
    <row r="63" spans="1:1" x14ac:dyDescent="0.25">
      <c r="A63" s="27" t="s">
        <v>270</v>
      </c>
    </row>
    <row r="64" spans="1:1" x14ac:dyDescent="0.25">
      <c r="A64" s="125" t="s">
        <v>271</v>
      </c>
    </row>
    <row r="65" spans="1:1" x14ac:dyDescent="0.25">
      <c r="A65" s="125" t="s">
        <v>272</v>
      </c>
    </row>
    <row r="66" spans="1:1" x14ac:dyDescent="0.25">
      <c r="A66" s="27" t="s">
        <v>273</v>
      </c>
    </row>
    <row r="67" spans="1:1" x14ac:dyDescent="0.25">
      <c r="A67" s="27" t="s">
        <v>274</v>
      </c>
    </row>
    <row r="68" spans="1:1" x14ac:dyDescent="0.25">
      <c r="A68" s="27" t="s">
        <v>275</v>
      </c>
    </row>
    <row r="69" spans="1:1" x14ac:dyDescent="0.25">
      <c r="A69" s="124" t="s">
        <v>276</v>
      </c>
    </row>
    <row r="70" spans="1:1" x14ac:dyDescent="0.25">
      <c r="A70" t="s">
        <v>277</v>
      </c>
    </row>
    <row r="71" spans="1:1" x14ac:dyDescent="0.25">
      <c r="A71" s="27" t="s">
        <v>278</v>
      </c>
    </row>
    <row r="72" spans="1:1" x14ac:dyDescent="0.25">
      <c r="A72" s="27" t="s">
        <v>279</v>
      </c>
    </row>
    <row r="73" spans="1:1" x14ac:dyDescent="0.25">
      <c r="A73" s="27" t="s">
        <v>280</v>
      </c>
    </row>
    <row r="74" spans="1:1" x14ac:dyDescent="0.25">
      <c r="A74" s="27" t="s">
        <v>281</v>
      </c>
    </row>
    <row r="75" spans="1:1" x14ac:dyDescent="0.25">
      <c r="A75" s="27" t="s">
        <v>282</v>
      </c>
    </row>
    <row r="76" spans="1:1" x14ac:dyDescent="0.25">
      <c r="A76" s="27" t="s">
        <v>283</v>
      </c>
    </row>
    <row r="77" spans="1:1" x14ac:dyDescent="0.25">
      <c r="A77" s="27" t="s">
        <v>284</v>
      </c>
    </row>
    <row r="78" spans="1:1" x14ac:dyDescent="0.25">
      <c r="A78" s="27" t="s">
        <v>285</v>
      </c>
    </row>
    <row r="79" spans="1:1" x14ac:dyDescent="0.25">
      <c r="A79" s="27" t="s">
        <v>286</v>
      </c>
    </row>
    <row r="80" spans="1:1" x14ac:dyDescent="0.25">
      <c r="A80" s="27" t="s">
        <v>287</v>
      </c>
    </row>
    <row r="81" spans="1:1" x14ac:dyDescent="0.25">
      <c r="A81" s="27" t="s">
        <v>288</v>
      </c>
    </row>
    <row r="82" spans="1:1" x14ac:dyDescent="0.25">
      <c r="A82" s="27" t="s">
        <v>288</v>
      </c>
    </row>
    <row r="83" spans="1:1" x14ac:dyDescent="0.25">
      <c r="A83" s="27" t="s">
        <v>289</v>
      </c>
    </row>
    <row r="84" spans="1:1" x14ac:dyDescent="0.25">
      <c r="A84" s="125" t="s">
        <v>290</v>
      </c>
    </row>
    <row r="85" spans="1:1" x14ac:dyDescent="0.25">
      <c r="A85" s="125" t="s">
        <v>291</v>
      </c>
    </row>
    <row r="86" spans="1:1" x14ac:dyDescent="0.25">
      <c r="A86" s="125" t="s">
        <v>292</v>
      </c>
    </row>
    <row r="87" spans="1:1" x14ac:dyDescent="0.25">
      <c r="A87" s="125" t="s">
        <v>293</v>
      </c>
    </row>
    <row r="88" spans="1:1" x14ac:dyDescent="0.25">
      <c r="A88" s="125" t="s">
        <v>294</v>
      </c>
    </row>
    <row r="89" spans="1:1" x14ac:dyDescent="0.25">
      <c r="A89" s="125" t="s">
        <v>295</v>
      </c>
    </row>
    <row r="90" spans="1:1" x14ac:dyDescent="0.25">
      <c r="A90" s="125" t="s">
        <v>296</v>
      </c>
    </row>
    <row r="91" spans="1:1" x14ac:dyDescent="0.25">
      <c r="A91" s="125" t="s">
        <v>297</v>
      </c>
    </row>
    <row r="92" spans="1:1" x14ac:dyDescent="0.25">
      <c r="A92" s="125" t="s">
        <v>298</v>
      </c>
    </row>
    <row r="93" spans="1:1" x14ac:dyDescent="0.25">
      <c r="A93" s="125" t="s">
        <v>299</v>
      </c>
    </row>
    <row r="94" spans="1:1" x14ac:dyDescent="0.25">
      <c r="A94" s="125" t="s">
        <v>300</v>
      </c>
    </row>
    <row r="95" spans="1:1" x14ac:dyDescent="0.25">
      <c r="A95" s="125" t="s">
        <v>301</v>
      </c>
    </row>
    <row r="96" spans="1:1" x14ac:dyDescent="0.25">
      <c r="A96" s="125" t="s">
        <v>302</v>
      </c>
    </row>
    <row r="97" spans="1:1" x14ac:dyDescent="0.25">
      <c r="A97" t="s">
        <v>303</v>
      </c>
    </row>
    <row r="98" spans="1:1" x14ac:dyDescent="0.25">
      <c r="A98" t="s">
        <v>304</v>
      </c>
    </row>
    <row r="99" spans="1:1" x14ac:dyDescent="0.25">
      <c r="A99" t="s">
        <v>305</v>
      </c>
    </row>
    <row r="100" spans="1:1" x14ac:dyDescent="0.25">
      <c r="A100" t="s">
        <v>306</v>
      </c>
    </row>
    <row r="101" spans="1:1" x14ac:dyDescent="0.25">
      <c r="A101" t="s">
        <v>307</v>
      </c>
    </row>
    <row r="102" spans="1:1" x14ac:dyDescent="0.25">
      <c r="A102" t="s">
        <v>308</v>
      </c>
    </row>
    <row r="103" spans="1:1" x14ac:dyDescent="0.25">
      <c r="A103" t="s">
        <v>309</v>
      </c>
    </row>
    <row r="104" spans="1:1" x14ac:dyDescent="0.25">
      <c r="A104" t="s">
        <v>310</v>
      </c>
    </row>
    <row r="105" spans="1:1" x14ac:dyDescent="0.25">
      <c r="A105" t="s">
        <v>311</v>
      </c>
    </row>
    <row r="106" spans="1:1" x14ac:dyDescent="0.25">
      <c r="A106" t="s">
        <v>312</v>
      </c>
    </row>
    <row r="107" spans="1:1" x14ac:dyDescent="0.25">
      <c r="A107" t="s">
        <v>313</v>
      </c>
    </row>
    <row r="108" spans="1:1" x14ac:dyDescent="0.25">
      <c r="A108" t="s">
        <v>314</v>
      </c>
    </row>
    <row r="109" spans="1:1" x14ac:dyDescent="0.25">
      <c r="A109" t="s">
        <v>315</v>
      </c>
    </row>
    <row r="110" spans="1:1" x14ac:dyDescent="0.25">
      <c r="A110" t="s">
        <v>316</v>
      </c>
    </row>
    <row r="111" spans="1:1" x14ac:dyDescent="0.25">
      <c r="A111" t="s">
        <v>317</v>
      </c>
    </row>
    <row r="112" spans="1:1" x14ac:dyDescent="0.25">
      <c r="A112" t="s">
        <v>318</v>
      </c>
    </row>
    <row r="113" spans="1:1" x14ac:dyDescent="0.25">
      <c r="A113" t="s">
        <v>319</v>
      </c>
    </row>
    <row r="114" spans="1:1" x14ac:dyDescent="0.25">
      <c r="A114" t="s">
        <v>320</v>
      </c>
    </row>
    <row r="115" spans="1:1" x14ac:dyDescent="0.25">
      <c r="A115" t="s">
        <v>321</v>
      </c>
    </row>
    <row r="116" spans="1:1" x14ac:dyDescent="0.25">
      <c r="A116" t="s">
        <v>322</v>
      </c>
    </row>
    <row r="117" spans="1:1" x14ac:dyDescent="0.25">
      <c r="A117" t="s">
        <v>323</v>
      </c>
    </row>
    <row r="118" spans="1:1" x14ac:dyDescent="0.25">
      <c r="A118" t="s">
        <v>324</v>
      </c>
    </row>
    <row r="119" spans="1:1" x14ac:dyDescent="0.25">
      <c r="A119" s="125" t="s">
        <v>325</v>
      </c>
    </row>
    <row r="120" spans="1:1" x14ac:dyDescent="0.25">
      <c r="A120" s="125" t="s">
        <v>326</v>
      </c>
    </row>
    <row r="121" spans="1:1" x14ac:dyDescent="0.25">
      <c r="A121" s="125" t="s">
        <v>327</v>
      </c>
    </row>
    <row r="122" spans="1:1" x14ac:dyDescent="0.25">
      <c r="A122" s="124" t="s">
        <v>328</v>
      </c>
    </row>
    <row r="123" spans="1:1" x14ac:dyDescent="0.25">
      <c r="A123" s="124" t="s">
        <v>329</v>
      </c>
    </row>
    <row r="124" spans="1:1" x14ac:dyDescent="0.25">
      <c r="A124" s="125" t="s">
        <v>330</v>
      </c>
    </row>
    <row r="125" spans="1:1" x14ac:dyDescent="0.25">
      <c r="A125" s="124" t="s">
        <v>331</v>
      </c>
    </row>
    <row r="126" spans="1:1" x14ac:dyDescent="0.25">
      <c r="A126" t="s">
        <v>332</v>
      </c>
    </row>
    <row r="127" spans="1:1" x14ac:dyDescent="0.25">
      <c r="A127" s="124" t="s">
        <v>333</v>
      </c>
    </row>
    <row r="128" spans="1:1" x14ac:dyDescent="0.25">
      <c r="A128" s="124" t="s">
        <v>334</v>
      </c>
    </row>
    <row r="129" spans="1:1" x14ac:dyDescent="0.25">
      <c r="A129" s="27" t="s">
        <v>335</v>
      </c>
    </row>
    <row r="130" spans="1:1" ht="255" x14ac:dyDescent="0.25">
      <c r="A130" s="126" t="s">
        <v>336</v>
      </c>
    </row>
    <row r="131" spans="1:1" ht="270" x14ac:dyDescent="0.25">
      <c r="A131" s="126" t="s">
        <v>337</v>
      </c>
    </row>
    <row r="132" spans="1:1" x14ac:dyDescent="0.25">
      <c r="A132" s="124" t="s">
        <v>338</v>
      </c>
    </row>
    <row r="133" spans="1:1" x14ac:dyDescent="0.25">
      <c r="A133" t="s">
        <v>339</v>
      </c>
    </row>
    <row r="134" spans="1:1" x14ac:dyDescent="0.25">
      <c r="A134" s="125" t="s">
        <v>340</v>
      </c>
    </row>
    <row r="135" spans="1:1" x14ac:dyDescent="0.25">
      <c r="A135" s="124" t="s">
        <v>341</v>
      </c>
    </row>
    <row r="136" spans="1:1" x14ac:dyDescent="0.25">
      <c r="A136" t="s">
        <v>342</v>
      </c>
    </row>
    <row r="137" spans="1:1" x14ac:dyDescent="0.25">
      <c r="A137" s="125" t="s">
        <v>343</v>
      </c>
    </row>
    <row r="138" spans="1:1" x14ac:dyDescent="0.25">
      <c r="A138" s="125" t="s">
        <v>344</v>
      </c>
    </row>
    <row r="139" spans="1:1" x14ac:dyDescent="0.25">
      <c r="A139" s="124" t="s">
        <v>345</v>
      </c>
    </row>
    <row r="140" spans="1:1" x14ac:dyDescent="0.25">
      <c r="A140" t="s">
        <v>346</v>
      </c>
    </row>
    <row r="141" spans="1:1" x14ac:dyDescent="0.25">
      <c r="A141" s="125" t="s">
        <v>347</v>
      </c>
    </row>
    <row r="142" spans="1:1" x14ac:dyDescent="0.25">
      <c r="A142" s="124" t="s">
        <v>348</v>
      </c>
    </row>
    <row r="143" spans="1:1" x14ac:dyDescent="0.25">
      <c r="A143" t="s">
        <v>349</v>
      </c>
    </row>
    <row r="144" spans="1:1" x14ac:dyDescent="0.25">
      <c r="A144" s="125" t="s">
        <v>350</v>
      </c>
    </row>
    <row r="145" spans="1:1" x14ac:dyDescent="0.25">
      <c r="A145" s="125" t="s">
        <v>351</v>
      </c>
    </row>
    <row r="146" spans="1:1" x14ac:dyDescent="0.25">
      <c r="A146" s="124" t="s">
        <v>352</v>
      </c>
    </row>
    <row r="147" spans="1:1" x14ac:dyDescent="0.25">
      <c r="A147" s="124" t="s">
        <v>353</v>
      </c>
    </row>
    <row r="148" spans="1:1" x14ac:dyDescent="0.25">
      <c r="A148" t="s">
        <v>354</v>
      </c>
    </row>
    <row r="149" spans="1:1" x14ac:dyDescent="0.25">
      <c r="A149" s="124" t="s">
        <v>355</v>
      </c>
    </row>
    <row r="150" spans="1:1" x14ac:dyDescent="0.25">
      <c r="A150" s="124" t="s">
        <v>356</v>
      </c>
    </row>
    <row r="151" spans="1:1" x14ac:dyDescent="0.25">
      <c r="A151" s="27" t="s">
        <v>357</v>
      </c>
    </row>
    <row r="152" spans="1:1" x14ac:dyDescent="0.25">
      <c r="A152" s="125" t="s">
        <v>358</v>
      </c>
    </row>
    <row r="153" spans="1:1" x14ac:dyDescent="0.25">
      <c r="A153" s="124" t="s">
        <v>359</v>
      </c>
    </row>
    <row r="154" spans="1:1" x14ac:dyDescent="0.25">
      <c r="A154" t="s">
        <v>360</v>
      </c>
    </row>
    <row r="155" spans="1:1" x14ac:dyDescent="0.25">
      <c r="A155" s="125" t="s">
        <v>361</v>
      </c>
    </row>
    <row r="156" spans="1:1" x14ac:dyDescent="0.25">
      <c r="A156" s="125" t="s">
        <v>362</v>
      </c>
    </row>
    <row r="157" spans="1:1" x14ac:dyDescent="0.25">
      <c r="A157" s="27" t="s">
        <v>363</v>
      </c>
    </row>
    <row r="158" spans="1:1" x14ac:dyDescent="0.25">
      <c r="A158" s="27" t="s">
        <v>364</v>
      </c>
    </row>
    <row r="159" spans="1:1" x14ac:dyDescent="0.25">
      <c r="A159" s="27" t="s">
        <v>365</v>
      </c>
    </row>
    <row r="160" spans="1:1" x14ac:dyDescent="0.25">
      <c r="A160" t="s">
        <v>366</v>
      </c>
    </row>
    <row r="161" spans="1:1" ht="255" x14ac:dyDescent="0.25">
      <c r="A161" s="126" t="s">
        <v>367</v>
      </c>
    </row>
    <row r="162" spans="1:1" ht="270" x14ac:dyDescent="0.25">
      <c r="A162" s="126" t="s">
        <v>368</v>
      </c>
    </row>
    <row r="163" spans="1:1" x14ac:dyDescent="0.25">
      <c r="A163" s="124" t="s">
        <v>369</v>
      </c>
    </row>
    <row r="164" spans="1:1" x14ac:dyDescent="0.25">
      <c r="A164" t="s">
        <v>370</v>
      </c>
    </row>
    <row r="165" spans="1:1" x14ac:dyDescent="0.25">
      <c r="A165" s="125" t="s">
        <v>371</v>
      </c>
    </row>
    <row r="166" spans="1:1" x14ac:dyDescent="0.25">
      <c r="A166" s="124" t="s">
        <v>372</v>
      </c>
    </row>
    <row r="167" spans="1:1" x14ac:dyDescent="0.25">
      <c r="A167" t="s">
        <v>373</v>
      </c>
    </row>
    <row r="168" spans="1:1" x14ac:dyDescent="0.25">
      <c r="A168" s="125" t="s">
        <v>374</v>
      </c>
    </row>
    <row r="169" spans="1:1" x14ac:dyDescent="0.25">
      <c r="A169" s="125" t="s">
        <v>375</v>
      </c>
    </row>
    <row r="170" spans="1:1" x14ac:dyDescent="0.25">
      <c r="A170" s="124" t="s">
        <v>376</v>
      </c>
    </row>
    <row r="171" spans="1:1" x14ac:dyDescent="0.25">
      <c r="A171" t="s">
        <v>377</v>
      </c>
    </row>
    <row r="172" spans="1:1" x14ac:dyDescent="0.25">
      <c r="A172" s="125" t="s">
        <v>378</v>
      </c>
    </row>
    <row r="173" spans="1:1" x14ac:dyDescent="0.25">
      <c r="A173" s="124" t="s">
        <v>379</v>
      </c>
    </row>
    <row r="174" spans="1:1" x14ac:dyDescent="0.25">
      <c r="A174" t="s">
        <v>380</v>
      </c>
    </row>
    <row r="175" spans="1:1" x14ac:dyDescent="0.25">
      <c r="A175" s="125" t="s">
        <v>381</v>
      </c>
    </row>
    <row r="176" spans="1:1" x14ac:dyDescent="0.25">
      <c r="A176" s="125" t="s">
        <v>382</v>
      </c>
    </row>
    <row r="177" spans="1:1" x14ac:dyDescent="0.25">
      <c r="A177" s="124" t="s">
        <v>383</v>
      </c>
    </row>
    <row r="178" spans="1:1" x14ac:dyDescent="0.25">
      <c r="A178" t="s">
        <v>384</v>
      </c>
    </row>
    <row r="179" spans="1:1" x14ac:dyDescent="0.25">
      <c r="A179" s="124" t="s">
        <v>385</v>
      </c>
    </row>
    <row r="180" spans="1:1" x14ac:dyDescent="0.25">
      <c r="A180" s="27" t="s">
        <v>386</v>
      </c>
    </row>
    <row r="181" spans="1:1" x14ac:dyDescent="0.25">
      <c r="A181" s="124" t="s">
        <v>387</v>
      </c>
    </row>
    <row r="182" spans="1:1" x14ac:dyDescent="0.25">
      <c r="A182" s="124" t="s">
        <v>388</v>
      </c>
    </row>
    <row r="183" spans="1:1" x14ac:dyDescent="0.25">
      <c r="A183" t="s">
        <v>389</v>
      </c>
    </row>
    <row r="184" spans="1:1" x14ac:dyDescent="0.25">
      <c r="A184" s="124" t="s">
        <v>390</v>
      </c>
    </row>
    <row r="185" spans="1:1" x14ac:dyDescent="0.25">
      <c r="A185" s="124" t="s">
        <v>391</v>
      </c>
    </row>
    <row r="186" spans="1:1" x14ac:dyDescent="0.25">
      <c r="A186" s="124" t="s">
        <v>392</v>
      </c>
    </row>
    <row r="187" spans="1:1" ht="255" x14ac:dyDescent="0.25">
      <c r="A187" s="126" t="s">
        <v>393</v>
      </c>
    </row>
    <row r="188" spans="1:1" ht="270" x14ac:dyDescent="0.25">
      <c r="A188" s="126" t="s">
        <v>394</v>
      </c>
    </row>
    <row r="189" spans="1:1" x14ac:dyDescent="0.25">
      <c r="A189" s="124" t="s">
        <v>395</v>
      </c>
    </row>
    <row r="190" spans="1:1" x14ac:dyDescent="0.25">
      <c r="A190" t="s">
        <v>396</v>
      </c>
    </row>
    <row r="191" spans="1:1" x14ac:dyDescent="0.25">
      <c r="A191" s="125" t="s">
        <v>397</v>
      </c>
    </row>
    <row r="192" spans="1:1" x14ac:dyDescent="0.25">
      <c r="A192" s="124" t="s">
        <v>398</v>
      </c>
    </row>
    <row r="193" spans="1:1" x14ac:dyDescent="0.25">
      <c r="A193" t="s">
        <v>399</v>
      </c>
    </row>
    <row r="194" spans="1:1" x14ac:dyDescent="0.25">
      <c r="A194" s="125" t="s">
        <v>400</v>
      </c>
    </row>
    <row r="195" spans="1:1" x14ac:dyDescent="0.25">
      <c r="A195" s="125" t="s">
        <v>401</v>
      </c>
    </row>
    <row r="196" spans="1:1" x14ac:dyDescent="0.25">
      <c r="A196" s="124" t="s">
        <v>402</v>
      </c>
    </row>
    <row r="197" spans="1:1" x14ac:dyDescent="0.25">
      <c r="A197" t="s">
        <v>403</v>
      </c>
    </row>
    <row r="198" spans="1:1" x14ac:dyDescent="0.25">
      <c r="A198" s="125" t="s">
        <v>404</v>
      </c>
    </row>
    <row r="199" spans="1:1" x14ac:dyDescent="0.25">
      <c r="A199" s="124" t="s">
        <v>405</v>
      </c>
    </row>
    <row r="200" spans="1:1" x14ac:dyDescent="0.25">
      <c r="A200" t="s">
        <v>406</v>
      </c>
    </row>
    <row r="201" spans="1:1" x14ac:dyDescent="0.25">
      <c r="A201" s="125" t="s">
        <v>407</v>
      </c>
    </row>
    <row r="202" spans="1:1" x14ac:dyDescent="0.25">
      <c r="A202" s="125" t="s">
        <v>408</v>
      </c>
    </row>
    <row r="203" spans="1:1" x14ac:dyDescent="0.25">
      <c r="A203" s="27" t="s">
        <v>409</v>
      </c>
    </row>
    <row r="204" spans="1:1" x14ac:dyDescent="0.25">
      <c r="A204" s="125" t="s">
        <v>410</v>
      </c>
    </row>
    <row r="205" spans="1:1" x14ac:dyDescent="0.25">
      <c r="A205" s="124" t="s">
        <v>411</v>
      </c>
    </row>
    <row r="206" spans="1:1" x14ac:dyDescent="0.25">
      <c r="A206" t="s">
        <v>412</v>
      </c>
    </row>
    <row r="207" spans="1:1" x14ac:dyDescent="0.25">
      <c r="A207" s="125" t="s">
        <v>413</v>
      </c>
    </row>
    <row r="208" spans="1:1" x14ac:dyDescent="0.25">
      <c r="A208" s="125" t="s">
        <v>414</v>
      </c>
    </row>
    <row r="209" spans="1:1" x14ac:dyDescent="0.25">
      <c r="A209" s="27" t="s">
        <v>415</v>
      </c>
    </row>
    <row r="210" spans="1:1" x14ac:dyDescent="0.25">
      <c r="A210" s="27" t="s">
        <v>416</v>
      </c>
    </row>
    <row r="211" spans="1:1" x14ac:dyDescent="0.25">
      <c r="A211" s="27" t="s">
        <v>417</v>
      </c>
    </row>
    <row r="212" spans="1:1" x14ac:dyDescent="0.25">
      <c r="A212" t="s">
        <v>418</v>
      </c>
    </row>
    <row r="213" spans="1:1" x14ac:dyDescent="0.25">
      <c r="A213" s="124" t="s">
        <v>419</v>
      </c>
    </row>
    <row r="214" spans="1:1" x14ac:dyDescent="0.25">
      <c r="A214" s="124" t="s">
        <v>420</v>
      </c>
    </row>
    <row r="215" spans="1:1" x14ac:dyDescent="0.25">
      <c r="A215" t="s">
        <v>421</v>
      </c>
    </row>
    <row r="216" spans="1:1" x14ac:dyDescent="0.25">
      <c r="A216" s="124" t="s">
        <v>422</v>
      </c>
    </row>
    <row r="217" spans="1:1" x14ac:dyDescent="0.25">
      <c r="A217" s="124" t="s">
        <v>423</v>
      </c>
    </row>
    <row r="218" spans="1:1" ht="255" x14ac:dyDescent="0.25">
      <c r="A218" s="126" t="s">
        <v>424</v>
      </c>
    </row>
    <row r="219" spans="1:1" ht="270" x14ac:dyDescent="0.25">
      <c r="A219" s="126" t="s">
        <v>425</v>
      </c>
    </row>
    <row r="220" spans="1:1" x14ac:dyDescent="0.25">
      <c r="A220" s="124" t="s">
        <v>426</v>
      </c>
    </row>
    <row r="221" spans="1:1" x14ac:dyDescent="0.25">
      <c r="A221" t="s">
        <v>427</v>
      </c>
    </row>
    <row r="222" spans="1:1" x14ac:dyDescent="0.25">
      <c r="A222" s="125" t="s">
        <v>428</v>
      </c>
    </row>
    <row r="223" spans="1:1" x14ac:dyDescent="0.25">
      <c r="A223" s="124" t="s">
        <v>429</v>
      </c>
    </row>
    <row r="224" spans="1:1" x14ac:dyDescent="0.25">
      <c r="A224" t="s">
        <v>430</v>
      </c>
    </row>
    <row r="225" spans="1:1" x14ac:dyDescent="0.25">
      <c r="A225" s="125" t="s">
        <v>431</v>
      </c>
    </row>
    <row r="226" spans="1:1" x14ac:dyDescent="0.25">
      <c r="A226" s="125" t="s">
        <v>432</v>
      </c>
    </row>
    <row r="227" spans="1:1" x14ac:dyDescent="0.25">
      <c r="A227" s="125" t="s">
        <v>433</v>
      </c>
    </row>
    <row r="228" spans="1:1" x14ac:dyDescent="0.25">
      <c r="A228" s="124" t="s">
        <v>434</v>
      </c>
    </row>
    <row r="229" spans="1:1" x14ac:dyDescent="0.25">
      <c r="A229" t="s">
        <v>435</v>
      </c>
    </row>
    <row r="230" spans="1:1" x14ac:dyDescent="0.25">
      <c r="A230" s="125" t="s">
        <v>436</v>
      </c>
    </row>
    <row r="231" spans="1:1" x14ac:dyDescent="0.25">
      <c r="A231" s="125" t="s">
        <v>437</v>
      </c>
    </row>
    <row r="232" spans="1:1" x14ac:dyDescent="0.25">
      <c r="A232" s="27" t="s">
        <v>438</v>
      </c>
    </row>
    <row r="233" spans="1:1" x14ac:dyDescent="0.25">
      <c r="A233" s="27" t="s">
        <v>439</v>
      </c>
    </row>
    <row r="234" spans="1:1" x14ac:dyDescent="0.25">
      <c r="A234" s="27" t="s">
        <v>440</v>
      </c>
    </row>
    <row r="235" spans="1:1" x14ac:dyDescent="0.25">
      <c r="A235" t="s">
        <v>441</v>
      </c>
    </row>
    <row r="236" spans="1:1" x14ac:dyDescent="0.25">
      <c r="A236" s="124" t="s">
        <v>442</v>
      </c>
    </row>
    <row r="237" spans="1:1" x14ac:dyDescent="0.25">
      <c r="A237" t="s">
        <v>443</v>
      </c>
    </row>
    <row r="238" spans="1:1" x14ac:dyDescent="0.25">
      <c r="A238" s="125" t="s">
        <v>444</v>
      </c>
    </row>
    <row r="239" spans="1:1" x14ac:dyDescent="0.25">
      <c r="A239" s="124" t="s">
        <v>445</v>
      </c>
    </row>
    <row r="240" spans="1:1" x14ac:dyDescent="0.25">
      <c r="A240" t="s">
        <v>446</v>
      </c>
    </row>
    <row r="241" spans="1:1" x14ac:dyDescent="0.25">
      <c r="A241" s="125" t="s">
        <v>447</v>
      </c>
    </row>
    <row r="242" spans="1:1" x14ac:dyDescent="0.25">
      <c r="A242" s="125" t="s">
        <v>448</v>
      </c>
    </row>
    <row r="243" spans="1:1" x14ac:dyDescent="0.25">
      <c r="A243" s="124" t="s">
        <v>449</v>
      </c>
    </row>
    <row r="244" spans="1:1" x14ac:dyDescent="0.25">
      <c r="A244" s="27" t="s">
        <v>450</v>
      </c>
    </row>
    <row r="245" spans="1:1" x14ac:dyDescent="0.25">
      <c r="A245" s="125" t="s">
        <v>451</v>
      </c>
    </row>
    <row r="246" spans="1:1" x14ac:dyDescent="0.25">
      <c r="A246" s="124" t="s">
        <v>452</v>
      </c>
    </row>
    <row r="247" spans="1:1" x14ac:dyDescent="0.25">
      <c r="A247" t="s">
        <v>453</v>
      </c>
    </row>
    <row r="248" spans="1:1" x14ac:dyDescent="0.25">
      <c r="A248" s="125" t="s">
        <v>454</v>
      </c>
    </row>
    <row r="249" spans="1:1" x14ac:dyDescent="0.25">
      <c r="A249" s="125" t="s">
        <v>455</v>
      </c>
    </row>
    <row r="250" spans="1:1" x14ac:dyDescent="0.25">
      <c r="A250" s="27" t="s">
        <v>456</v>
      </c>
    </row>
    <row r="251" spans="1:1" x14ac:dyDescent="0.25">
      <c r="A251" s="27" t="s">
        <v>457</v>
      </c>
    </row>
    <row r="252" spans="1:1" x14ac:dyDescent="0.25">
      <c r="A252" s="27" t="s">
        <v>458</v>
      </c>
    </row>
    <row r="253" spans="1:1" x14ac:dyDescent="0.25">
      <c r="A253" t="s">
        <v>459</v>
      </c>
    </row>
    <row r="254" spans="1:1" ht="255" x14ac:dyDescent="0.25">
      <c r="A254" s="126" t="s">
        <v>460</v>
      </c>
    </row>
    <row r="255" spans="1:1" ht="270" x14ac:dyDescent="0.25">
      <c r="A255" s="126" t="s">
        <v>461</v>
      </c>
    </row>
    <row r="256" spans="1:1" x14ac:dyDescent="0.25">
      <c r="A256" s="124" t="s">
        <v>462</v>
      </c>
    </row>
    <row r="257" spans="1:1" x14ac:dyDescent="0.25">
      <c r="A257" t="s">
        <v>463</v>
      </c>
    </row>
    <row r="258" spans="1:1" x14ac:dyDescent="0.25">
      <c r="A258" s="125" t="s">
        <v>464</v>
      </c>
    </row>
    <row r="259" spans="1:1" x14ac:dyDescent="0.25">
      <c r="A259" s="124" t="s">
        <v>465</v>
      </c>
    </row>
    <row r="260" spans="1:1" x14ac:dyDescent="0.25">
      <c r="A260" t="s">
        <v>466</v>
      </c>
    </row>
    <row r="261" spans="1:1" x14ac:dyDescent="0.25">
      <c r="A261" s="125" t="s">
        <v>467</v>
      </c>
    </row>
    <row r="262" spans="1:1" x14ac:dyDescent="0.25">
      <c r="A262" s="125" t="s">
        <v>468</v>
      </c>
    </row>
    <row r="263" spans="1:1" x14ac:dyDescent="0.25">
      <c r="A263" s="124" t="s">
        <v>469</v>
      </c>
    </row>
    <row r="264" spans="1:1" x14ac:dyDescent="0.25">
      <c r="A264" t="s">
        <v>470</v>
      </c>
    </row>
    <row r="265" spans="1:1" x14ac:dyDescent="0.25">
      <c r="A265" s="125" t="s">
        <v>471</v>
      </c>
    </row>
    <row r="266" spans="1:1" x14ac:dyDescent="0.25">
      <c r="A266" s="124" t="s">
        <v>472</v>
      </c>
    </row>
    <row r="267" spans="1:1" x14ac:dyDescent="0.25">
      <c r="A267" t="s">
        <v>473</v>
      </c>
    </row>
    <row r="268" spans="1:1" x14ac:dyDescent="0.25">
      <c r="A268" s="125" t="s">
        <v>474</v>
      </c>
    </row>
    <row r="269" spans="1:1" x14ac:dyDescent="0.25">
      <c r="A269" s="125" t="s">
        <v>475</v>
      </c>
    </row>
    <row r="270" spans="1:1" x14ac:dyDescent="0.25">
      <c r="A270" t="s">
        <v>476</v>
      </c>
    </row>
    <row r="271" spans="1:1" x14ac:dyDescent="0.25">
      <c r="A271" t="s">
        <v>477</v>
      </c>
    </row>
    <row r="272" spans="1:1" x14ac:dyDescent="0.25">
      <c r="A272" t="s">
        <v>478</v>
      </c>
    </row>
    <row r="273" spans="1:1" x14ac:dyDescent="0.25">
      <c r="A273" t="s">
        <v>479</v>
      </c>
    </row>
    <row r="274" spans="1:1" x14ac:dyDescent="0.25">
      <c r="A274" t="s">
        <v>480</v>
      </c>
    </row>
    <row r="275" spans="1:1" x14ac:dyDescent="0.25">
      <c r="A275" t="s">
        <v>481</v>
      </c>
    </row>
    <row r="276" spans="1:1" x14ac:dyDescent="0.25">
      <c r="A276" t="s">
        <v>482</v>
      </c>
    </row>
    <row r="277" spans="1:1" x14ac:dyDescent="0.25">
      <c r="A277" s="124" t="s">
        <v>483</v>
      </c>
    </row>
    <row r="278" spans="1:1" x14ac:dyDescent="0.25">
      <c r="A278" t="s">
        <v>484</v>
      </c>
    </row>
    <row r="279" spans="1:1" x14ac:dyDescent="0.25">
      <c r="A279" s="124" t="s">
        <v>485</v>
      </c>
    </row>
    <row r="280" spans="1:1" x14ac:dyDescent="0.25">
      <c r="A280" s="27" t="s">
        <v>486</v>
      </c>
    </row>
    <row r="281" spans="1:1" ht="255" x14ac:dyDescent="0.25">
      <c r="A281" s="126" t="s">
        <v>487</v>
      </c>
    </row>
    <row r="282" spans="1:1" ht="270" x14ac:dyDescent="0.25">
      <c r="A282" s="126" t="s">
        <v>488</v>
      </c>
    </row>
    <row r="283" spans="1:1" x14ac:dyDescent="0.25">
      <c r="A283" s="124" t="s">
        <v>489</v>
      </c>
    </row>
    <row r="284" spans="1:1" x14ac:dyDescent="0.25">
      <c r="A284" t="s">
        <v>490</v>
      </c>
    </row>
    <row r="285" spans="1:1" x14ac:dyDescent="0.25">
      <c r="A285" s="125" t="s">
        <v>491</v>
      </c>
    </row>
    <row r="286" spans="1:1" x14ac:dyDescent="0.25">
      <c r="A286" s="124" t="s">
        <v>492</v>
      </c>
    </row>
    <row r="287" spans="1:1" x14ac:dyDescent="0.25">
      <c r="A287" t="s">
        <v>493</v>
      </c>
    </row>
    <row r="288" spans="1:1" x14ac:dyDescent="0.25">
      <c r="A288" s="125" t="s">
        <v>494</v>
      </c>
    </row>
    <row r="289" spans="1:1" x14ac:dyDescent="0.25">
      <c r="A289" s="125" t="s">
        <v>495</v>
      </c>
    </row>
    <row r="290" spans="1:1" x14ac:dyDescent="0.25">
      <c r="A290" s="124" t="s">
        <v>496</v>
      </c>
    </row>
    <row r="291" spans="1:1" x14ac:dyDescent="0.25">
      <c r="A291" t="s">
        <v>497</v>
      </c>
    </row>
    <row r="292" spans="1:1" x14ac:dyDescent="0.25">
      <c r="A292" s="125" t="s">
        <v>498</v>
      </c>
    </row>
    <row r="293" spans="1:1" x14ac:dyDescent="0.25">
      <c r="A293" s="124" t="s">
        <v>499</v>
      </c>
    </row>
    <row r="294" spans="1:1" x14ac:dyDescent="0.25">
      <c r="A294" t="s">
        <v>500</v>
      </c>
    </row>
    <row r="295" spans="1:1" x14ac:dyDescent="0.25">
      <c r="A295" s="125" t="s">
        <v>501</v>
      </c>
    </row>
    <row r="296" spans="1:1" x14ac:dyDescent="0.25">
      <c r="A296" s="125" t="s">
        <v>502</v>
      </c>
    </row>
    <row r="297" spans="1:1" x14ac:dyDescent="0.25">
      <c r="A297" t="s">
        <v>503</v>
      </c>
    </row>
    <row r="298" spans="1:1" x14ac:dyDescent="0.25">
      <c r="A298" t="s">
        <v>504</v>
      </c>
    </row>
    <row r="299" spans="1:1" x14ac:dyDescent="0.25">
      <c r="A299" t="s">
        <v>505</v>
      </c>
    </row>
    <row r="300" spans="1:1" x14ac:dyDescent="0.25">
      <c r="A300" t="s">
        <v>506</v>
      </c>
    </row>
    <row r="301" spans="1:1" x14ac:dyDescent="0.25">
      <c r="A301" t="s">
        <v>507</v>
      </c>
    </row>
    <row r="302" spans="1:1" x14ac:dyDescent="0.25">
      <c r="A302" t="s">
        <v>508</v>
      </c>
    </row>
    <row r="303" spans="1:1" x14ac:dyDescent="0.25">
      <c r="A303" t="s">
        <v>509</v>
      </c>
    </row>
    <row r="304" spans="1:1" x14ac:dyDescent="0.25">
      <c r="A304" t="s">
        <v>510</v>
      </c>
    </row>
    <row r="305" spans="1:1" x14ac:dyDescent="0.25">
      <c r="A305" s="124" t="s">
        <v>511</v>
      </c>
    </row>
    <row r="306" spans="1:1" x14ac:dyDescent="0.25">
      <c r="A306" s="124" t="s">
        <v>512</v>
      </c>
    </row>
    <row r="307" spans="1:1" x14ac:dyDescent="0.25">
      <c r="A307" t="s">
        <v>513</v>
      </c>
    </row>
    <row r="308" spans="1:1" x14ac:dyDescent="0.25">
      <c r="A308" s="124" t="s">
        <v>514</v>
      </c>
    </row>
    <row r="309" spans="1:1" x14ac:dyDescent="0.25">
      <c r="A309" s="27" t="s">
        <v>515</v>
      </c>
    </row>
    <row r="310" spans="1:1" x14ac:dyDescent="0.25">
      <c r="A310" s="125" t="s">
        <v>516</v>
      </c>
    </row>
    <row r="311" spans="1:1" x14ac:dyDescent="0.25">
      <c r="A311" s="124" t="s">
        <v>517</v>
      </c>
    </row>
    <row r="312" spans="1:1" x14ac:dyDescent="0.25">
      <c r="A312" t="s">
        <v>518</v>
      </c>
    </row>
    <row r="313" spans="1:1" x14ac:dyDescent="0.25">
      <c r="A313" s="125" t="s">
        <v>519</v>
      </c>
    </row>
    <row r="314" spans="1:1" x14ac:dyDescent="0.25">
      <c r="A314" s="125" t="s">
        <v>520</v>
      </c>
    </row>
    <row r="315" spans="1:1" x14ac:dyDescent="0.25">
      <c r="A315" s="27" t="s">
        <v>521</v>
      </c>
    </row>
    <row r="316" spans="1:1" x14ac:dyDescent="0.25">
      <c r="A316" s="27" t="s">
        <v>522</v>
      </c>
    </row>
    <row r="317" spans="1:1" x14ac:dyDescent="0.25">
      <c r="A317" s="27" t="s">
        <v>523</v>
      </c>
    </row>
    <row r="318" spans="1:1" x14ac:dyDescent="0.25">
      <c r="A318" t="s">
        <v>524</v>
      </c>
    </row>
    <row r="319" spans="1:1" ht="255" x14ac:dyDescent="0.25">
      <c r="A319" s="126" t="s">
        <v>525</v>
      </c>
    </row>
    <row r="320" spans="1:1" ht="270" x14ac:dyDescent="0.25">
      <c r="A320" s="126" t="s">
        <v>526</v>
      </c>
    </row>
    <row r="321" spans="1:1" x14ac:dyDescent="0.25">
      <c r="A321" s="124" t="s">
        <v>527</v>
      </c>
    </row>
    <row r="322" spans="1:1" x14ac:dyDescent="0.25">
      <c r="A322" t="s">
        <v>528</v>
      </c>
    </row>
    <row r="323" spans="1:1" x14ac:dyDescent="0.25">
      <c r="A323" s="125" t="s">
        <v>529</v>
      </c>
    </row>
    <row r="324" spans="1:1" x14ac:dyDescent="0.25">
      <c r="A324" s="124" t="s">
        <v>530</v>
      </c>
    </row>
    <row r="325" spans="1:1" x14ac:dyDescent="0.25">
      <c r="A325" t="s">
        <v>531</v>
      </c>
    </row>
    <row r="326" spans="1:1" x14ac:dyDescent="0.25">
      <c r="A326" s="125" t="s">
        <v>532</v>
      </c>
    </row>
    <row r="327" spans="1:1" x14ac:dyDescent="0.25">
      <c r="A327" s="125" t="s">
        <v>533</v>
      </c>
    </row>
    <row r="328" spans="1:1" x14ac:dyDescent="0.25">
      <c r="A328" s="124" t="s">
        <v>534</v>
      </c>
    </row>
    <row r="329" spans="1:1" x14ac:dyDescent="0.25">
      <c r="A329" t="s">
        <v>535</v>
      </c>
    </row>
    <row r="330" spans="1:1" x14ac:dyDescent="0.25">
      <c r="A330" s="125" t="s">
        <v>536</v>
      </c>
    </row>
    <row r="331" spans="1:1" x14ac:dyDescent="0.25">
      <c r="A331" s="124" t="s">
        <v>537</v>
      </c>
    </row>
    <row r="332" spans="1:1" x14ac:dyDescent="0.25">
      <c r="A332" t="s">
        <v>538</v>
      </c>
    </row>
    <row r="333" spans="1:1" x14ac:dyDescent="0.25">
      <c r="A333" s="125" t="s">
        <v>539</v>
      </c>
    </row>
    <row r="334" spans="1:1" x14ac:dyDescent="0.25">
      <c r="A334" s="125" t="s">
        <v>540</v>
      </c>
    </row>
    <row r="335" spans="1:1" x14ac:dyDescent="0.25">
      <c r="A335" t="s">
        <v>541</v>
      </c>
    </row>
    <row r="336" spans="1:1" x14ac:dyDescent="0.25">
      <c r="A336" t="s">
        <v>542</v>
      </c>
    </row>
    <row r="337" spans="1:1" x14ac:dyDescent="0.25">
      <c r="A337" t="s">
        <v>543</v>
      </c>
    </row>
    <row r="338" spans="1:1" x14ac:dyDescent="0.25">
      <c r="A338" s="124" t="s">
        <v>544</v>
      </c>
    </row>
    <row r="339" spans="1:1" x14ac:dyDescent="0.25">
      <c r="A339" s="124" t="s">
        <v>545</v>
      </c>
    </row>
    <row r="340" spans="1:1" x14ac:dyDescent="0.25">
      <c r="A340" t="s">
        <v>546</v>
      </c>
    </row>
    <row r="341" spans="1:1" x14ac:dyDescent="0.25">
      <c r="A341" s="124" t="s">
        <v>547</v>
      </c>
    </row>
    <row r="342" spans="1:1" x14ac:dyDescent="0.25">
      <c r="A342" t="s">
        <v>548</v>
      </c>
    </row>
    <row r="343" spans="1:1" x14ac:dyDescent="0.25">
      <c r="A343" t="s">
        <v>549</v>
      </c>
    </row>
    <row r="344" spans="1:1" x14ac:dyDescent="0.25">
      <c r="A344" t="s">
        <v>550</v>
      </c>
    </row>
    <row r="345" spans="1:1" x14ac:dyDescent="0.25">
      <c r="A345" t="s">
        <v>551</v>
      </c>
    </row>
    <row r="346" spans="1:1" x14ac:dyDescent="0.25">
      <c r="A346" t="s">
        <v>552</v>
      </c>
    </row>
    <row r="347" spans="1:1" x14ac:dyDescent="0.25">
      <c r="A347" t="s">
        <v>553</v>
      </c>
    </row>
    <row r="348" spans="1:1" x14ac:dyDescent="0.25">
      <c r="A348" t="s">
        <v>554</v>
      </c>
    </row>
    <row r="349" spans="1:1" x14ac:dyDescent="0.25">
      <c r="A349" t="s">
        <v>555</v>
      </c>
    </row>
    <row r="350" spans="1:1" x14ac:dyDescent="0.25">
      <c r="A350" t="s">
        <v>556</v>
      </c>
    </row>
    <row r="351" spans="1:1" x14ac:dyDescent="0.25">
      <c r="A351" t="s">
        <v>557</v>
      </c>
    </row>
    <row r="352" spans="1:1" x14ac:dyDescent="0.25">
      <c r="A352" t="s">
        <v>558</v>
      </c>
    </row>
    <row r="353" spans="1:1" x14ac:dyDescent="0.25">
      <c r="A353" t="s">
        <v>559</v>
      </c>
    </row>
    <row r="354" spans="1:1" x14ac:dyDescent="0.25">
      <c r="A354" s="27" t="s">
        <v>560</v>
      </c>
    </row>
    <row r="355" spans="1:1" x14ac:dyDescent="0.25">
      <c r="A355" s="125" t="s">
        <v>561</v>
      </c>
    </row>
    <row r="356" spans="1:1" x14ac:dyDescent="0.25">
      <c r="A356" s="124" t="s">
        <v>562</v>
      </c>
    </row>
    <row r="357" spans="1:1" x14ac:dyDescent="0.25">
      <c r="A357" t="s">
        <v>563</v>
      </c>
    </row>
    <row r="358" spans="1:1" x14ac:dyDescent="0.25">
      <c r="A358" s="125" t="s">
        <v>564</v>
      </c>
    </row>
    <row r="359" spans="1:1" x14ac:dyDescent="0.25">
      <c r="A359" s="125" t="s">
        <v>565</v>
      </c>
    </row>
    <row r="360" spans="1:1" x14ac:dyDescent="0.25">
      <c r="A360" s="27" t="s">
        <v>566</v>
      </c>
    </row>
    <row r="361" spans="1:1" x14ac:dyDescent="0.25">
      <c r="A361" s="27" t="s">
        <v>567</v>
      </c>
    </row>
    <row r="362" spans="1:1" x14ac:dyDescent="0.25">
      <c r="A362" s="27" t="s">
        <v>568</v>
      </c>
    </row>
    <row r="363" spans="1:1" x14ac:dyDescent="0.25">
      <c r="A363" t="s">
        <v>569</v>
      </c>
    </row>
    <row r="364" spans="1:1" ht="255" x14ac:dyDescent="0.25">
      <c r="A364" s="126" t="s">
        <v>570</v>
      </c>
    </row>
    <row r="365" spans="1:1" ht="270" x14ac:dyDescent="0.25">
      <c r="A365" s="126" t="s">
        <v>571</v>
      </c>
    </row>
    <row r="366" spans="1:1" x14ac:dyDescent="0.25">
      <c r="A366" s="124" t="s">
        <v>572</v>
      </c>
    </row>
    <row r="367" spans="1:1" x14ac:dyDescent="0.25">
      <c r="A367" t="s">
        <v>573</v>
      </c>
    </row>
    <row r="368" spans="1:1" x14ac:dyDescent="0.25">
      <c r="A368" s="125" t="s">
        <v>574</v>
      </c>
    </row>
    <row r="369" spans="1:1" x14ac:dyDescent="0.25">
      <c r="A369" s="124" t="s">
        <v>575</v>
      </c>
    </row>
    <row r="370" spans="1:1" x14ac:dyDescent="0.25">
      <c r="A370" t="s">
        <v>576</v>
      </c>
    </row>
    <row r="371" spans="1:1" x14ac:dyDescent="0.25">
      <c r="A371" s="125" t="s">
        <v>577</v>
      </c>
    </row>
    <row r="372" spans="1:1" x14ac:dyDescent="0.25">
      <c r="A372" s="125" t="s">
        <v>578</v>
      </c>
    </row>
    <row r="373" spans="1:1" x14ac:dyDescent="0.25">
      <c r="A373" s="124" t="s">
        <v>579</v>
      </c>
    </row>
    <row r="374" spans="1:1" x14ac:dyDescent="0.25">
      <c r="A374" t="s">
        <v>580</v>
      </c>
    </row>
    <row r="375" spans="1:1" x14ac:dyDescent="0.25">
      <c r="A375" s="125" t="s">
        <v>581</v>
      </c>
    </row>
    <row r="376" spans="1:1" x14ac:dyDescent="0.25">
      <c r="A376" s="124" t="s">
        <v>582</v>
      </c>
    </row>
    <row r="377" spans="1:1" x14ac:dyDescent="0.25">
      <c r="A377" t="s">
        <v>583</v>
      </c>
    </row>
    <row r="378" spans="1:1" x14ac:dyDescent="0.25">
      <c r="A378" s="125" t="s">
        <v>584</v>
      </c>
    </row>
    <row r="379" spans="1:1" x14ac:dyDescent="0.25">
      <c r="A379" s="125" t="s">
        <v>585</v>
      </c>
    </row>
    <row r="380" spans="1:1" x14ac:dyDescent="0.25">
      <c r="A380" t="s">
        <v>586</v>
      </c>
    </row>
    <row r="381" spans="1:1" x14ac:dyDescent="0.25">
      <c r="A381" t="s">
        <v>587</v>
      </c>
    </row>
    <row r="382" spans="1:1" x14ac:dyDescent="0.25">
      <c r="A382" t="s">
        <v>588</v>
      </c>
    </row>
    <row r="383" spans="1:1" x14ac:dyDescent="0.25">
      <c r="A383" t="s">
        <v>589</v>
      </c>
    </row>
    <row r="384" spans="1:1" x14ac:dyDescent="0.25">
      <c r="A384" t="s">
        <v>590</v>
      </c>
    </row>
    <row r="385" spans="1:1" x14ac:dyDescent="0.25">
      <c r="A385" t="s">
        <v>591</v>
      </c>
    </row>
    <row r="386" spans="1:1" x14ac:dyDescent="0.25">
      <c r="A386" s="124" t="s">
        <v>592</v>
      </c>
    </row>
    <row r="387" spans="1:1" x14ac:dyDescent="0.25">
      <c r="A387" s="124" t="s">
        <v>593</v>
      </c>
    </row>
    <row r="388" spans="1:1" x14ac:dyDescent="0.25">
      <c r="A388" t="s">
        <v>594</v>
      </c>
    </row>
    <row r="389" spans="1:1" x14ac:dyDescent="0.25">
      <c r="A389" s="124" t="s">
        <v>595</v>
      </c>
    </row>
    <row r="390" spans="1:1" x14ac:dyDescent="0.25">
      <c r="A390" s="27" t="s">
        <v>596</v>
      </c>
    </row>
    <row r="391" spans="1:1" x14ac:dyDescent="0.25">
      <c r="A391" s="125" t="s">
        <v>597</v>
      </c>
    </row>
    <row r="392" spans="1:1" x14ac:dyDescent="0.25">
      <c r="A392" s="124" t="s">
        <v>598</v>
      </c>
    </row>
    <row r="393" spans="1:1" x14ac:dyDescent="0.25">
      <c r="A393" t="s">
        <v>599</v>
      </c>
    </row>
    <row r="394" spans="1:1" x14ac:dyDescent="0.25">
      <c r="A394" s="125" t="s">
        <v>600</v>
      </c>
    </row>
    <row r="395" spans="1:1" x14ac:dyDescent="0.25">
      <c r="A395" s="125" t="s">
        <v>601</v>
      </c>
    </row>
    <row r="396" spans="1:1" x14ac:dyDescent="0.25">
      <c r="A396" s="27" t="s">
        <v>602</v>
      </c>
    </row>
    <row r="397" spans="1:1" x14ac:dyDescent="0.25">
      <c r="A397" s="27" t="s">
        <v>603</v>
      </c>
    </row>
    <row r="398" spans="1:1" x14ac:dyDescent="0.25">
      <c r="A398" s="27" t="s">
        <v>604</v>
      </c>
    </row>
    <row r="399" spans="1:1" x14ac:dyDescent="0.25">
      <c r="A399" t="s">
        <v>605</v>
      </c>
    </row>
    <row r="400" spans="1:1" ht="255" x14ac:dyDescent="0.25">
      <c r="A400" s="126" t="s">
        <v>606</v>
      </c>
    </row>
    <row r="401" spans="1:1" ht="270" x14ac:dyDescent="0.25">
      <c r="A401" s="126" t="s">
        <v>607</v>
      </c>
    </row>
    <row r="402" spans="1:1" x14ac:dyDescent="0.25">
      <c r="A402" s="124" t="s">
        <v>608</v>
      </c>
    </row>
    <row r="403" spans="1:1" x14ac:dyDescent="0.25">
      <c r="A403" t="s">
        <v>609</v>
      </c>
    </row>
    <row r="404" spans="1:1" x14ac:dyDescent="0.25">
      <c r="A404" s="125" t="s">
        <v>610</v>
      </c>
    </row>
    <row r="405" spans="1:1" x14ac:dyDescent="0.25">
      <c r="A405" s="124" t="s">
        <v>611</v>
      </c>
    </row>
    <row r="406" spans="1:1" x14ac:dyDescent="0.25">
      <c r="A406" t="s">
        <v>612</v>
      </c>
    </row>
    <row r="407" spans="1:1" x14ac:dyDescent="0.25">
      <c r="A407" s="125" t="s">
        <v>613</v>
      </c>
    </row>
    <row r="408" spans="1:1" x14ac:dyDescent="0.25">
      <c r="A408" s="125" t="s">
        <v>614</v>
      </c>
    </row>
    <row r="409" spans="1:1" x14ac:dyDescent="0.25">
      <c r="A409" s="124" t="s">
        <v>615</v>
      </c>
    </row>
    <row r="410" spans="1:1" x14ac:dyDescent="0.25">
      <c r="A410" t="s">
        <v>616</v>
      </c>
    </row>
    <row r="411" spans="1:1" x14ac:dyDescent="0.25">
      <c r="A411" s="125" t="s">
        <v>617</v>
      </c>
    </row>
    <row r="412" spans="1:1" x14ac:dyDescent="0.25">
      <c r="A412" s="124" t="s">
        <v>618</v>
      </c>
    </row>
    <row r="413" spans="1:1" x14ac:dyDescent="0.25">
      <c r="A413" t="s">
        <v>619</v>
      </c>
    </row>
    <row r="414" spans="1:1" x14ac:dyDescent="0.25">
      <c r="A414" s="125" t="s">
        <v>620</v>
      </c>
    </row>
    <row r="415" spans="1:1" x14ac:dyDescent="0.25">
      <c r="A415" s="125" t="s">
        <v>621</v>
      </c>
    </row>
    <row r="416" spans="1:1" x14ac:dyDescent="0.25">
      <c r="A416" t="s">
        <v>622</v>
      </c>
    </row>
    <row r="417" spans="1:1" x14ac:dyDescent="0.25">
      <c r="A417" t="s">
        <v>623</v>
      </c>
    </row>
    <row r="418" spans="1:1" x14ac:dyDescent="0.25">
      <c r="A418" t="s">
        <v>624</v>
      </c>
    </row>
    <row r="419" spans="1:1" x14ac:dyDescent="0.25">
      <c r="A419" s="124" t="s">
        <v>625</v>
      </c>
    </row>
    <row r="420" spans="1:1" x14ac:dyDescent="0.25">
      <c r="A420" s="124" t="s">
        <v>626</v>
      </c>
    </row>
    <row r="421" spans="1:1" x14ac:dyDescent="0.25">
      <c r="A421" t="s">
        <v>627</v>
      </c>
    </row>
    <row r="422" spans="1:1" x14ac:dyDescent="0.25">
      <c r="A422" s="124" t="s">
        <v>628</v>
      </c>
    </row>
    <row r="423" spans="1:1" x14ac:dyDescent="0.25">
      <c r="A423" s="27" t="s">
        <v>629</v>
      </c>
    </row>
    <row r="424" spans="1:1" x14ac:dyDescent="0.25">
      <c r="A424" s="125" t="s">
        <v>630</v>
      </c>
    </row>
    <row r="425" spans="1:1" x14ac:dyDescent="0.25">
      <c r="A425" s="124" t="s">
        <v>631</v>
      </c>
    </row>
    <row r="426" spans="1:1" x14ac:dyDescent="0.25">
      <c r="A426" t="s">
        <v>632</v>
      </c>
    </row>
    <row r="427" spans="1:1" x14ac:dyDescent="0.25">
      <c r="A427" s="125" t="s">
        <v>633</v>
      </c>
    </row>
    <row r="428" spans="1:1" x14ac:dyDescent="0.25">
      <c r="A428" s="125" t="s">
        <v>634</v>
      </c>
    </row>
    <row r="429" spans="1:1" x14ac:dyDescent="0.25">
      <c r="A429" s="27" t="s">
        <v>635</v>
      </c>
    </row>
    <row r="430" spans="1:1" x14ac:dyDescent="0.25">
      <c r="A430" s="27" t="s">
        <v>636</v>
      </c>
    </row>
    <row r="431" spans="1:1" x14ac:dyDescent="0.25">
      <c r="A431" s="27" t="s">
        <v>637</v>
      </c>
    </row>
    <row r="432" spans="1:1" x14ac:dyDescent="0.25">
      <c r="A432" t="s">
        <v>638</v>
      </c>
    </row>
    <row r="433" spans="1:1" ht="255" x14ac:dyDescent="0.25">
      <c r="A433" s="126" t="s">
        <v>639</v>
      </c>
    </row>
    <row r="434" spans="1:1" ht="270" x14ac:dyDescent="0.25">
      <c r="A434" s="126" t="s">
        <v>640</v>
      </c>
    </row>
    <row r="435" spans="1:1" x14ac:dyDescent="0.25">
      <c r="A435" s="124" t="s">
        <v>641</v>
      </c>
    </row>
    <row r="436" spans="1:1" x14ac:dyDescent="0.25">
      <c r="A436" t="s">
        <v>642</v>
      </c>
    </row>
    <row r="437" spans="1:1" x14ac:dyDescent="0.25">
      <c r="A437" s="125" t="s">
        <v>643</v>
      </c>
    </row>
    <row r="438" spans="1:1" x14ac:dyDescent="0.25">
      <c r="A438" s="124" t="s">
        <v>644</v>
      </c>
    </row>
    <row r="439" spans="1:1" x14ac:dyDescent="0.25">
      <c r="A439" t="s">
        <v>645</v>
      </c>
    </row>
    <row r="440" spans="1:1" x14ac:dyDescent="0.25">
      <c r="A440" s="125" t="s">
        <v>646</v>
      </c>
    </row>
    <row r="441" spans="1:1" x14ac:dyDescent="0.25">
      <c r="A441" s="125" t="s">
        <v>647</v>
      </c>
    </row>
    <row r="442" spans="1:1" x14ac:dyDescent="0.25">
      <c r="A442" s="124" t="s">
        <v>648</v>
      </c>
    </row>
    <row r="443" spans="1:1" x14ac:dyDescent="0.25">
      <c r="A443" t="s">
        <v>649</v>
      </c>
    </row>
    <row r="444" spans="1:1" x14ac:dyDescent="0.25">
      <c r="A444" s="125" t="s">
        <v>650</v>
      </c>
    </row>
    <row r="445" spans="1:1" x14ac:dyDescent="0.25">
      <c r="A445" s="124" t="s">
        <v>651</v>
      </c>
    </row>
    <row r="446" spans="1:1" x14ac:dyDescent="0.25">
      <c r="A446" t="s">
        <v>652</v>
      </c>
    </row>
    <row r="447" spans="1:1" x14ac:dyDescent="0.25">
      <c r="A447" s="125" t="s">
        <v>653</v>
      </c>
    </row>
    <row r="448" spans="1:1" x14ac:dyDescent="0.25">
      <c r="A448" s="125" t="s">
        <v>654</v>
      </c>
    </row>
    <row r="449" spans="1:1" x14ac:dyDescent="0.25">
      <c r="A449" s="124" t="s">
        <v>655</v>
      </c>
    </row>
    <row r="450" spans="1:1" x14ac:dyDescent="0.25">
      <c r="A450" s="124" t="s">
        <v>656</v>
      </c>
    </row>
    <row r="451" spans="1:1" x14ac:dyDescent="0.25">
      <c r="A451" t="s">
        <v>657</v>
      </c>
    </row>
    <row r="452" spans="1:1" x14ac:dyDescent="0.25">
      <c r="A452" s="124" t="s">
        <v>658</v>
      </c>
    </row>
    <row r="453" spans="1:1" x14ac:dyDescent="0.25">
      <c r="A453" s="124" t="s">
        <v>659</v>
      </c>
    </row>
    <row r="454" spans="1:1" x14ac:dyDescent="0.25">
      <c r="A454" s="124" t="s">
        <v>660</v>
      </c>
    </row>
    <row r="455" spans="1:1" x14ac:dyDescent="0.25">
      <c r="A455" s="27" t="s">
        <v>661</v>
      </c>
    </row>
    <row r="456" spans="1:1" x14ac:dyDescent="0.25">
      <c r="A456" s="125" t="s">
        <v>662</v>
      </c>
    </row>
    <row r="457" spans="1:1" x14ac:dyDescent="0.25">
      <c r="A457" s="124" t="s">
        <v>663</v>
      </c>
    </row>
    <row r="458" spans="1:1" x14ac:dyDescent="0.25">
      <c r="A458" t="s">
        <v>664</v>
      </c>
    </row>
    <row r="459" spans="1:1" x14ac:dyDescent="0.25">
      <c r="A459" s="125" t="s">
        <v>665</v>
      </c>
    </row>
    <row r="460" spans="1:1" x14ac:dyDescent="0.25">
      <c r="A460" s="125" t="s">
        <v>666</v>
      </c>
    </row>
    <row r="461" spans="1:1" x14ac:dyDescent="0.25">
      <c r="A461" s="27" t="s">
        <v>667</v>
      </c>
    </row>
    <row r="462" spans="1:1" x14ac:dyDescent="0.25">
      <c r="A462" s="27" t="s">
        <v>668</v>
      </c>
    </row>
    <row r="463" spans="1:1" x14ac:dyDescent="0.25">
      <c r="A463" s="27" t="s">
        <v>669</v>
      </c>
    </row>
    <row r="464" spans="1:1" x14ac:dyDescent="0.25">
      <c r="A464" t="s">
        <v>670</v>
      </c>
    </row>
    <row r="465" spans="1:1" ht="255" x14ac:dyDescent="0.25">
      <c r="A465" s="126" t="s">
        <v>671</v>
      </c>
    </row>
    <row r="466" spans="1:1" ht="270" x14ac:dyDescent="0.25">
      <c r="A466" s="126" t="s">
        <v>672</v>
      </c>
    </row>
    <row r="467" spans="1:1" x14ac:dyDescent="0.25">
      <c r="A467" s="124" t="s">
        <v>673</v>
      </c>
    </row>
    <row r="468" spans="1:1" x14ac:dyDescent="0.25">
      <c r="A468" t="s">
        <v>674</v>
      </c>
    </row>
    <row r="469" spans="1:1" x14ac:dyDescent="0.25">
      <c r="A469" s="125" t="s">
        <v>675</v>
      </c>
    </row>
    <row r="470" spans="1:1" x14ac:dyDescent="0.25">
      <c r="A470" s="124" t="s">
        <v>676</v>
      </c>
    </row>
    <row r="471" spans="1:1" x14ac:dyDescent="0.25">
      <c r="A471" t="s">
        <v>677</v>
      </c>
    </row>
    <row r="472" spans="1:1" x14ac:dyDescent="0.25">
      <c r="A472" s="125" t="s">
        <v>678</v>
      </c>
    </row>
    <row r="473" spans="1:1" x14ac:dyDescent="0.25">
      <c r="A473" s="125" t="s">
        <v>679</v>
      </c>
    </row>
    <row r="474" spans="1:1" x14ac:dyDescent="0.25">
      <c r="A474" s="125" t="s">
        <v>680</v>
      </c>
    </row>
    <row r="475" spans="1:1" x14ac:dyDescent="0.25">
      <c r="A475" s="124" t="s">
        <v>681</v>
      </c>
    </row>
    <row r="476" spans="1:1" x14ac:dyDescent="0.25">
      <c r="A476" t="s">
        <v>682</v>
      </c>
    </row>
    <row r="477" spans="1:1" x14ac:dyDescent="0.25">
      <c r="A477" s="125" t="s">
        <v>683</v>
      </c>
    </row>
    <row r="478" spans="1:1" x14ac:dyDescent="0.25">
      <c r="A478" s="125" t="s">
        <v>684</v>
      </c>
    </row>
    <row r="479" spans="1:1" x14ac:dyDescent="0.25">
      <c r="A479" s="27" t="s">
        <v>685</v>
      </c>
    </row>
    <row r="480" spans="1:1" x14ac:dyDescent="0.25">
      <c r="A480" s="27" t="s">
        <v>686</v>
      </c>
    </row>
    <row r="481" spans="1:1" x14ac:dyDescent="0.25">
      <c r="A481" s="27" t="s">
        <v>687</v>
      </c>
    </row>
    <row r="482" spans="1:1" x14ac:dyDescent="0.25">
      <c r="A482" t="s">
        <v>688</v>
      </c>
    </row>
    <row r="483" spans="1:1" x14ac:dyDescent="0.25">
      <c r="A483" s="124" t="s">
        <v>689</v>
      </c>
    </row>
    <row r="484" spans="1:1" x14ac:dyDescent="0.25">
      <c r="A484" t="s">
        <v>690</v>
      </c>
    </row>
    <row r="485" spans="1:1" x14ac:dyDescent="0.25">
      <c r="A485" s="125" t="s">
        <v>691</v>
      </c>
    </row>
    <row r="486" spans="1:1" x14ac:dyDescent="0.25">
      <c r="A486" s="124" t="s">
        <v>692</v>
      </c>
    </row>
    <row r="487" spans="1:1" x14ac:dyDescent="0.25">
      <c r="A487" t="s">
        <v>693</v>
      </c>
    </row>
    <row r="488" spans="1:1" x14ac:dyDescent="0.25">
      <c r="A488" s="125" t="s">
        <v>694</v>
      </c>
    </row>
    <row r="489" spans="1:1" x14ac:dyDescent="0.25">
      <c r="A489" s="125" t="s">
        <v>695</v>
      </c>
    </row>
    <row r="490" spans="1:1" x14ac:dyDescent="0.25">
      <c r="A490" t="s">
        <v>696</v>
      </c>
    </row>
    <row r="491" spans="1:1" x14ac:dyDescent="0.25">
      <c r="A491" t="s">
        <v>697</v>
      </c>
    </row>
    <row r="492" spans="1:1" x14ac:dyDescent="0.25">
      <c r="A492" t="s">
        <v>698</v>
      </c>
    </row>
    <row r="493" spans="1:1" x14ac:dyDescent="0.25">
      <c r="A493" t="s">
        <v>699</v>
      </c>
    </row>
    <row r="494" spans="1:1" x14ac:dyDescent="0.25">
      <c r="A494" s="124" t="s">
        <v>700</v>
      </c>
    </row>
    <row r="495" spans="1:1" x14ac:dyDescent="0.25">
      <c r="A495" t="s">
        <v>701</v>
      </c>
    </row>
    <row r="496" spans="1:1" x14ac:dyDescent="0.25">
      <c r="A496" s="124" t="s">
        <v>702</v>
      </c>
    </row>
    <row r="497" spans="1:1" x14ac:dyDescent="0.25">
      <c r="A497" s="27" t="s">
        <v>703</v>
      </c>
    </row>
    <row r="498" spans="1:1" ht="255" x14ac:dyDescent="0.25">
      <c r="A498" s="126" t="s">
        <v>704</v>
      </c>
    </row>
    <row r="499" spans="1:1" ht="270" x14ac:dyDescent="0.25">
      <c r="A499" s="126" t="s">
        <v>705</v>
      </c>
    </row>
    <row r="500" spans="1:1" x14ac:dyDescent="0.25">
      <c r="A500" s="124" t="s">
        <v>706</v>
      </c>
    </row>
    <row r="501" spans="1:1" x14ac:dyDescent="0.25">
      <c r="A501" t="s">
        <v>707</v>
      </c>
    </row>
    <row r="502" spans="1:1" x14ac:dyDescent="0.25">
      <c r="A502" s="125" t="s">
        <v>708</v>
      </c>
    </row>
    <row r="503" spans="1:1" x14ac:dyDescent="0.25">
      <c r="A503" s="124" t="s">
        <v>709</v>
      </c>
    </row>
    <row r="504" spans="1:1" x14ac:dyDescent="0.25">
      <c r="A504" t="s">
        <v>710</v>
      </c>
    </row>
    <row r="505" spans="1:1" x14ac:dyDescent="0.25">
      <c r="A505" s="125" t="s">
        <v>711</v>
      </c>
    </row>
    <row r="506" spans="1:1" x14ac:dyDescent="0.25">
      <c r="A506" s="125" t="s">
        <v>712</v>
      </c>
    </row>
    <row r="507" spans="1:1" x14ac:dyDescent="0.25">
      <c r="A507" s="124" t="s">
        <v>713</v>
      </c>
    </row>
    <row r="508" spans="1:1" x14ac:dyDescent="0.25">
      <c r="A508" t="s">
        <v>714</v>
      </c>
    </row>
    <row r="509" spans="1:1" x14ac:dyDescent="0.25">
      <c r="A509" s="125" t="s">
        <v>715</v>
      </c>
    </row>
    <row r="510" spans="1:1" x14ac:dyDescent="0.25">
      <c r="A510" s="124" t="s">
        <v>716</v>
      </c>
    </row>
    <row r="511" spans="1:1" x14ac:dyDescent="0.25">
      <c r="A511" t="s">
        <v>717</v>
      </c>
    </row>
    <row r="512" spans="1:1" x14ac:dyDescent="0.25">
      <c r="A512" s="125" t="s">
        <v>718</v>
      </c>
    </row>
    <row r="513" spans="1:1" x14ac:dyDescent="0.25">
      <c r="A513" s="125" t="s">
        <v>719</v>
      </c>
    </row>
    <row r="514" spans="1:1" x14ac:dyDescent="0.25">
      <c r="A514" t="s">
        <v>720</v>
      </c>
    </row>
    <row r="515" spans="1:1" x14ac:dyDescent="0.25">
      <c r="A515" t="s">
        <v>721</v>
      </c>
    </row>
    <row r="516" spans="1:1" x14ac:dyDescent="0.25">
      <c r="A516" t="s">
        <v>722</v>
      </c>
    </row>
    <row r="517" spans="1:1" x14ac:dyDescent="0.25">
      <c r="A517" t="s">
        <v>723</v>
      </c>
    </row>
    <row r="518" spans="1:1" x14ac:dyDescent="0.25">
      <c r="A518" t="s">
        <v>724</v>
      </c>
    </row>
    <row r="519" spans="1:1" x14ac:dyDescent="0.25">
      <c r="A519" t="s">
        <v>725</v>
      </c>
    </row>
    <row r="520" spans="1:1" x14ac:dyDescent="0.25">
      <c r="A520" t="s">
        <v>726</v>
      </c>
    </row>
    <row r="521" spans="1:1" x14ac:dyDescent="0.25">
      <c r="A521" t="s">
        <v>727</v>
      </c>
    </row>
    <row r="522" spans="1:1" x14ac:dyDescent="0.25">
      <c r="A522" t="s">
        <v>728</v>
      </c>
    </row>
    <row r="523" spans="1:1" x14ac:dyDescent="0.25">
      <c r="A523" s="124" t="s">
        <v>729</v>
      </c>
    </row>
    <row r="524" spans="1:1" x14ac:dyDescent="0.25">
      <c r="A524" s="124" t="s">
        <v>730</v>
      </c>
    </row>
    <row r="525" spans="1:1" x14ac:dyDescent="0.25">
      <c r="A525" t="s">
        <v>731</v>
      </c>
    </row>
    <row r="526" spans="1:1" x14ac:dyDescent="0.25">
      <c r="A526" s="124" t="s">
        <v>732</v>
      </c>
    </row>
    <row r="527" spans="1:1" x14ac:dyDescent="0.25">
      <c r="A527" s="27" t="s">
        <v>733</v>
      </c>
    </row>
    <row r="528" spans="1:1" x14ac:dyDescent="0.25">
      <c r="A528" s="125" t="s">
        <v>734</v>
      </c>
    </row>
    <row r="529" spans="1:1" x14ac:dyDescent="0.25">
      <c r="A529" s="124" t="s">
        <v>735</v>
      </c>
    </row>
    <row r="530" spans="1:1" x14ac:dyDescent="0.25">
      <c r="A530" t="s">
        <v>736</v>
      </c>
    </row>
    <row r="531" spans="1:1" x14ac:dyDescent="0.25">
      <c r="A531" s="125" t="s">
        <v>737</v>
      </c>
    </row>
    <row r="532" spans="1:1" x14ac:dyDescent="0.25">
      <c r="A532" s="125" t="s">
        <v>738</v>
      </c>
    </row>
    <row r="533" spans="1:1" x14ac:dyDescent="0.25">
      <c r="A533" s="27" t="s">
        <v>739</v>
      </c>
    </row>
    <row r="534" spans="1:1" x14ac:dyDescent="0.25">
      <c r="A534" s="27" t="s">
        <v>740</v>
      </c>
    </row>
    <row r="535" spans="1:1" x14ac:dyDescent="0.25">
      <c r="A535" s="27" t="s">
        <v>741</v>
      </c>
    </row>
    <row r="536" spans="1:1" x14ac:dyDescent="0.25">
      <c r="A536" t="s">
        <v>742</v>
      </c>
    </row>
    <row r="537" spans="1:1" ht="255" x14ac:dyDescent="0.25">
      <c r="A537" s="126" t="s">
        <v>743</v>
      </c>
    </row>
    <row r="538" spans="1:1" ht="270" x14ac:dyDescent="0.25">
      <c r="A538" s="126" t="s">
        <v>744</v>
      </c>
    </row>
    <row r="539" spans="1:1" x14ac:dyDescent="0.25">
      <c r="A539" s="124" t="s">
        <v>745</v>
      </c>
    </row>
    <row r="540" spans="1:1" x14ac:dyDescent="0.25">
      <c r="A540" t="s">
        <v>746</v>
      </c>
    </row>
    <row r="541" spans="1:1" x14ac:dyDescent="0.25">
      <c r="A541" s="125" t="s">
        <v>747</v>
      </c>
    </row>
    <row r="542" spans="1:1" x14ac:dyDescent="0.25">
      <c r="A542" s="124" t="s">
        <v>748</v>
      </c>
    </row>
    <row r="543" spans="1:1" x14ac:dyDescent="0.25">
      <c r="A543" t="s">
        <v>749</v>
      </c>
    </row>
    <row r="544" spans="1:1" x14ac:dyDescent="0.25">
      <c r="A544" s="125" t="s">
        <v>750</v>
      </c>
    </row>
    <row r="545" spans="1:1" x14ac:dyDescent="0.25">
      <c r="A545" s="125" t="s">
        <v>751</v>
      </c>
    </row>
    <row r="546" spans="1:1" x14ac:dyDescent="0.25">
      <c r="A546" s="124" t="s">
        <v>752</v>
      </c>
    </row>
    <row r="547" spans="1:1" x14ac:dyDescent="0.25">
      <c r="A547" t="s">
        <v>753</v>
      </c>
    </row>
    <row r="548" spans="1:1" x14ac:dyDescent="0.25">
      <c r="A548" s="125" t="s">
        <v>754</v>
      </c>
    </row>
    <row r="549" spans="1:1" x14ac:dyDescent="0.25">
      <c r="A549" s="124" t="s">
        <v>755</v>
      </c>
    </row>
    <row r="550" spans="1:1" x14ac:dyDescent="0.25">
      <c r="A550" t="s">
        <v>756</v>
      </c>
    </row>
    <row r="551" spans="1:1" x14ac:dyDescent="0.25">
      <c r="A551" s="125" t="s">
        <v>757</v>
      </c>
    </row>
    <row r="552" spans="1:1" x14ac:dyDescent="0.25">
      <c r="A552" s="125" t="s">
        <v>758</v>
      </c>
    </row>
    <row r="553" spans="1:1" x14ac:dyDescent="0.25">
      <c r="A553" s="124" t="s">
        <v>759</v>
      </c>
    </row>
    <row r="554" spans="1:1" x14ac:dyDescent="0.25">
      <c r="A554" s="124" t="s">
        <v>760</v>
      </c>
    </row>
    <row r="555" spans="1:1" x14ac:dyDescent="0.25">
      <c r="A555" t="s">
        <v>761</v>
      </c>
    </row>
    <row r="556" spans="1:1" x14ac:dyDescent="0.25">
      <c r="A556" s="124" t="s">
        <v>762</v>
      </c>
    </row>
    <row r="557" spans="1:1" x14ac:dyDescent="0.25">
      <c r="A557" s="124" t="s">
        <v>763</v>
      </c>
    </row>
    <row r="558" spans="1:1" x14ac:dyDescent="0.25">
      <c r="A558" s="124" t="s">
        <v>764</v>
      </c>
    </row>
    <row r="559" spans="1:1" x14ac:dyDescent="0.25">
      <c r="A559" s="27" t="s">
        <v>765</v>
      </c>
    </row>
    <row r="560" spans="1:1" x14ac:dyDescent="0.25">
      <c r="A560" s="125" t="s">
        <v>766</v>
      </c>
    </row>
    <row r="561" spans="1:1" x14ac:dyDescent="0.25">
      <c r="A561" s="124" t="s">
        <v>767</v>
      </c>
    </row>
    <row r="562" spans="1:1" x14ac:dyDescent="0.25">
      <c r="A562" t="s">
        <v>768</v>
      </c>
    </row>
    <row r="563" spans="1:1" x14ac:dyDescent="0.25">
      <c r="A563" s="125" t="s">
        <v>769</v>
      </c>
    </row>
    <row r="564" spans="1:1" x14ac:dyDescent="0.25">
      <c r="A564" s="125" t="s">
        <v>770</v>
      </c>
    </row>
    <row r="565" spans="1:1" x14ac:dyDescent="0.25">
      <c r="A565" s="27" t="s">
        <v>771</v>
      </c>
    </row>
    <row r="566" spans="1:1" x14ac:dyDescent="0.25">
      <c r="A566" s="27" t="s">
        <v>772</v>
      </c>
    </row>
    <row r="567" spans="1:1" x14ac:dyDescent="0.25">
      <c r="A567" s="27" t="s">
        <v>773</v>
      </c>
    </row>
    <row r="568" spans="1:1" x14ac:dyDescent="0.25">
      <c r="A568" t="s">
        <v>774</v>
      </c>
    </row>
    <row r="569" spans="1:1" ht="255" x14ac:dyDescent="0.25">
      <c r="A569" s="126" t="s">
        <v>775</v>
      </c>
    </row>
    <row r="570" spans="1:1" ht="270" x14ac:dyDescent="0.25">
      <c r="A570" s="126" t="s">
        <v>776</v>
      </c>
    </row>
    <row r="571" spans="1:1" x14ac:dyDescent="0.25">
      <c r="A571" s="124" t="s">
        <v>777</v>
      </c>
    </row>
    <row r="572" spans="1:1" x14ac:dyDescent="0.25">
      <c r="A572" t="s">
        <v>778</v>
      </c>
    </row>
    <row r="573" spans="1:1" x14ac:dyDescent="0.25">
      <c r="A573" s="125" t="s">
        <v>779</v>
      </c>
    </row>
    <row r="574" spans="1:1" x14ac:dyDescent="0.25">
      <c r="A574" s="124" t="s">
        <v>780</v>
      </c>
    </row>
    <row r="575" spans="1:1" x14ac:dyDescent="0.25">
      <c r="A575" t="s">
        <v>781</v>
      </c>
    </row>
    <row r="576" spans="1:1" x14ac:dyDescent="0.25">
      <c r="A576" s="125" t="s">
        <v>782</v>
      </c>
    </row>
    <row r="577" spans="1:1" x14ac:dyDescent="0.25">
      <c r="A577" s="125" t="s">
        <v>783</v>
      </c>
    </row>
    <row r="578" spans="1:1" x14ac:dyDescent="0.25">
      <c r="A578" s="125" t="s">
        <v>784</v>
      </c>
    </row>
    <row r="579" spans="1:1" x14ac:dyDescent="0.25">
      <c r="A579" s="124" t="s">
        <v>785</v>
      </c>
    </row>
    <row r="580" spans="1:1" x14ac:dyDescent="0.25">
      <c r="A580" t="s">
        <v>786</v>
      </c>
    </row>
    <row r="581" spans="1:1" x14ac:dyDescent="0.25">
      <c r="A581" s="125" t="s">
        <v>787</v>
      </c>
    </row>
    <row r="582" spans="1:1" x14ac:dyDescent="0.25">
      <c r="A582" s="125" t="s">
        <v>788</v>
      </c>
    </row>
    <row r="583" spans="1:1" x14ac:dyDescent="0.25">
      <c r="A583" s="27" t="s">
        <v>789</v>
      </c>
    </row>
    <row r="584" spans="1:1" x14ac:dyDescent="0.25">
      <c r="A584" s="27" t="s">
        <v>790</v>
      </c>
    </row>
    <row r="585" spans="1:1" x14ac:dyDescent="0.25">
      <c r="A585" s="27" t="s">
        <v>791</v>
      </c>
    </row>
    <row r="586" spans="1:1" x14ac:dyDescent="0.25">
      <c r="A586" t="s">
        <v>792</v>
      </c>
    </row>
    <row r="587" spans="1:1" x14ac:dyDescent="0.25">
      <c r="A587" s="124" t="s">
        <v>793</v>
      </c>
    </row>
    <row r="588" spans="1:1" x14ac:dyDescent="0.25">
      <c r="A588" t="s">
        <v>794</v>
      </c>
    </row>
    <row r="589" spans="1:1" x14ac:dyDescent="0.25">
      <c r="A589" s="125" t="s">
        <v>795</v>
      </c>
    </row>
    <row r="590" spans="1:1" x14ac:dyDescent="0.25">
      <c r="A590" s="124" t="s">
        <v>796</v>
      </c>
    </row>
    <row r="591" spans="1:1" x14ac:dyDescent="0.25">
      <c r="A591" t="s">
        <v>797</v>
      </c>
    </row>
    <row r="592" spans="1:1" x14ac:dyDescent="0.25">
      <c r="A592" s="125" t="s">
        <v>798</v>
      </c>
    </row>
    <row r="593" spans="1:1" x14ac:dyDescent="0.25">
      <c r="A593" s="125" t="s">
        <v>799</v>
      </c>
    </row>
    <row r="594" spans="1:1" x14ac:dyDescent="0.25">
      <c r="A594" t="s">
        <v>800</v>
      </c>
    </row>
    <row r="595" spans="1:1" x14ac:dyDescent="0.25">
      <c r="A595" t="s">
        <v>801</v>
      </c>
    </row>
    <row r="596" spans="1:1" x14ac:dyDescent="0.25">
      <c r="A596" t="s">
        <v>802</v>
      </c>
    </row>
    <row r="597" spans="1:1" x14ac:dyDescent="0.25">
      <c r="A597" t="s">
        <v>803</v>
      </c>
    </row>
    <row r="598" spans="1:1" x14ac:dyDescent="0.25">
      <c r="A598" t="s">
        <v>804</v>
      </c>
    </row>
    <row r="599" spans="1:1" x14ac:dyDescent="0.25">
      <c r="A599" s="124" t="s">
        <v>805</v>
      </c>
    </row>
    <row r="600" spans="1:1" x14ac:dyDescent="0.25">
      <c r="A600" t="s">
        <v>806</v>
      </c>
    </row>
    <row r="601" spans="1:1" x14ac:dyDescent="0.25">
      <c r="A601" s="124" t="s">
        <v>807</v>
      </c>
    </row>
    <row r="602" spans="1:1" x14ac:dyDescent="0.25">
      <c r="A602" s="27" t="s">
        <v>808</v>
      </c>
    </row>
    <row r="603" spans="1:1" x14ac:dyDescent="0.25">
      <c r="A603" t="s">
        <v>809</v>
      </c>
    </row>
    <row r="604" spans="1:1" x14ac:dyDescent="0.25">
      <c r="A604" t="s">
        <v>810</v>
      </c>
    </row>
    <row r="605" spans="1:1" ht="255" x14ac:dyDescent="0.25">
      <c r="A605" s="126" t="s">
        <v>811</v>
      </c>
    </row>
    <row r="606" spans="1:1" ht="270" x14ac:dyDescent="0.25">
      <c r="A606" s="126" t="s">
        <v>812</v>
      </c>
    </row>
    <row r="607" spans="1:1" x14ac:dyDescent="0.25">
      <c r="A607" s="124" t="s">
        <v>813</v>
      </c>
    </row>
    <row r="608" spans="1:1" x14ac:dyDescent="0.25">
      <c r="A608" t="s">
        <v>814</v>
      </c>
    </row>
    <row r="609" spans="1:1" x14ac:dyDescent="0.25">
      <c r="A609" s="125" t="s">
        <v>815</v>
      </c>
    </row>
    <row r="610" spans="1:1" x14ac:dyDescent="0.25">
      <c r="A610" s="124" t="s">
        <v>816</v>
      </c>
    </row>
    <row r="611" spans="1:1" x14ac:dyDescent="0.25">
      <c r="A611" t="s">
        <v>817</v>
      </c>
    </row>
    <row r="612" spans="1:1" x14ac:dyDescent="0.25">
      <c r="A612" s="125" t="s">
        <v>818</v>
      </c>
    </row>
    <row r="613" spans="1:1" x14ac:dyDescent="0.25">
      <c r="A613" s="125" t="s">
        <v>819</v>
      </c>
    </row>
    <row r="614" spans="1:1" x14ac:dyDescent="0.25">
      <c r="A614" s="124" t="s">
        <v>820</v>
      </c>
    </row>
    <row r="615" spans="1:1" x14ac:dyDescent="0.25">
      <c r="A615" t="s">
        <v>821</v>
      </c>
    </row>
    <row r="616" spans="1:1" x14ac:dyDescent="0.25">
      <c r="A616" s="125" t="s">
        <v>822</v>
      </c>
    </row>
    <row r="617" spans="1:1" x14ac:dyDescent="0.25">
      <c r="A617" s="124" t="s">
        <v>823</v>
      </c>
    </row>
    <row r="618" spans="1:1" x14ac:dyDescent="0.25">
      <c r="A618" t="s">
        <v>824</v>
      </c>
    </row>
    <row r="619" spans="1:1" x14ac:dyDescent="0.25">
      <c r="A619" s="125" t="s">
        <v>825</v>
      </c>
    </row>
    <row r="620" spans="1:1" x14ac:dyDescent="0.25">
      <c r="A620" s="125" t="s">
        <v>826</v>
      </c>
    </row>
    <row r="621" spans="1:1" x14ac:dyDescent="0.25">
      <c r="A621" t="s">
        <v>827</v>
      </c>
    </row>
    <row r="622" spans="1:1" x14ac:dyDescent="0.25">
      <c r="A622" t="s">
        <v>828</v>
      </c>
    </row>
    <row r="623" spans="1:1" x14ac:dyDescent="0.25">
      <c r="A623" t="s">
        <v>829</v>
      </c>
    </row>
    <row r="624" spans="1:1" x14ac:dyDescent="0.25">
      <c r="A624" t="s">
        <v>830</v>
      </c>
    </row>
    <row r="625" spans="1:1" x14ac:dyDescent="0.25">
      <c r="A625" s="125" t="s">
        <v>831</v>
      </c>
    </row>
    <row r="626" spans="1:1" x14ac:dyDescent="0.25">
      <c r="A626" s="125" t="s">
        <v>832</v>
      </c>
    </row>
    <row r="627" spans="1:1" x14ac:dyDescent="0.25">
      <c r="A627" s="125" t="s">
        <v>833</v>
      </c>
    </row>
    <row r="628" spans="1:1" x14ac:dyDescent="0.25">
      <c r="A628" s="124" t="s">
        <v>834</v>
      </c>
    </row>
    <row r="629" spans="1:1" x14ac:dyDescent="0.25">
      <c r="A629" s="124" t="s">
        <v>835</v>
      </c>
    </row>
    <row r="630" spans="1:1" x14ac:dyDescent="0.25">
      <c r="A630" s="125" t="s">
        <v>836</v>
      </c>
    </row>
    <row r="631" spans="1:1" x14ac:dyDescent="0.25">
      <c r="A631" s="125" t="s">
        <v>837</v>
      </c>
    </row>
    <row r="632" spans="1:1" x14ac:dyDescent="0.25">
      <c r="A632" s="125" t="s">
        <v>838</v>
      </c>
    </row>
    <row r="633" spans="1:1" x14ac:dyDescent="0.25">
      <c r="A633" s="125" t="s">
        <v>839</v>
      </c>
    </row>
    <row r="634" spans="1:1" x14ac:dyDescent="0.25">
      <c r="A634" s="124" t="s">
        <v>840</v>
      </c>
    </row>
    <row r="635" spans="1:1" x14ac:dyDescent="0.25">
      <c r="A635" s="124" t="s">
        <v>841</v>
      </c>
    </row>
    <row r="636" spans="1:1" x14ac:dyDescent="0.25">
      <c r="A636" s="125" t="s">
        <v>842</v>
      </c>
    </row>
    <row r="637" spans="1:1" x14ac:dyDescent="0.25">
      <c r="A637" s="125" t="s">
        <v>843</v>
      </c>
    </row>
    <row r="638" spans="1:1" x14ac:dyDescent="0.25">
      <c r="A638" s="125" t="s">
        <v>844</v>
      </c>
    </row>
    <row r="639" spans="1:1" x14ac:dyDescent="0.25">
      <c r="A639" s="125" t="s">
        <v>845</v>
      </c>
    </row>
    <row r="640" spans="1:1" x14ac:dyDescent="0.25">
      <c r="A640" s="124" t="s">
        <v>846</v>
      </c>
    </row>
    <row r="641" spans="1:1" x14ac:dyDescent="0.25">
      <c r="A641" s="124" t="s">
        <v>847</v>
      </c>
    </row>
    <row r="642" spans="1:1" x14ac:dyDescent="0.25">
      <c r="A642" s="125" t="s">
        <v>848</v>
      </c>
    </row>
    <row r="643" spans="1:1" x14ac:dyDescent="0.25">
      <c r="A643" s="125" t="s">
        <v>849</v>
      </c>
    </row>
    <row r="644" spans="1:1" x14ac:dyDescent="0.25">
      <c r="A644" s="125" t="s">
        <v>850</v>
      </c>
    </row>
    <row r="645" spans="1:1" x14ac:dyDescent="0.25">
      <c r="A645" s="125" t="s">
        <v>851</v>
      </c>
    </row>
    <row r="646" spans="1:1" x14ac:dyDescent="0.25">
      <c r="A646" s="124" t="s">
        <v>852</v>
      </c>
    </row>
    <row r="647" spans="1:1" x14ac:dyDescent="0.25">
      <c r="A647" s="124" t="s">
        <v>853</v>
      </c>
    </row>
    <row r="648" spans="1:1" x14ac:dyDescent="0.25">
      <c r="A648" s="125" t="s">
        <v>854</v>
      </c>
    </row>
    <row r="649" spans="1:1" x14ac:dyDescent="0.25">
      <c r="A649" s="125" t="s">
        <v>855</v>
      </c>
    </row>
    <row r="650" spans="1:1" x14ac:dyDescent="0.25">
      <c r="A650" s="125" t="s">
        <v>856</v>
      </c>
    </row>
    <row r="651" spans="1:1" x14ac:dyDescent="0.25">
      <c r="A651" s="125" t="s">
        <v>857</v>
      </c>
    </row>
    <row r="652" spans="1:1" x14ac:dyDescent="0.25">
      <c r="A652" s="124" t="s">
        <v>858</v>
      </c>
    </row>
    <row r="653" spans="1:1" x14ac:dyDescent="0.25">
      <c r="A653" s="124" t="s">
        <v>859</v>
      </c>
    </row>
    <row r="654" spans="1:1" x14ac:dyDescent="0.25">
      <c r="A654" s="125" t="s">
        <v>860</v>
      </c>
    </row>
    <row r="655" spans="1:1" x14ac:dyDescent="0.25">
      <c r="A655" s="125" t="s">
        <v>861</v>
      </c>
    </row>
    <row r="656" spans="1:1" x14ac:dyDescent="0.25">
      <c r="A656" s="125" t="s">
        <v>862</v>
      </c>
    </row>
    <row r="657" spans="1:1" x14ac:dyDescent="0.25">
      <c r="A657" s="125" t="s">
        <v>863</v>
      </c>
    </row>
    <row r="658" spans="1:1" x14ac:dyDescent="0.25">
      <c r="A658" s="124" t="s">
        <v>864</v>
      </c>
    </row>
    <row r="659" spans="1:1" x14ac:dyDescent="0.25">
      <c r="A659" s="124" t="s">
        <v>865</v>
      </c>
    </row>
    <row r="660" spans="1:1" x14ac:dyDescent="0.25">
      <c r="A660" s="125" t="s">
        <v>866</v>
      </c>
    </row>
    <row r="661" spans="1:1" x14ac:dyDescent="0.25">
      <c r="A661" s="125" t="s">
        <v>867</v>
      </c>
    </row>
    <row r="662" spans="1:1" x14ac:dyDescent="0.25">
      <c r="A662" s="125" t="s">
        <v>868</v>
      </c>
    </row>
    <row r="663" spans="1:1" x14ac:dyDescent="0.25">
      <c r="A663" s="125" t="s">
        <v>869</v>
      </c>
    </row>
    <row r="664" spans="1:1" x14ac:dyDescent="0.25">
      <c r="A664" s="124" t="s">
        <v>870</v>
      </c>
    </row>
    <row r="665" spans="1:1" x14ac:dyDescent="0.25">
      <c r="A665" s="124" t="s">
        <v>871</v>
      </c>
    </row>
    <row r="666" spans="1:1" x14ac:dyDescent="0.25">
      <c r="A666" s="125" t="s">
        <v>872</v>
      </c>
    </row>
    <row r="667" spans="1:1" x14ac:dyDescent="0.25">
      <c r="A667" s="125" t="s">
        <v>873</v>
      </c>
    </row>
    <row r="668" spans="1:1" x14ac:dyDescent="0.25">
      <c r="A668" s="125" t="s">
        <v>874</v>
      </c>
    </row>
    <row r="669" spans="1:1" x14ac:dyDescent="0.25">
      <c r="A669" s="125" t="s">
        <v>875</v>
      </c>
    </row>
    <row r="670" spans="1:1" x14ac:dyDescent="0.25">
      <c r="A670" s="124" t="s">
        <v>876</v>
      </c>
    </row>
    <row r="671" spans="1:1" x14ac:dyDescent="0.25">
      <c r="A671" s="124" t="s">
        <v>877</v>
      </c>
    </row>
    <row r="672" spans="1:1" x14ac:dyDescent="0.25">
      <c r="A672" s="125" t="s">
        <v>878</v>
      </c>
    </row>
    <row r="673" spans="1:1" x14ac:dyDescent="0.25">
      <c r="A673" s="125" t="s">
        <v>879</v>
      </c>
    </row>
    <row r="674" spans="1:1" x14ac:dyDescent="0.25">
      <c r="A674" s="125" t="s">
        <v>880</v>
      </c>
    </row>
    <row r="675" spans="1:1" x14ac:dyDescent="0.25">
      <c r="A675" s="125" t="s">
        <v>881</v>
      </c>
    </row>
    <row r="676" spans="1:1" x14ac:dyDescent="0.25">
      <c r="A676" s="124" t="s">
        <v>882</v>
      </c>
    </row>
    <row r="677" spans="1:1" x14ac:dyDescent="0.25">
      <c r="A677" s="124" t="s">
        <v>883</v>
      </c>
    </row>
    <row r="678" spans="1:1" x14ac:dyDescent="0.25">
      <c r="A678" s="125" t="s">
        <v>884</v>
      </c>
    </row>
    <row r="679" spans="1:1" x14ac:dyDescent="0.25">
      <c r="A679" s="125" t="s">
        <v>885</v>
      </c>
    </row>
    <row r="680" spans="1:1" x14ac:dyDescent="0.25">
      <c r="A680" s="125" t="s">
        <v>886</v>
      </c>
    </row>
    <row r="681" spans="1:1" x14ac:dyDescent="0.25">
      <c r="A681" s="125" t="s">
        <v>887</v>
      </c>
    </row>
    <row r="682" spans="1:1" x14ac:dyDescent="0.25">
      <c r="A682" s="124" t="s">
        <v>888</v>
      </c>
    </row>
    <row r="683" spans="1:1" x14ac:dyDescent="0.25">
      <c r="A683" s="124" t="s">
        <v>889</v>
      </c>
    </row>
    <row r="684" spans="1:1" x14ac:dyDescent="0.25">
      <c r="A684" s="125" t="s">
        <v>890</v>
      </c>
    </row>
    <row r="685" spans="1:1" x14ac:dyDescent="0.25">
      <c r="A685" s="125" t="s">
        <v>891</v>
      </c>
    </row>
    <row r="686" spans="1:1" x14ac:dyDescent="0.25">
      <c r="A686" s="125" t="s">
        <v>892</v>
      </c>
    </row>
    <row r="687" spans="1:1" x14ac:dyDescent="0.25">
      <c r="A687" s="125" t="s">
        <v>893</v>
      </c>
    </row>
    <row r="688" spans="1:1" x14ac:dyDescent="0.25">
      <c r="A688" s="124" t="s">
        <v>894</v>
      </c>
    </row>
    <row r="689" spans="1:1" x14ac:dyDescent="0.25">
      <c r="A689" s="124" t="s">
        <v>895</v>
      </c>
    </row>
    <row r="690" spans="1:1" x14ac:dyDescent="0.25">
      <c r="A690" s="125" t="s">
        <v>896</v>
      </c>
    </row>
    <row r="691" spans="1:1" x14ac:dyDescent="0.25">
      <c r="A691" s="125" t="s">
        <v>897</v>
      </c>
    </row>
    <row r="692" spans="1:1" x14ac:dyDescent="0.25">
      <c r="A692" s="125" t="s">
        <v>898</v>
      </c>
    </row>
    <row r="693" spans="1:1" x14ac:dyDescent="0.25">
      <c r="A693" s="125" t="s">
        <v>899</v>
      </c>
    </row>
    <row r="694" spans="1:1" x14ac:dyDescent="0.25">
      <c r="A694" s="124" t="s">
        <v>900</v>
      </c>
    </row>
    <row r="695" spans="1:1" x14ac:dyDescent="0.25">
      <c r="A695" s="124" t="s">
        <v>901</v>
      </c>
    </row>
    <row r="696" spans="1:1" x14ac:dyDescent="0.25">
      <c r="A696" s="125" t="s">
        <v>902</v>
      </c>
    </row>
    <row r="697" spans="1:1" x14ac:dyDescent="0.25">
      <c r="A697" s="125" t="s">
        <v>903</v>
      </c>
    </row>
    <row r="698" spans="1:1" x14ac:dyDescent="0.25">
      <c r="A698" s="125" t="s">
        <v>904</v>
      </c>
    </row>
    <row r="699" spans="1:1" x14ac:dyDescent="0.25">
      <c r="A699" s="125" t="s">
        <v>905</v>
      </c>
    </row>
    <row r="700" spans="1:1" x14ac:dyDescent="0.25">
      <c r="A700" s="124" t="s">
        <v>906</v>
      </c>
    </row>
    <row r="701" spans="1:1" x14ac:dyDescent="0.25">
      <c r="A701" s="124" t="s">
        <v>907</v>
      </c>
    </row>
    <row r="702" spans="1:1" x14ac:dyDescent="0.25">
      <c r="A702" s="125" t="s">
        <v>908</v>
      </c>
    </row>
    <row r="703" spans="1:1" x14ac:dyDescent="0.25">
      <c r="A703" s="124" t="s">
        <v>909</v>
      </c>
    </row>
    <row r="704" spans="1:1" x14ac:dyDescent="0.25">
      <c r="A704" s="124" t="s">
        <v>910</v>
      </c>
    </row>
    <row r="705" spans="1:1" x14ac:dyDescent="0.25">
      <c r="A705" t="s">
        <v>911</v>
      </c>
    </row>
    <row r="706" spans="1:1" x14ac:dyDescent="0.25">
      <c r="A706" s="124" t="s">
        <v>912</v>
      </c>
    </row>
    <row r="707" spans="1:1" x14ac:dyDescent="0.25">
      <c r="A707" s="27" t="s">
        <v>913</v>
      </c>
    </row>
    <row r="708" spans="1:1" x14ac:dyDescent="0.25">
      <c r="A708" s="125" t="s">
        <v>914</v>
      </c>
    </row>
    <row r="709" spans="1:1" x14ac:dyDescent="0.25">
      <c r="A709" s="124" t="s">
        <v>915</v>
      </c>
    </row>
    <row r="710" spans="1:1" x14ac:dyDescent="0.25">
      <c r="A710" t="s">
        <v>916</v>
      </c>
    </row>
    <row r="711" spans="1:1" x14ac:dyDescent="0.25">
      <c r="A711" s="125" t="s">
        <v>917</v>
      </c>
    </row>
    <row r="712" spans="1:1" x14ac:dyDescent="0.25">
      <c r="A712" s="125" t="s">
        <v>918</v>
      </c>
    </row>
    <row r="713" spans="1:1" x14ac:dyDescent="0.25">
      <c r="A713" s="27" t="s">
        <v>919</v>
      </c>
    </row>
    <row r="714" spans="1:1" x14ac:dyDescent="0.25">
      <c r="A714" s="27" t="s">
        <v>920</v>
      </c>
    </row>
    <row r="715" spans="1:1" x14ac:dyDescent="0.25">
      <c r="A715" s="27" t="s">
        <v>921</v>
      </c>
    </row>
    <row r="716" spans="1:1" x14ac:dyDescent="0.25">
      <c r="A716" t="s">
        <v>922</v>
      </c>
    </row>
    <row r="717" spans="1:1" ht="255" x14ac:dyDescent="0.25">
      <c r="A717" s="126" t="s">
        <v>923</v>
      </c>
    </row>
    <row r="718" spans="1:1" ht="270" x14ac:dyDescent="0.25">
      <c r="A718" s="126" t="s">
        <v>924</v>
      </c>
    </row>
    <row r="719" spans="1:1" x14ac:dyDescent="0.25">
      <c r="A719" s="124" t="s">
        <v>925</v>
      </c>
    </row>
    <row r="720" spans="1:1" x14ac:dyDescent="0.25">
      <c r="A720" t="s">
        <v>926</v>
      </c>
    </row>
    <row r="721" spans="1:1" x14ac:dyDescent="0.25">
      <c r="A721" s="125" t="s">
        <v>927</v>
      </c>
    </row>
    <row r="722" spans="1:1" x14ac:dyDescent="0.25">
      <c r="A722" s="124" t="s">
        <v>928</v>
      </c>
    </row>
    <row r="723" spans="1:1" x14ac:dyDescent="0.25">
      <c r="A723" t="s">
        <v>929</v>
      </c>
    </row>
    <row r="724" spans="1:1" x14ac:dyDescent="0.25">
      <c r="A724" s="125" t="s">
        <v>930</v>
      </c>
    </row>
    <row r="725" spans="1:1" x14ac:dyDescent="0.25">
      <c r="A725" s="125" t="s">
        <v>931</v>
      </c>
    </row>
    <row r="726" spans="1:1" x14ac:dyDescent="0.25">
      <c r="A726" s="124" t="s">
        <v>932</v>
      </c>
    </row>
    <row r="727" spans="1:1" x14ac:dyDescent="0.25">
      <c r="A727" t="s">
        <v>933</v>
      </c>
    </row>
    <row r="728" spans="1:1" x14ac:dyDescent="0.25">
      <c r="A728" s="125" t="s">
        <v>934</v>
      </c>
    </row>
    <row r="729" spans="1:1" x14ac:dyDescent="0.25">
      <c r="A729" s="124" t="s">
        <v>935</v>
      </c>
    </row>
    <row r="730" spans="1:1" x14ac:dyDescent="0.25">
      <c r="A730" t="s">
        <v>936</v>
      </c>
    </row>
    <row r="731" spans="1:1" x14ac:dyDescent="0.25">
      <c r="A731" s="125" t="s">
        <v>937</v>
      </c>
    </row>
    <row r="732" spans="1:1" x14ac:dyDescent="0.25">
      <c r="A732" s="125" t="s">
        <v>938</v>
      </c>
    </row>
    <row r="733" spans="1:1" x14ac:dyDescent="0.25">
      <c r="A733" t="s">
        <v>939</v>
      </c>
    </row>
    <row r="734" spans="1:1" x14ac:dyDescent="0.25">
      <c r="A734" t="s">
        <v>940</v>
      </c>
    </row>
    <row r="735" spans="1:1" x14ac:dyDescent="0.25">
      <c r="A735" s="124" t="s">
        <v>941</v>
      </c>
    </row>
    <row r="736" spans="1:1" x14ac:dyDescent="0.25">
      <c r="A736" s="124" t="s">
        <v>942</v>
      </c>
    </row>
    <row r="737" spans="1:1" x14ac:dyDescent="0.25">
      <c r="A737" t="s">
        <v>943</v>
      </c>
    </row>
    <row r="738" spans="1:1" x14ac:dyDescent="0.25">
      <c r="A738" s="124" t="s">
        <v>944</v>
      </c>
    </row>
    <row r="739" spans="1:1" x14ac:dyDescent="0.25">
      <c r="A739" s="27" t="s">
        <v>945</v>
      </c>
    </row>
    <row r="740" spans="1:1" x14ac:dyDescent="0.25">
      <c r="A740" s="125" t="s">
        <v>946</v>
      </c>
    </row>
    <row r="741" spans="1:1" x14ac:dyDescent="0.25">
      <c r="A741" s="124" t="s">
        <v>947</v>
      </c>
    </row>
    <row r="742" spans="1:1" x14ac:dyDescent="0.25">
      <c r="A742" t="s">
        <v>948</v>
      </c>
    </row>
    <row r="743" spans="1:1" x14ac:dyDescent="0.25">
      <c r="A743" s="125" t="s">
        <v>949</v>
      </c>
    </row>
    <row r="744" spans="1:1" x14ac:dyDescent="0.25">
      <c r="A744" s="125" t="s">
        <v>950</v>
      </c>
    </row>
    <row r="745" spans="1:1" x14ac:dyDescent="0.25">
      <c r="A745" s="27" t="s">
        <v>951</v>
      </c>
    </row>
    <row r="746" spans="1:1" x14ac:dyDescent="0.25">
      <c r="A746" s="27" t="s">
        <v>952</v>
      </c>
    </row>
    <row r="747" spans="1:1" x14ac:dyDescent="0.25">
      <c r="A747" s="27" t="s">
        <v>953</v>
      </c>
    </row>
    <row r="748" spans="1:1" x14ac:dyDescent="0.25">
      <c r="A748" t="s">
        <v>954</v>
      </c>
    </row>
    <row r="749" spans="1:1" ht="255" x14ac:dyDescent="0.25">
      <c r="A749" s="126" t="s">
        <v>955</v>
      </c>
    </row>
    <row r="750" spans="1:1" ht="270" x14ac:dyDescent="0.25">
      <c r="A750" s="126" t="s">
        <v>956</v>
      </c>
    </row>
    <row r="751" spans="1:1" x14ac:dyDescent="0.25">
      <c r="A751" s="124" t="s">
        <v>957</v>
      </c>
    </row>
    <row r="752" spans="1:1" x14ac:dyDescent="0.25">
      <c r="A752" t="s">
        <v>958</v>
      </c>
    </row>
    <row r="753" spans="1:1" x14ac:dyDescent="0.25">
      <c r="A753" s="125" t="s">
        <v>959</v>
      </c>
    </row>
    <row r="754" spans="1:1" x14ac:dyDescent="0.25">
      <c r="A754" s="124" t="s">
        <v>960</v>
      </c>
    </row>
    <row r="755" spans="1:1" x14ac:dyDescent="0.25">
      <c r="A755" t="s">
        <v>961</v>
      </c>
    </row>
    <row r="756" spans="1:1" x14ac:dyDescent="0.25">
      <c r="A756" s="125" t="s">
        <v>962</v>
      </c>
    </row>
    <row r="757" spans="1:1" x14ac:dyDescent="0.25">
      <c r="A757" s="125" t="s">
        <v>963</v>
      </c>
    </row>
    <row r="758" spans="1:1" x14ac:dyDescent="0.25">
      <c r="A758" s="124" t="s">
        <v>964</v>
      </c>
    </row>
    <row r="759" spans="1:1" x14ac:dyDescent="0.25">
      <c r="A759" t="s">
        <v>965</v>
      </c>
    </row>
    <row r="760" spans="1:1" x14ac:dyDescent="0.25">
      <c r="A760" s="125" t="s">
        <v>966</v>
      </c>
    </row>
    <row r="761" spans="1:1" x14ac:dyDescent="0.25">
      <c r="A761" s="124" t="s">
        <v>967</v>
      </c>
    </row>
    <row r="762" spans="1:1" x14ac:dyDescent="0.25">
      <c r="A762" t="s">
        <v>968</v>
      </c>
    </row>
    <row r="763" spans="1:1" x14ac:dyDescent="0.25">
      <c r="A763" s="125" t="s">
        <v>969</v>
      </c>
    </row>
    <row r="764" spans="1:1" x14ac:dyDescent="0.25">
      <c r="A764" s="125" t="s">
        <v>970</v>
      </c>
    </row>
    <row r="765" spans="1:1" x14ac:dyDescent="0.25">
      <c r="A765" s="124" t="s">
        <v>971</v>
      </c>
    </row>
    <row r="766" spans="1:1" x14ac:dyDescent="0.25">
      <c r="A766" s="124" t="s">
        <v>972</v>
      </c>
    </row>
    <row r="767" spans="1:1" x14ac:dyDescent="0.25">
      <c r="A767" t="s">
        <v>973</v>
      </c>
    </row>
    <row r="768" spans="1:1" x14ac:dyDescent="0.25">
      <c r="A768" s="124" t="s">
        <v>974</v>
      </c>
    </row>
    <row r="769" spans="1:1" x14ac:dyDescent="0.25">
      <c r="A769" s="27" t="s">
        <v>975</v>
      </c>
    </row>
    <row r="770" spans="1:1" x14ac:dyDescent="0.25">
      <c r="A770" s="125" t="s">
        <v>976</v>
      </c>
    </row>
    <row r="771" spans="1:1" x14ac:dyDescent="0.25">
      <c r="A771" s="124" t="s">
        <v>977</v>
      </c>
    </row>
    <row r="772" spans="1:1" x14ac:dyDescent="0.25">
      <c r="A772" t="s">
        <v>978</v>
      </c>
    </row>
    <row r="773" spans="1:1" x14ac:dyDescent="0.25">
      <c r="A773" s="125" t="s">
        <v>979</v>
      </c>
    </row>
    <row r="774" spans="1:1" x14ac:dyDescent="0.25">
      <c r="A774" s="125" t="s">
        <v>980</v>
      </c>
    </row>
    <row r="775" spans="1:1" x14ac:dyDescent="0.25">
      <c r="A775" s="27" t="s">
        <v>981</v>
      </c>
    </row>
    <row r="776" spans="1:1" x14ac:dyDescent="0.25">
      <c r="A776" s="27" t="s">
        <v>982</v>
      </c>
    </row>
    <row r="777" spans="1:1" x14ac:dyDescent="0.25">
      <c r="A777" s="27" t="s">
        <v>983</v>
      </c>
    </row>
    <row r="778" spans="1:1" x14ac:dyDescent="0.25">
      <c r="A778" t="s">
        <v>984</v>
      </c>
    </row>
    <row r="779" spans="1:1" ht="255" x14ac:dyDescent="0.25">
      <c r="A779" s="126" t="s">
        <v>985</v>
      </c>
    </row>
    <row r="780" spans="1:1" ht="270" x14ac:dyDescent="0.25">
      <c r="A780" s="126" t="s">
        <v>986</v>
      </c>
    </row>
    <row r="781" spans="1:1" x14ac:dyDescent="0.25">
      <c r="A781" s="124" t="s">
        <v>987</v>
      </c>
    </row>
    <row r="782" spans="1:1" x14ac:dyDescent="0.25">
      <c r="A782" t="s">
        <v>988</v>
      </c>
    </row>
    <row r="783" spans="1:1" x14ac:dyDescent="0.25">
      <c r="A783" s="125" t="s">
        <v>989</v>
      </c>
    </row>
    <row r="784" spans="1:1" x14ac:dyDescent="0.25">
      <c r="A784" s="124" t="s">
        <v>990</v>
      </c>
    </row>
    <row r="785" spans="1:1" x14ac:dyDescent="0.25">
      <c r="A785" t="s">
        <v>991</v>
      </c>
    </row>
    <row r="786" spans="1:1" x14ac:dyDescent="0.25">
      <c r="A786" s="125" t="s">
        <v>992</v>
      </c>
    </row>
    <row r="787" spans="1:1" x14ac:dyDescent="0.25">
      <c r="A787" s="125" t="s">
        <v>993</v>
      </c>
    </row>
    <row r="788" spans="1:1" x14ac:dyDescent="0.25">
      <c r="A788" s="124" t="s">
        <v>994</v>
      </c>
    </row>
    <row r="789" spans="1:1" x14ac:dyDescent="0.25">
      <c r="A789" t="s">
        <v>995</v>
      </c>
    </row>
    <row r="790" spans="1:1" x14ac:dyDescent="0.25">
      <c r="A790" s="125" t="s">
        <v>996</v>
      </c>
    </row>
    <row r="791" spans="1:1" x14ac:dyDescent="0.25">
      <c r="A791" s="124" t="s">
        <v>997</v>
      </c>
    </row>
    <row r="792" spans="1:1" x14ac:dyDescent="0.25">
      <c r="A792" t="s">
        <v>998</v>
      </c>
    </row>
    <row r="793" spans="1:1" x14ac:dyDescent="0.25">
      <c r="A793" s="125" t="s">
        <v>999</v>
      </c>
    </row>
    <row r="794" spans="1:1" x14ac:dyDescent="0.25">
      <c r="A794" s="125" t="s">
        <v>1000</v>
      </c>
    </row>
    <row r="795" spans="1:1" x14ac:dyDescent="0.25">
      <c r="A795" s="124" t="s">
        <v>1001</v>
      </c>
    </row>
    <row r="796" spans="1:1" x14ac:dyDescent="0.25">
      <c r="A796" s="124" t="s">
        <v>1002</v>
      </c>
    </row>
    <row r="797" spans="1:1" x14ac:dyDescent="0.25">
      <c r="A797" t="s">
        <v>1003</v>
      </c>
    </row>
    <row r="798" spans="1:1" x14ac:dyDescent="0.25">
      <c r="A798" s="124" t="s">
        <v>1004</v>
      </c>
    </row>
    <row r="799" spans="1:1" x14ac:dyDescent="0.25">
      <c r="A799" s="124" t="s">
        <v>1005</v>
      </c>
    </row>
    <row r="800" spans="1:1" x14ac:dyDescent="0.25">
      <c r="A800" s="124" t="s">
        <v>1006</v>
      </c>
    </row>
    <row r="801" spans="1:1" x14ac:dyDescent="0.25">
      <c r="A801" s="27" t="s">
        <v>1007</v>
      </c>
    </row>
    <row r="802" spans="1:1" x14ac:dyDescent="0.25">
      <c r="A802" s="125" t="s">
        <v>1008</v>
      </c>
    </row>
    <row r="803" spans="1:1" x14ac:dyDescent="0.25">
      <c r="A803" s="124" t="s">
        <v>1009</v>
      </c>
    </row>
    <row r="804" spans="1:1" x14ac:dyDescent="0.25">
      <c r="A804" t="s">
        <v>1010</v>
      </c>
    </row>
    <row r="805" spans="1:1" x14ac:dyDescent="0.25">
      <c r="A805" s="125" t="s">
        <v>1011</v>
      </c>
    </row>
    <row r="806" spans="1:1" x14ac:dyDescent="0.25">
      <c r="A806" s="125" t="s">
        <v>1012</v>
      </c>
    </row>
    <row r="807" spans="1:1" x14ac:dyDescent="0.25">
      <c r="A807" s="27" t="s">
        <v>1013</v>
      </c>
    </row>
    <row r="808" spans="1:1" x14ac:dyDescent="0.25">
      <c r="A808" s="27" t="s">
        <v>1014</v>
      </c>
    </row>
    <row r="809" spans="1:1" x14ac:dyDescent="0.25">
      <c r="A809" s="27" t="s">
        <v>1015</v>
      </c>
    </row>
    <row r="810" spans="1:1" x14ac:dyDescent="0.25">
      <c r="A810" t="s">
        <v>1016</v>
      </c>
    </row>
    <row r="811" spans="1:1" x14ac:dyDescent="0.25">
      <c r="A811" s="124" t="s">
        <v>1017</v>
      </c>
    </row>
    <row r="812" spans="1:1" x14ac:dyDescent="0.25">
      <c r="A812" s="124" t="s">
        <v>1018</v>
      </c>
    </row>
    <row r="813" spans="1:1" x14ac:dyDescent="0.25">
      <c r="A813" t="s">
        <v>1019</v>
      </c>
    </row>
    <row r="814" spans="1:1" x14ac:dyDescent="0.25">
      <c r="A814" s="27" t="s">
        <v>1020</v>
      </c>
    </row>
    <row r="815" spans="1:1" x14ac:dyDescent="0.25">
      <c r="A815" s="124" t="s">
        <v>1021</v>
      </c>
    </row>
    <row r="816" spans="1:1" x14ac:dyDescent="0.25">
      <c r="A816" s="124" t="s">
        <v>1022</v>
      </c>
    </row>
    <row r="817" spans="1:1" ht="255" x14ac:dyDescent="0.25">
      <c r="A817" s="126" t="s">
        <v>1023</v>
      </c>
    </row>
    <row r="818" spans="1:1" ht="270" x14ac:dyDescent="0.25">
      <c r="A818" s="126" t="s">
        <v>1024</v>
      </c>
    </row>
    <row r="819" spans="1:1" x14ac:dyDescent="0.25">
      <c r="A819" s="124" t="s">
        <v>1025</v>
      </c>
    </row>
    <row r="820" spans="1:1" x14ac:dyDescent="0.25">
      <c r="A820" t="s">
        <v>1026</v>
      </c>
    </row>
    <row r="821" spans="1:1" x14ac:dyDescent="0.25">
      <c r="A821" s="125" t="s">
        <v>1027</v>
      </c>
    </row>
    <row r="822" spans="1:1" x14ac:dyDescent="0.25">
      <c r="A822" s="124" t="s">
        <v>1028</v>
      </c>
    </row>
    <row r="823" spans="1:1" x14ac:dyDescent="0.25">
      <c r="A823" t="s">
        <v>1029</v>
      </c>
    </row>
    <row r="824" spans="1:1" x14ac:dyDescent="0.25">
      <c r="A824" s="125" t="s">
        <v>1030</v>
      </c>
    </row>
    <row r="825" spans="1:1" x14ac:dyDescent="0.25">
      <c r="A825" s="125" t="s">
        <v>1031</v>
      </c>
    </row>
    <row r="826" spans="1:1" x14ac:dyDescent="0.25">
      <c r="A826" s="125" t="s">
        <v>1032</v>
      </c>
    </row>
    <row r="827" spans="1:1" x14ac:dyDescent="0.25">
      <c r="A827" s="124" t="s">
        <v>1033</v>
      </c>
    </row>
    <row r="828" spans="1:1" x14ac:dyDescent="0.25">
      <c r="A828" t="s">
        <v>1034</v>
      </c>
    </row>
    <row r="829" spans="1:1" x14ac:dyDescent="0.25">
      <c r="A829" s="125" t="s">
        <v>1035</v>
      </c>
    </row>
    <row r="830" spans="1:1" x14ac:dyDescent="0.25">
      <c r="A830" s="125" t="s">
        <v>1036</v>
      </c>
    </row>
    <row r="831" spans="1:1" x14ac:dyDescent="0.25">
      <c r="A831" s="27" t="s">
        <v>1037</v>
      </c>
    </row>
    <row r="832" spans="1:1" x14ac:dyDescent="0.25">
      <c r="A832" s="27" t="s">
        <v>1038</v>
      </c>
    </row>
    <row r="833" spans="1:1" x14ac:dyDescent="0.25">
      <c r="A833" s="27" t="s">
        <v>1039</v>
      </c>
    </row>
    <row r="834" spans="1:1" x14ac:dyDescent="0.25">
      <c r="A834" t="s">
        <v>1040</v>
      </c>
    </row>
    <row r="835" spans="1:1" x14ac:dyDescent="0.25">
      <c r="A835" s="124" t="s">
        <v>1041</v>
      </c>
    </row>
    <row r="836" spans="1:1" x14ac:dyDescent="0.25">
      <c r="A836" t="s">
        <v>1042</v>
      </c>
    </row>
    <row r="837" spans="1:1" x14ac:dyDescent="0.25">
      <c r="A837" s="125" t="s">
        <v>1043</v>
      </c>
    </row>
    <row r="838" spans="1:1" x14ac:dyDescent="0.25">
      <c r="A838" s="124" t="s">
        <v>1044</v>
      </c>
    </row>
    <row r="839" spans="1:1" x14ac:dyDescent="0.25">
      <c r="A839" t="s">
        <v>1045</v>
      </c>
    </row>
    <row r="840" spans="1:1" x14ac:dyDescent="0.25">
      <c r="A840" s="125" t="s">
        <v>1046</v>
      </c>
    </row>
    <row r="841" spans="1:1" x14ac:dyDescent="0.25">
      <c r="A841" s="125" t="s">
        <v>1047</v>
      </c>
    </row>
    <row r="842" spans="1:1" x14ac:dyDescent="0.25">
      <c r="A842" s="27" t="s">
        <v>1048</v>
      </c>
    </row>
    <row r="843" spans="1:1" x14ac:dyDescent="0.25">
      <c r="A843" s="125" t="s">
        <v>1049</v>
      </c>
    </row>
    <row r="844" spans="1:1" x14ac:dyDescent="0.25">
      <c r="A844" s="124" t="s">
        <v>1050</v>
      </c>
    </row>
    <row r="845" spans="1:1" x14ac:dyDescent="0.25">
      <c r="A845" t="s">
        <v>1051</v>
      </c>
    </row>
    <row r="846" spans="1:1" x14ac:dyDescent="0.25">
      <c r="A846" s="125" t="s">
        <v>1052</v>
      </c>
    </row>
    <row r="847" spans="1:1" x14ac:dyDescent="0.25">
      <c r="A847" s="125" t="s">
        <v>1053</v>
      </c>
    </row>
    <row r="848" spans="1:1" x14ac:dyDescent="0.25">
      <c r="A848" s="27" t="s">
        <v>1054</v>
      </c>
    </row>
    <row r="849" spans="1:1" x14ac:dyDescent="0.25">
      <c r="A849" s="27" t="s">
        <v>1055</v>
      </c>
    </row>
    <row r="850" spans="1:1" x14ac:dyDescent="0.25">
      <c r="A850" s="27" t="s">
        <v>1056</v>
      </c>
    </row>
    <row r="851" spans="1:1" x14ac:dyDescent="0.25">
      <c r="A851" t="s">
        <v>1057</v>
      </c>
    </row>
    <row r="852" spans="1:1" x14ac:dyDescent="0.25">
      <c r="A852" t="s">
        <v>1058</v>
      </c>
    </row>
    <row r="853" spans="1:1" x14ac:dyDescent="0.25">
      <c r="A853" t="s">
        <v>1059</v>
      </c>
    </row>
    <row r="854" spans="1:1" x14ac:dyDescent="0.25">
      <c r="A854" t="s">
        <v>1060</v>
      </c>
    </row>
    <row r="855" spans="1:1" x14ac:dyDescent="0.25">
      <c r="A855" t="s">
        <v>1061</v>
      </c>
    </row>
    <row r="856" spans="1:1" x14ac:dyDescent="0.25">
      <c r="A856" t="s">
        <v>1062</v>
      </c>
    </row>
    <row r="857" spans="1:1" ht="255" x14ac:dyDescent="0.25">
      <c r="A857" s="126" t="s">
        <v>1063</v>
      </c>
    </row>
    <row r="858" spans="1:1" ht="270" x14ac:dyDescent="0.25">
      <c r="A858" s="126" t="s">
        <v>1064</v>
      </c>
    </row>
    <row r="859" spans="1:1" x14ac:dyDescent="0.25">
      <c r="A859" s="124" t="s">
        <v>1065</v>
      </c>
    </row>
    <row r="860" spans="1:1" x14ac:dyDescent="0.25">
      <c r="A860" t="s">
        <v>1066</v>
      </c>
    </row>
    <row r="861" spans="1:1" x14ac:dyDescent="0.25">
      <c r="A861" s="125" t="s">
        <v>1067</v>
      </c>
    </row>
    <row r="862" spans="1:1" x14ac:dyDescent="0.25">
      <c r="A862" s="124" t="s">
        <v>1068</v>
      </c>
    </row>
    <row r="863" spans="1:1" x14ac:dyDescent="0.25">
      <c r="A863" t="s">
        <v>1069</v>
      </c>
    </row>
    <row r="864" spans="1:1" x14ac:dyDescent="0.25">
      <c r="A864" s="125" t="s">
        <v>1070</v>
      </c>
    </row>
    <row r="865" spans="1:1" x14ac:dyDescent="0.25">
      <c r="A865" s="125" t="s">
        <v>1071</v>
      </c>
    </row>
    <row r="866" spans="1:1" x14ac:dyDescent="0.25">
      <c r="A866" s="124" t="s">
        <v>1072</v>
      </c>
    </row>
    <row r="867" spans="1:1" x14ac:dyDescent="0.25">
      <c r="A867" t="s">
        <v>1073</v>
      </c>
    </row>
    <row r="868" spans="1:1" x14ac:dyDescent="0.25">
      <c r="A868" s="125" t="s">
        <v>1074</v>
      </c>
    </row>
    <row r="869" spans="1:1" x14ac:dyDescent="0.25">
      <c r="A869" s="124" t="s">
        <v>1075</v>
      </c>
    </row>
    <row r="870" spans="1:1" x14ac:dyDescent="0.25">
      <c r="A870" t="s">
        <v>1076</v>
      </c>
    </row>
    <row r="871" spans="1:1" x14ac:dyDescent="0.25">
      <c r="A871" s="125" t="s">
        <v>1077</v>
      </c>
    </row>
    <row r="872" spans="1:1" x14ac:dyDescent="0.25">
      <c r="A872" s="125" t="s">
        <v>1078</v>
      </c>
    </row>
    <row r="873" spans="1:1" x14ac:dyDescent="0.25">
      <c r="A873" t="s">
        <v>1079</v>
      </c>
    </row>
    <row r="874" spans="1:1" x14ac:dyDescent="0.25">
      <c r="A874" t="s">
        <v>1080</v>
      </c>
    </row>
    <row r="875" spans="1:1" x14ac:dyDescent="0.25">
      <c r="A875" s="124" t="s">
        <v>1081</v>
      </c>
    </row>
    <row r="876" spans="1:1" x14ac:dyDescent="0.25">
      <c r="A876" s="124" t="s">
        <v>1082</v>
      </c>
    </row>
    <row r="877" spans="1:1" x14ac:dyDescent="0.25">
      <c r="A877" t="s">
        <v>1083</v>
      </c>
    </row>
    <row r="878" spans="1:1" x14ac:dyDescent="0.25">
      <c r="A878" s="124" t="s">
        <v>1084</v>
      </c>
    </row>
    <row r="879" spans="1:1" x14ac:dyDescent="0.25">
      <c r="A879" s="124" t="s">
        <v>1085</v>
      </c>
    </row>
    <row r="880" spans="1:1" x14ac:dyDescent="0.25">
      <c r="A880" t="s">
        <v>1086</v>
      </c>
    </row>
    <row r="881" spans="1:1" x14ac:dyDescent="0.25">
      <c r="A881" t="s">
        <v>1087</v>
      </c>
    </row>
    <row r="882" spans="1:1" x14ac:dyDescent="0.25">
      <c r="A882" t="s">
        <v>1088</v>
      </c>
    </row>
    <row r="883" spans="1:1" x14ac:dyDescent="0.25">
      <c r="A883" t="s">
        <v>1089</v>
      </c>
    </row>
    <row r="884" spans="1:1" x14ac:dyDescent="0.25">
      <c r="A884" s="27" t="s">
        <v>1090</v>
      </c>
    </row>
    <row r="885" spans="1:1" x14ac:dyDescent="0.25">
      <c r="A885" s="125" t="s">
        <v>1091</v>
      </c>
    </row>
    <row r="886" spans="1:1" x14ac:dyDescent="0.25">
      <c r="A886" s="124" t="s">
        <v>1092</v>
      </c>
    </row>
    <row r="887" spans="1:1" x14ac:dyDescent="0.25">
      <c r="A887" t="s">
        <v>1093</v>
      </c>
    </row>
    <row r="888" spans="1:1" x14ac:dyDescent="0.25">
      <c r="A888" s="125" t="s">
        <v>1094</v>
      </c>
    </row>
    <row r="889" spans="1:1" x14ac:dyDescent="0.25">
      <c r="A889" s="125" t="s">
        <v>1095</v>
      </c>
    </row>
    <row r="890" spans="1:1" x14ac:dyDescent="0.25">
      <c r="A890" s="27" t="s">
        <v>1096</v>
      </c>
    </row>
    <row r="891" spans="1:1" x14ac:dyDescent="0.25">
      <c r="A891" s="27" t="s">
        <v>1097</v>
      </c>
    </row>
    <row r="892" spans="1:1" x14ac:dyDescent="0.25">
      <c r="A892" s="27" t="s">
        <v>1098</v>
      </c>
    </row>
    <row r="893" spans="1:1" x14ac:dyDescent="0.25">
      <c r="A893" t="s">
        <v>1099</v>
      </c>
    </row>
    <row r="894" spans="1:1" ht="255" x14ac:dyDescent="0.25">
      <c r="A894" s="126" t="s">
        <v>1100</v>
      </c>
    </row>
    <row r="895" spans="1:1" ht="270" x14ac:dyDescent="0.25">
      <c r="A895" s="126" t="s">
        <v>1101</v>
      </c>
    </row>
    <row r="896" spans="1:1" x14ac:dyDescent="0.25">
      <c r="A896" s="124" t="s">
        <v>1102</v>
      </c>
    </row>
    <row r="897" spans="1:1" x14ac:dyDescent="0.25">
      <c r="A897" t="s">
        <v>1103</v>
      </c>
    </row>
    <row r="898" spans="1:1" x14ac:dyDescent="0.25">
      <c r="A898" s="125" t="s">
        <v>1104</v>
      </c>
    </row>
    <row r="899" spans="1:1" x14ac:dyDescent="0.25">
      <c r="A899" s="124" t="s">
        <v>1105</v>
      </c>
    </row>
    <row r="900" spans="1:1" x14ac:dyDescent="0.25">
      <c r="A900" t="s">
        <v>1106</v>
      </c>
    </row>
    <row r="901" spans="1:1" x14ac:dyDescent="0.25">
      <c r="A901" s="125" t="s">
        <v>1107</v>
      </c>
    </row>
    <row r="902" spans="1:1" x14ac:dyDescent="0.25">
      <c r="A902" s="125" t="s">
        <v>1108</v>
      </c>
    </row>
    <row r="903" spans="1:1" x14ac:dyDescent="0.25">
      <c r="A903" s="124" t="s">
        <v>1109</v>
      </c>
    </row>
    <row r="904" spans="1:1" x14ac:dyDescent="0.25">
      <c r="A904" t="s">
        <v>1110</v>
      </c>
    </row>
    <row r="905" spans="1:1" x14ac:dyDescent="0.25">
      <c r="A905" s="125" t="s">
        <v>1111</v>
      </c>
    </row>
    <row r="906" spans="1:1" x14ac:dyDescent="0.25">
      <c r="A906" s="124" t="s">
        <v>1112</v>
      </c>
    </row>
    <row r="907" spans="1:1" x14ac:dyDescent="0.25">
      <c r="A907" t="s">
        <v>1113</v>
      </c>
    </row>
    <row r="908" spans="1:1" x14ac:dyDescent="0.25">
      <c r="A908" s="125" t="s">
        <v>1114</v>
      </c>
    </row>
    <row r="909" spans="1:1" x14ac:dyDescent="0.25">
      <c r="A909" s="125" t="s">
        <v>1115</v>
      </c>
    </row>
    <row r="910" spans="1:1" x14ac:dyDescent="0.25">
      <c r="A910" t="s">
        <v>1116</v>
      </c>
    </row>
    <row r="911" spans="1:1" x14ac:dyDescent="0.25">
      <c r="A911" t="s">
        <v>1117</v>
      </c>
    </row>
    <row r="912" spans="1:1" x14ac:dyDescent="0.25">
      <c r="A912" t="s">
        <v>1118</v>
      </c>
    </row>
    <row r="913" spans="1:1" x14ac:dyDescent="0.25">
      <c r="A913" t="s">
        <v>1119</v>
      </c>
    </row>
    <row r="914" spans="1:1" x14ac:dyDescent="0.25">
      <c r="A914" t="s">
        <v>1120</v>
      </c>
    </row>
    <row r="915" spans="1:1" x14ac:dyDescent="0.25">
      <c r="A915" t="s">
        <v>1121</v>
      </c>
    </row>
    <row r="916" spans="1:1" x14ac:dyDescent="0.25">
      <c r="A916" s="124" t="s">
        <v>1122</v>
      </c>
    </row>
    <row r="917" spans="1:1" x14ac:dyDescent="0.25">
      <c r="A917" t="s">
        <v>1123</v>
      </c>
    </row>
    <row r="918" spans="1:1" x14ac:dyDescent="0.25">
      <c r="A918" s="124" t="s">
        <v>1124</v>
      </c>
    </row>
    <row r="919" spans="1:1" x14ac:dyDescent="0.25">
      <c r="A919" s="27" t="s">
        <v>1125</v>
      </c>
    </row>
    <row r="920" spans="1:1" ht="255" x14ac:dyDescent="0.25">
      <c r="A920" s="126" t="s">
        <v>1126</v>
      </c>
    </row>
    <row r="921" spans="1:1" ht="270" x14ac:dyDescent="0.25">
      <c r="A921" s="126" t="s">
        <v>1127</v>
      </c>
    </row>
    <row r="922" spans="1:1" x14ac:dyDescent="0.25">
      <c r="A922" s="124" t="s">
        <v>1128</v>
      </c>
    </row>
    <row r="923" spans="1:1" x14ac:dyDescent="0.25">
      <c r="A923" t="s">
        <v>1129</v>
      </c>
    </row>
    <row r="924" spans="1:1" x14ac:dyDescent="0.25">
      <c r="A924" s="125" t="s">
        <v>1130</v>
      </c>
    </row>
    <row r="925" spans="1:1" x14ac:dyDescent="0.25">
      <c r="A925" s="124" t="s">
        <v>1131</v>
      </c>
    </row>
    <row r="926" spans="1:1" x14ac:dyDescent="0.25">
      <c r="A926" t="s">
        <v>1132</v>
      </c>
    </row>
    <row r="927" spans="1:1" x14ac:dyDescent="0.25">
      <c r="A927" s="125" t="s">
        <v>1133</v>
      </c>
    </row>
    <row r="928" spans="1:1" x14ac:dyDescent="0.25">
      <c r="A928" s="125" t="s">
        <v>1134</v>
      </c>
    </row>
    <row r="929" spans="1:1" x14ac:dyDescent="0.25">
      <c r="A929" s="124" t="s">
        <v>1135</v>
      </c>
    </row>
    <row r="930" spans="1:1" x14ac:dyDescent="0.25">
      <c r="A930" t="s">
        <v>1136</v>
      </c>
    </row>
    <row r="931" spans="1:1" x14ac:dyDescent="0.25">
      <c r="A931" s="125" t="s">
        <v>1137</v>
      </c>
    </row>
    <row r="932" spans="1:1" x14ac:dyDescent="0.25">
      <c r="A932" s="124" t="s">
        <v>1138</v>
      </c>
    </row>
    <row r="933" spans="1:1" x14ac:dyDescent="0.25">
      <c r="A933" t="s">
        <v>1139</v>
      </c>
    </row>
    <row r="934" spans="1:1" x14ac:dyDescent="0.25">
      <c r="A934" s="125" t="s">
        <v>1140</v>
      </c>
    </row>
    <row r="935" spans="1:1" x14ac:dyDescent="0.25">
      <c r="A935" s="125" t="s">
        <v>1141</v>
      </c>
    </row>
    <row r="936" spans="1:1" x14ac:dyDescent="0.25">
      <c r="A936" t="s">
        <v>1142</v>
      </c>
    </row>
    <row r="937" spans="1:1" x14ac:dyDescent="0.25">
      <c r="A937" t="s">
        <v>1143</v>
      </c>
    </row>
    <row r="938" spans="1:1" x14ac:dyDescent="0.25">
      <c r="A938" s="124" t="s">
        <v>1144</v>
      </c>
    </row>
    <row r="939" spans="1:1" x14ac:dyDescent="0.25">
      <c r="A939" s="124" t="s">
        <v>1145</v>
      </c>
    </row>
    <row r="940" spans="1:1" x14ac:dyDescent="0.25">
      <c r="A940" t="s">
        <v>1146</v>
      </c>
    </row>
    <row r="941" spans="1:1" x14ac:dyDescent="0.25">
      <c r="A941" s="124" t="s">
        <v>1147</v>
      </c>
    </row>
    <row r="942" spans="1:1" x14ac:dyDescent="0.25">
      <c r="A942" s="27" t="s">
        <v>1148</v>
      </c>
    </row>
    <row r="943" spans="1:1" x14ac:dyDescent="0.25">
      <c r="A943" s="125" t="s">
        <v>1149</v>
      </c>
    </row>
    <row r="944" spans="1:1" x14ac:dyDescent="0.25">
      <c r="A944" s="124" t="s">
        <v>1150</v>
      </c>
    </row>
    <row r="945" spans="1:1" x14ac:dyDescent="0.25">
      <c r="A945" t="s">
        <v>1151</v>
      </c>
    </row>
    <row r="946" spans="1:1" x14ac:dyDescent="0.25">
      <c r="A946" s="125" t="s">
        <v>1152</v>
      </c>
    </row>
    <row r="947" spans="1:1" x14ac:dyDescent="0.25">
      <c r="A947" s="125" t="s">
        <v>1153</v>
      </c>
    </row>
    <row r="948" spans="1:1" x14ac:dyDescent="0.25">
      <c r="A948" s="27" t="s">
        <v>1154</v>
      </c>
    </row>
    <row r="949" spans="1:1" x14ac:dyDescent="0.25">
      <c r="A949" s="27" t="s">
        <v>1155</v>
      </c>
    </row>
    <row r="950" spans="1:1" x14ac:dyDescent="0.25">
      <c r="A950" s="27" t="s">
        <v>1156</v>
      </c>
    </row>
    <row r="951" spans="1:1" x14ac:dyDescent="0.25">
      <c r="A951" t="s">
        <v>1157</v>
      </c>
    </row>
    <row r="952" spans="1:1" ht="255" x14ac:dyDescent="0.25">
      <c r="A952" s="126" t="s">
        <v>1158</v>
      </c>
    </row>
    <row r="953" spans="1:1" ht="270" x14ac:dyDescent="0.25">
      <c r="A953" s="126" t="s">
        <v>1159</v>
      </c>
    </row>
    <row r="954" spans="1:1" x14ac:dyDescent="0.25">
      <c r="A954" s="124" t="s">
        <v>1160</v>
      </c>
    </row>
    <row r="955" spans="1:1" x14ac:dyDescent="0.25">
      <c r="A955" t="s">
        <v>1161</v>
      </c>
    </row>
    <row r="956" spans="1:1" x14ac:dyDescent="0.25">
      <c r="A956" s="125" t="s">
        <v>1162</v>
      </c>
    </row>
    <row r="957" spans="1:1" x14ac:dyDescent="0.25">
      <c r="A957" s="124" t="s">
        <v>1163</v>
      </c>
    </row>
    <row r="958" spans="1:1" x14ac:dyDescent="0.25">
      <c r="A958" t="s">
        <v>1164</v>
      </c>
    </row>
    <row r="959" spans="1:1" x14ac:dyDescent="0.25">
      <c r="A959" s="125" t="s">
        <v>1165</v>
      </c>
    </row>
    <row r="960" spans="1:1" x14ac:dyDescent="0.25">
      <c r="A960" s="125" t="s">
        <v>1166</v>
      </c>
    </row>
    <row r="961" spans="1:1" x14ac:dyDescent="0.25">
      <c r="A961" s="124" t="s">
        <v>1167</v>
      </c>
    </row>
    <row r="962" spans="1:1" x14ac:dyDescent="0.25">
      <c r="A962" t="s">
        <v>1168</v>
      </c>
    </row>
    <row r="963" spans="1:1" x14ac:dyDescent="0.25">
      <c r="A963" s="125" t="s">
        <v>1169</v>
      </c>
    </row>
    <row r="964" spans="1:1" x14ac:dyDescent="0.25">
      <c r="A964" s="124" t="s">
        <v>1170</v>
      </c>
    </row>
    <row r="965" spans="1:1" x14ac:dyDescent="0.25">
      <c r="A965" t="s">
        <v>1171</v>
      </c>
    </row>
    <row r="966" spans="1:1" x14ac:dyDescent="0.25">
      <c r="A966" s="125" t="s">
        <v>1172</v>
      </c>
    </row>
    <row r="967" spans="1:1" x14ac:dyDescent="0.25">
      <c r="A967" s="125" t="s">
        <v>1173</v>
      </c>
    </row>
    <row r="968" spans="1:1" x14ac:dyDescent="0.25">
      <c r="A968" s="124" t="s">
        <v>1174</v>
      </c>
    </row>
    <row r="969" spans="1:1" x14ac:dyDescent="0.25">
      <c r="A969" s="124" t="s">
        <v>1175</v>
      </c>
    </row>
    <row r="970" spans="1:1" x14ac:dyDescent="0.25">
      <c r="A970" t="s">
        <v>1176</v>
      </c>
    </row>
    <row r="971" spans="1:1" x14ac:dyDescent="0.25">
      <c r="A971" s="124" t="s">
        <v>1177</v>
      </c>
    </row>
    <row r="972" spans="1:1" x14ac:dyDescent="0.25">
      <c r="A972" s="27" t="s">
        <v>1178</v>
      </c>
    </row>
    <row r="973" spans="1:1" x14ac:dyDescent="0.25">
      <c r="A973" s="125" t="s">
        <v>1179</v>
      </c>
    </row>
    <row r="974" spans="1:1" x14ac:dyDescent="0.25">
      <c r="A974" s="124" t="s">
        <v>1180</v>
      </c>
    </row>
    <row r="975" spans="1:1" x14ac:dyDescent="0.25">
      <c r="A975" t="s">
        <v>1181</v>
      </c>
    </row>
    <row r="976" spans="1:1" x14ac:dyDescent="0.25">
      <c r="A976" s="125" t="s">
        <v>1182</v>
      </c>
    </row>
    <row r="977" spans="1:1" x14ac:dyDescent="0.25">
      <c r="A977" s="125" t="s">
        <v>1183</v>
      </c>
    </row>
    <row r="978" spans="1:1" x14ac:dyDescent="0.25">
      <c r="A978" s="27" t="s">
        <v>1184</v>
      </c>
    </row>
    <row r="979" spans="1:1" x14ac:dyDescent="0.25">
      <c r="A979" s="27" t="s">
        <v>1185</v>
      </c>
    </row>
    <row r="980" spans="1:1" x14ac:dyDescent="0.25">
      <c r="A980" s="27" t="s">
        <v>1186</v>
      </c>
    </row>
    <row r="981" spans="1:1" x14ac:dyDescent="0.25">
      <c r="A981" t="s">
        <v>1187</v>
      </c>
    </row>
    <row r="982" spans="1:1" ht="255" x14ac:dyDescent="0.25">
      <c r="A982" s="126" t="s">
        <v>1188</v>
      </c>
    </row>
    <row r="983" spans="1:1" ht="270" x14ac:dyDescent="0.25">
      <c r="A983" s="126" t="s">
        <v>1189</v>
      </c>
    </row>
    <row r="984" spans="1:1" x14ac:dyDescent="0.25">
      <c r="A984" s="124" t="s">
        <v>1190</v>
      </c>
    </row>
    <row r="985" spans="1:1" x14ac:dyDescent="0.25">
      <c r="A985" t="s">
        <v>1191</v>
      </c>
    </row>
    <row r="986" spans="1:1" x14ac:dyDescent="0.25">
      <c r="A986" s="125" t="s">
        <v>1192</v>
      </c>
    </row>
    <row r="987" spans="1:1" x14ac:dyDescent="0.25">
      <c r="A987" s="124" t="s">
        <v>1193</v>
      </c>
    </row>
    <row r="988" spans="1:1" x14ac:dyDescent="0.25">
      <c r="A988" t="s">
        <v>1194</v>
      </c>
    </row>
    <row r="989" spans="1:1" x14ac:dyDescent="0.25">
      <c r="A989" s="125" t="s">
        <v>1195</v>
      </c>
    </row>
    <row r="990" spans="1:1" x14ac:dyDescent="0.25">
      <c r="A990" s="125" t="s">
        <v>1196</v>
      </c>
    </row>
    <row r="991" spans="1:1" x14ac:dyDescent="0.25">
      <c r="A991" s="124" t="s">
        <v>1197</v>
      </c>
    </row>
    <row r="992" spans="1:1" x14ac:dyDescent="0.25">
      <c r="A992" t="s">
        <v>1198</v>
      </c>
    </row>
    <row r="993" spans="1:1" x14ac:dyDescent="0.25">
      <c r="A993" s="125" t="s">
        <v>1199</v>
      </c>
    </row>
    <row r="994" spans="1:1" x14ac:dyDescent="0.25">
      <c r="A994" s="124" t="s">
        <v>1200</v>
      </c>
    </row>
    <row r="995" spans="1:1" x14ac:dyDescent="0.25">
      <c r="A995" t="s">
        <v>1201</v>
      </c>
    </row>
    <row r="996" spans="1:1" x14ac:dyDescent="0.25">
      <c r="A996" s="125" t="s">
        <v>1202</v>
      </c>
    </row>
    <row r="997" spans="1:1" x14ac:dyDescent="0.25">
      <c r="A997" s="125" t="s">
        <v>1203</v>
      </c>
    </row>
    <row r="998" spans="1:1" x14ac:dyDescent="0.25">
      <c r="A998" t="s">
        <v>1204</v>
      </c>
    </row>
    <row r="999" spans="1:1" x14ac:dyDescent="0.25">
      <c r="A999" t="s">
        <v>1205</v>
      </c>
    </row>
    <row r="1000" spans="1:1" x14ac:dyDescent="0.25">
      <c r="A1000" t="s">
        <v>1206</v>
      </c>
    </row>
    <row r="1001" spans="1:1" x14ac:dyDescent="0.25">
      <c r="A1001" t="s">
        <v>1207</v>
      </c>
    </row>
    <row r="1002" spans="1:1" x14ac:dyDescent="0.25">
      <c r="A1002" t="s">
        <v>1208</v>
      </c>
    </row>
    <row r="1003" spans="1:1" x14ac:dyDescent="0.25">
      <c r="A1003" t="s">
        <v>1209</v>
      </c>
    </row>
    <row r="1004" spans="1:1" x14ac:dyDescent="0.25">
      <c r="A1004" t="s">
        <v>1210</v>
      </c>
    </row>
    <row r="1005" spans="1:1" x14ac:dyDescent="0.25">
      <c r="A1005" t="s">
        <v>1211</v>
      </c>
    </row>
    <row r="1006" spans="1:1" x14ac:dyDescent="0.25">
      <c r="A1006" s="124" t="s">
        <v>1212</v>
      </c>
    </row>
    <row r="1007" spans="1:1" x14ac:dyDescent="0.25">
      <c r="A1007" s="124" t="s">
        <v>1213</v>
      </c>
    </row>
    <row r="1008" spans="1:1" x14ac:dyDescent="0.25">
      <c r="A1008" t="s">
        <v>1214</v>
      </c>
    </row>
    <row r="1009" spans="1:1" x14ac:dyDescent="0.25">
      <c r="A1009" s="124" t="s">
        <v>1215</v>
      </c>
    </row>
    <row r="1010" spans="1:1" x14ac:dyDescent="0.25">
      <c r="A1010" s="27" t="s">
        <v>1216</v>
      </c>
    </row>
    <row r="1011" spans="1:1" x14ac:dyDescent="0.25">
      <c r="A1011" s="125" t="s">
        <v>1217</v>
      </c>
    </row>
    <row r="1012" spans="1:1" x14ac:dyDescent="0.25">
      <c r="A1012" s="124" t="s">
        <v>1218</v>
      </c>
    </row>
    <row r="1013" spans="1:1" x14ac:dyDescent="0.25">
      <c r="A1013" t="s">
        <v>1219</v>
      </c>
    </row>
    <row r="1014" spans="1:1" x14ac:dyDescent="0.25">
      <c r="A1014" s="125" t="s">
        <v>1220</v>
      </c>
    </row>
    <row r="1015" spans="1:1" x14ac:dyDescent="0.25">
      <c r="A1015" s="125" t="s">
        <v>1221</v>
      </c>
    </row>
    <row r="1016" spans="1:1" x14ac:dyDescent="0.25">
      <c r="A1016" s="27" t="s">
        <v>1222</v>
      </c>
    </row>
    <row r="1017" spans="1:1" x14ac:dyDescent="0.25">
      <c r="A1017" s="27" t="s">
        <v>1223</v>
      </c>
    </row>
    <row r="1018" spans="1:1" x14ac:dyDescent="0.25">
      <c r="A1018" s="27" t="s">
        <v>1224</v>
      </c>
    </row>
    <row r="1019" spans="1:1" x14ac:dyDescent="0.25">
      <c r="A1019" t="s">
        <v>1225</v>
      </c>
    </row>
    <row r="1020" spans="1:1" ht="255" x14ac:dyDescent="0.25">
      <c r="A1020" s="126" t="s">
        <v>1226</v>
      </c>
    </row>
    <row r="1021" spans="1:1" ht="270" x14ac:dyDescent="0.25">
      <c r="A1021" s="126" t="s">
        <v>1227</v>
      </c>
    </row>
    <row r="1022" spans="1:1" x14ac:dyDescent="0.25">
      <c r="A1022" s="124" t="s">
        <v>1228</v>
      </c>
    </row>
    <row r="1023" spans="1:1" x14ac:dyDescent="0.25">
      <c r="A1023" t="s">
        <v>1229</v>
      </c>
    </row>
    <row r="1024" spans="1:1" x14ac:dyDescent="0.25">
      <c r="A1024" s="125" t="s">
        <v>1230</v>
      </c>
    </row>
    <row r="1025" spans="1:1" x14ac:dyDescent="0.25">
      <c r="A1025" s="124" t="s">
        <v>1231</v>
      </c>
    </row>
    <row r="1026" spans="1:1" x14ac:dyDescent="0.25">
      <c r="A1026" t="s">
        <v>1232</v>
      </c>
    </row>
    <row r="1027" spans="1:1" x14ac:dyDescent="0.25">
      <c r="A1027" s="125" t="s">
        <v>1233</v>
      </c>
    </row>
    <row r="1028" spans="1:1" x14ac:dyDescent="0.25">
      <c r="A1028" s="125" t="s">
        <v>1234</v>
      </c>
    </row>
    <row r="1029" spans="1:1" x14ac:dyDescent="0.25">
      <c r="A1029" s="124" t="s">
        <v>1235</v>
      </c>
    </row>
    <row r="1030" spans="1:1" x14ac:dyDescent="0.25">
      <c r="A1030" t="s">
        <v>1236</v>
      </c>
    </row>
    <row r="1031" spans="1:1" x14ac:dyDescent="0.25">
      <c r="A1031" s="125" t="s">
        <v>1237</v>
      </c>
    </row>
    <row r="1032" spans="1:1" x14ac:dyDescent="0.25">
      <c r="A1032" s="124" t="s">
        <v>1238</v>
      </c>
    </row>
    <row r="1033" spans="1:1" x14ac:dyDescent="0.25">
      <c r="A1033" t="s">
        <v>1239</v>
      </c>
    </row>
    <row r="1034" spans="1:1" x14ac:dyDescent="0.25">
      <c r="A1034" s="125" t="s">
        <v>1240</v>
      </c>
    </row>
    <row r="1035" spans="1:1" x14ac:dyDescent="0.25">
      <c r="A1035" s="125" t="s">
        <v>1241</v>
      </c>
    </row>
    <row r="1036" spans="1:1" x14ac:dyDescent="0.25">
      <c r="A1036" t="s">
        <v>1242</v>
      </c>
    </row>
    <row r="1037" spans="1:1" x14ac:dyDescent="0.25">
      <c r="A1037" t="s">
        <v>1243</v>
      </c>
    </row>
    <row r="1038" spans="1:1" x14ac:dyDescent="0.25">
      <c r="A1038" s="124" t="s">
        <v>1244</v>
      </c>
    </row>
    <row r="1039" spans="1:1" x14ac:dyDescent="0.25">
      <c r="A1039" s="124" t="s">
        <v>1245</v>
      </c>
    </row>
    <row r="1040" spans="1:1" x14ac:dyDescent="0.25">
      <c r="A1040" t="s">
        <v>1246</v>
      </c>
    </row>
    <row r="1041" spans="1:1" x14ac:dyDescent="0.25">
      <c r="A1041" s="124" t="s">
        <v>1247</v>
      </c>
    </row>
    <row r="1042" spans="1:1" x14ac:dyDescent="0.25">
      <c r="A1042" s="124" t="s">
        <v>1248</v>
      </c>
    </row>
    <row r="1043" spans="1:1" x14ac:dyDescent="0.25">
      <c r="A1043" s="124" t="s">
        <v>1249</v>
      </c>
    </row>
    <row r="1044" spans="1:1" x14ac:dyDescent="0.25">
      <c r="A1044" s="124" t="s">
        <v>1250</v>
      </c>
    </row>
    <row r="1045" spans="1:1" x14ac:dyDescent="0.25">
      <c r="A1045" s="124" t="s">
        <v>1251</v>
      </c>
    </row>
    <row r="1046" spans="1:1" x14ac:dyDescent="0.25">
      <c r="A1046" s="124" t="s">
        <v>1252</v>
      </c>
    </row>
    <row r="1047" spans="1:1" x14ac:dyDescent="0.25">
      <c r="A1047" s="27" t="s">
        <v>1253</v>
      </c>
    </row>
    <row r="1048" spans="1:1" x14ac:dyDescent="0.25">
      <c r="A1048" s="125" t="s">
        <v>1254</v>
      </c>
    </row>
    <row r="1049" spans="1:1" x14ac:dyDescent="0.25">
      <c r="A1049" s="124" t="s">
        <v>1255</v>
      </c>
    </row>
    <row r="1050" spans="1:1" x14ac:dyDescent="0.25">
      <c r="A1050" t="s">
        <v>1256</v>
      </c>
    </row>
    <row r="1051" spans="1:1" x14ac:dyDescent="0.25">
      <c r="A1051" s="125" t="s">
        <v>1257</v>
      </c>
    </row>
    <row r="1052" spans="1:1" x14ac:dyDescent="0.25">
      <c r="A1052" s="125" t="s">
        <v>1258</v>
      </c>
    </row>
    <row r="1053" spans="1:1" x14ac:dyDescent="0.25">
      <c r="A1053" s="27" t="s">
        <v>1259</v>
      </c>
    </row>
    <row r="1054" spans="1:1" x14ac:dyDescent="0.25">
      <c r="A1054" s="27" t="s">
        <v>1260</v>
      </c>
    </row>
    <row r="1055" spans="1:1" x14ac:dyDescent="0.25">
      <c r="A1055" s="27" t="s">
        <v>1261</v>
      </c>
    </row>
    <row r="1056" spans="1:1" x14ac:dyDescent="0.25">
      <c r="A1056" t="s">
        <v>1262</v>
      </c>
    </row>
    <row r="1057" spans="1:1" x14ac:dyDescent="0.25">
      <c r="A1057" s="124" t="s">
        <v>1263</v>
      </c>
    </row>
    <row r="1058" spans="1:1" x14ac:dyDescent="0.25">
      <c r="A1058" t="s">
        <v>1264</v>
      </c>
    </row>
    <row r="1059" spans="1:1" x14ac:dyDescent="0.25">
      <c r="A1059" s="125" t="s">
        <v>1265</v>
      </c>
    </row>
    <row r="1060" spans="1:1" x14ac:dyDescent="0.25">
      <c r="A1060" s="124" t="s">
        <v>1266</v>
      </c>
    </row>
    <row r="1061" spans="1:1" x14ac:dyDescent="0.25">
      <c r="A1061" t="s">
        <v>1267</v>
      </c>
    </row>
    <row r="1062" spans="1:1" x14ac:dyDescent="0.25">
      <c r="A1062" s="125" t="s">
        <v>1268</v>
      </c>
    </row>
    <row r="1063" spans="1:1" x14ac:dyDescent="0.25">
      <c r="A1063" s="125" t="s">
        <v>1269</v>
      </c>
    </row>
    <row r="1064" spans="1:1" x14ac:dyDescent="0.25">
      <c r="A1064" s="124" t="s">
        <v>1270</v>
      </c>
    </row>
    <row r="1065" spans="1:1" x14ac:dyDescent="0.25">
      <c r="A1065" t="s">
        <v>1271</v>
      </c>
    </row>
    <row r="1066" spans="1:1" x14ac:dyDescent="0.25">
      <c r="A1066" s="125" t="s">
        <v>1272</v>
      </c>
    </row>
    <row r="1067" spans="1:1" x14ac:dyDescent="0.25">
      <c r="A1067" s="124" t="s">
        <v>1273</v>
      </c>
    </row>
    <row r="1068" spans="1:1" x14ac:dyDescent="0.25">
      <c r="A1068" t="s">
        <v>1274</v>
      </c>
    </row>
    <row r="1069" spans="1:1" x14ac:dyDescent="0.25">
      <c r="A1069" s="125" t="s">
        <v>1275</v>
      </c>
    </row>
    <row r="1070" spans="1:1" x14ac:dyDescent="0.25">
      <c r="A1070" s="125" t="s">
        <v>1276</v>
      </c>
    </row>
    <row r="1071" spans="1:1" x14ac:dyDescent="0.25">
      <c r="A1071" s="125" t="s">
        <v>1277</v>
      </c>
    </row>
    <row r="1072" spans="1:1" x14ac:dyDescent="0.25">
      <c r="A1072" s="124" t="s">
        <v>1278</v>
      </c>
    </row>
    <row r="1073" spans="1:1" x14ac:dyDescent="0.25">
      <c r="A1073" t="s">
        <v>1279</v>
      </c>
    </row>
    <row r="1074" spans="1:1" x14ac:dyDescent="0.25">
      <c r="A1074" s="125" t="s">
        <v>1280</v>
      </c>
    </row>
    <row r="1075" spans="1:1" x14ac:dyDescent="0.25">
      <c r="A1075" s="125" t="s">
        <v>1281</v>
      </c>
    </row>
    <row r="1076" spans="1:1" x14ac:dyDescent="0.25">
      <c r="A1076" s="27" t="s">
        <v>1282</v>
      </c>
    </row>
    <row r="1077" spans="1:1" x14ac:dyDescent="0.25">
      <c r="A1077" s="27" t="s">
        <v>1283</v>
      </c>
    </row>
    <row r="1078" spans="1:1" x14ac:dyDescent="0.25">
      <c r="A1078" s="27" t="s">
        <v>1284</v>
      </c>
    </row>
    <row r="1079" spans="1:1" x14ac:dyDescent="0.25">
      <c r="A1079" t="s">
        <v>1285</v>
      </c>
    </row>
    <row r="1080" spans="1:1" x14ac:dyDescent="0.25">
      <c r="A1080" s="125" t="s">
        <v>1286</v>
      </c>
    </row>
    <row r="1081" spans="1:1" x14ac:dyDescent="0.25">
      <c r="A1081" s="124" t="s">
        <v>1287</v>
      </c>
    </row>
    <row r="1082" spans="1:1" x14ac:dyDescent="0.25">
      <c r="A1082" t="s">
        <v>1288</v>
      </c>
    </row>
    <row r="1083" spans="1:1" x14ac:dyDescent="0.25">
      <c r="A1083" s="125" t="s">
        <v>1289</v>
      </c>
    </row>
    <row r="1084" spans="1:1" x14ac:dyDescent="0.25">
      <c r="A1084" s="125" t="s">
        <v>1290</v>
      </c>
    </row>
    <row r="1085" spans="1:1" x14ac:dyDescent="0.25">
      <c r="A1085" s="27" t="s">
        <v>1291</v>
      </c>
    </row>
    <row r="1086" spans="1:1" x14ac:dyDescent="0.25">
      <c r="A1086" s="27" t="s">
        <v>1292</v>
      </c>
    </row>
    <row r="1087" spans="1:1" x14ac:dyDescent="0.25">
      <c r="A1087" s="27" t="s">
        <v>1293</v>
      </c>
    </row>
    <row r="1088" spans="1:1" x14ac:dyDescent="0.25">
      <c r="A1088" t="s">
        <v>1294</v>
      </c>
    </row>
    <row r="1089" spans="1:1" x14ac:dyDescent="0.25">
      <c r="A1089" s="124" t="s">
        <v>1295</v>
      </c>
    </row>
    <row r="1090" spans="1:1" x14ac:dyDescent="0.25">
      <c r="A1090" t="s">
        <v>1296</v>
      </c>
    </row>
    <row r="1091" spans="1:1" x14ac:dyDescent="0.25">
      <c r="A1091" s="124" t="s">
        <v>1297</v>
      </c>
    </row>
    <row r="1092" spans="1:1" x14ac:dyDescent="0.25">
      <c r="A1092" s="124" t="s">
        <v>1298</v>
      </c>
    </row>
    <row r="1093" spans="1:1" x14ac:dyDescent="0.25">
      <c r="A1093" s="27" t="s">
        <v>1299</v>
      </c>
    </row>
    <row r="1094" spans="1:1" ht="255" x14ac:dyDescent="0.25">
      <c r="A1094" s="126" t="s">
        <v>1300</v>
      </c>
    </row>
    <row r="1095" spans="1:1" ht="270" x14ac:dyDescent="0.25">
      <c r="A1095" s="126" t="s">
        <v>1301</v>
      </c>
    </row>
    <row r="1096" spans="1:1" x14ac:dyDescent="0.25">
      <c r="A1096" s="124" t="s">
        <v>1302</v>
      </c>
    </row>
    <row r="1097" spans="1:1" x14ac:dyDescent="0.25">
      <c r="A1097" t="s">
        <v>1303</v>
      </c>
    </row>
    <row r="1098" spans="1:1" x14ac:dyDescent="0.25">
      <c r="A1098" s="125" t="s">
        <v>1304</v>
      </c>
    </row>
    <row r="1099" spans="1:1" x14ac:dyDescent="0.25">
      <c r="A1099" s="124" t="s">
        <v>1305</v>
      </c>
    </row>
    <row r="1100" spans="1:1" x14ac:dyDescent="0.25">
      <c r="A1100" t="s">
        <v>1306</v>
      </c>
    </row>
    <row r="1101" spans="1:1" x14ac:dyDescent="0.25">
      <c r="A1101" s="125" t="s">
        <v>1307</v>
      </c>
    </row>
    <row r="1102" spans="1:1" x14ac:dyDescent="0.25">
      <c r="A1102" s="125" t="s">
        <v>1308</v>
      </c>
    </row>
    <row r="1103" spans="1:1" x14ac:dyDescent="0.25">
      <c r="A1103" s="124" t="s">
        <v>1309</v>
      </c>
    </row>
    <row r="1104" spans="1:1" x14ac:dyDescent="0.25">
      <c r="A1104" t="s">
        <v>1310</v>
      </c>
    </row>
    <row r="1105" spans="1:1" x14ac:dyDescent="0.25">
      <c r="A1105" s="125" t="s">
        <v>1311</v>
      </c>
    </row>
    <row r="1106" spans="1:1" x14ac:dyDescent="0.25">
      <c r="A1106" s="124" t="s">
        <v>1312</v>
      </c>
    </row>
    <row r="1107" spans="1:1" x14ac:dyDescent="0.25">
      <c r="A1107" t="s">
        <v>1313</v>
      </c>
    </row>
    <row r="1108" spans="1:1" x14ac:dyDescent="0.25">
      <c r="A1108" s="125" t="s">
        <v>1314</v>
      </c>
    </row>
    <row r="1109" spans="1:1" x14ac:dyDescent="0.25">
      <c r="A1109" s="125" t="s">
        <v>1315</v>
      </c>
    </row>
    <row r="1110" spans="1:1" x14ac:dyDescent="0.25">
      <c r="A1110" s="124" t="s">
        <v>1316</v>
      </c>
    </row>
    <row r="1111" spans="1:1" x14ac:dyDescent="0.25">
      <c r="A1111" t="s">
        <v>1317</v>
      </c>
    </row>
    <row r="1112" spans="1:1" x14ac:dyDescent="0.25">
      <c r="A1112" s="124" t="s">
        <v>1318</v>
      </c>
    </row>
    <row r="1113" spans="1:1" x14ac:dyDescent="0.25">
      <c r="A1113" s="27" t="s">
        <v>1319</v>
      </c>
    </row>
    <row r="1114" spans="1:1" x14ac:dyDescent="0.25">
      <c r="A1114" t="s">
        <v>1320</v>
      </c>
    </row>
    <row r="1115" spans="1:1" x14ac:dyDescent="0.25">
      <c r="A1115" t="s">
        <v>1321</v>
      </c>
    </row>
    <row r="1116" spans="1:1" x14ac:dyDescent="0.25">
      <c r="A1116" t="s">
        <v>1322</v>
      </c>
    </row>
    <row r="1117" spans="1:1" x14ac:dyDescent="0.25">
      <c r="A1117" t="s">
        <v>1323</v>
      </c>
    </row>
    <row r="1118" spans="1:1" x14ac:dyDescent="0.25">
      <c r="A1118" t="s">
        <v>1324</v>
      </c>
    </row>
    <row r="1119" spans="1:1" x14ac:dyDescent="0.25">
      <c r="A1119" t="s">
        <v>1325</v>
      </c>
    </row>
    <row r="1120" spans="1:1" x14ac:dyDescent="0.25">
      <c r="A1120" t="s">
        <v>1326</v>
      </c>
    </row>
    <row r="1121" spans="1:1" x14ac:dyDescent="0.25">
      <c r="A1121" t="s">
        <v>1327</v>
      </c>
    </row>
    <row r="1122" spans="1:1" x14ac:dyDescent="0.25">
      <c r="A1122" t="s">
        <v>1328</v>
      </c>
    </row>
    <row r="1123" spans="1:1" x14ac:dyDescent="0.25">
      <c r="A1123" t="s">
        <v>1329</v>
      </c>
    </row>
    <row r="1124" spans="1:1" x14ac:dyDescent="0.25">
      <c r="A1124" t="s">
        <v>1330</v>
      </c>
    </row>
    <row r="1125" spans="1:1" x14ac:dyDescent="0.25">
      <c r="A1125" t="s">
        <v>1331</v>
      </c>
    </row>
    <row r="1126" spans="1:1" ht="255" x14ac:dyDescent="0.25">
      <c r="A1126" s="126" t="s">
        <v>1332</v>
      </c>
    </row>
    <row r="1127" spans="1:1" ht="270" x14ac:dyDescent="0.25">
      <c r="A1127" s="126" t="s">
        <v>1333</v>
      </c>
    </row>
    <row r="1128" spans="1:1" x14ac:dyDescent="0.25">
      <c r="A1128" s="124" t="s">
        <v>1334</v>
      </c>
    </row>
    <row r="1129" spans="1:1" x14ac:dyDescent="0.25">
      <c r="A1129" t="s">
        <v>1335</v>
      </c>
    </row>
    <row r="1130" spans="1:1" x14ac:dyDescent="0.25">
      <c r="A1130" s="125" t="s">
        <v>1336</v>
      </c>
    </row>
    <row r="1131" spans="1:1" x14ac:dyDescent="0.25">
      <c r="A1131" s="124" t="s">
        <v>1337</v>
      </c>
    </row>
    <row r="1132" spans="1:1" x14ac:dyDescent="0.25">
      <c r="A1132" t="s">
        <v>1338</v>
      </c>
    </row>
    <row r="1133" spans="1:1" x14ac:dyDescent="0.25">
      <c r="A1133" s="125" t="s">
        <v>1339</v>
      </c>
    </row>
    <row r="1134" spans="1:1" x14ac:dyDescent="0.25">
      <c r="A1134" s="125" t="s">
        <v>1340</v>
      </c>
    </row>
    <row r="1135" spans="1:1" x14ac:dyDescent="0.25">
      <c r="A1135" s="124" t="s">
        <v>1341</v>
      </c>
    </row>
    <row r="1136" spans="1:1" x14ac:dyDescent="0.25">
      <c r="A1136" t="s">
        <v>1342</v>
      </c>
    </row>
    <row r="1137" spans="1:1" x14ac:dyDescent="0.25">
      <c r="A1137" s="125" t="s">
        <v>1343</v>
      </c>
    </row>
    <row r="1138" spans="1:1" x14ac:dyDescent="0.25">
      <c r="A1138" s="124" t="s">
        <v>1344</v>
      </c>
    </row>
    <row r="1139" spans="1:1" x14ac:dyDescent="0.25">
      <c r="A1139" t="s">
        <v>1345</v>
      </c>
    </row>
    <row r="1140" spans="1:1" x14ac:dyDescent="0.25">
      <c r="A1140" s="125" t="s">
        <v>1346</v>
      </c>
    </row>
    <row r="1141" spans="1:1" x14ac:dyDescent="0.25">
      <c r="A1141" s="125" t="s">
        <v>1347</v>
      </c>
    </row>
    <row r="1142" spans="1:1" x14ac:dyDescent="0.25">
      <c r="A1142" t="s">
        <v>1348</v>
      </c>
    </row>
    <row r="1143" spans="1:1" x14ac:dyDescent="0.25">
      <c r="A1143" t="s">
        <v>1349</v>
      </c>
    </row>
    <row r="1144" spans="1:1" x14ac:dyDescent="0.25">
      <c r="A1144" t="s">
        <v>1350</v>
      </c>
    </row>
    <row r="1145" spans="1:1" x14ac:dyDescent="0.25">
      <c r="A1145" t="s">
        <v>1351</v>
      </c>
    </row>
    <row r="1146" spans="1:1" x14ac:dyDescent="0.25">
      <c r="A1146" s="124" t="s">
        <v>1352</v>
      </c>
    </row>
    <row r="1147" spans="1:1" x14ac:dyDescent="0.25">
      <c r="A1147" s="124" t="s">
        <v>1353</v>
      </c>
    </row>
    <row r="1148" spans="1:1" x14ac:dyDescent="0.25">
      <c r="A1148" t="s">
        <v>1354</v>
      </c>
    </row>
    <row r="1149" spans="1:1" x14ac:dyDescent="0.25">
      <c r="A1149" s="124" t="s">
        <v>1355</v>
      </c>
    </row>
    <row r="1150" spans="1:1" x14ac:dyDescent="0.25">
      <c r="A1150" s="124" t="s">
        <v>1356</v>
      </c>
    </row>
    <row r="1151" spans="1:1" x14ac:dyDescent="0.25">
      <c r="A1151" s="124" t="s">
        <v>1357</v>
      </c>
    </row>
    <row r="1152" spans="1:1" x14ac:dyDescent="0.25">
      <c r="A1152" s="27" t="s">
        <v>1358</v>
      </c>
    </row>
    <row r="1153" spans="1:1" x14ac:dyDescent="0.25">
      <c r="A1153" s="125" t="s">
        <v>1359</v>
      </c>
    </row>
    <row r="1154" spans="1:1" x14ac:dyDescent="0.25">
      <c r="A1154" s="124" t="s">
        <v>1360</v>
      </c>
    </row>
    <row r="1155" spans="1:1" x14ac:dyDescent="0.25">
      <c r="A1155" t="s">
        <v>1361</v>
      </c>
    </row>
    <row r="1156" spans="1:1" x14ac:dyDescent="0.25">
      <c r="A1156" s="125" t="s">
        <v>1362</v>
      </c>
    </row>
    <row r="1157" spans="1:1" x14ac:dyDescent="0.25">
      <c r="A1157" s="125" t="s">
        <v>1363</v>
      </c>
    </row>
    <row r="1158" spans="1:1" x14ac:dyDescent="0.25">
      <c r="A1158" s="27" t="s">
        <v>1364</v>
      </c>
    </row>
    <row r="1159" spans="1:1" x14ac:dyDescent="0.25">
      <c r="A1159" s="27" t="s">
        <v>1365</v>
      </c>
    </row>
    <row r="1160" spans="1:1" x14ac:dyDescent="0.25">
      <c r="A1160" s="27" t="s">
        <v>1366</v>
      </c>
    </row>
    <row r="1161" spans="1:1" x14ac:dyDescent="0.25">
      <c r="A1161" t="s">
        <v>1367</v>
      </c>
    </row>
    <row r="1162" spans="1:1" ht="255" x14ac:dyDescent="0.25">
      <c r="A1162" s="126" t="s">
        <v>1368</v>
      </c>
    </row>
    <row r="1163" spans="1:1" ht="270" x14ac:dyDescent="0.25">
      <c r="A1163" s="126" t="s">
        <v>1369</v>
      </c>
    </row>
    <row r="1164" spans="1:1" x14ac:dyDescent="0.25">
      <c r="A1164" s="124" t="s">
        <v>1370</v>
      </c>
    </row>
    <row r="1165" spans="1:1" x14ac:dyDescent="0.25">
      <c r="A1165" t="s">
        <v>1371</v>
      </c>
    </row>
    <row r="1166" spans="1:1" x14ac:dyDescent="0.25">
      <c r="A1166" s="125" t="s">
        <v>1372</v>
      </c>
    </row>
    <row r="1167" spans="1:1" x14ac:dyDescent="0.25">
      <c r="A1167" s="124" t="s">
        <v>1373</v>
      </c>
    </row>
    <row r="1168" spans="1:1" x14ac:dyDescent="0.25">
      <c r="A1168" t="s">
        <v>1374</v>
      </c>
    </row>
    <row r="1169" spans="1:1" x14ac:dyDescent="0.25">
      <c r="A1169" s="125" t="s">
        <v>1375</v>
      </c>
    </row>
    <row r="1170" spans="1:1" x14ac:dyDescent="0.25">
      <c r="A1170" s="125" t="s">
        <v>1376</v>
      </c>
    </row>
    <row r="1171" spans="1:1" x14ac:dyDescent="0.25">
      <c r="A1171" s="125" t="s">
        <v>1377</v>
      </c>
    </row>
    <row r="1172" spans="1:1" x14ac:dyDescent="0.25">
      <c r="A1172" s="124" t="s">
        <v>1378</v>
      </c>
    </row>
    <row r="1173" spans="1:1" x14ac:dyDescent="0.25">
      <c r="A1173" t="s">
        <v>1379</v>
      </c>
    </row>
    <row r="1174" spans="1:1" x14ac:dyDescent="0.25">
      <c r="A1174" s="125" t="s">
        <v>1380</v>
      </c>
    </row>
    <row r="1175" spans="1:1" x14ac:dyDescent="0.25">
      <c r="A1175" s="125" t="s">
        <v>1381</v>
      </c>
    </row>
    <row r="1176" spans="1:1" x14ac:dyDescent="0.25">
      <c r="A1176" s="27" t="s">
        <v>1382</v>
      </c>
    </row>
    <row r="1177" spans="1:1" x14ac:dyDescent="0.25">
      <c r="A1177" s="27" t="s">
        <v>1383</v>
      </c>
    </row>
    <row r="1178" spans="1:1" x14ac:dyDescent="0.25">
      <c r="A1178" s="27" t="s">
        <v>1384</v>
      </c>
    </row>
    <row r="1179" spans="1:1" x14ac:dyDescent="0.25">
      <c r="A1179" t="s">
        <v>1385</v>
      </c>
    </row>
    <row r="1180" spans="1:1" x14ac:dyDescent="0.25">
      <c r="A1180" s="124" t="s">
        <v>1386</v>
      </c>
    </row>
    <row r="1181" spans="1:1" x14ac:dyDescent="0.25">
      <c r="A1181" t="s">
        <v>1387</v>
      </c>
    </row>
    <row r="1182" spans="1:1" x14ac:dyDescent="0.25">
      <c r="A1182" s="125" t="s">
        <v>1388</v>
      </c>
    </row>
    <row r="1183" spans="1:1" x14ac:dyDescent="0.25">
      <c r="A1183" s="124" t="s">
        <v>1389</v>
      </c>
    </row>
    <row r="1184" spans="1:1" x14ac:dyDescent="0.25">
      <c r="A1184" t="s">
        <v>1390</v>
      </c>
    </row>
    <row r="1185" spans="1:1" x14ac:dyDescent="0.25">
      <c r="A1185" s="125" t="s">
        <v>1391</v>
      </c>
    </row>
    <row r="1186" spans="1:1" x14ac:dyDescent="0.25">
      <c r="A1186" s="125" t="s">
        <v>1392</v>
      </c>
    </row>
    <row r="1187" spans="1:1" x14ac:dyDescent="0.25">
      <c r="A1187" t="s">
        <v>1393</v>
      </c>
    </row>
    <row r="1188" spans="1:1" x14ac:dyDescent="0.25">
      <c r="A1188" t="s">
        <v>1394</v>
      </c>
    </row>
    <row r="1189" spans="1:1" x14ac:dyDescent="0.25">
      <c r="A1189" t="s">
        <v>1395</v>
      </c>
    </row>
    <row r="1190" spans="1:1" x14ac:dyDescent="0.25">
      <c r="A1190" t="s">
        <v>1396</v>
      </c>
    </row>
    <row r="1191" spans="1:1" x14ac:dyDescent="0.25">
      <c r="A1191" t="s">
        <v>1397</v>
      </c>
    </row>
    <row r="1192" spans="1:1" x14ac:dyDescent="0.25">
      <c r="A1192" s="124" t="s">
        <v>1398</v>
      </c>
    </row>
    <row r="1193" spans="1:1" x14ac:dyDescent="0.25">
      <c r="A1193" t="s">
        <v>1399</v>
      </c>
    </row>
    <row r="1194" spans="1:1" x14ac:dyDescent="0.25">
      <c r="A1194" s="124" t="s">
        <v>1400</v>
      </c>
    </row>
    <row r="1195" spans="1:1" x14ac:dyDescent="0.25">
      <c r="A1195" s="27" t="s">
        <v>1401</v>
      </c>
    </row>
    <row r="1196" spans="1:1" ht="255" x14ac:dyDescent="0.25">
      <c r="A1196" s="126" t="s">
        <v>1402</v>
      </c>
    </row>
    <row r="1197" spans="1:1" ht="270" x14ac:dyDescent="0.25">
      <c r="A1197" s="126" t="s">
        <v>1403</v>
      </c>
    </row>
    <row r="1198" spans="1:1" x14ac:dyDescent="0.25">
      <c r="A1198" s="124" t="s">
        <v>1404</v>
      </c>
    </row>
    <row r="1199" spans="1:1" x14ac:dyDescent="0.25">
      <c r="A1199" t="s">
        <v>1405</v>
      </c>
    </row>
    <row r="1200" spans="1:1" x14ac:dyDescent="0.25">
      <c r="A1200" s="125" t="s">
        <v>1406</v>
      </c>
    </row>
    <row r="1201" spans="1:1" x14ac:dyDescent="0.25">
      <c r="A1201" s="124" t="s">
        <v>1407</v>
      </c>
    </row>
    <row r="1202" spans="1:1" x14ac:dyDescent="0.25">
      <c r="A1202" t="s">
        <v>1408</v>
      </c>
    </row>
    <row r="1203" spans="1:1" x14ac:dyDescent="0.25">
      <c r="A1203" s="125" t="s">
        <v>1409</v>
      </c>
    </row>
    <row r="1204" spans="1:1" x14ac:dyDescent="0.25">
      <c r="A1204" s="125" t="s">
        <v>1410</v>
      </c>
    </row>
    <row r="1205" spans="1:1" x14ac:dyDescent="0.25">
      <c r="A1205" s="124" t="s">
        <v>1411</v>
      </c>
    </row>
    <row r="1206" spans="1:1" x14ac:dyDescent="0.25">
      <c r="A1206" t="s">
        <v>1412</v>
      </c>
    </row>
    <row r="1207" spans="1:1" x14ac:dyDescent="0.25">
      <c r="A1207" s="125" t="s">
        <v>1413</v>
      </c>
    </row>
    <row r="1208" spans="1:1" x14ac:dyDescent="0.25">
      <c r="A1208" s="124" t="s">
        <v>1414</v>
      </c>
    </row>
    <row r="1209" spans="1:1" x14ac:dyDescent="0.25">
      <c r="A1209" t="s">
        <v>1415</v>
      </c>
    </row>
    <row r="1210" spans="1:1" x14ac:dyDescent="0.25">
      <c r="A1210" s="125" t="s">
        <v>1416</v>
      </c>
    </row>
    <row r="1211" spans="1:1" x14ac:dyDescent="0.25">
      <c r="A1211" s="125" t="s">
        <v>1417</v>
      </c>
    </row>
    <row r="1212" spans="1:1" x14ac:dyDescent="0.25">
      <c r="A1212" s="124" t="s">
        <v>1418</v>
      </c>
    </row>
    <row r="1213" spans="1:1" x14ac:dyDescent="0.25">
      <c r="A1213" s="124" t="s">
        <v>1419</v>
      </c>
    </row>
    <row r="1214" spans="1:1" x14ac:dyDescent="0.25">
      <c r="A1214" t="s">
        <v>1420</v>
      </c>
    </row>
    <row r="1215" spans="1:1" x14ac:dyDescent="0.25">
      <c r="A1215" s="124" t="s">
        <v>1421</v>
      </c>
    </row>
    <row r="1216" spans="1:1" x14ac:dyDescent="0.25">
      <c r="A1216" s="124" t="s">
        <v>1422</v>
      </c>
    </row>
    <row r="1217" spans="1:1" x14ac:dyDescent="0.25">
      <c r="A1217" s="124" t="s">
        <v>1423</v>
      </c>
    </row>
    <row r="1218" spans="1:1" x14ac:dyDescent="0.25">
      <c r="A1218" s="27" t="s">
        <v>1424</v>
      </c>
    </row>
    <row r="1219" spans="1:1" x14ac:dyDescent="0.25">
      <c r="A1219" s="125" t="s">
        <v>1425</v>
      </c>
    </row>
    <row r="1220" spans="1:1" x14ac:dyDescent="0.25">
      <c r="A1220" s="124" t="s">
        <v>1426</v>
      </c>
    </row>
    <row r="1221" spans="1:1" x14ac:dyDescent="0.25">
      <c r="A1221" t="s">
        <v>1427</v>
      </c>
    </row>
    <row r="1222" spans="1:1" x14ac:dyDescent="0.25">
      <c r="A1222" s="125" t="s">
        <v>1428</v>
      </c>
    </row>
    <row r="1223" spans="1:1" x14ac:dyDescent="0.25">
      <c r="A1223" s="125" t="s">
        <v>1429</v>
      </c>
    </row>
    <row r="1224" spans="1:1" x14ac:dyDescent="0.25">
      <c r="A1224" s="27" t="s">
        <v>1430</v>
      </c>
    </row>
    <row r="1225" spans="1:1" x14ac:dyDescent="0.25">
      <c r="A1225" s="27" t="s">
        <v>1431</v>
      </c>
    </row>
    <row r="1226" spans="1:1" x14ac:dyDescent="0.25">
      <c r="A1226" s="27" t="s">
        <v>1432</v>
      </c>
    </row>
    <row r="1227" spans="1:1" x14ac:dyDescent="0.25">
      <c r="A1227" t="s">
        <v>1433</v>
      </c>
    </row>
    <row r="1228" spans="1:1" ht="255" x14ac:dyDescent="0.25">
      <c r="A1228" s="126" t="s">
        <v>1434</v>
      </c>
    </row>
    <row r="1229" spans="1:1" ht="270" x14ac:dyDescent="0.25">
      <c r="A1229" s="126" t="s">
        <v>1435</v>
      </c>
    </row>
    <row r="1230" spans="1:1" x14ac:dyDescent="0.25">
      <c r="A1230" s="124" t="s">
        <v>1436</v>
      </c>
    </row>
    <row r="1231" spans="1:1" x14ac:dyDescent="0.25">
      <c r="A1231" t="s">
        <v>1437</v>
      </c>
    </row>
    <row r="1232" spans="1:1" x14ac:dyDescent="0.25">
      <c r="A1232" s="125" t="s">
        <v>1438</v>
      </c>
    </row>
    <row r="1233" spans="1:1" x14ac:dyDescent="0.25">
      <c r="A1233" s="124" t="s">
        <v>1439</v>
      </c>
    </row>
    <row r="1234" spans="1:1" x14ac:dyDescent="0.25">
      <c r="A1234" t="s">
        <v>1440</v>
      </c>
    </row>
    <row r="1235" spans="1:1" x14ac:dyDescent="0.25">
      <c r="A1235" s="125" t="s">
        <v>1441</v>
      </c>
    </row>
    <row r="1236" spans="1:1" x14ac:dyDescent="0.25">
      <c r="A1236" s="125" t="s">
        <v>1442</v>
      </c>
    </row>
    <row r="1237" spans="1:1" x14ac:dyDescent="0.25">
      <c r="A1237" s="125" t="s">
        <v>1443</v>
      </c>
    </row>
    <row r="1238" spans="1:1" x14ac:dyDescent="0.25">
      <c r="A1238" s="124" t="s">
        <v>1444</v>
      </c>
    </row>
    <row r="1239" spans="1:1" x14ac:dyDescent="0.25">
      <c r="A1239" t="s">
        <v>1445</v>
      </c>
    </row>
    <row r="1240" spans="1:1" x14ac:dyDescent="0.25">
      <c r="A1240" s="125" t="s">
        <v>1446</v>
      </c>
    </row>
    <row r="1241" spans="1:1" x14ac:dyDescent="0.25">
      <c r="A1241" s="125" t="s">
        <v>1447</v>
      </c>
    </row>
    <row r="1242" spans="1:1" x14ac:dyDescent="0.25">
      <c r="A1242" s="27" t="s">
        <v>1448</v>
      </c>
    </row>
    <row r="1243" spans="1:1" x14ac:dyDescent="0.25">
      <c r="A1243" s="27" t="s">
        <v>1449</v>
      </c>
    </row>
    <row r="1244" spans="1:1" x14ac:dyDescent="0.25">
      <c r="A1244" s="27" t="s">
        <v>1450</v>
      </c>
    </row>
    <row r="1245" spans="1:1" x14ac:dyDescent="0.25">
      <c r="A1245" t="s">
        <v>1451</v>
      </c>
    </row>
    <row r="1246" spans="1:1" x14ac:dyDescent="0.25">
      <c r="A1246" s="124" t="s">
        <v>1452</v>
      </c>
    </row>
    <row r="1247" spans="1:1" x14ac:dyDescent="0.25">
      <c r="A1247" t="s">
        <v>1453</v>
      </c>
    </row>
    <row r="1248" spans="1:1" x14ac:dyDescent="0.25">
      <c r="A1248" s="125" t="s">
        <v>1454</v>
      </c>
    </row>
    <row r="1249" spans="1:1" x14ac:dyDescent="0.25">
      <c r="A1249" s="124" t="s">
        <v>1455</v>
      </c>
    </row>
    <row r="1250" spans="1:1" x14ac:dyDescent="0.25">
      <c r="A1250" t="s">
        <v>1456</v>
      </c>
    </row>
    <row r="1251" spans="1:1" x14ac:dyDescent="0.25">
      <c r="A1251" s="125" t="s">
        <v>1457</v>
      </c>
    </row>
    <row r="1252" spans="1:1" x14ac:dyDescent="0.25">
      <c r="A1252" s="125" t="s">
        <v>1458</v>
      </c>
    </row>
    <row r="1253" spans="1:1" x14ac:dyDescent="0.25">
      <c r="A1253" s="124" t="s">
        <v>1459</v>
      </c>
    </row>
    <row r="1254" spans="1:1" x14ac:dyDescent="0.25">
      <c r="A1254" s="124" t="s">
        <v>1460</v>
      </c>
    </row>
    <row r="1255" spans="1:1" x14ac:dyDescent="0.25">
      <c r="A1255" t="s">
        <v>1461</v>
      </c>
    </row>
    <row r="1256" spans="1:1" x14ac:dyDescent="0.25">
      <c r="A1256" s="124" t="s">
        <v>1462</v>
      </c>
    </row>
    <row r="1257" spans="1:1" x14ac:dyDescent="0.25">
      <c r="A1257" s="124" t="s">
        <v>1463</v>
      </c>
    </row>
    <row r="1258" spans="1:1" x14ac:dyDescent="0.25">
      <c r="A1258" s="27" t="s">
        <v>1464</v>
      </c>
    </row>
    <row r="1259" spans="1:1" x14ac:dyDescent="0.25">
      <c r="A1259" s="125" t="s">
        <v>1465</v>
      </c>
    </row>
    <row r="1260" spans="1:1" x14ac:dyDescent="0.25">
      <c r="A1260" s="124" t="s">
        <v>1466</v>
      </c>
    </row>
    <row r="1261" spans="1:1" x14ac:dyDescent="0.25">
      <c r="A1261" t="s">
        <v>1467</v>
      </c>
    </row>
    <row r="1262" spans="1:1" x14ac:dyDescent="0.25">
      <c r="A1262" s="125" t="s">
        <v>1468</v>
      </c>
    </row>
    <row r="1263" spans="1:1" x14ac:dyDescent="0.25">
      <c r="A1263" s="125" t="s">
        <v>1469</v>
      </c>
    </row>
    <row r="1264" spans="1:1" x14ac:dyDescent="0.25">
      <c r="A1264" s="27" t="s">
        <v>1470</v>
      </c>
    </row>
    <row r="1265" spans="1:1" x14ac:dyDescent="0.25">
      <c r="A1265" s="27" t="s">
        <v>1471</v>
      </c>
    </row>
    <row r="1266" spans="1:1" x14ac:dyDescent="0.25">
      <c r="A1266" s="27" t="s">
        <v>1472</v>
      </c>
    </row>
    <row r="1267" spans="1:1" x14ac:dyDescent="0.25">
      <c r="A1267" t="s">
        <v>1473</v>
      </c>
    </row>
    <row r="1268" spans="1:1" ht="255" x14ac:dyDescent="0.25">
      <c r="A1268" s="126" t="s">
        <v>1474</v>
      </c>
    </row>
    <row r="1269" spans="1:1" ht="270" x14ac:dyDescent="0.25">
      <c r="A1269" s="126" t="s">
        <v>1475</v>
      </c>
    </row>
    <row r="1270" spans="1:1" x14ac:dyDescent="0.25">
      <c r="A1270" s="124" t="s">
        <v>1476</v>
      </c>
    </row>
    <row r="1271" spans="1:1" x14ac:dyDescent="0.25">
      <c r="A1271" t="s">
        <v>1477</v>
      </c>
    </row>
    <row r="1272" spans="1:1" x14ac:dyDescent="0.25">
      <c r="A1272" s="125" t="s">
        <v>1478</v>
      </c>
    </row>
    <row r="1273" spans="1:1" x14ac:dyDescent="0.25">
      <c r="A1273" s="124" t="s">
        <v>1479</v>
      </c>
    </row>
    <row r="1274" spans="1:1" x14ac:dyDescent="0.25">
      <c r="A1274" t="s">
        <v>1480</v>
      </c>
    </row>
    <row r="1275" spans="1:1" x14ac:dyDescent="0.25">
      <c r="A1275" s="125" t="s">
        <v>1481</v>
      </c>
    </row>
    <row r="1276" spans="1:1" x14ac:dyDescent="0.25">
      <c r="A1276" s="125" t="s">
        <v>1482</v>
      </c>
    </row>
    <row r="1277" spans="1:1" x14ac:dyDescent="0.25">
      <c r="A1277" s="124" t="s">
        <v>1483</v>
      </c>
    </row>
    <row r="1278" spans="1:1" x14ac:dyDescent="0.25">
      <c r="A1278" t="s">
        <v>1484</v>
      </c>
    </row>
    <row r="1279" spans="1:1" x14ac:dyDescent="0.25">
      <c r="A1279" s="125" t="s">
        <v>1485</v>
      </c>
    </row>
    <row r="1280" spans="1:1" x14ac:dyDescent="0.25">
      <c r="A1280" s="124" t="s">
        <v>1486</v>
      </c>
    </row>
    <row r="1281" spans="1:1" x14ac:dyDescent="0.25">
      <c r="A1281" t="s">
        <v>1487</v>
      </c>
    </row>
    <row r="1282" spans="1:1" x14ac:dyDescent="0.25">
      <c r="A1282" s="125" t="s">
        <v>1488</v>
      </c>
    </row>
    <row r="1283" spans="1:1" x14ac:dyDescent="0.25">
      <c r="A1283" s="125" t="s">
        <v>1489</v>
      </c>
    </row>
    <row r="1284" spans="1:1" x14ac:dyDescent="0.25">
      <c r="A1284" t="s">
        <v>1490</v>
      </c>
    </row>
    <row r="1285" spans="1:1" x14ac:dyDescent="0.25">
      <c r="A1285" t="s">
        <v>1491</v>
      </c>
    </row>
    <row r="1286" spans="1:1" x14ac:dyDescent="0.25">
      <c r="A1286" t="s">
        <v>1492</v>
      </c>
    </row>
    <row r="1287" spans="1:1" x14ac:dyDescent="0.25">
      <c r="A1287" t="s">
        <v>1493</v>
      </c>
    </row>
    <row r="1288" spans="1:1" x14ac:dyDescent="0.25">
      <c r="A1288" t="s">
        <v>1494</v>
      </c>
    </row>
    <row r="1289" spans="1:1" x14ac:dyDescent="0.25">
      <c r="A1289" t="s">
        <v>1495</v>
      </c>
    </row>
    <row r="1290" spans="1:1" x14ac:dyDescent="0.25">
      <c r="A1290" t="s">
        <v>1496</v>
      </c>
    </row>
    <row r="1291" spans="1:1" x14ac:dyDescent="0.25">
      <c r="A1291" t="s">
        <v>1497</v>
      </c>
    </row>
    <row r="1292" spans="1:1" x14ac:dyDescent="0.25">
      <c r="A1292" s="124" t="s">
        <v>1498</v>
      </c>
    </row>
    <row r="1293" spans="1:1" x14ac:dyDescent="0.25">
      <c r="A1293" s="124" t="s">
        <v>1499</v>
      </c>
    </row>
    <row r="1294" spans="1:1" x14ac:dyDescent="0.25">
      <c r="A1294" t="s">
        <v>1500</v>
      </c>
    </row>
    <row r="1295" spans="1:1" x14ac:dyDescent="0.25">
      <c r="A1295" s="124" t="s">
        <v>1501</v>
      </c>
    </row>
    <row r="1296" spans="1:1" x14ac:dyDescent="0.25">
      <c r="A1296" s="124" t="s">
        <v>1502</v>
      </c>
    </row>
    <row r="1297" spans="1:1" x14ac:dyDescent="0.25">
      <c r="A1297" s="27" t="s">
        <v>1503</v>
      </c>
    </row>
    <row r="1298" spans="1:1" x14ac:dyDescent="0.25">
      <c r="A1298" s="125" t="s">
        <v>1504</v>
      </c>
    </row>
    <row r="1299" spans="1:1" x14ac:dyDescent="0.25">
      <c r="A1299" s="124" t="s">
        <v>1505</v>
      </c>
    </row>
    <row r="1300" spans="1:1" x14ac:dyDescent="0.25">
      <c r="A1300" t="s">
        <v>1506</v>
      </c>
    </row>
    <row r="1301" spans="1:1" x14ac:dyDescent="0.25">
      <c r="A1301" s="125" t="s">
        <v>1507</v>
      </c>
    </row>
    <row r="1302" spans="1:1" x14ac:dyDescent="0.25">
      <c r="A1302" s="125" t="s">
        <v>1508</v>
      </c>
    </row>
    <row r="1303" spans="1:1" x14ac:dyDescent="0.25">
      <c r="A1303" s="27" t="s">
        <v>1509</v>
      </c>
    </row>
    <row r="1304" spans="1:1" x14ac:dyDescent="0.25">
      <c r="A1304" s="27" t="s">
        <v>1510</v>
      </c>
    </row>
    <row r="1305" spans="1:1" x14ac:dyDescent="0.25">
      <c r="A1305" s="27" t="s">
        <v>1511</v>
      </c>
    </row>
    <row r="1306" spans="1:1" x14ac:dyDescent="0.25">
      <c r="A1306" t="s">
        <v>1512</v>
      </c>
    </row>
    <row r="1307" spans="1:1" ht="255" x14ac:dyDescent="0.25">
      <c r="A1307" s="126" t="s">
        <v>1513</v>
      </c>
    </row>
    <row r="1308" spans="1:1" ht="270" x14ac:dyDescent="0.25">
      <c r="A1308" s="126" t="s">
        <v>1514</v>
      </c>
    </row>
    <row r="1309" spans="1:1" x14ac:dyDescent="0.25">
      <c r="A1309" s="124" t="s">
        <v>1515</v>
      </c>
    </row>
    <row r="1310" spans="1:1" x14ac:dyDescent="0.25">
      <c r="A1310" t="s">
        <v>1516</v>
      </c>
    </row>
    <row r="1311" spans="1:1" x14ac:dyDescent="0.25">
      <c r="A1311" s="125" t="s">
        <v>1517</v>
      </c>
    </row>
    <row r="1312" spans="1:1" x14ac:dyDescent="0.25">
      <c r="A1312" s="124" t="s">
        <v>1518</v>
      </c>
    </row>
    <row r="1313" spans="1:1" x14ac:dyDescent="0.25">
      <c r="A1313" t="s">
        <v>1519</v>
      </c>
    </row>
    <row r="1314" spans="1:1" x14ac:dyDescent="0.25">
      <c r="A1314" s="125" t="s">
        <v>1520</v>
      </c>
    </row>
    <row r="1315" spans="1:1" x14ac:dyDescent="0.25">
      <c r="A1315" s="125" t="s">
        <v>1521</v>
      </c>
    </row>
    <row r="1316" spans="1:1" x14ac:dyDescent="0.25">
      <c r="A1316" s="124" t="s">
        <v>1522</v>
      </c>
    </row>
    <row r="1317" spans="1:1" x14ac:dyDescent="0.25">
      <c r="A1317" t="s">
        <v>1523</v>
      </c>
    </row>
    <row r="1318" spans="1:1" x14ac:dyDescent="0.25">
      <c r="A1318" s="125" t="s">
        <v>1524</v>
      </c>
    </row>
    <row r="1319" spans="1:1" x14ac:dyDescent="0.25">
      <c r="A1319" s="124" t="s">
        <v>1525</v>
      </c>
    </row>
    <row r="1320" spans="1:1" x14ac:dyDescent="0.25">
      <c r="A1320" t="s">
        <v>1526</v>
      </c>
    </row>
    <row r="1321" spans="1:1" x14ac:dyDescent="0.25">
      <c r="A1321" s="125" t="s">
        <v>1527</v>
      </c>
    </row>
    <row r="1322" spans="1:1" x14ac:dyDescent="0.25">
      <c r="A1322" s="125" t="s">
        <v>1528</v>
      </c>
    </row>
    <row r="1323" spans="1:1" x14ac:dyDescent="0.25">
      <c r="A1323" s="124" t="s">
        <v>1529</v>
      </c>
    </row>
    <row r="1324" spans="1:1" x14ac:dyDescent="0.25">
      <c r="A1324" t="s">
        <v>1530</v>
      </c>
    </row>
    <row r="1325" spans="1:1" x14ac:dyDescent="0.25">
      <c r="A1325" s="124" t="s">
        <v>1531</v>
      </c>
    </row>
    <row r="1326" spans="1:1" x14ac:dyDescent="0.25">
      <c r="A1326" s="27" t="s">
        <v>1532</v>
      </c>
    </row>
    <row r="1327" spans="1:1" ht="255" x14ac:dyDescent="0.25">
      <c r="A1327" s="126" t="s">
        <v>1533</v>
      </c>
    </row>
    <row r="1328" spans="1:1" ht="270" x14ac:dyDescent="0.25">
      <c r="A1328" s="126" t="s">
        <v>1534</v>
      </c>
    </row>
    <row r="1329" spans="1:1" x14ac:dyDescent="0.25">
      <c r="A1329" s="124" t="s">
        <v>1535</v>
      </c>
    </row>
    <row r="1330" spans="1:1" x14ac:dyDescent="0.25">
      <c r="A1330" t="s">
        <v>1536</v>
      </c>
    </row>
    <row r="1331" spans="1:1" x14ac:dyDescent="0.25">
      <c r="A1331" s="125" t="s">
        <v>1537</v>
      </c>
    </row>
    <row r="1332" spans="1:1" x14ac:dyDescent="0.25">
      <c r="A1332" s="124" t="s">
        <v>1538</v>
      </c>
    </row>
    <row r="1333" spans="1:1" x14ac:dyDescent="0.25">
      <c r="A1333" t="s">
        <v>1539</v>
      </c>
    </row>
    <row r="1334" spans="1:1" x14ac:dyDescent="0.25">
      <c r="A1334" s="125" t="s">
        <v>1540</v>
      </c>
    </row>
    <row r="1335" spans="1:1" x14ac:dyDescent="0.25">
      <c r="A1335" s="125" t="s">
        <v>1541</v>
      </c>
    </row>
    <row r="1336" spans="1:1" x14ac:dyDescent="0.25">
      <c r="A1336" s="124" t="s">
        <v>1542</v>
      </c>
    </row>
    <row r="1337" spans="1:1" x14ac:dyDescent="0.25">
      <c r="A1337" t="s">
        <v>1543</v>
      </c>
    </row>
    <row r="1338" spans="1:1" x14ac:dyDescent="0.25">
      <c r="A1338" s="125" t="s">
        <v>1544</v>
      </c>
    </row>
    <row r="1339" spans="1:1" x14ac:dyDescent="0.25">
      <c r="A1339" s="124" t="s">
        <v>1545</v>
      </c>
    </row>
    <row r="1340" spans="1:1" x14ac:dyDescent="0.25">
      <c r="A1340" t="s">
        <v>1546</v>
      </c>
    </row>
    <row r="1341" spans="1:1" x14ac:dyDescent="0.25">
      <c r="A1341" s="125" t="s">
        <v>1547</v>
      </c>
    </row>
    <row r="1342" spans="1:1" x14ac:dyDescent="0.25">
      <c r="A1342" s="125" t="s">
        <v>1548</v>
      </c>
    </row>
    <row r="1343" spans="1:1" x14ac:dyDescent="0.25">
      <c r="A1343" t="s">
        <v>1549</v>
      </c>
    </row>
    <row r="1344" spans="1:1" x14ac:dyDescent="0.25">
      <c r="A1344" t="s">
        <v>1550</v>
      </c>
    </row>
    <row r="1345" spans="1:1" x14ac:dyDescent="0.25">
      <c r="A1345" t="s">
        <v>1551</v>
      </c>
    </row>
    <row r="1346" spans="1:1" x14ac:dyDescent="0.25">
      <c r="A1346" s="124" t="s">
        <v>1552</v>
      </c>
    </row>
    <row r="1347" spans="1:1" x14ac:dyDescent="0.25">
      <c r="A1347" s="124" t="s">
        <v>1553</v>
      </c>
    </row>
    <row r="1348" spans="1:1" x14ac:dyDescent="0.25">
      <c r="A1348" t="s">
        <v>1554</v>
      </c>
    </row>
    <row r="1349" spans="1:1" x14ac:dyDescent="0.25">
      <c r="A1349" s="124" t="s">
        <v>1555</v>
      </c>
    </row>
    <row r="1350" spans="1:1" x14ac:dyDescent="0.25">
      <c r="A1350" s="27" t="s">
        <v>1556</v>
      </c>
    </row>
    <row r="1351" spans="1:1" x14ac:dyDescent="0.25">
      <c r="A1351" s="125" t="s">
        <v>1557</v>
      </c>
    </row>
    <row r="1352" spans="1:1" x14ac:dyDescent="0.25">
      <c r="A1352" s="124" t="s">
        <v>1558</v>
      </c>
    </row>
    <row r="1353" spans="1:1" x14ac:dyDescent="0.25">
      <c r="A1353" t="s">
        <v>1559</v>
      </c>
    </row>
    <row r="1354" spans="1:1" x14ac:dyDescent="0.25">
      <c r="A1354" s="125" t="s">
        <v>1560</v>
      </c>
    </row>
    <row r="1355" spans="1:1" x14ac:dyDescent="0.25">
      <c r="A1355" s="125" t="s">
        <v>1561</v>
      </c>
    </row>
    <row r="1356" spans="1:1" x14ac:dyDescent="0.25">
      <c r="A1356" s="27" t="s">
        <v>1562</v>
      </c>
    </row>
    <row r="1357" spans="1:1" x14ac:dyDescent="0.25">
      <c r="A1357" s="27" t="s">
        <v>1563</v>
      </c>
    </row>
    <row r="1358" spans="1:1" x14ac:dyDescent="0.25">
      <c r="A1358" s="27" t="s">
        <v>1564</v>
      </c>
    </row>
    <row r="1359" spans="1:1" x14ac:dyDescent="0.25">
      <c r="A1359" t="s">
        <v>1565</v>
      </c>
    </row>
    <row r="1360" spans="1:1" ht="255" x14ac:dyDescent="0.25">
      <c r="A1360" s="126" t="s">
        <v>1566</v>
      </c>
    </row>
    <row r="1361" spans="1:1" ht="270" x14ac:dyDescent="0.25">
      <c r="A1361" s="126" t="s">
        <v>1567</v>
      </c>
    </row>
    <row r="1362" spans="1:1" x14ac:dyDescent="0.25">
      <c r="A1362" s="124" t="s">
        <v>1568</v>
      </c>
    </row>
    <row r="1363" spans="1:1" x14ac:dyDescent="0.25">
      <c r="A1363" t="s">
        <v>1569</v>
      </c>
    </row>
    <row r="1364" spans="1:1" x14ac:dyDescent="0.25">
      <c r="A1364" s="125" t="s">
        <v>1570</v>
      </c>
    </row>
    <row r="1365" spans="1:1" x14ac:dyDescent="0.25">
      <c r="A1365" s="124" t="s">
        <v>1571</v>
      </c>
    </row>
    <row r="1366" spans="1:1" x14ac:dyDescent="0.25">
      <c r="A1366" t="s">
        <v>1572</v>
      </c>
    </row>
    <row r="1367" spans="1:1" x14ac:dyDescent="0.25">
      <c r="A1367" s="125" t="s">
        <v>1573</v>
      </c>
    </row>
    <row r="1368" spans="1:1" x14ac:dyDescent="0.25">
      <c r="A1368" s="125" t="s">
        <v>1574</v>
      </c>
    </row>
    <row r="1369" spans="1:1" x14ac:dyDescent="0.25">
      <c r="A1369" s="124" t="s">
        <v>1575</v>
      </c>
    </row>
    <row r="1370" spans="1:1" x14ac:dyDescent="0.25">
      <c r="A1370" t="s">
        <v>1576</v>
      </c>
    </row>
    <row r="1371" spans="1:1" x14ac:dyDescent="0.25">
      <c r="A1371" s="125" t="s">
        <v>1577</v>
      </c>
    </row>
    <row r="1372" spans="1:1" x14ac:dyDescent="0.25">
      <c r="A1372" s="124" t="s">
        <v>1578</v>
      </c>
    </row>
    <row r="1373" spans="1:1" x14ac:dyDescent="0.25">
      <c r="A1373" t="s">
        <v>1579</v>
      </c>
    </row>
    <row r="1374" spans="1:1" x14ac:dyDescent="0.25">
      <c r="A1374" s="125" t="s">
        <v>1580</v>
      </c>
    </row>
    <row r="1375" spans="1:1" x14ac:dyDescent="0.25">
      <c r="A1375" s="125" t="s">
        <v>1581</v>
      </c>
    </row>
    <row r="1376" spans="1:1" x14ac:dyDescent="0.25">
      <c r="A1376" s="124" t="s">
        <v>1582</v>
      </c>
    </row>
    <row r="1377" spans="1:1" x14ac:dyDescent="0.25">
      <c r="A1377" s="124" t="s">
        <v>1583</v>
      </c>
    </row>
    <row r="1378" spans="1:1" x14ac:dyDescent="0.25">
      <c r="A1378" t="s">
        <v>1584</v>
      </c>
    </row>
    <row r="1379" spans="1:1" x14ac:dyDescent="0.25">
      <c r="A1379" s="124" t="s">
        <v>1585</v>
      </c>
    </row>
    <row r="1380" spans="1:1" x14ac:dyDescent="0.25">
      <c r="A1380" s="124" t="s">
        <v>1586</v>
      </c>
    </row>
    <row r="1381" spans="1:1" x14ac:dyDescent="0.25">
      <c r="A1381" s="124" t="s">
        <v>1587</v>
      </c>
    </row>
    <row r="1382" spans="1:1" x14ac:dyDescent="0.25">
      <c r="A1382" s="27" t="s">
        <v>1588</v>
      </c>
    </row>
    <row r="1383" spans="1:1" x14ac:dyDescent="0.25">
      <c r="A1383" s="125" t="s">
        <v>1589</v>
      </c>
    </row>
    <row r="1384" spans="1:1" x14ac:dyDescent="0.25">
      <c r="A1384" s="124" t="s">
        <v>1590</v>
      </c>
    </row>
    <row r="1385" spans="1:1" x14ac:dyDescent="0.25">
      <c r="A1385" t="s">
        <v>1591</v>
      </c>
    </row>
    <row r="1386" spans="1:1" x14ac:dyDescent="0.25">
      <c r="A1386" s="125" t="s">
        <v>1592</v>
      </c>
    </row>
    <row r="1387" spans="1:1" x14ac:dyDescent="0.25">
      <c r="A1387" s="125" t="s">
        <v>1593</v>
      </c>
    </row>
    <row r="1388" spans="1:1" x14ac:dyDescent="0.25">
      <c r="A1388" s="27" t="s">
        <v>1594</v>
      </c>
    </row>
    <row r="1389" spans="1:1" x14ac:dyDescent="0.25">
      <c r="A1389" s="27" t="s">
        <v>1595</v>
      </c>
    </row>
    <row r="1390" spans="1:1" x14ac:dyDescent="0.25">
      <c r="A1390" s="27" t="s">
        <v>1596</v>
      </c>
    </row>
    <row r="1391" spans="1:1" x14ac:dyDescent="0.25">
      <c r="A1391" t="s">
        <v>1597</v>
      </c>
    </row>
    <row r="1392" spans="1:1" ht="255" x14ac:dyDescent="0.25">
      <c r="A1392" s="126" t="s">
        <v>1598</v>
      </c>
    </row>
    <row r="1393" spans="1:1" ht="270" x14ac:dyDescent="0.25">
      <c r="A1393" s="126" t="s">
        <v>1599</v>
      </c>
    </row>
    <row r="1394" spans="1:1" x14ac:dyDescent="0.25">
      <c r="A1394" s="124" t="s">
        <v>1600</v>
      </c>
    </row>
    <row r="1395" spans="1:1" x14ac:dyDescent="0.25">
      <c r="A1395" t="s">
        <v>1601</v>
      </c>
    </row>
    <row r="1396" spans="1:1" x14ac:dyDescent="0.25">
      <c r="A1396" s="125" t="s">
        <v>1602</v>
      </c>
    </row>
    <row r="1397" spans="1:1" x14ac:dyDescent="0.25">
      <c r="A1397" s="124" t="s">
        <v>1603</v>
      </c>
    </row>
    <row r="1398" spans="1:1" x14ac:dyDescent="0.25">
      <c r="A1398" t="s">
        <v>1604</v>
      </c>
    </row>
    <row r="1399" spans="1:1" x14ac:dyDescent="0.25">
      <c r="A1399" s="125" t="s">
        <v>1605</v>
      </c>
    </row>
    <row r="1400" spans="1:1" x14ac:dyDescent="0.25">
      <c r="A1400" s="125" t="s">
        <v>1606</v>
      </c>
    </row>
    <row r="1401" spans="1:1" x14ac:dyDescent="0.25">
      <c r="A1401" s="125" t="s">
        <v>1607</v>
      </c>
    </row>
    <row r="1402" spans="1:1" x14ac:dyDescent="0.25">
      <c r="A1402" s="124" t="s">
        <v>1608</v>
      </c>
    </row>
    <row r="1403" spans="1:1" x14ac:dyDescent="0.25">
      <c r="A1403" t="s">
        <v>1609</v>
      </c>
    </row>
    <row r="1404" spans="1:1" x14ac:dyDescent="0.25">
      <c r="A1404" s="125" t="s">
        <v>1610</v>
      </c>
    </row>
    <row r="1405" spans="1:1" x14ac:dyDescent="0.25">
      <c r="A1405" s="125" t="s">
        <v>1611</v>
      </c>
    </row>
    <row r="1406" spans="1:1" x14ac:dyDescent="0.25">
      <c r="A1406" s="27" t="s">
        <v>1612</v>
      </c>
    </row>
    <row r="1407" spans="1:1" x14ac:dyDescent="0.25">
      <c r="A1407" s="27" t="s">
        <v>1613</v>
      </c>
    </row>
    <row r="1408" spans="1:1" x14ac:dyDescent="0.25">
      <c r="A1408" s="27" t="s">
        <v>1614</v>
      </c>
    </row>
    <row r="1409" spans="1:1" x14ac:dyDescent="0.25">
      <c r="A1409" t="s">
        <v>1615</v>
      </c>
    </row>
    <row r="1410" spans="1:1" x14ac:dyDescent="0.25">
      <c r="A1410" s="124" t="s">
        <v>1616</v>
      </c>
    </row>
    <row r="1411" spans="1:1" x14ac:dyDescent="0.25">
      <c r="A1411" t="s">
        <v>1617</v>
      </c>
    </row>
    <row r="1412" spans="1:1" x14ac:dyDescent="0.25">
      <c r="A1412" s="125" t="s">
        <v>1618</v>
      </c>
    </row>
    <row r="1413" spans="1:1" x14ac:dyDescent="0.25">
      <c r="A1413" s="124" t="s">
        <v>1619</v>
      </c>
    </row>
    <row r="1414" spans="1:1" x14ac:dyDescent="0.25">
      <c r="A1414" t="s">
        <v>1620</v>
      </c>
    </row>
    <row r="1415" spans="1:1" x14ac:dyDescent="0.25">
      <c r="A1415" s="125" t="s">
        <v>1621</v>
      </c>
    </row>
    <row r="1416" spans="1:1" x14ac:dyDescent="0.25">
      <c r="A1416" s="125" t="s">
        <v>1622</v>
      </c>
    </row>
    <row r="1417" spans="1:1" x14ac:dyDescent="0.25">
      <c r="A1417" t="s">
        <v>1623</v>
      </c>
    </row>
    <row r="1418" spans="1:1" x14ac:dyDescent="0.25">
      <c r="A1418" t="s">
        <v>1624</v>
      </c>
    </row>
    <row r="1419" spans="1:1" x14ac:dyDescent="0.25">
      <c r="A1419" t="s">
        <v>1625</v>
      </c>
    </row>
    <row r="1420" spans="1:1" x14ac:dyDescent="0.25">
      <c r="A1420" t="s">
        <v>1626</v>
      </c>
    </row>
    <row r="1421" spans="1:1" x14ac:dyDescent="0.25">
      <c r="A1421" s="124" t="s">
        <v>1627</v>
      </c>
    </row>
    <row r="1422" spans="1:1" x14ac:dyDescent="0.25">
      <c r="A1422" t="s">
        <v>1628</v>
      </c>
    </row>
    <row r="1423" spans="1:1" x14ac:dyDescent="0.25">
      <c r="A1423" s="124" t="s">
        <v>1629</v>
      </c>
    </row>
    <row r="1424" spans="1:1" x14ac:dyDescent="0.25">
      <c r="A1424" s="27" t="s">
        <v>1630</v>
      </c>
    </row>
    <row r="1425" spans="1:1" ht="255" x14ac:dyDescent="0.25">
      <c r="A1425" s="126" t="s">
        <v>1631</v>
      </c>
    </row>
    <row r="1426" spans="1:1" ht="270" x14ac:dyDescent="0.25">
      <c r="A1426" s="126" t="s">
        <v>1632</v>
      </c>
    </row>
    <row r="1427" spans="1:1" x14ac:dyDescent="0.25">
      <c r="A1427" s="124" t="s">
        <v>1633</v>
      </c>
    </row>
    <row r="1428" spans="1:1" x14ac:dyDescent="0.25">
      <c r="A1428" t="s">
        <v>1634</v>
      </c>
    </row>
    <row r="1429" spans="1:1" x14ac:dyDescent="0.25">
      <c r="A1429" s="125" t="s">
        <v>1635</v>
      </c>
    </row>
    <row r="1430" spans="1:1" x14ac:dyDescent="0.25">
      <c r="A1430" s="124" t="s">
        <v>1636</v>
      </c>
    </row>
    <row r="1431" spans="1:1" x14ac:dyDescent="0.25">
      <c r="A1431" t="s">
        <v>1637</v>
      </c>
    </row>
    <row r="1432" spans="1:1" x14ac:dyDescent="0.25">
      <c r="A1432" s="125" t="s">
        <v>1638</v>
      </c>
    </row>
    <row r="1433" spans="1:1" x14ac:dyDescent="0.25">
      <c r="A1433" s="125" t="s">
        <v>1639</v>
      </c>
    </row>
    <row r="1434" spans="1:1" x14ac:dyDescent="0.25">
      <c r="A1434" s="124" t="s">
        <v>1640</v>
      </c>
    </row>
    <row r="1435" spans="1:1" x14ac:dyDescent="0.25">
      <c r="A1435" s="124" t="s">
        <v>1641</v>
      </c>
    </row>
    <row r="1436" spans="1:1" x14ac:dyDescent="0.25">
      <c r="A1436" t="s">
        <v>1642</v>
      </c>
    </row>
    <row r="1437" spans="1:1" x14ac:dyDescent="0.25">
      <c r="A1437" s="124" t="s">
        <v>1643</v>
      </c>
    </row>
    <row r="1438" spans="1:1" x14ac:dyDescent="0.25">
      <c r="A1438" s="124" t="s">
        <v>1644</v>
      </c>
    </row>
    <row r="1439" spans="1:1" x14ac:dyDescent="0.25">
      <c r="A1439" s="124" t="s">
        <v>1645</v>
      </c>
    </row>
    <row r="1440" spans="1:1" x14ac:dyDescent="0.25">
      <c r="A1440" t="s">
        <v>1646</v>
      </c>
    </row>
    <row r="1441" spans="1:1" x14ac:dyDescent="0.25">
      <c r="A1441" t="s">
        <v>1647</v>
      </c>
    </row>
    <row r="1442" spans="1:1" x14ac:dyDescent="0.25">
      <c r="A1442" t="s">
        <v>1648</v>
      </c>
    </row>
    <row r="1443" spans="1:1" x14ac:dyDescent="0.25">
      <c r="A1443" t="s">
        <v>1649</v>
      </c>
    </row>
    <row r="1444" spans="1:1" x14ac:dyDescent="0.25">
      <c r="A1444" t="s">
        <v>1650</v>
      </c>
    </row>
    <row r="1445" spans="1:1" x14ac:dyDescent="0.25">
      <c r="A1445" t="s">
        <v>1651</v>
      </c>
    </row>
    <row r="1446" spans="1:1" x14ac:dyDescent="0.25">
      <c r="A1446" t="s">
        <v>1652</v>
      </c>
    </row>
    <row r="1447" spans="1:1" x14ac:dyDescent="0.25">
      <c r="A1447" t="s">
        <v>1653</v>
      </c>
    </row>
    <row r="1448" spans="1:1" x14ac:dyDescent="0.25">
      <c r="A1448" s="124" t="s">
        <v>1654</v>
      </c>
    </row>
    <row r="1449" spans="1:1" x14ac:dyDescent="0.25">
      <c r="A1449" t="s">
        <v>1655</v>
      </c>
    </row>
    <row r="1450" spans="1:1" x14ac:dyDescent="0.25">
      <c r="A1450" s="125" t="s">
        <v>1656</v>
      </c>
    </row>
    <row r="1451" spans="1:1" x14ac:dyDescent="0.25">
      <c r="A1451" s="124" t="s">
        <v>1657</v>
      </c>
    </row>
    <row r="1452" spans="1:1" x14ac:dyDescent="0.25">
      <c r="A1452" t="s">
        <v>1658</v>
      </c>
    </row>
    <row r="1453" spans="1:1" x14ac:dyDescent="0.25">
      <c r="A1453" s="125" t="s">
        <v>1659</v>
      </c>
    </row>
    <row r="1454" spans="1:1" x14ac:dyDescent="0.25">
      <c r="A1454" s="125" t="s">
        <v>1660</v>
      </c>
    </row>
    <row r="1455" spans="1:1" x14ac:dyDescent="0.25">
      <c r="A1455" s="27" t="s">
        <v>1661</v>
      </c>
    </row>
    <row r="1456" spans="1:1" x14ac:dyDescent="0.25">
      <c r="A1456" s="125" t="s">
        <v>1662</v>
      </c>
    </row>
    <row r="1457" spans="1:1" x14ac:dyDescent="0.25">
      <c r="A1457" s="124" t="s">
        <v>1663</v>
      </c>
    </row>
    <row r="1458" spans="1:1" x14ac:dyDescent="0.25">
      <c r="A1458" t="s">
        <v>1664</v>
      </c>
    </row>
    <row r="1459" spans="1:1" x14ac:dyDescent="0.25">
      <c r="A1459" s="125" t="s">
        <v>1665</v>
      </c>
    </row>
    <row r="1460" spans="1:1" x14ac:dyDescent="0.25">
      <c r="A1460" s="125" t="s">
        <v>1666</v>
      </c>
    </row>
    <row r="1461" spans="1:1" x14ac:dyDescent="0.25">
      <c r="A1461" s="27" t="s">
        <v>1667</v>
      </c>
    </row>
    <row r="1462" spans="1:1" x14ac:dyDescent="0.25">
      <c r="A1462" s="27" t="s">
        <v>1668</v>
      </c>
    </row>
    <row r="1463" spans="1:1" x14ac:dyDescent="0.25">
      <c r="A1463" s="27" t="s">
        <v>1669</v>
      </c>
    </row>
    <row r="1464" spans="1:1" x14ac:dyDescent="0.25">
      <c r="A1464" t="s">
        <v>1670</v>
      </c>
    </row>
    <row r="1465" spans="1:1" ht="255" x14ac:dyDescent="0.25">
      <c r="A1465" s="126" t="s">
        <v>1671</v>
      </c>
    </row>
    <row r="1466" spans="1:1" ht="270" x14ac:dyDescent="0.25">
      <c r="A1466" s="126" t="s">
        <v>1672</v>
      </c>
    </row>
    <row r="1467" spans="1:1" x14ac:dyDescent="0.25">
      <c r="A1467" s="124" t="s">
        <v>1673</v>
      </c>
    </row>
    <row r="1468" spans="1:1" x14ac:dyDescent="0.25">
      <c r="A1468" t="s">
        <v>1674</v>
      </c>
    </row>
    <row r="1469" spans="1:1" x14ac:dyDescent="0.25">
      <c r="A1469" s="125" t="s">
        <v>1675</v>
      </c>
    </row>
    <row r="1470" spans="1:1" x14ac:dyDescent="0.25">
      <c r="A1470" s="124" t="s">
        <v>1676</v>
      </c>
    </row>
    <row r="1471" spans="1:1" x14ac:dyDescent="0.25">
      <c r="A1471" t="s">
        <v>1677</v>
      </c>
    </row>
    <row r="1472" spans="1:1" x14ac:dyDescent="0.25">
      <c r="A1472" s="125" t="s">
        <v>1678</v>
      </c>
    </row>
    <row r="1473" spans="1:1" x14ac:dyDescent="0.25">
      <c r="A1473" s="125" t="s">
        <v>1679</v>
      </c>
    </row>
    <row r="1474" spans="1:1" x14ac:dyDescent="0.25">
      <c r="A1474" s="125" t="s">
        <v>1680</v>
      </c>
    </row>
    <row r="1475" spans="1:1" x14ac:dyDescent="0.25">
      <c r="A1475" s="124" t="s">
        <v>1681</v>
      </c>
    </row>
    <row r="1476" spans="1:1" x14ac:dyDescent="0.25">
      <c r="A1476" t="s">
        <v>1682</v>
      </c>
    </row>
    <row r="1477" spans="1:1" x14ac:dyDescent="0.25">
      <c r="A1477" s="125" t="s">
        <v>1683</v>
      </c>
    </row>
    <row r="1478" spans="1:1" x14ac:dyDescent="0.25">
      <c r="A1478" s="125" t="s">
        <v>1684</v>
      </c>
    </row>
    <row r="1479" spans="1:1" x14ac:dyDescent="0.25">
      <c r="A1479" s="27" t="s">
        <v>1685</v>
      </c>
    </row>
    <row r="1480" spans="1:1" x14ac:dyDescent="0.25">
      <c r="A1480" s="27" t="s">
        <v>1686</v>
      </c>
    </row>
    <row r="1481" spans="1:1" x14ac:dyDescent="0.25">
      <c r="A1481" s="27" t="s">
        <v>1687</v>
      </c>
    </row>
    <row r="1482" spans="1:1" x14ac:dyDescent="0.25">
      <c r="A1482" t="s">
        <v>1688</v>
      </c>
    </row>
    <row r="1483" spans="1:1" x14ac:dyDescent="0.25">
      <c r="A1483" s="124" t="s">
        <v>1689</v>
      </c>
    </row>
    <row r="1484" spans="1:1" x14ac:dyDescent="0.25">
      <c r="A1484" t="s">
        <v>1690</v>
      </c>
    </row>
    <row r="1485" spans="1:1" x14ac:dyDescent="0.25">
      <c r="A1485" s="125" t="s">
        <v>1691</v>
      </c>
    </row>
    <row r="1486" spans="1:1" x14ac:dyDescent="0.25">
      <c r="A1486" s="124" t="s">
        <v>1692</v>
      </c>
    </row>
    <row r="1487" spans="1:1" x14ac:dyDescent="0.25">
      <c r="A1487" t="s">
        <v>1693</v>
      </c>
    </row>
    <row r="1488" spans="1:1" x14ac:dyDescent="0.25">
      <c r="A1488" s="125" t="s">
        <v>1694</v>
      </c>
    </row>
    <row r="1489" spans="1:1" x14ac:dyDescent="0.25">
      <c r="A1489" s="125" t="s">
        <v>1695</v>
      </c>
    </row>
    <row r="1630" spans="1:1" x14ac:dyDescent="0.25">
      <c r="A1630" t="s">
        <v>1696</v>
      </c>
    </row>
    <row r="1631" spans="1:1" x14ac:dyDescent="0.25">
      <c r="A1631" t="s">
        <v>1697</v>
      </c>
    </row>
    <row r="1632" spans="1:1" x14ac:dyDescent="0.25">
      <c r="A1632" t="s">
        <v>1698</v>
      </c>
    </row>
    <row r="1633" spans="1:1" x14ac:dyDescent="0.25">
      <c r="A1633" t="s">
        <v>1699</v>
      </c>
    </row>
    <row r="1634" spans="1:1" x14ac:dyDescent="0.25">
      <c r="A1634" t="s">
        <v>1700</v>
      </c>
    </row>
    <row r="1635" spans="1:1" x14ac:dyDescent="0.25">
      <c r="A1635" t="s">
        <v>1701</v>
      </c>
    </row>
    <row r="1636" spans="1:1" x14ac:dyDescent="0.25">
      <c r="A1636" t="s">
        <v>1702</v>
      </c>
    </row>
    <row r="1637" spans="1:1" x14ac:dyDescent="0.25">
      <c r="A1637" s="124" t="s">
        <v>1703</v>
      </c>
    </row>
    <row r="1638" spans="1:1" x14ac:dyDescent="0.25">
      <c r="A1638" t="s">
        <v>1704</v>
      </c>
    </row>
    <row r="1639" spans="1:1" x14ac:dyDescent="0.25">
      <c r="A1639" s="124" t="s">
        <v>1705</v>
      </c>
    </row>
    <row r="1640" spans="1:1" x14ac:dyDescent="0.25">
      <c r="A1640" s="27" t="s">
        <v>1706</v>
      </c>
    </row>
    <row r="1641" spans="1:1" ht="255" x14ac:dyDescent="0.25">
      <c r="A1641" s="126" t="s">
        <v>1707</v>
      </c>
    </row>
    <row r="1642" spans="1:1" ht="270" x14ac:dyDescent="0.25">
      <c r="A1642" s="126" t="s">
        <v>1708</v>
      </c>
    </row>
    <row r="1643" spans="1:1" x14ac:dyDescent="0.25">
      <c r="A1643" s="124" t="s">
        <v>1709</v>
      </c>
    </row>
    <row r="1644" spans="1:1" x14ac:dyDescent="0.25">
      <c r="A1644" t="s">
        <v>1710</v>
      </c>
    </row>
    <row r="1645" spans="1:1" x14ac:dyDescent="0.25">
      <c r="A1645" s="125" t="s">
        <v>1711</v>
      </c>
    </row>
    <row r="1646" spans="1:1" x14ac:dyDescent="0.25">
      <c r="A1646" s="124" t="s">
        <v>1712</v>
      </c>
    </row>
    <row r="1647" spans="1:1" x14ac:dyDescent="0.25">
      <c r="A1647" t="s">
        <v>1713</v>
      </c>
    </row>
    <row r="1648" spans="1:1" x14ac:dyDescent="0.25">
      <c r="A1648" s="125" t="s">
        <v>1714</v>
      </c>
    </row>
    <row r="1649" spans="1:1" x14ac:dyDescent="0.25">
      <c r="A1649" s="125" t="s">
        <v>1715</v>
      </c>
    </row>
    <row r="1650" spans="1:1" x14ac:dyDescent="0.25">
      <c r="A1650" s="124" t="s">
        <v>1716</v>
      </c>
    </row>
    <row r="1651" spans="1:1" x14ac:dyDescent="0.25">
      <c r="A1651" t="s">
        <v>1717</v>
      </c>
    </row>
    <row r="1652" spans="1:1" x14ac:dyDescent="0.25">
      <c r="A1652" s="125" t="s">
        <v>1718</v>
      </c>
    </row>
    <row r="1653" spans="1:1" x14ac:dyDescent="0.25">
      <c r="A1653" s="124" t="s">
        <v>1719</v>
      </c>
    </row>
    <row r="1654" spans="1:1" x14ac:dyDescent="0.25">
      <c r="A1654" t="s">
        <v>1720</v>
      </c>
    </row>
    <row r="1655" spans="1:1" x14ac:dyDescent="0.25">
      <c r="A1655" s="125" t="s">
        <v>1721</v>
      </c>
    </row>
    <row r="1656" spans="1:1" x14ac:dyDescent="0.25">
      <c r="A1656" s="125" t="s">
        <v>1722</v>
      </c>
    </row>
    <row r="1657" spans="1:1" x14ac:dyDescent="0.25">
      <c r="A1657" s="124" t="s">
        <v>1723</v>
      </c>
    </row>
    <row r="1658" spans="1:1" x14ac:dyDescent="0.25">
      <c r="A1658" s="124" t="s">
        <v>1724</v>
      </c>
    </row>
    <row r="1659" spans="1:1" x14ac:dyDescent="0.25">
      <c r="A1659" t="s">
        <v>1725</v>
      </c>
    </row>
    <row r="1660" spans="1:1" x14ac:dyDescent="0.25">
      <c r="A1660" s="124" t="s">
        <v>1726</v>
      </c>
    </row>
    <row r="1661" spans="1:1" x14ac:dyDescent="0.25">
      <c r="A1661" s="27" t="s">
        <v>1727</v>
      </c>
    </row>
    <row r="1662" spans="1:1" x14ac:dyDescent="0.25">
      <c r="A1662" s="125" t="s">
        <v>1728</v>
      </c>
    </row>
    <row r="1663" spans="1:1" x14ac:dyDescent="0.25">
      <c r="A1663" s="124" t="s">
        <v>1729</v>
      </c>
    </row>
    <row r="1664" spans="1:1" x14ac:dyDescent="0.25">
      <c r="A1664" t="s">
        <v>1730</v>
      </c>
    </row>
    <row r="1665" spans="1:1" x14ac:dyDescent="0.25">
      <c r="A1665" s="125" t="s">
        <v>1731</v>
      </c>
    </row>
    <row r="1666" spans="1:1" x14ac:dyDescent="0.25">
      <c r="A1666" s="125" t="s">
        <v>1732</v>
      </c>
    </row>
    <row r="1667" spans="1:1" x14ac:dyDescent="0.25">
      <c r="A1667" s="27" t="s">
        <v>1733</v>
      </c>
    </row>
    <row r="1668" spans="1:1" x14ac:dyDescent="0.25">
      <c r="A1668" s="27" t="s">
        <v>1734</v>
      </c>
    </row>
    <row r="1669" spans="1:1" x14ac:dyDescent="0.25">
      <c r="A1669" s="27" t="s">
        <v>1735</v>
      </c>
    </row>
    <row r="1670" spans="1:1" x14ac:dyDescent="0.25">
      <c r="A1670" t="s">
        <v>1736</v>
      </c>
    </row>
    <row r="1671" spans="1:1" ht="255" x14ac:dyDescent="0.25">
      <c r="A1671" s="126" t="s">
        <v>1737</v>
      </c>
    </row>
    <row r="1672" spans="1:1" ht="270" x14ac:dyDescent="0.25">
      <c r="A1672" s="126" t="s">
        <v>1738</v>
      </c>
    </row>
    <row r="1673" spans="1:1" x14ac:dyDescent="0.25">
      <c r="A1673" s="124" t="s">
        <v>1739</v>
      </c>
    </row>
    <row r="1674" spans="1:1" x14ac:dyDescent="0.25">
      <c r="A1674" t="s">
        <v>1740</v>
      </c>
    </row>
    <row r="1675" spans="1:1" x14ac:dyDescent="0.25">
      <c r="A1675" s="125" t="s">
        <v>1741</v>
      </c>
    </row>
    <row r="1676" spans="1:1" x14ac:dyDescent="0.25">
      <c r="A1676" s="124" t="s">
        <v>1742</v>
      </c>
    </row>
    <row r="1677" spans="1:1" x14ac:dyDescent="0.25">
      <c r="A1677" t="s">
        <v>1743</v>
      </c>
    </row>
    <row r="1678" spans="1:1" x14ac:dyDescent="0.25">
      <c r="A1678" s="125" t="s">
        <v>1744</v>
      </c>
    </row>
    <row r="1679" spans="1:1" x14ac:dyDescent="0.25">
      <c r="A1679" s="125" t="s">
        <v>1745</v>
      </c>
    </row>
    <row r="1680" spans="1:1" x14ac:dyDescent="0.25">
      <c r="A1680" s="124" t="s">
        <v>1746</v>
      </c>
    </row>
    <row r="1681" spans="1:1" x14ac:dyDescent="0.25">
      <c r="A1681" t="s">
        <v>1747</v>
      </c>
    </row>
    <row r="1682" spans="1:1" x14ac:dyDescent="0.25">
      <c r="A1682" s="125" t="s">
        <v>1748</v>
      </c>
    </row>
    <row r="1683" spans="1:1" x14ac:dyDescent="0.25">
      <c r="A1683" s="124" t="s">
        <v>1749</v>
      </c>
    </row>
    <row r="1684" spans="1:1" x14ac:dyDescent="0.25">
      <c r="A1684" t="s">
        <v>1750</v>
      </c>
    </row>
    <row r="1685" spans="1:1" x14ac:dyDescent="0.25">
      <c r="A1685" s="125" t="s">
        <v>1751</v>
      </c>
    </row>
    <row r="1686" spans="1:1" x14ac:dyDescent="0.25">
      <c r="A1686" s="125" t="s">
        <v>1752</v>
      </c>
    </row>
    <row r="1687" spans="1:1" x14ac:dyDescent="0.25">
      <c r="A1687" s="124" t="s">
        <v>1753</v>
      </c>
    </row>
    <row r="1688" spans="1:1" x14ac:dyDescent="0.25">
      <c r="A1688" s="124" t="s">
        <v>1754</v>
      </c>
    </row>
    <row r="1689" spans="1:1" x14ac:dyDescent="0.25">
      <c r="A1689" t="s">
        <v>1755</v>
      </c>
    </row>
    <row r="1690" spans="1:1" x14ac:dyDescent="0.25">
      <c r="A1690" s="124" t="s">
        <v>1756</v>
      </c>
    </row>
    <row r="1691" spans="1:1" x14ac:dyDescent="0.25">
      <c r="A1691" t="s">
        <v>1757</v>
      </c>
    </row>
    <row r="1692" spans="1:1" x14ac:dyDescent="0.25">
      <c r="A1692" t="s">
        <v>1758</v>
      </c>
    </row>
    <row r="1693" spans="1:1" x14ac:dyDescent="0.25">
      <c r="A1693" t="s">
        <v>1759</v>
      </c>
    </row>
    <row r="1694" spans="1:1" x14ac:dyDescent="0.25">
      <c r="A1694" t="s">
        <v>1760</v>
      </c>
    </row>
    <row r="1695" spans="1:1" x14ac:dyDescent="0.25">
      <c r="A1695" t="s">
        <v>1761</v>
      </c>
    </row>
    <row r="1696" spans="1:1" x14ac:dyDescent="0.25">
      <c r="A1696" s="125" t="s">
        <v>1762</v>
      </c>
    </row>
    <row r="1697" spans="1:1" x14ac:dyDescent="0.25">
      <c r="A1697" s="125" t="s">
        <v>1763</v>
      </c>
    </row>
    <row r="1698" spans="1:1" x14ac:dyDescent="0.25">
      <c r="A1698" s="125" t="s">
        <v>1764</v>
      </c>
    </row>
    <row r="1699" spans="1:1" x14ac:dyDescent="0.25">
      <c r="A1699" s="124" t="s">
        <v>1765</v>
      </c>
    </row>
    <row r="1700" spans="1:1" x14ac:dyDescent="0.25">
      <c r="A1700" s="124" t="s">
        <v>1766</v>
      </c>
    </row>
    <row r="1701" spans="1:1" x14ac:dyDescent="0.25">
      <c r="A1701" s="125" t="s">
        <v>1767</v>
      </c>
    </row>
    <row r="1702" spans="1:1" x14ac:dyDescent="0.25">
      <c r="A1702" s="125" t="s">
        <v>1768</v>
      </c>
    </row>
    <row r="1703" spans="1:1" x14ac:dyDescent="0.25">
      <c r="A1703" s="125" t="s">
        <v>1769</v>
      </c>
    </row>
    <row r="1704" spans="1:1" x14ac:dyDescent="0.25">
      <c r="A1704" s="125" t="s">
        <v>1770</v>
      </c>
    </row>
    <row r="1705" spans="1:1" x14ac:dyDescent="0.25">
      <c r="A1705" s="124" t="s">
        <v>1771</v>
      </c>
    </row>
    <row r="1706" spans="1:1" x14ac:dyDescent="0.25">
      <c r="A1706" s="124" t="s">
        <v>1772</v>
      </c>
    </row>
    <row r="1707" spans="1:1" x14ac:dyDescent="0.25">
      <c r="A1707" s="125" t="s">
        <v>1773</v>
      </c>
    </row>
    <row r="1708" spans="1:1" x14ac:dyDescent="0.25">
      <c r="A1708" s="125" t="s">
        <v>1774</v>
      </c>
    </row>
    <row r="1709" spans="1:1" x14ac:dyDescent="0.25">
      <c r="A1709" s="125" t="s">
        <v>1775</v>
      </c>
    </row>
    <row r="1710" spans="1:1" x14ac:dyDescent="0.25">
      <c r="A1710" s="125" t="s">
        <v>1776</v>
      </c>
    </row>
    <row r="1711" spans="1:1" x14ac:dyDescent="0.25">
      <c r="A1711" s="124" t="s">
        <v>1777</v>
      </c>
    </row>
    <row r="1712" spans="1:1" x14ac:dyDescent="0.25">
      <c r="A1712" s="124" t="s">
        <v>1778</v>
      </c>
    </row>
    <row r="1713" spans="1:1" x14ac:dyDescent="0.25">
      <c r="A1713" s="125" t="s">
        <v>1779</v>
      </c>
    </row>
    <row r="1714" spans="1:1" x14ac:dyDescent="0.25">
      <c r="A1714" s="125" t="s">
        <v>1780</v>
      </c>
    </row>
    <row r="1715" spans="1:1" x14ac:dyDescent="0.25">
      <c r="A1715" s="125" t="s">
        <v>1781</v>
      </c>
    </row>
    <row r="1716" spans="1:1" x14ac:dyDescent="0.25">
      <c r="A1716" s="125" t="s">
        <v>1782</v>
      </c>
    </row>
    <row r="1717" spans="1:1" x14ac:dyDescent="0.25">
      <c r="A1717" s="124" t="s">
        <v>1783</v>
      </c>
    </row>
    <row r="1718" spans="1:1" x14ac:dyDescent="0.25">
      <c r="A1718" s="124" t="s">
        <v>1784</v>
      </c>
    </row>
    <row r="1719" spans="1:1" x14ac:dyDescent="0.25">
      <c r="A1719" s="125" t="s">
        <v>1785</v>
      </c>
    </row>
    <row r="1720" spans="1:1" x14ac:dyDescent="0.25">
      <c r="A1720" s="125" t="s">
        <v>1786</v>
      </c>
    </row>
    <row r="1721" spans="1:1" x14ac:dyDescent="0.25">
      <c r="A1721" s="125" t="s">
        <v>1787</v>
      </c>
    </row>
    <row r="1722" spans="1:1" x14ac:dyDescent="0.25">
      <c r="A1722" s="125" t="s">
        <v>1788</v>
      </c>
    </row>
    <row r="1723" spans="1:1" x14ac:dyDescent="0.25">
      <c r="A1723" s="124" t="s">
        <v>1789</v>
      </c>
    </row>
    <row r="1724" spans="1:1" x14ac:dyDescent="0.25">
      <c r="A1724" s="124" t="s">
        <v>1790</v>
      </c>
    </row>
    <row r="1725" spans="1:1" x14ac:dyDescent="0.25">
      <c r="A1725" s="125" t="s">
        <v>1791</v>
      </c>
    </row>
    <row r="1726" spans="1:1" x14ac:dyDescent="0.25">
      <c r="A1726" s="125" t="s">
        <v>1792</v>
      </c>
    </row>
    <row r="1727" spans="1:1" x14ac:dyDescent="0.25">
      <c r="A1727" s="125" t="s">
        <v>1793</v>
      </c>
    </row>
    <row r="1728" spans="1:1" x14ac:dyDescent="0.25">
      <c r="A1728" s="125" t="s">
        <v>1794</v>
      </c>
    </row>
    <row r="1729" spans="1:1" x14ac:dyDescent="0.25">
      <c r="A1729" s="124" t="s">
        <v>1795</v>
      </c>
    </row>
    <row r="1730" spans="1:1" x14ac:dyDescent="0.25">
      <c r="A1730" s="124" t="s">
        <v>1796</v>
      </c>
    </row>
    <row r="1731" spans="1:1" x14ac:dyDescent="0.25">
      <c r="A1731" s="125" t="s">
        <v>1797</v>
      </c>
    </row>
    <row r="1732" spans="1:1" x14ac:dyDescent="0.25">
      <c r="A1732" s="125" t="s">
        <v>1798</v>
      </c>
    </row>
    <row r="1733" spans="1:1" x14ac:dyDescent="0.25">
      <c r="A1733" s="125" t="s">
        <v>1799</v>
      </c>
    </row>
    <row r="1734" spans="1:1" x14ac:dyDescent="0.25">
      <c r="A1734" s="125" t="s">
        <v>1800</v>
      </c>
    </row>
    <row r="1735" spans="1:1" x14ac:dyDescent="0.25">
      <c r="A1735" s="124" t="s">
        <v>1801</v>
      </c>
    </row>
    <row r="1736" spans="1:1" x14ac:dyDescent="0.25">
      <c r="A1736" s="124" t="s">
        <v>1802</v>
      </c>
    </row>
    <row r="1737" spans="1:1" x14ac:dyDescent="0.25">
      <c r="A1737" s="125" t="s">
        <v>1803</v>
      </c>
    </row>
    <row r="1738" spans="1:1" x14ac:dyDescent="0.25">
      <c r="A1738" s="125" t="s">
        <v>1804</v>
      </c>
    </row>
    <row r="1739" spans="1:1" x14ac:dyDescent="0.25">
      <c r="A1739" s="125" t="s">
        <v>1805</v>
      </c>
    </row>
    <row r="1740" spans="1:1" x14ac:dyDescent="0.25">
      <c r="A1740" s="125" t="s">
        <v>1806</v>
      </c>
    </row>
    <row r="1741" spans="1:1" x14ac:dyDescent="0.25">
      <c r="A1741" s="124" t="s">
        <v>1807</v>
      </c>
    </row>
    <row r="1742" spans="1:1" x14ac:dyDescent="0.25">
      <c r="A1742" s="124" t="s">
        <v>1808</v>
      </c>
    </row>
    <row r="1743" spans="1:1" x14ac:dyDescent="0.25">
      <c r="A1743" s="125" t="s">
        <v>1809</v>
      </c>
    </row>
    <row r="1744" spans="1:1" x14ac:dyDescent="0.25">
      <c r="A1744" s="125" t="s">
        <v>1810</v>
      </c>
    </row>
    <row r="1745" spans="1:1" x14ac:dyDescent="0.25">
      <c r="A1745" s="125" t="s">
        <v>1811</v>
      </c>
    </row>
    <row r="1746" spans="1:1" x14ac:dyDescent="0.25">
      <c r="A1746" s="125" t="s">
        <v>1812</v>
      </c>
    </row>
    <row r="1747" spans="1:1" x14ac:dyDescent="0.25">
      <c r="A1747" s="124" t="s">
        <v>1813</v>
      </c>
    </row>
    <row r="1748" spans="1:1" x14ac:dyDescent="0.25">
      <c r="A1748" s="124" t="s">
        <v>1814</v>
      </c>
    </row>
    <row r="1749" spans="1:1" x14ac:dyDescent="0.25">
      <c r="A1749" s="125" t="s">
        <v>1815</v>
      </c>
    </row>
    <row r="1750" spans="1:1" x14ac:dyDescent="0.25">
      <c r="A1750" s="125" t="s">
        <v>1816</v>
      </c>
    </row>
    <row r="1751" spans="1:1" x14ac:dyDescent="0.25">
      <c r="A1751" s="125" t="s">
        <v>1817</v>
      </c>
    </row>
    <row r="1752" spans="1:1" x14ac:dyDescent="0.25">
      <c r="A1752" s="125" t="s">
        <v>1818</v>
      </c>
    </row>
    <row r="1753" spans="1:1" x14ac:dyDescent="0.25">
      <c r="A1753" s="124" t="s">
        <v>1819</v>
      </c>
    </row>
    <row r="1754" spans="1:1" x14ac:dyDescent="0.25">
      <c r="A1754" s="124" t="s">
        <v>1820</v>
      </c>
    </row>
    <row r="1755" spans="1:1" x14ac:dyDescent="0.25">
      <c r="A1755" s="125" t="s">
        <v>1821</v>
      </c>
    </row>
    <row r="1756" spans="1:1" x14ac:dyDescent="0.25">
      <c r="A1756" s="125" t="s">
        <v>1822</v>
      </c>
    </row>
    <row r="1757" spans="1:1" x14ac:dyDescent="0.25">
      <c r="A1757" s="125" t="s">
        <v>1823</v>
      </c>
    </row>
    <row r="1758" spans="1:1" x14ac:dyDescent="0.25">
      <c r="A1758" s="125" t="s">
        <v>1824</v>
      </c>
    </row>
    <row r="1759" spans="1:1" x14ac:dyDescent="0.25">
      <c r="A1759" s="124" t="s">
        <v>1825</v>
      </c>
    </row>
    <row r="1760" spans="1:1" x14ac:dyDescent="0.25">
      <c r="A1760" s="124" t="s">
        <v>1826</v>
      </c>
    </row>
    <row r="1761" spans="1:1" x14ac:dyDescent="0.25">
      <c r="A1761" s="125" t="s">
        <v>1827</v>
      </c>
    </row>
    <row r="1762" spans="1:1" x14ac:dyDescent="0.25">
      <c r="A1762" s="125" t="s">
        <v>1828</v>
      </c>
    </row>
    <row r="1763" spans="1:1" x14ac:dyDescent="0.25">
      <c r="A1763" s="125" t="s">
        <v>1829</v>
      </c>
    </row>
    <row r="1764" spans="1:1" x14ac:dyDescent="0.25">
      <c r="A1764" s="125" t="s">
        <v>1830</v>
      </c>
    </row>
    <row r="1765" spans="1:1" x14ac:dyDescent="0.25">
      <c r="A1765" s="124" t="s">
        <v>1831</v>
      </c>
    </row>
    <row r="1766" spans="1:1" x14ac:dyDescent="0.25">
      <c r="A1766" s="124" t="s">
        <v>1832</v>
      </c>
    </row>
    <row r="1767" spans="1:1" x14ac:dyDescent="0.25">
      <c r="A1767" s="125" t="s">
        <v>1833</v>
      </c>
    </row>
    <row r="1768" spans="1:1" x14ac:dyDescent="0.25">
      <c r="A1768" s="125" t="s">
        <v>1834</v>
      </c>
    </row>
    <row r="1769" spans="1:1" x14ac:dyDescent="0.25">
      <c r="A1769" s="125" t="s">
        <v>1835</v>
      </c>
    </row>
    <row r="1770" spans="1:1" x14ac:dyDescent="0.25">
      <c r="A1770" s="125" t="s">
        <v>1836</v>
      </c>
    </row>
    <row r="1771" spans="1:1" x14ac:dyDescent="0.25">
      <c r="A1771" s="124" t="s">
        <v>1837</v>
      </c>
    </row>
    <row r="1772" spans="1:1" x14ac:dyDescent="0.25">
      <c r="A1772" s="124" t="s">
        <v>1838</v>
      </c>
    </row>
    <row r="1773" spans="1:1" x14ac:dyDescent="0.25">
      <c r="A1773" s="125" t="s">
        <v>1839</v>
      </c>
    </row>
    <row r="1774" spans="1:1" x14ac:dyDescent="0.25">
      <c r="A1774" s="27" t="s">
        <v>1840</v>
      </c>
    </row>
    <row r="1775" spans="1:1" x14ac:dyDescent="0.25">
      <c r="A1775" s="125" t="s">
        <v>1841</v>
      </c>
    </row>
    <row r="1776" spans="1:1" x14ac:dyDescent="0.25">
      <c r="A1776" s="124" t="s">
        <v>1842</v>
      </c>
    </row>
    <row r="1777" spans="1:1" x14ac:dyDescent="0.25">
      <c r="A1777" t="s">
        <v>1843</v>
      </c>
    </row>
    <row r="1778" spans="1:1" x14ac:dyDescent="0.25">
      <c r="A1778" s="125" t="s">
        <v>1844</v>
      </c>
    </row>
    <row r="1779" spans="1:1" x14ac:dyDescent="0.25">
      <c r="A1779" s="125" t="s">
        <v>1845</v>
      </c>
    </row>
    <row r="1780" spans="1:1" x14ac:dyDescent="0.25">
      <c r="A1780" s="27" t="s">
        <v>1846</v>
      </c>
    </row>
    <row r="1781" spans="1:1" x14ac:dyDescent="0.25">
      <c r="A1781" s="27" t="s">
        <v>1847</v>
      </c>
    </row>
    <row r="1782" spans="1:1" x14ac:dyDescent="0.25">
      <c r="A1782" s="27" t="s">
        <v>1848</v>
      </c>
    </row>
    <row r="1783" spans="1:1" x14ac:dyDescent="0.25">
      <c r="A1783" t="s">
        <v>1849</v>
      </c>
    </row>
    <row r="1784" spans="1:1" ht="255" x14ac:dyDescent="0.25">
      <c r="A1784" s="126" t="s">
        <v>1850</v>
      </c>
    </row>
    <row r="1785" spans="1:1" ht="270" x14ac:dyDescent="0.25">
      <c r="A1785" s="126" t="s">
        <v>1851</v>
      </c>
    </row>
    <row r="1786" spans="1:1" x14ac:dyDescent="0.25">
      <c r="A1786" s="124" t="s">
        <v>1852</v>
      </c>
    </row>
    <row r="1787" spans="1:1" x14ac:dyDescent="0.25">
      <c r="A1787" t="s">
        <v>1853</v>
      </c>
    </row>
    <row r="1788" spans="1:1" x14ac:dyDescent="0.25">
      <c r="A1788" s="125" t="s">
        <v>1854</v>
      </c>
    </row>
    <row r="1789" spans="1:1" x14ac:dyDescent="0.25">
      <c r="A1789" s="124" t="s">
        <v>1855</v>
      </c>
    </row>
    <row r="1790" spans="1:1" x14ac:dyDescent="0.25">
      <c r="A1790" t="s">
        <v>1856</v>
      </c>
    </row>
    <row r="1791" spans="1:1" x14ac:dyDescent="0.25">
      <c r="A1791" s="125" t="s">
        <v>1857</v>
      </c>
    </row>
    <row r="1792" spans="1:1" x14ac:dyDescent="0.25">
      <c r="A1792" s="125" t="s">
        <v>1858</v>
      </c>
    </row>
    <row r="1793" spans="1:1" x14ac:dyDescent="0.25">
      <c r="A1793" s="124" t="s">
        <v>1859</v>
      </c>
    </row>
    <row r="1794" spans="1:1" x14ac:dyDescent="0.25">
      <c r="A1794" t="s">
        <v>1860</v>
      </c>
    </row>
    <row r="1795" spans="1:1" x14ac:dyDescent="0.25">
      <c r="A1795" s="125" t="s">
        <v>1861</v>
      </c>
    </row>
    <row r="1796" spans="1:1" x14ac:dyDescent="0.25">
      <c r="A1796" s="124" t="s">
        <v>1862</v>
      </c>
    </row>
    <row r="1797" spans="1:1" x14ac:dyDescent="0.25">
      <c r="A1797" t="s">
        <v>1863</v>
      </c>
    </row>
    <row r="1798" spans="1:1" x14ac:dyDescent="0.25">
      <c r="A1798" s="125" t="s">
        <v>1864</v>
      </c>
    </row>
    <row r="1799" spans="1:1" x14ac:dyDescent="0.25">
      <c r="A1799" s="125" t="s">
        <v>1865</v>
      </c>
    </row>
    <row r="1800" spans="1:1" x14ac:dyDescent="0.25">
      <c r="A1800" s="124" t="s">
        <v>1866</v>
      </c>
    </row>
    <row r="1801" spans="1:1" x14ac:dyDescent="0.25">
      <c r="A1801" s="124" t="s">
        <v>1867</v>
      </c>
    </row>
    <row r="1802" spans="1:1" x14ac:dyDescent="0.25">
      <c r="A1802" t="s">
        <v>1868</v>
      </c>
    </row>
    <row r="1803" spans="1:1" x14ac:dyDescent="0.25">
      <c r="A1803" s="124" t="s">
        <v>1869</v>
      </c>
    </row>
    <row r="1804" spans="1:1" x14ac:dyDescent="0.25">
      <c r="A1804" t="s">
        <v>1870</v>
      </c>
    </row>
    <row r="1805" spans="1:1" x14ac:dyDescent="0.25">
      <c r="A1805" t="s">
        <v>1871</v>
      </c>
    </row>
    <row r="1806" spans="1:1" x14ac:dyDescent="0.25">
      <c r="A1806" t="s">
        <v>1872</v>
      </c>
    </row>
    <row r="1807" spans="1:1" x14ac:dyDescent="0.25">
      <c r="A1807" t="s">
        <v>1873</v>
      </c>
    </row>
    <row r="1808" spans="1:1" x14ac:dyDescent="0.25">
      <c r="A1808" s="27" t="s">
        <v>1874</v>
      </c>
    </row>
    <row r="1809" spans="1:1" x14ac:dyDescent="0.25">
      <c r="A1809" s="125" t="s">
        <v>1875</v>
      </c>
    </row>
    <row r="1810" spans="1:1" x14ac:dyDescent="0.25">
      <c r="A1810" s="124" t="s">
        <v>1876</v>
      </c>
    </row>
    <row r="1811" spans="1:1" x14ac:dyDescent="0.25">
      <c r="A1811" t="s">
        <v>1877</v>
      </c>
    </row>
    <row r="1812" spans="1:1" x14ac:dyDescent="0.25">
      <c r="A1812" s="125" t="s">
        <v>1878</v>
      </c>
    </row>
    <row r="1813" spans="1:1" x14ac:dyDescent="0.25">
      <c r="A1813" s="125" t="s">
        <v>1879</v>
      </c>
    </row>
    <row r="1814" spans="1:1" x14ac:dyDescent="0.25">
      <c r="A1814" s="27" t="s">
        <v>1880</v>
      </c>
    </row>
    <row r="1815" spans="1:1" x14ac:dyDescent="0.25">
      <c r="A1815" s="27" t="s">
        <v>1881</v>
      </c>
    </row>
    <row r="1816" spans="1:1" x14ac:dyDescent="0.25">
      <c r="A1816" s="27" t="s">
        <v>1882</v>
      </c>
    </row>
    <row r="1817" spans="1:1" x14ac:dyDescent="0.25">
      <c r="A1817" t="s">
        <v>1883</v>
      </c>
    </row>
    <row r="1818" spans="1:1" ht="255" x14ac:dyDescent="0.25">
      <c r="A1818" s="126" t="s">
        <v>1884</v>
      </c>
    </row>
    <row r="1819" spans="1:1" ht="270" x14ac:dyDescent="0.25">
      <c r="A1819" s="126" t="s">
        <v>1885</v>
      </c>
    </row>
    <row r="1820" spans="1:1" x14ac:dyDescent="0.25">
      <c r="A1820" s="124" t="s">
        <v>1886</v>
      </c>
    </row>
    <row r="1821" spans="1:1" x14ac:dyDescent="0.25">
      <c r="A1821" t="s">
        <v>1887</v>
      </c>
    </row>
    <row r="1822" spans="1:1" x14ac:dyDescent="0.25">
      <c r="A1822" s="125" t="s">
        <v>1888</v>
      </c>
    </row>
    <row r="1823" spans="1:1" x14ac:dyDescent="0.25">
      <c r="A1823" s="124" t="s">
        <v>1889</v>
      </c>
    </row>
    <row r="1824" spans="1:1" x14ac:dyDescent="0.25">
      <c r="A1824" t="s">
        <v>1890</v>
      </c>
    </row>
    <row r="1825" spans="1:1" x14ac:dyDescent="0.25">
      <c r="A1825" s="125" t="s">
        <v>1891</v>
      </c>
    </row>
    <row r="1826" spans="1:1" x14ac:dyDescent="0.25">
      <c r="A1826" s="125" t="s">
        <v>1892</v>
      </c>
    </row>
    <row r="1827" spans="1:1" x14ac:dyDescent="0.25">
      <c r="A1827" s="124" t="s">
        <v>1893</v>
      </c>
    </row>
    <row r="1828" spans="1:1" x14ac:dyDescent="0.25">
      <c r="A1828" t="s">
        <v>1894</v>
      </c>
    </row>
    <row r="1829" spans="1:1" x14ac:dyDescent="0.25">
      <c r="A1829" s="125" t="s">
        <v>1895</v>
      </c>
    </row>
    <row r="1830" spans="1:1" x14ac:dyDescent="0.25">
      <c r="A1830" s="124" t="s">
        <v>1896</v>
      </c>
    </row>
    <row r="1831" spans="1:1" x14ac:dyDescent="0.25">
      <c r="A1831" t="s">
        <v>1897</v>
      </c>
    </row>
    <row r="1832" spans="1:1" x14ac:dyDescent="0.25">
      <c r="A1832" s="125" t="s">
        <v>1898</v>
      </c>
    </row>
    <row r="1833" spans="1:1" x14ac:dyDescent="0.25">
      <c r="A1833" s="125" t="s">
        <v>1899</v>
      </c>
    </row>
    <row r="1834" spans="1:1" x14ac:dyDescent="0.25">
      <c r="A1834" t="s">
        <v>1900</v>
      </c>
    </row>
    <row r="1835" spans="1:1" x14ac:dyDescent="0.25">
      <c r="A1835" t="s">
        <v>1901</v>
      </c>
    </row>
    <row r="1836" spans="1:1" x14ac:dyDescent="0.25">
      <c r="A1836" s="124" t="s">
        <v>1902</v>
      </c>
    </row>
    <row r="1837" spans="1:1" x14ac:dyDescent="0.25">
      <c r="A1837" s="124" t="s">
        <v>1903</v>
      </c>
    </row>
    <row r="1838" spans="1:1" x14ac:dyDescent="0.25">
      <c r="A1838" t="s">
        <v>1904</v>
      </c>
    </row>
    <row r="1839" spans="1:1" x14ac:dyDescent="0.25">
      <c r="A1839" s="124" t="s">
        <v>1905</v>
      </c>
    </row>
    <row r="1840" spans="1:1" x14ac:dyDescent="0.25">
      <c r="A1840" s="27" t="s">
        <v>1906</v>
      </c>
    </row>
    <row r="1841" spans="1:1" x14ac:dyDescent="0.25">
      <c r="A1841" s="125" t="s">
        <v>1907</v>
      </c>
    </row>
    <row r="1842" spans="1:1" x14ac:dyDescent="0.25">
      <c r="A1842" s="124" t="s">
        <v>1908</v>
      </c>
    </row>
    <row r="1843" spans="1:1" x14ac:dyDescent="0.25">
      <c r="A1843" t="s">
        <v>1909</v>
      </c>
    </row>
    <row r="1844" spans="1:1" x14ac:dyDescent="0.25">
      <c r="A1844" s="125" t="s">
        <v>1910</v>
      </c>
    </row>
    <row r="1845" spans="1:1" x14ac:dyDescent="0.25">
      <c r="A1845" s="125" t="s">
        <v>1911</v>
      </c>
    </row>
    <row r="1846" spans="1:1" x14ac:dyDescent="0.25">
      <c r="A1846" s="27" t="s">
        <v>1912</v>
      </c>
    </row>
    <row r="1847" spans="1:1" x14ac:dyDescent="0.25">
      <c r="A1847" s="27" t="s">
        <v>1913</v>
      </c>
    </row>
    <row r="1848" spans="1:1" x14ac:dyDescent="0.25">
      <c r="A1848" s="27" t="s">
        <v>1914</v>
      </c>
    </row>
    <row r="1849" spans="1:1" x14ac:dyDescent="0.25">
      <c r="A1849" t="s">
        <v>1915</v>
      </c>
    </row>
    <row r="1850" spans="1:1" ht="255" x14ac:dyDescent="0.25">
      <c r="A1850" s="126" t="s">
        <v>1916</v>
      </c>
    </row>
    <row r="1851" spans="1:1" ht="270" x14ac:dyDescent="0.25">
      <c r="A1851" s="126" t="s">
        <v>1917</v>
      </c>
    </row>
    <row r="1852" spans="1:1" x14ac:dyDescent="0.25">
      <c r="A1852" s="124" t="s">
        <v>1918</v>
      </c>
    </row>
    <row r="1853" spans="1:1" x14ac:dyDescent="0.25">
      <c r="A1853" t="s">
        <v>1919</v>
      </c>
    </row>
    <row r="1854" spans="1:1" x14ac:dyDescent="0.25">
      <c r="A1854" s="125" t="s">
        <v>1920</v>
      </c>
    </row>
    <row r="1855" spans="1:1" x14ac:dyDescent="0.25">
      <c r="A1855" s="124" t="s">
        <v>1921</v>
      </c>
    </row>
    <row r="1856" spans="1:1" x14ac:dyDescent="0.25">
      <c r="A1856" t="s">
        <v>1922</v>
      </c>
    </row>
    <row r="1857" spans="1:1" x14ac:dyDescent="0.25">
      <c r="A1857" s="125" t="s">
        <v>1923</v>
      </c>
    </row>
    <row r="1858" spans="1:1" x14ac:dyDescent="0.25">
      <c r="A1858" s="125" t="s">
        <v>1924</v>
      </c>
    </row>
    <row r="1859" spans="1:1" x14ac:dyDescent="0.25">
      <c r="A1859" s="124" t="s">
        <v>1925</v>
      </c>
    </row>
    <row r="1860" spans="1:1" x14ac:dyDescent="0.25">
      <c r="A1860" t="s">
        <v>1926</v>
      </c>
    </row>
    <row r="1861" spans="1:1" x14ac:dyDescent="0.25">
      <c r="A1861" s="125" t="s">
        <v>1927</v>
      </c>
    </row>
    <row r="1862" spans="1:1" x14ac:dyDescent="0.25">
      <c r="A1862" s="124" t="s">
        <v>1928</v>
      </c>
    </row>
    <row r="1863" spans="1:1" x14ac:dyDescent="0.25">
      <c r="A1863" t="s">
        <v>1929</v>
      </c>
    </row>
    <row r="1864" spans="1:1" x14ac:dyDescent="0.25">
      <c r="A1864" s="125" t="s">
        <v>1930</v>
      </c>
    </row>
    <row r="1865" spans="1:1" x14ac:dyDescent="0.25">
      <c r="A1865" s="125" t="s">
        <v>1931</v>
      </c>
    </row>
    <row r="1866" spans="1:1" x14ac:dyDescent="0.25">
      <c r="A1866" s="124" t="s">
        <v>1932</v>
      </c>
    </row>
    <row r="1867" spans="1:1" x14ac:dyDescent="0.25">
      <c r="A1867" s="124" t="s">
        <v>1933</v>
      </c>
    </row>
    <row r="1868" spans="1:1" x14ac:dyDescent="0.25">
      <c r="A1868" t="s">
        <v>1934</v>
      </c>
    </row>
    <row r="1869" spans="1:1" x14ac:dyDescent="0.25">
      <c r="A1869" s="124" t="s">
        <v>1935</v>
      </c>
    </row>
    <row r="1870" spans="1:1" x14ac:dyDescent="0.25">
      <c r="A1870" s="124" t="s">
        <v>1936</v>
      </c>
    </row>
    <row r="1871" spans="1:1" x14ac:dyDescent="0.25">
      <c r="A1871" s="124" t="s">
        <v>1937</v>
      </c>
    </row>
    <row r="1872" spans="1:1" x14ac:dyDescent="0.25">
      <c r="A1872" s="27" t="s">
        <v>1938</v>
      </c>
    </row>
    <row r="1873" spans="1:1" x14ac:dyDescent="0.25">
      <c r="A1873" s="125" t="s">
        <v>1939</v>
      </c>
    </row>
    <row r="1874" spans="1:1" x14ac:dyDescent="0.25">
      <c r="A1874" s="124" t="s">
        <v>1940</v>
      </c>
    </row>
    <row r="1875" spans="1:1" x14ac:dyDescent="0.25">
      <c r="A1875" t="s">
        <v>1941</v>
      </c>
    </row>
    <row r="1876" spans="1:1" x14ac:dyDescent="0.25">
      <c r="A1876" s="125" t="s">
        <v>1942</v>
      </c>
    </row>
    <row r="1877" spans="1:1" x14ac:dyDescent="0.25">
      <c r="A1877" s="125" t="s">
        <v>1943</v>
      </c>
    </row>
    <row r="1878" spans="1:1" x14ac:dyDescent="0.25">
      <c r="A1878" s="27" t="s">
        <v>1944</v>
      </c>
    </row>
    <row r="1879" spans="1:1" x14ac:dyDescent="0.25">
      <c r="A1879" s="27" t="s">
        <v>1945</v>
      </c>
    </row>
    <row r="1880" spans="1:1" x14ac:dyDescent="0.25">
      <c r="A1880" s="27" t="s">
        <v>1946</v>
      </c>
    </row>
    <row r="1881" spans="1:1" x14ac:dyDescent="0.25">
      <c r="A1881" t="s">
        <v>1947</v>
      </c>
    </row>
    <row r="1882" spans="1:1" ht="255" x14ac:dyDescent="0.25">
      <c r="A1882" s="126" t="s">
        <v>1948</v>
      </c>
    </row>
    <row r="1883" spans="1:1" ht="270" x14ac:dyDescent="0.25">
      <c r="A1883" s="126" t="s">
        <v>1949</v>
      </c>
    </row>
    <row r="1884" spans="1:1" x14ac:dyDescent="0.25">
      <c r="A1884" s="124" t="s">
        <v>1950</v>
      </c>
    </row>
    <row r="1885" spans="1:1" x14ac:dyDescent="0.25">
      <c r="A1885" t="s">
        <v>1951</v>
      </c>
    </row>
    <row r="1886" spans="1:1" x14ac:dyDescent="0.25">
      <c r="A1886" s="125" t="s">
        <v>1952</v>
      </c>
    </row>
    <row r="1887" spans="1:1" x14ac:dyDescent="0.25">
      <c r="A1887" s="124" t="s">
        <v>1953</v>
      </c>
    </row>
    <row r="1888" spans="1:1" x14ac:dyDescent="0.25">
      <c r="A1888" t="s">
        <v>1954</v>
      </c>
    </row>
    <row r="1889" spans="1:1" x14ac:dyDescent="0.25">
      <c r="A1889" s="125" t="s">
        <v>1955</v>
      </c>
    </row>
    <row r="1890" spans="1:1" x14ac:dyDescent="0.25">
      <c r="A1890" s="125" t="s">
        <v>1956</v>
      </c>
    </row>
    <row r="1891" spans="1:1" x14ac:dyDescent="0.25">
      <c r="A1891" s="125" t="s">
        <v>1957</v>
      </c>
    </row>
    <row r="1892" spans="1:1" x14ac:dyDescent="0.25">
      <c r="A1892" s="124" t="s">
        <v>1958</v>
      </c>
    </row>
    <row r="1893" spans="1:1" x14ac:dyDescent="0.25">
      <c r="A1893" t="s">
        <v>1959</v>
      </c>
    </row>
    <row r="1894" spans="1:1" x14ac:dyDescent="0.25">
      <c r="A1894" s="125" t="s">
        <v>1960</v>
      </c>
    </row>
    <row r="1895" spans="1:1" x14ac:dyDescent="0.25">
      <c r="A1895" s="125" t="s">
        <v>1961</v>
      </c>
    </row>
    <row r="1896" spans="1:1" x14ac:dyDescent="0.25">
      <c r="A1896" s="27" t="s">
        <v>1962</v>
      </c>
    </row>
    <row r="1897" spans="1:1" x14ac:dyDescent="0.25">
      <c r="A1897" s="27" t="s">
        <v>1963</v>
      </c>
    </row>
    <row r="1898" spans="1:1" x14ac:dyDescent="0.25">
      <c r="A1898" s="27" t="s">
        <v>1964</v>
      </c>
    </row>
    <row r="1899" spans="1:1" x14ac:dyDescent="0.25">
      <c r="A1899" t="s">
        <v>1965</v>
      </c>
    </row>
    <row r="1900" spans="1:1" x14ac:dyDescent="0.25">
      <c r="A1900" s="124" t="s">
        <v>1966</v>
      </c>
    </row>
    <row r="1901" spans="1:1" x14ac:dyDescent="0.25">
      <c r="A1901" t="s">
        <v>1967</v>
      </c>
    </row>
    <row r="1902" spans="1:1" x14ac:dyDescent="0.25">
      <c r="A1902" t="s">
        <v>1968</v>
      </c>
    </row>
    <row r="1903" spans="1:1" x14ac:dyDescent="0.25">
      <c r="A1903" t="s">
        <v>1969</v>
      </c>
    </row>
    <row r="1904" spans="1:1" x14ac:dyDescent="0.25">
      <c r="A1904" t="s">
        <v>1970</v>
      </c>
    </row>
    <row r="1905" spans="1:1" x14ac:dyDescent="0.25">
      <c r="A1905" t="s">
        <v>1971</v>
      </c>
    </row>
    <row r="1906" spans="1:1" x14ac:dyDescent="0.25">
      <c r="A1906" s="125" t="s">
        <v>1972</v>
      </c>
    </row>
    <row r="1907" spans="1:1" x14ac:dyDescent="0.25">
      <c r="A1907" s="124" t="s">
        <v>1973</v>
      </c>
    </row>
    <row r="1908" spans="1:1" x14ac:dyDescent="0.25">
      <c r="A1908" t="s">
        <v>1974</v>
      </c>
    </row>
    <row r="1909" spans="1:1" x14ac:dyDescent="0.25">
      <c r="A1909" s="125" t="s">
        <v>1975</v>
      </c>
    </row>
    <row r="1910" spans="1:1" x14ac:dyDescent="0.25">
      <c r="A1910" s="125" t="s">
        <v>1976</v>
      </c>
    </row>
    <row r="1911" spans="1:1" x14ac:dyDescent="0.25">
      <c r="A1911" t="s">
        <v>1977</v>
      </c>
    </row>
    <row r="1912" spans="1:1" x14ac:dyDescent="0.25">
      <c r="A1912" t="s">
        <v>1978</v>
      </c>
    </row>
    <row r="1913" spans="1:1" x14ac:dyDescent="0.25">
      <c r="A1913" t="s">
        <v>1979</v>
      </c>
    </row>
    <row r="1914" spans="1:1" x14ac:dyDescent="0.25">
      <c r="A1914" t="s">
        <v>1980</v>
      </c>
    </row>
    <row r="1915" spans="1:1" x14ac:dyDescent="0.25">
      <c r="A1915" s="124" t="s">
        <v>1981</v>
      </c>
    </row>
    <row r="1916" spans="1:1" x14ac:dyDescent="0.25">
      <c r="A1916" s="124" t="s">
        <v>1982</v>
      </c>
    </row>
    <row r="1917" spans="1:1" x14ac:dyDescent="0.25">
      <c r="A1917" t="s">
        <v>1983</v>
      </c>
    </row>
    <row r="1918" spans="1:1" x14ac:dyDescent="0.25">
      <c r="A1918" s="124" t="s">
        <v>1984</v>
      </c>
    </row>
    <row r="1919" spans="1:1" x14ac:dyDescent="0.25">
      <c r="A1919" s="124" t="s">
        <v>1985</v>
      </c>
    </row>
    <row r="1920" spans="1:1" x14ac:dyDescent="0.25">
      <c r="A1920" s="27" t="s">
        <v>1986</v>
      </c>
    </row>
    <row r="1921" spans="1:1" x14ac:dyDescent="0.25">
      <c r="A1921" s="125" t="s">
        <v>1987</v>
      </c>
    </row>
    <row r="1922" spans="1:1" x14ac:dyDescent="0.25">
      <c r="A1922" s="124" t="s">
        <v>1988</v>
      </c>
    </row>
    <row r="1923" spans="1:1" x14ac:dyDescent="0.25">
      <c r="A1923" t="s">
        <v>1989</v>
      </c>
    </row>
    <row r="1924" spans="1:1" x14ac:dyDescent="0.25">
      <c r="A1924" s="125" t="s">
        <v>1990</v>
      </c>
    </row>
    <row r="1925" spans="1:1" x14ac:dyDescent="0.25">
      <c r="A1925" s="125" t="s">
        <v>1991</v>
      </c>
    </row>
    <row r="1926" spans="1:1" x14ac:dyDescent="0.25">
      <c r="A1926" s="27" t="s">
        <v>1992</v>
      </c>
    </row>
    <row r="1927" spans="1:1" x14ac:dyDescent="0.25">
      <c r="A1927" s="27" t="s">
        <v>1993</v>
      </c>
    </row>
    <row r="1928" spans="1:1" x14ac:dyDescent="0.25">
      <c r="A1928" s="27" t="s">
        <v>1994</v>
      </c>
    </row>
    <row r="1929" spans="1:1" x14ac:dyDescent="0.25">
      <c r="A1929" t="s">
        <v>1995</v>
      </c>
    </row>
    <row r="1930" spans="1:1" ht="255" x14ac:dyDescent="0.25">
      <c r="A1930" s="126" t="s">
        <v>1996</v>
      </c>
    </row>
    <row r="1931" spans="1:1" ht="270" x14ac:dyDescent="0.25">
      <c r="A1931" s="126" t="s">
        <v>1997</v>
      </c>
    </row>
    <row r="1932" spans="1:1" x14ac:dyDescent="0.25">
      <c r="A1932" s="124" t="s">
        <v>1998</v>
      </c>
    </row>
    <row r="1933" spans="1:1" x14ac:dyDescent="0.25">
      <c r="A1933" t="s">
        <v>1999</v>
      </c>
    </row>
    <row r="1934" spans="1:1" x14ac:dyDescent="0.25">
      <c r="A1934" s="125" t="s">
        <v>2000</v>
      </c>
    </row>
    <row r="1935" spans="1:1" x14ac:dyDescent="0.25">
      <c r="A1935" s="124" t="s">
        <v>2001</v>
      </c>
    </row>
    <row r="1936" spans="1:1" x14ac:dyDescent="0.25">
      <c r="A1936" t="s">
        <v>2002</v>
      </c>
    </row>
    <row r="1937" spans="1:1" x14ac:dyDescent="0.25">
      <c r="A1937" s="125" t="s">
        <v>2003</v>
      </c>
    </row>
    <row r="1938" spans="1:1" x14ac:dyDescent="0.25">
      <c r="A1938" s="125" t="s">
        <v>2004</v>
      </c>
    </row>
    <row r="1939" spans="1:1" x14ac:dyDescent="0.25">
      <c r="A1939" s="124" t="s">
        <v>2005</v>
      </c>
    </row>
    <row r="1940" spans="1:1" x14ac:dyDescent="0.25">
      <c r="A1940" s="124" t="s">
        <v>2006</v>
      </c>
    </row>
    <row r="1941" spans="1:1" x14ac:dyDescent="0.25">
      <c r="A1941" t="s">
        <v>2007</v>
      </c>
    </row>
    <row r="1942" spans="1:1" x14ac:dyDescent="0.25">
      <c r="A1942" s="124" t="s">
        <v>2008</v>
      </c>
    </row>
    <row r="1943" spans="1:1" x14ac:dyDescent="0.25">
      <c r="A1943" s="124" t="s">
        <v>2009</v>
      </c>
    </row>
    <row r="1944" spans="1:1" x14ac:dyDescent="0.25">
      <c r="A1944" s="124" t="s">
        <v>2010</v>
      </c>
    </row>
    <row r="1945" spans="1:1" x14ac:dyDescent="0.25">
      <c r="A1945" t="s">
        <v>2011</v>
      </c>
    </row>
    <row r="1946" spans="1:1" x14ac:dyDescent="0.25">
      <c r="A1946" s="125" t="s">
        <v>2012</v>
      </c>
    </row>
    <row r="1947" spans="1:1" x14ac:dyDescent="0.25">
      <c r="A1947" s="124" t="s">
        <v>2013</v>
      </c>
    </row>
    <row r="1948" spans="1:1" x14ac:dyDescent="0.25">
      <c r="A1948" t="s">
        <v>2014</v>
      </c>
    </row>
    <row r="1949" spans="1:1" x14ac:dyDescent="0.25">
      <c r="A1949" s="125" t="s">
        <v>2015</v>
      </c>
    </row>
    <row r="1950" spans="1:1" x14ac:dyDescent="0.25">
      <c r="A1950" s="125" t="s">
        <v>2016</v>
      </c>
    </row>
    <row r="1951" spans="1:1" x14ac:dyDescent="0.25">
      <c r="A1951" s="124" t="s">
        <v>2017</v>
      </c>
    </row>
    <row r="1952" spans="1:1" x14ac:dyDescent="0.25">
      <c r="A1952" s="27" t="s">
        <v>2018</v>
      </c>
    </row>
    <row r="1953" spans="1:1" x14ac:dyDescent="0.25">
      <c r="A1953" s="125" t="s">
        <v>2019</v>
      </c>
    </row>
    <row r="1954" spans="1:1" x14ac:dyDescent="0.25">
      <c r="A1954" s="124" t="s">
        <v>2020</v>
      </c>
    </row>
    <row r="1955" spans="1:1" x14ac:dyDescent="0.25">
      <c r="A1955" t="s">
        <v>2021</v>
      </c>
    </row>
    <row r="1956" spans="1:1" x14ac:dyDescent="0.25">
      <c r="A1956" s="125" t="s">
        <v>2022</v>
      </c>
    </row>
    <row r="1957" spans="1:1" x14ac:dyDescent="0.25">
      <c r="A1957" s="125" t="s">
        <v>2023</v>
      </c>
    </row>
    <row r="1958" spans="1:1" x14ac:dyDescent="0.25">
      <c r="A1958" s="27" t="s">
        <v>2024</v>
      </c>
    </row>
    <row r="1959" spans="1:1" x14ac:dyDescent="0.25">
      <c r="A1959" s="27" t="s">
        <v>2025</v>
      </c>
    </row>
    <row r="1960" spans="1:1" x14ac:dyDescent="0.25">
      <c r="A1960" s="27" t="s">
        <v>2026</v>
      </c>
    </row>
    <row r="1961" spans="1:1" x14ac:dyDescent="0.25">
      <c r="A1961" t="s">
        <v>2027</v>
      </c>
    </row>
    <row r="1962" spans="1:1" ht="255" x14ac:dyDescent="0.25">
      <c r="A1962" s="126" t="s">
        <v>2028</v>
      </c>
    </row>
    <row r="1963" spans="1:1" ht="270" x14ac:dyDescent="0.25">
      <c r="A1963" s="126" t="s">
        <v>2029</v>
      </c>
    </row>
    <row r="1964" spans="1:1" x14ac:dyDescent="0.25">
      <c r="A1964" s="124" t="s">
        <v>2030</v>
      </c>
    </row>
    <row r="1965" spans="1:1" x14ac:dyDescent="0.25">
      <c r="A1965" t="s">
        <v>2031</v>
      </c>
    </row>
    <row r="1966" spans="1:1" x14ac:dyDescent="0.25">
      <c r="A1966" s="125" t="s">
        <v>2032</v>
      </c>
    </row>
    <row r="1967" spans="1:1" x14ac:dyDescent="0.25">
      <c r="A1967" s="124" t="s">
        <v>2033</v>
      </c>
    </row>
    <row r="1968" spans="1:1" x14ac:dyDescent="0.25">
      <c r="A1968" t="s">
        <v>2034</v>
      </c>
    </row>
    <row r="1969" spans="1:1" x14ac:dyDescent="0.25">
      <c r="A1969" s="125" t="s">
        <v>2035</v>
      </c>
    </row>
    <row r="1970" spans="1:1" x14ac:dyDescent="0.25">
      <c r="A1970" s="125" t="s">
        <v>2036</v>
      </c>
    </row>
    <row r="1971" spans="1:1" x14ac:dyDescent="0.25">
      <c r="A1971" s="124" t="s">
        <v>2037</v>
      </c>
    </row>
    <row r="1972" spans="1:1" x14ac:dyDescent="0.25">
      <c r="A1972" t="s">
        <v>2038</v>
      </c>
    </row>
    <row r="1973" spans="1:1" x14ac:dyDescent="0.25">
      <c r="A1973" s="125" t="s">
        <v>2039</v>
      </c>
    </row>
    <row r="1974" spans="1:1" x14ac:dyDescent="0.25">
      <c r="A1974" s="124" t="s">
        <v>2040</v>
      </c>
    </row>
    <row r="1975" spans="1:1" x14ac:dyDescent="0.25">
      <c r="A1975" t="s">
        <v>2041</v>
      </c>
    </row>
    <row r="1976" spans="1:1" x14ac:dyDescent="0.25">
      <c r="A1976" s="125" t="s">
        <v>2042</v>
      </c>
    </row>
    <row r="1977" spans="1:1" x14ac:dyDescent="0.25">
      <c r="A1977" s="125" t="s">
        <v>2043</v>
      </c>
    </row>
    <row r="1978" spans="1:1" x14ac:dyDescent="0.25">
      <c r="A1978" t="s">
        <v>2044</v>
      </c>
    </row>
    <row r="1979" spans="1:1" x14ac:dyDescent="0.25">
      <c r="A1979" t="s">
        <v>2045</v>
      </c>
    </row>
    <row r="1980" spans="1:1" x14ac:dyDescent="0.25">
      <c r="A1980" t="s">
        <v>2046</v>
      </c>
    </row>
    <row r="1981" spans="1:1" x14ac:dyDescent="0.25">
      <c r="A1981" t="s">
        <v>2047</v>
      </c>
    </row>
    <row r="1982" spans="1:1" x14ac:dyDescent="0.25">
      <c r="A1982" s="124" t="s">
        <v>2048</v>
      </c>
    </row>
    <row r="1983" spans="1:1" x14ac:dyDescent="0.25">
      <c r="A1983" t="s">
        <v>2049</v>
      </c>
    </row>
    <row r="1984" spans="1:1" x14ac:dyDescent="0.25">
      <c r="A1984" s="124" t="s">
        <v>2050</v>
      </c>
    </row>
    <row r="1985" spans="1:1" x14ac:dyDescent="0.25">
      <c r="A1985" s="27" t="s">
        <v>2051</v>
      </c>
    </row>
    <row r="1986" spans="1:1" ht="255" x14ac:dyDescent="0.25">
      <c r="A1986" s="126" t="s">
        <v>2052</v>
      </c>
    </row>
    <row r="1987" spans="1:1" ht="270" x14ac:dyDescent="0.25">
      <c r="A1987" s="126" t="s">
        <v>2053</v>
      </c>
    </row>
    <row r="1988" spans="1:1" x14ac:dyDescent="0.25">
      <c r="A1988" s="124" t="s">
        <v>2054</v>
      </c>
    </row>
    <row r="1989" spans="1:1" x14ac:dyDescent="0.25">
      <c r="A1989" t="s">
        <v>2055</v>
      </c>
    </row>
    <row r="1990" spans="1:1" x14ac:dyDescent="0.25">
      <c r="A1990" s="125" t="s">
        <v>2056</v>
      </c>
    </row>
    <row r="1991" spans="1:1" x14ac:dyDescent="0.25">
      <c r="A1991" s="124" t="s">
        <v>2057</v>
      </c>
    </row>
    <row r="1992" spans="1:1" x14ac:dyDescent="0.25">
      <c r="A1992" t="s">
        <v>2058</v>
      </c>
    </row>
    <row r="1993" spans="1:1" x14ac:dyDescent="0.25">
      <c r="A1993" s="125" t="s">
        <v>2059</v>
      </c>
    </row>
    <row r="1994" spans="1:1" x14ac:dyDescent="0.25">
      <c r="A1994" s="125" t="s">
        <v>2060</v>
      </c>
    </row>
    <row r="1995" spans="1:1" x14ac:dyDescent="0.25">
      <c r="A1995" s="124" t="s">
        <v>2061</v>
      </c>
    </row>
    <row r="1996" spans="1:1" x14ac:dyDescent="0.25">
      <c r="A1996" t="s">
        <v>2062</v>
      </c>
    </row>
    <row r="1997" spans="1:1" x14ac:dyDescent="0.25">
      <c r="A1997" s="125" t="s">
        <v>2063</v>
      </c>
    </row>
    <row r="1998" spans="1:1" x14ac:dyDescent="0.25">
      <c r="A1998" s="124" t="s">
        <v>2064</v>
      </c>
    </row>
    <row r="1999" spans="1:1" x14ac:dyDescent="0.25">
      <c r="A1999" t="s">
        <v>2065</v>
      </c>
    </row>
    <row r="2000" spans="1:1" x14ac:dyDescent="0.25">
      <c r="A2000" s="125" t="s">
        <v>2066</v>
      </c>
    </row>
    <row r="2001" spans="1:1" x14ac:dyDescent="0.25">
      <c r="A2001" s="125" t="s">
        <v>2067</v>
      </c>
    </row>
    <row r="2002" spans="1:1" x14ac:dyDescent="0.25">
      <c r="A2002" t="s">
        <v>2068</v>
      </c>
    </row>
    <row r="2003" spans="1:1" x14ac:dyDescent="0.25">
      <c r="A2003" t="s">
        <v>2069</v>
      </c>
    </row>
    <row r="2004" spans="1:1" x14ac:dyDescent="0.25">
      <c r="A2004" s="124" t="s">
        <v>2070</v>
      </c>
    </row>
    <row r="2005" spans="1:1" x14ac:dyDescent="0.25">
      <c r="A2005" s="124" t="s">
        <v>2071</v>
      </c>
    </row>
    <row r="2006" spans="1:1" x14ac:dyDescent="0.25">
      <c r="A2006" t="s">
        <v>2072</v>
      </c>
    </row>
    <row r="2007" spans="1:1" x14ac:dyDescent="0.25">
      <c r="A2007" s="124" t="s">
        <v>2073</v>
      </c>
    </row>
    <row r="2008" spans="1:1" x14ac:dyDescent="0.25">
      <c r="A2008" s="27" t="s">
        <v>2074</v>
      </c>
    </row>
    <row r="2009" spans="1:1" x14ac:dyDescent="0.25">
      <c r="A2009" s="125" t="s">
        <v>2075</v>
      </c>
    </row>
    <row r="2010" spans="1:1" x14ac:dyDescent="0.25">
      <c r="A2010" s="124" t="s">
        <v>2076</v>
      </c>
    </row>
    <row r="2011" spans="1:1" x14ac:dyDescent="0.25">
      <c r="A2011" t="s">
        <v>2077</v>
      </c>
    </row>
    <row r="2012" spans="1:1" x14ac:dyDescent="0.25">
      <c r="A2012" s="125" t="s">
        <v>2078</v>
      </c>
    </row>
    <row r="2013" spans="1:1" x14ac:dyDescent="0.25">
      <c r="A2013" s="125" t="s">
        <v>2079</v>
      </c>
    </row>
    <row r="2014" spans="1:1" x14ac:dyDescent="0.25">
      <c r="A2014" s="27" t="s">
        <v>2080</v>
      </c>
    </row>
    <row r="2015" spans="1:1" x14ac:dyDescent="0.25">
      <c r="A2015" s="27" t="s">
        <v>2081</v>
      </c>
    </row>
    <row r="2016" spans="1:1" x14ac:dyDescent="0.25">
      <c r="A2016" s="27" t="s">
        <v>2082</v>
      </c>
    </row>
    <row r="2017" spans="1:1" x14ac:dyDescent="0.25">
      <c r="A2017" t="s">
        <v>2083</v>
      </c>
    </row>
    <row r="2018" spans="1:1" ht="255" x14ac:dyDescent="0.25">
      <c r="A2018" s="126" t="s">
        <v>2084</v>
      </c>
    </row>
    <row r="2019" spans="1:1" ht="270" x14ac:dyDescent="0.25">
      <c r="A2019" s="126" t="s">
        <v>2085</v>
      </c>
    </row>
    <row r="2020" spans="1:1" x14ac:dyDescent="0.25">
      <c r="A2020" s="124" t="s">
        <v>2086</v>
      </c>
    </row>
    <row r="2021" spans="1:1" x14ac:dyDescent="0.25">
      <c r="A2021" t="s">
        <v>2087</v>
      </c>
    </row>
    <row r="2022" spans="1:1" x14ac:dyDescent="0.25">
      <c r="A2022" s="125" t="s">
        <v>2088</v>
      </c>
    </row>
    <row r="2023" spans="1:1" x14ac:dyDescent="0.25">
      <c r="A2023" s="124" t="s">
        <v>2089</v>
      </c>
    </row>
    <row r="2024" spans="1:1" x14ac:dyDescent="0.25">
      <c r="A2024" t="s">
        <v>2090</v>
      </c>
    </row>
    <row r="2025" spans="1:1" x14ac:dyDescent="0.25">
      <c r="A2025" s="125" t="s">
        <v>2091</v>
      </c>
    </row>
    <row r="2026" spans="1:1" x14ac:dyDescent="0.25">
      <c r="A2026" s="125" t="s">
        <v>2092</v>
      </c>
    </row>
    <row r="2027" spans="1:1" x14ac:dyDescent="0.25">
      <c r="A2027" s="124" t="s">
        <v>2093</v>
      </c>
    </row>
    <row r="2028" spans="1:1" x14ac:dyDescent="0.25">
      <c r="A2028" t="s">
        <v>2094</v>
      </c>
    </row>
    <row r="2029" spans="1:1" x14ac:dyDescent="0.25">
      <c r="A2029" s="125" t="s">
        <v>2095</v>
      </c>
    </row>
    <row r="2030" spans="1:1" x14ac:dyDescent="0.25">
      <c r="A2030" s="124" t="s">
        <v>2096</v>
      </c>
    </row>
    <row r="2031" spans="1:1" x14ac:dyDescent="0.25">
      <c r="A2031" t="s">
        <v>2097</v>
      </c>
    </row>
    <row r="2032" spans="1:1" x14ac:dyDescent="0.25">
      <c r="A2032" s="125" t="s">
        <v>2098</v>
      </c>
    </row>
    <row r="2033" spans="1:1" x14ac:dyDescent="0.25">
      <c r="A2033" s="125" t="s">
        <v>2099</v>
      </c>
    </row>
    <row r="2034" spans="1:1" x14ac:dyDescent="0.25">
      <c r="A2034" s="124" t="s">
        <v>2100</v>
      </c>
    </row>
    <row r="2035" spans="1:1" x14ac:dyDescent="0.25">
      <c r="A2035" s="124" t="s">
        <v>2101</v>
      </c>
    </row>
    <row r="2036" spans="1:1" x14ac:dyDescent="0.25">
      <c r="A2036" t="s">
        <v>2102</v>
      </c>
    </row>
    <row r="2037" spans="1:1" x14ac:dyDescent="0.25">
      <c r="A2037" s="124" t="s">
        <v>2103</v>
      </c>
    </row>
    <row r="2038" spans="1:1" x14ac:dyDescent="0.25">
      <c r="A2038" s="27" t="s">
        <v>2104</v>
      </c>
    </row>
    <row r="2039" spans="1:1" x14ac:dyDescent="0.25">
      <c r="A2039" s="125" t="s">
        <v>2105</v>
      </c>
    </row>
    <row r="2040" spans="1:1" x14ac:dyDescent="0.25">
      <c r="A2040" s="124" t="s">
        <v>2106</v>
      </c>
    </row>
    <row r="2041" spans="1:1" x14ac:dyDescent="0.25">
      <c r="A2041" t="s">
        <v>2107</v>
      </c>
    </row>
    <row r="2042" spans="1:1" x14ac:dyDescent="0.25">
      <c r="A2042" s="125" t="s">
        <v>2108</v>
      </c>
    </row>
    <row r="2043" spans="1:1" x14ac:dyDescent="0.25">
      <c r="A2043" s="125" t="s">
        <v>2109</v>
      </c>
    </row>
    <row r="2044" spans="1:1" x14ac:dyDescent="0.25">
      <c r="A2044" s="27" t="s">
        <v>2110</v>
      </c>
    </row>
    <row r="2045" spans="1:1" x14ac:dyDescent="0.25">
      <c r="A2045" s="27" t="s">
        <v>2111</v>
      </c>
    </row>
    <row r="2046" spans="1:1" x14ac:dyDescent="0.25">
      <c r="A2046" s="27" t="s">
        <v>2112</v>
      </c>
    </row>
    <row r="2047" spans="1:1" x14ac:dyDescent="0.25">
      <c r="A2047" t="s">
        <v>2113</v>
      </c>
    </row>
    <row r="2048" spans="1:1" ht="255" x14ac:dyDescent="0.25">
      <c r="A2048" s="126" t="s">
        <v>2114</v>
      </c>
    </row>
    <row r="2049" spans="1:1" ht="270" x14ac:dyDescent="0.25">
      <c r="A2049" s="126" t="s">
        <v>2115</v>
      </c>
    </row>
    <row r="2050" spans="1:1" x14ac:dyDescent="0.25">
      <c r="A2050" s="124" t="s">
        <v>2116</v>
      </c>
    </row>
    <row r="2051" spans="1:1" x14ac:dyDescent="0.25">
      <c r="A2051" t="s">
        <v>2117</v>
      </c>
    </row>
    <row r="2052" spans="1:1" x14ac:dyDescent="0.25">
      <c r="A2052" s="125" t="s">
        <v>2118</v>
      </c>
    </row>
    <row r="2053" spans="1:1" x14ac:dyDescent="0.25">
      <c r="A2053" s="124" t="s">
        <v>2119</v>
      </c>
    </row>
    <row r="2054" spans="1:1" x14ac:dyDescent="0.25">
      <c r="A2054" t="s">
        <v>2120</v>
      </c>
    </row>
    <row r="2055" spans="1:1" x14ac:dyDescent="0.25">
      <c r="A2055" s="125" t="s">
        <v>2121</v>
      </c>
    </row>
    <row r="2056" spans="1:1" x14ac:dyDescent="0.25">
      <c r="A2056" s="125" t="s">
        <v>2122</v>
      </c>
    </row>
    <row r="2057" spans="1:1" x14ac:dyDescent="0.25">
      <c r="A2057" s="124" t="s">
        <v>2123</v>
      </c>
    </row>
    <row r="2058" spans="1:1" x14ac:dyDescent="0.25">
      <c r="A2058" t="s">
        <v>2124</v>
      </c>
    </row>
    <row r="2059" spans="1:1" x14ac:dyDescent="0.25">
      <c r="A2059" s="125" t="s">
        <v>2125</v>
      </c>
    </row>
    <row r="2060" spans="1:1" x14ac:dyDescent="0.25">
      <c r="A2060" s="124" t="s">
        <v>2126</v>
      </c>
    </row>
    <row r="2061" spans="1:1" x14ac:dyDescent="0.25">
      <c r="A2061" t="s">
        <v>2127</v>
      </c>
    </row>
    <row r="2062" spans="1:1" x14ac:dyDescent="0.25">
      <c r="A2062" s="125" t="s">
        <v>2128</v>
      </c>
    </row>
    <row r="2063" spans="1:1" x14ac:dyDescent="0.25">
      <c r="A2063" s="125" t="s">
        <v>2129</v>
      </c>
    </row>
    <row r="2064" spans="1:1" x14ac:dyDescent="0.25">
      <c r="A2064" t="s">
        <v>2130</v>
      </c>
    </row>
    <row r="2065" spans="1:1" x14ac:dyDescent="0.25">
      <c r="A2065" t="s">
        <v>2131</v>
      </c>
    </row>
    <row r="2066" spans="1:1" x14ac:dyDescent="0.25">
      <c r="A2066" t="s">
        <v>2132</v>
      </c>
    </row>
    <row r="2067" spans="1:1" x14ac:dyDescent="0.25">
      <c r="A2067" t="s">
        <v>2133</v>
      </c>
    </row>
    <row r="2068" spans="1:1" x14ac:dyDescent="0.25">
      <c r="A2068" t="s">
        <v>2134</v>
      </c>
    </row>
    <row r="2069" spans="1:1" x14ac:dyDescent="0.25">
      <c r="A2069" t="s">
        <v>2135</v>
      </c>
    </row>
    <row r="2070" spans="1:1" x14ac:dyDescent="0.25">
      <c r="A2070" t="s">
        <v>2136</v>
      </c>
    </row>
    <row r="2071" spans="1:1" x14ac:dyDescent="0.25">
      <c r="A2071" t="s">
        <v>2137</v>
      </c>
    </row>
    <row r="2072" spans="1:1" x14ac:dyDescent="0.25">
      <c r="A2072" t="s">
        <v>2138</v>
      </c>
    </row>
    <row r="2073" spans="1:1" x14ac:dyDescent="0.25">
      <c r="A2073" t="s">
        <v>2139</v>
      </c>
    </row>
    <row r="2074" spans="1:1" x14ac:dyDescent="0.25">
      <c r="A2074" s="124" t="s">
        <v>2140</v>
      </c>
    </row>
    <row r="2075" spans="1:1" x14ac:dyDescent="0.25">
      <c r="A2075" s="124" t="s">
        <v>2141</v>
      </c>
    </row>
    <row r="2076" spans="1:1" x14ac:dyDescent="0.25">
      <c r="A2076" t="s">
        <v>2142</v>
      </c>
    </row>
    <row r="2077" spans="1:1" x14ac:dyDescent="0.25">
      <c r="A2077" s="124" t="s">
        <v>2143</v>
      </c>
    </row>
    <row r="2078" spans="1:1" x14ac:dyDescent="0.25">
      <c r="A2078" s="27" t="s">
        <v>2144</v>
      </c>
    </row>
    <row r="2079" spans="1:1" x14ac:dyDescent="0.25">
      <c r="A2079" s="125" t="s">
        <v>2145</v>
      </c>
    </row>
    <row r="2080" spans="1:1" x14ac:dyDescent="0.25">
      <c r="A2080" s="124" t="s">
        <v>2146</v>
      </c>
    </row>
    <row r="2081" spans="1:1" x14ac:dyDescent="0.25">
      <c r="A2081" t="s">
        <v>2147</v>
      </c>
    </row>
    <row r="2082" spans="1:1" x14ac:dyDescent="0.25">
      <c r="A2082" s="125" t="s">
        <v>2148</v>
      </c>
    </row>
    <row r="2083" spans="1:1" x14ac:dyDescent="0.25">
      <c r="A2083" s="125" t="s">
        <v>2149</v>
      </c>
    </row>
    <row r="2084" spans="1:1" x14ac:dyDescent="0.25">
      <c r="A2084" s="27" t="s">
        <v>2150</v>
      </c>
    </row>
    <row r="2085" spans="1:1" x14ac:dyDescent="0.25">
      <c r="A2085" s="27" t="s">
        <v>2151</v>
      </c>
    </row>
    <row r="2086" spans="1:1" x14ac:dyDescent="0.25">
      <c r="A2086" s="27" t="s">
        <v>2152</v>
      </c>
    </row>
    <row r="2087" spans="1:1" x14ac:dyDescent="0.25">
      <c r="A2087" t="s">
        <v>2153</v>
      </c>
    </row>
    <row r="2088" spans="1:1" ht="255" x14ac:dyDescent="0.25">
      <c r="A2088" s="126" t="s">
        <v>2154</v>
      </c>
    </row>
    <row r="2089" spans="1:1" ht="270" x14ac:dyDescent="0.25">
      <c r="A2089" s="126" t="s">
        <v>2155</v>
      </c>
    </row>
    <row r="2090" spans="1:1" x14ac:dyDescent="0.25">
      <c r="A2090" s="124" t="s">
        <v>2156</v>
      </c>
    </row>
    <row r="2091" spans="1:1" x14ac:dyDescent="0.25">
      <c r="A2091" t="s">
        <v>2157</v>
      </c>
    </row>
    <row r="2092" spans="1:1" x14ac:dyDescent="0.25">
      <c r="A2092" s="125" t="s">
        <v>2158</v>
      </c>
    </row>
    <row r="2093" spans="1:1" x14ac:dyDescent="0.25">
      <c r="A2093" s="124" t="s">
        <v>2159</v>
      </c>
    </row>
    <row r="2094" spans="1:1" x14ac:dyDescent="0.25">
      <c r="A2094" t="s">
        <v>2160</v>
      </c>
    </row>
    <row r="2095" spans="1:1" x14ac:dyDescent="0.25">
      <c r="A2095" s="125" t="s">
        <v>2161</v>
      </c>
    </row>
    <row r="2096" spans="1:1" x14ac:dyDescent="0.25">
      <c r="A2096" s="125" t="s">
        <v>2162</v>
      </c>
    </row>
    <row r="2097" spans="1:1" x14ac:dyDescent="0.25">
      <c r="A2097" s="124" t="s">
        <v>2163</v>
      </c>
    </row>
    <row r="2098" spans="1:1" x14ac:dyDescent="0.25">
      <c r="A2098" t="s">
        <v>2164</v>
      </c>
    </row>
    <row r="2099" spans="1:1" x14ac:dyDescent="0.25">
      <c r="A2099" s="125" t="s">
        <v>2165</v>
      </c>
    </row>
    <row r="2100" spans="1:1" x14ac:dyDescent="0.25">
      <c r="A2100" s="124" t="s">
        <v>2166</v>
      </c>
    </row>
    <row r="2101" spans="1:1" x14ac:dyDescent="0.25">
      <c r="A2101" t="s">
        <v>2167</v>
      </c>
    </row>
    <row r="2102" spans="1:1" x14ac:dyDescent="0.25">
      <c r="A2102" s="125" t="s">
        <v>2168</v>
      </c>
    </row>
    <row r="2103" spans="1:1" x14ac:dyDescent="0.25">
      <c r="A2103" s="125" t="s">
        <v>2169</v>
      </c>
    </row>
    <row r="2104" spans="1:1" x14ac:dyDescent="0.25">
      <c r="A2104" t="s">
        <v>2170</v>
      </c>
    </row>
    <row r="2105" spans="1:1" x14ac:dyDescent="0.25">
      <c r="A2105" t="s">
        <v>2171</v>
      </c>
    </row>
    <row r="2106" spans="1:1" x14ac:dyDescent="0.25">
      <c r="A2106" s="124" t="s">
        <v>2172</v>
      </c>
    </row>
    <row r="2107" spans="1:1" x14ac:dyDescent="0.25">
      <c r="A2107" s="124" t="s">
        <v>2173</v>
      </c>
    </row>
    <row r="2108" spans="1:1" x14ac:dyDescent="0.25">
      <c r="A2108" t="s">
        <v>2174</v>
      </c>
    </row>
    <row r="2109" spans="1:1" x14ac:dyDescent="0.25">
      <c r="A2109" s="124" t="s">
        <v>2175</v>
      </c>
    </row>
    <row r="2110" spans="1:1" x14ac:dyDescent="0.25">
      <c r="A2110" s="27" t="s">
        <v>2176</v>
      </c>
    </row>
    <row r="2111" spans="1:1" x14ac:dyDescent="0.25">
      <c r="A2111" s="125" t="s">
        <v>2177</v>
      </c>
    </row>
    <row r="2112" spans="1:1" x14ac:dyDescent="0.25">
      <c r="A2112" s="124" t="s">
        <v>2178</v>
      </c>
    </row>
    <row r="2113" spans="1:1" x14ac:dyDescent="0.25">
      <c r="A2113" t="s">
        <v>2179</v>
      </c>
    </row>
    <row r="2114" spans="1:1" x14ac:dyDescent="0.25">
      <c r="A2114" s="125" t="s">
        <v>2180</v>
      </c>
    </row>
    <row r="2115" spans="1:1" x14ac:dyDescent="0.25">
      <c r="A2115" s="125" t="s">
        <v>2181</v>
      </c>
    </row>
    <row r="2116" spans="1:1" x14ac:dyDescent="0.25">
      <c r="A2116" s="27" t="s">
        <v>2182</v>
      </c>
    </row>
    <row r="2117" spans="1:1" x14ac:dyDescent="0.25">
      <c r="A2117" s="27" t="s">
        <v>2183</v>
      </c>
    </row>
    <row r="2118" spans="1:1" x14ac:dyDescent="0.25">
      <c r="A2118" s="27" t="s">
        <v>2184</v>
      </c>
    </row>
    <row r="2119" spans="1:1" x14ac:dyDescent="0.25">
      <c r="A2119" t="s">
        <v>2185</v>
      </c>
    </row>
    <row r="2120" spans="1:1" ht="255" x14ac:dyDescent="0.25">
      <c r="A2120" s="126" t="s">
        <v>2186</v>
      </c>
    </row>
    <row r="2121" spans="1:1" ht="270" x14ac:dyDescent="0.25">
      <c r="A2121" s="126" t="s">
        <v>2187</v>
      </c>
    </row>
    <row r="2122" spans="1:1" x14ac:dyDescent="0.25">
      <c r="A2122" s="124" t="s">
        <v>2188</v>
      </c>
    </row>
    <row r="2123" spans="1:1" x14ac:dyDescent="0.25">
      <c r="A2123" t="s">
        <v>2189</v>
      </c>
    </row>
    <row r="2124" spans="1:1" x14ac:dyDescent="0.25">
      <c r="A2124" s="125" t="s">
        <v>2190</v>
      </c>
    </row>
    <row r="2125" spans="1:1" x14ac:dyDescent="0.25">
      <c r="A2125" s="124" t="s">
        <v>2191</v>
      </c>
    </row>
    <row r="2126" spans="1:1" x14ac:dyDescent="0.25">
      <c r="A2126" t="s">
        <v>2192</v>
      </c>
    </row>
    <row r="2127" spans="1:1" x14ac:dyDescent="0.25">
      <c r="A2127" s="125" t="s">
        <v>2193</v>
      </c>
    </row>
    <row r="2128" spans="1:1" x14ac:dyDescent="0.25">
      <c r="A2128" s="125" t="s">
        <v>2194</v>
      </c>
    </row>
    <row r="2129" spans="1:1" x14ac:dyDescent="0.25">
      <c r="A2129" s="124" t="s">
        <v>2195</v>
      </c>
    </row>
    <row r="2130" spans="1:1" x14ac:dyDescent="0.25">
      <c r="A2130" t="s">
        <v>2196</v>
      </c>
    </row>
    <row r="2131" spans="1:1" x14ac:dyDescent="0.25">
      <c r="A2131" s="125" t="s">
        <v>2197</v>
      </c>
    </row>
    <row r="2132" spans="1:1" x14ac:dyDescent="0.25">
      <c r="A2132" s="124" t="s">
        <v>2198</v>
      </c>
    </row>
    <row r="2133" spans="1:1" x14ac:dyDescent="0.25">
      <c r="A2133" t="s">
        <v>2199</v>
      </c>
    </row>
    <row r="2134" spans="1:1" x14ac:dyDescent="0.25">
      <c r="A2134" s="125" t="s">
        <v>2200</v>
      </c>
    </row>
    <row r="2135" spans="1:1" x14ac:dyDescent="0.25">
      <c r="A2135" s="125" t="s">
        <v>2201</v>
      </c>
    </row>
    <row r="2136" spans="1:1" x14ac:dyDescent="0.25">
      <c r="A2136" s="124" t="s">
        <v>2202</v>
      </c>
    </row>
    <row r="2137" spans="1:1" x14ac:dyDescent="0.25">
      <c r="A2137" s="124" t="s">
        <v>2203</v>
      </c>
    </row>
    <row r="2138" spans="1:1" x14ac:dyDescent="0.25">
      <c r="A2138" t="s">
        <v>2204</v>
      </c>
    </row>
    <row r="2139" spans="1:1" x14ac:dyDescent="0.25">
      <c r="A2139" s="124" t="s">
        <v>2205</v>
      </c>
    </row>
    <row r="2140" spans="1:1" x14ac:dyDescent="0.25">
      <c r="A2140" s="27" t="s">
        <v>2206</v>
      </c>
    </row>
    <row r="2141" spans="1:1" x14ac:dyDescent="0.25">
      <c r="A2141" s="125" t="s">
        <v>2207</v>
      </c>
    </row>
    <row r="2142" spans="1:1" x14ac:dyDescent="0.25">
      <c r="A2142" s="124" t="s">
        <v>2208</v>
      </c>
    </row>
    <row r="2143" spans="1:1" x14ac:dyDescent="0.25">
      <c r="A2143" t="s">
        <v>2209</v>
      </c>
    </row>
    <row r="2144" spans="1:1" x14ac:dyDescent="0.25">
      <c r="A2144" s="125" t="s">
        <v>2210</v>
      </c>
    </row>
    <row r="2145" spans="1:1" x14ac:dyDescent="0.25">
      <c r="A2145" s="125" t="s">
        <v>2211</v>
      </c>
    </row>
    <row r="2146" spans="1:1" x14ac:dyDescent="0.25">
      <c r="A2146" s="27" t="s">
        <v>2212</v>
      </c>
    </row>
    <row r="2147" spans="1:1" x14ac:dyDescent="0.25">
      <c r="A2147" s="27" t="s">
        <v>2213</v>
      </c>
    </row>
    <row r="2148" spans="1:1" x14ac:dyDescent="0.25">
      <c r="A2148" s="27" t="s">
        <v>2214</v>
      </c>
    </row>
    <row r="2149" spans="1:1" x14ac:dyDescent="0.25">
      <c r="A2149" t="s">
        <v>2215</v>
      </c>
    </row>
    <row r="2150" spans="1:1" ht="255" x14ac:dyDescent="0.25">
      <c r="A2150" s="126" t="s">
        <v>2216</v>
      </c>
    </row>
    <row r="2151" spans="1:1" ht="270" x14ac:dyDescent="0.25">
      <c r="A2151" s="126" t="s">
        <v>2217</v>
      </c>
    </row>
    <row r="2152" spans="1:1" x14ac:dyDescent="0.25">
      <c r="A2152" s="124" t="s">
        <v>2218</v>
      </c>
    </row>
    <row r="2153" spans="1:1" x14ac:dyDescent="0.25">
      <c r="A2153" t="s">
        <v>2219</v>
      </c>
    </row>
    <row r="2154" spans="1:1" x14ac:dyDescent="0.25">
      <c r="A2154" s="125" t="s">
        <v>2220</v>
      </c>
    </row>
    <row r="2155" spans="1:1" x14ac:dyDescent="0.25">
      <c r="A2155" s="124" t="s">
        <v>2221</v>
      </c>
    </row>
    <row r="2156" spans="1:1" x14ac:dyDescent="0.25">
      <c r="A2156" t="s">
        <v>2222</v>
      </c>
    </row>
    <row r="2157" spans="1:1" x14ac:dyDescent="0.25">
      <c r="A2157" s="125" t="s">
        <v>2223</v>
      </c>
    </row>
    <row r="2158" spans="1:1" x14ac:dyDescent="0.25">
      <c r="A2158" s="125" t="s">
        <v>2224</v>
      </c>
    </row>
    <row r="2159" spans="1:1" x14ac:dyDescent="0.25">
      <c r="A2159" s="124" t="s">
        <v>2225</v>
      </c>
    </row>
    <row r="2160" spans="1:1" x14ac:dyDescent="0.25">
      <c r="A2160" t="s">
        <v>2226</v>
      </c>
    </row>
    <row r="2161" spans="1:1" x14ac:dyDescent="0.25">
      <c r="A2161" s="125" t="s">
        <v>2227</v>
      </c>
    </row>
    <row r="2162" spans="1:1" x14ac:dyDescent="0.25">
      <c r="A2162" s="124" t="s">
        <v>2228</v>
      </c>
    </row>
    <row r="2163" spans="1:1" x14ac:dyDescent="0.25">
      <c r="A2163" t="s">
        <v>2229</v>
      </c>
    </row>
    <row r="2164" spans="1:1" x14ac:dyDescent="0.25">
      <c r="A2164" s="125" t="s">
        <v>2230</v>
      </c>
    </row>
    <row r="2165" spans="1:1" x14ac:dyDescent="0.25">
      <c r="A2165" s="125" t="s">
        <v>2231</v>
      </c>
    </row>
    <row r="2166" spans="1:1" x14ac:dyDescent="0.25">
      <c r="A2166" t="s">
        <v>2232</v>
      </c>
    </row>
    <row r="2167" spans="1:1" x14ac:dyDescent="0.25">
      <c r="A2167" t="s">
        <v>2233</v>
      </c>
    </row>
    <row r="2168" spans="1:1" x14ac:dyDescent="0.25">
      <c r="A2168" t="s">
        <v>2234</v>
      </c>
    </row>
    <row r="2169" spans="1:1" x14ac:dyDescent="0.25">
      <c r="A2169" t="s">
        <v>2235</v>
      </c>
    </row>
    <row r="2170" spans="1:1" x14ac:dyDescent="0.25">
      <c r="A2170" s="124" t="s">
        <v>2236</v>
      </c>
    </row>
    <row r="2171" spans="1:1" x14ac:dyDescent="0.25">
      <c r="A2171" s="124" t="s">
        <v>2237</v>
      </c>
    </row>
    <row r="2172" spans="1:1" x14ac:dyDescent="0.25">
      <c r="A2172" t="s">
        <v>2238</v>
      </c>
    </row>
    <row r="2173" spans="1:1" x14ac:dyDescent="0.25">
      <c r="A2173" s="124" t="s">
        <v>2239</v>
      </c>
    </row>
    <row r="2174" spans="1:1" x14ac:dyDescent="0.25">
      <c r="A2174" s="27" t="s">
        <v>2240</v>
      </c>
    </row>
    <row r="2175" spans="1:1" x14ac:dyDescent="0.25">
      <c r="A2175" s="125" t="s">
        <v>2241</v>
      </c>
    </row>
    <row r="2176" spans="1:1" x14ac:dyDescent="0.25">
      <c r="A2176" s="124" t="s">
        <v>2242</v>
      </c>
    </row>
    <row r="2177" spans="1:1" x14ac:dyDescent="0.25">
      <c r="A2177" t="s">
        <v>2243</v>
      </c>
    </row>
    <row r="2178" spans="1:1" x14ac:dyDescent="0.25">
      <c r="A2178" s="125" t="s">
        <v>2244</v>
      </c>
    </row>
    <row r="2179" spans="1:1" x14ac:dyDescent="0.25">
      <c r="A2179" s="125" t="s">
        <v>2245</v>
      </c>
    </row>
    <row r="2180" spans="1:1" x14ac:dyDescent="0.25">
      <c r="A2180" s="27" t="s">
        <v>2246</v>
      </c>
    </row>
    <row r="2181" spans="1:1" x14ac:dyDescent="0.25">
      <c r="A2181" s="27" t="s">
        <v>2247</v>
      </c>
    </row>
    <row r="2182" spans="1:1" x14ac:dyDescent="0.25">
      <c r="A2182" s="27" t="s">
        <v>2248</v>
      </c>
    </row>
    <row r="2183" spans="1:1" x14ac:dyDescent="0.25">
      <c r="A2183" t="s">
        <v>2249</v>
      </c>
    </row>
    <row r="2184" spans="1:1" ht="255" x14ac:dyDescent="0.25">
      <c r="A2184" s="126" t="s">
        <v>2250</v>
      </c>
    </row>
    <row r="2185" spans="1:1" ht="270" x14ac:dyDescent="0.25">
      <c r="A2185" s="126" t="s">
        <v>2251</v>
      </c>
    </row>
    <row r="2186" spans="1:1" x14ac:dyDescent="0.25">
      <c r="A2186" s="124" t="s">
        <v>2252</v>
      </c>
    </row>
    <row r="2187" spans="1:1" x14ac:dyDescent="0.25">
      <c r="A2187" t="s">
        <v>2253</v>
      </c>
    </row>
    <row r="2188" spans="1:1" x14ac:dyDescent="0.25">
      <c r="A2188" s="125" t="s">
        <v>2254</v>
      </c>
    </row>
    <row r="2189" spans="1:1" x14ac:dyDescent="0.25">
      <c r="A2189" s="124" t="s">
        <v>2255</v>
      </c>
    </row>
    <row r="2190" spans="1:1" x14ac:dyDescent="0.25">
      <c r="A2190" t="s">
        <v>2256</v>
      </c>
    </row>
    <row r="2191" spans="1:1" x14ac:dyDescent="0.25">
      <c r="A2191" s="125" t="s">
        <v>2257</v>
      </c>
    </row>
    <row r="2192" spans="1:1" x14ac:dyDescent="0.25">
      <c r="A2192" s="125" t="s">
        <v>2258</v>
      </c>
    </row>
    <row r="2193" spans="1:1" x14ac:dyDescent="0.25">
      <c r="A2193" s="124" t="s">
        <v>2259</v>
      </c>
    </row>
    <row r="2194" spans="1:1" x14ac:dyDescent="0.25">
      <c r="A2194" t="s">
        <v>2260</v>
      </c>
    </row>
    <row r="2195" spans="1:1" x14ac:dyDescent="0.25">
      <c r="A2195" s="125" t="s">
        <v>2261</v>
      </c>
    </row>
    <row r="2196" spans="1:1" x14ac:dyDescent="0.25">
      <c r="A2196" s="124" t="s">
        <v>2262</v>
      </c>
    </row>
    <row r="2197" spans="1:1" x14ac:dyDescent="0.25">
      <c r="A2197" t="s">
        <v>2263</v>
      </c>
    </row>
    <row r="2198" spans="1:1" x14ac:dyDescent="0.25">
      <c r="A2198" s="125" t="s">
        <v>2264</v>
      </c>
    </row>
    <row r="2199" spans="1:1" x14ac:dyDescent="0.25">
      <c r="A2199" s="125" t="s">
        <v>2265</v>
      </c>
    </row>
    <row r="2200" spans="1:1" x14ac:dyDescent="0.25">
      <c r="A2200" t="s">
        <v>2266</v>
      </c>
    </row>
    <row r="2201" spans="1:1" x14ac:dyDescent="0.25">
      <c r="A2201" t="s">
        <v>2267</v>
      </c>
    </row>
    <row r="2202" spans="1:1" x14ac:dyDescent="0.25">
      <c r="A2202" t="s">
        <v>2268</v>
      </c>
    </row>
    <row r="2203" spans="1:1" x14ac:dyDescent="0.25">
      <c r="A2203" s="124" t="s">
        <v>2269</v>
      </c>
    </row>
    <row r="2204" spans="1:1" x14ac:dyDescent="0.25">
      <c r="A2204" s="124" t="s">
        <v>2270</v>
      </c>
    </row>
    <row r="2205" spans="1:1" x14ac:dyDescent="0.25">
      <c r="A2205" t="s">
        <v>2271</v>
      </c>
    </row>
    <row r="2206" spans="1:1" x14ac:dyDescent="0.25">
      <c r="A2206" s="124" t="s">
        <v>2272</v>
      </c>
    </row>
    <row r="2207" spans="1:1" x14ac:dyDescent="0.25">
      <c r="A2207" t="s">
        <v>2273</v>
      </c>
    </row>
    <row r="2208" spans="1:1" x14ac:dyDescent="0.25">
      <c r="A2208" t="s">
        <v>2274</v>
      </c>
    </row>
    <row r="2209" spans="1:1" x14ac:dyDescent="0.25">
      <c r="A2209" t="s">
        <v>2275</v>
      </c>
    </row>
    <row r="2210" spans="1:1" x14ac:dyDescent="0.25">
      <c r="A2210" s="27" t="s">
        <v>2276</v>
      </c>
    </row>
    <row r="2211" spans="1:1" x14ac:dyDescent="0.25">
      <c r="A2211" s="125" t="s">
        <v>2277</v>
      </c>
    </row>
    <row r="2212" spans="1:1" x14ac:dyDescent="0.25">
      <c r="A2212" s="124" t="s">
        <v>2278</v>
      </c>
    </row>
    <row r="2213" spans="1:1" x14ac:dyDescent="0.25">
      <c r="A2213" t="s">
        <v>2279</v>
      </c>
    </row>
    <row r="2214" spans="1:1" x14ac:dyDescent="0.25">
      <c r="A2214" s="125" t="s">
        <v>2280</v>
      </c>
    </row>
    <row r="2215" spans="1:1" x14ac:dyDescent="0.25">
      <c r="A2215" s="125" t="s">
        <v>2281</v>
      </c>
    </row>
    <row r="2216" spans="1:1" x14ac:dyDescent="0.25">
      <c r="A2216" s="27" t="s">
        <v>2282</v>
      </c>
    </row>
    <row r="2217" spans="1:1" x14ac:dyDescent="0.25">
      <c r="A2217" s="27" t="s">
        <v>2283</v>
      </c>
    </row>
    <row r="2218" spans="1:1" x14ac:dyDescent="0.25">
      <c r="A2218" s="27" t="s">
        <v>2284</v>
      </c>
    </row>
    <row r="2219" spans="1:1" x14ac:dyDescent="0.25">
      <c r="A2219" t="s">
        <v>2285</v>
      </c>
    </row>
    <row r="2220" spans="1:1" ht="255" x14ac:dyDescent="0.25">
      <c r="A2220" s="126" t="s">
        <v>2286</v>
      </c>
    </row>
    <row r="2221" spans="1:1" ht="270" x14ac:dyDescent="0.25">
      <c r="A2221" s="126" t="s">
        <v>2287</v>
      </c>
    </row>
    <row r="2222" spans="1:1" x14ac:dyDescent="0.25">
      <c r="A2222" s="124" t="s">
        <v>2288</v>
      </c>
    </row>
    <row r="2223" spans="1:1" x14ac:dyDescent="0.25">
      <c r="A2223" t="s">
        <v>2289</v>
      </c>
    </row>
    <row r="2224" spans="1:1" x14ac:dyDescent="0.25">
      <c r="A2224" s="125" t="s">
        <v>2290</v>
      </c>
    </row>
    <row r="2225" spans="1:1" x14ac:dyDescent="0.25">
      <c r="A2225" s="124" t="s">
        <v>2291</v>
      </c>
    </row>
    <row r="2226" spans="1:1" x14ac:dyDescent="0.25">
      <c r="A2226" t="s">
        <v>2292</v>
      </c>
    </row>
    <row r="2227" spans="1:1" x14ac:dyDescent="0.25">
      <c r="A2227" s="125" t="s">
        <v>2293</v>
      </c>
    </row>
    <row r="2228" spans="1:1" x14ac:dyDescent="0.25">
      <c r="A2228" s="125" t="s">
        <v>2294</v>
      </c>
    </row>
    <row r="2229" spans="1:1" x14ac:dyDescent="0.25">
      <c r="A2229" s="124" t="s">
        <v>2295</v>
      </c>
    </row>
    <row r="2230" spans="1:1" x14ac:dyDescent="0.25">
      <c r="A2230" t="s">
        <v>2296</v>
      </c>
    </row>
    <row r="2231" spans="1:1" x14ac:dyDescent="0.25">
      <c r="A2231" s="125" t="s">
        <v>2297</v>
      </c>
    </row>
    <row r="2232" spans="1:1" x14ac:dyDescent="0.25">
      <c r="A2232" s="124" t="s">
        <v>2298</v>
      </c>
    </row>
    <row r="2233" spans="1:1" x14ac:dyDescent="0.25">
      <c r="A2233" t="s">
        <v>2299</v>
      </c>
    </row>
    <row r="2234" spans="1:1" x14ac:dyDescent="0.25">
      <c r="A2234" s="125" t="s">
        <v>2300</v>
      </c>
    </row>
    <row r="2235" spans="1:1" x14ac:dyDescent="0.25">
      <c r="A2235" s="125" t="s">
        <v>2301</v>
      </c>
    </row>
    <row r="2236" spans="1:1" x14ac:dyDescent="0.25">
      <c r="A2236" t="s">
        <v>2302</v>
      </c>
    </row>
    <row r="2237" spans="1:1" x14ac:dyDescent="0.25">
      <c r="A2237" t="s">
        <v>2303</v>
      </c>
    </row>
    <row r="2238" spans="1:1" x14ac:dyDescent="0.25">
      <c r="A2238" t="s">
        <v>2304</v>
      </c>
    </row>
    <row r="2239" spans="1:1" x14ac:dyDescent="0.25">
      <c r="A2239" t="s">
        <v>2305</v>
      </c>
    </row>
    <row r="2240" spans="1:1" x14ac:dyDescent="0.25">
      <c r="A2240" s="124" t="s">
        <v>2306</v>
      </c>
    </row>
    <row r="2241" spans="1:1" x14ac:dyDescent="0.25">
      <c r="A2241" s="124" t="s">
        <v>2307</v>
      </c>
    </row>
    <row r="2242" spans="1:1" x14ac:dyDescent="0.25">
      <c r="A2242" t="s">
        <v>2308</v>
      </c>
    </row>
    <row r="2243" spans="1:1" x14ac:dyDescent="0.25">
      <c r="A2243" s="124" t="s">
        <v>2309</v>
      </c>
    </row>
    <row r="2244" spans="1:1" x14ac:dyDescent="0.25">
      <c r="A2244" s="124" t="s">
        <v>2310</v>
      </c>
    </row>
    <row r="2245" spans="1:1" x14ac:dyDescent="0.25">
      <c r="A2245" s="124" t="s">
        <v>2311</v>
      </c>
    </row>
    <row r="2246" spans="1:1" x14ac:dyDescent="0.25">
      <c r="A2246" s="124" t="s">
        <v>2312</v>
      </c>
    </row>
    <row r="2247" spans="1:1" x14ac:dyDescent="0.25">
      <c r="A2247" s="27" t="s">
        <v>2313</v>
      </c>
    </row>
    <row r="2248" spans="1:1" x14ac:dyDescent="0.25">
      <c r="A2248" s="125" t="s">
        <v>2314</v>
      </c>
    </row>
    <row r="2249" spans="1:1" x14ac:dyDescent="0.25">
      <c r="A2249" s="124" t="s">
        <v>2315</v>
      </c>
    </row>
    <row r="2250" spans="1:1" x14ac:dyDescent="0.25">
      <c r="A2250" t="s">
        <v>2316</v>
      </c>
    </row>
    <row r="2251" spans="1:1" x14ac:dyDescent="0.25">
      <c r="A2251" s="125" t="s">
        <v>2317</v>
      </c>
    </row>
    <row r="2252" spans="1:1" x14ac:dyDescent="0.25">
      <c r="A2252" s="125" t="s">
        <v>2318</v>
      </c>
    </row>
    <row r="2253" spans="1:1" x14ac:dyDescent="0.25">
      <c r="A2253" s="27" t="s">
        <v>2319</v>
      </c>
    </row>
    <row r="2254" spans="1:1" x14ac:dyDescent="0.25">
      <c r="A2254" s="27" t="s">
        <v>2320</v>
      </c>
    </row>
    <row r="2255" spans="1:1" x14ac:dyDescent="0.25">
      <c r="A2255" s="27" t="s">
        <v>2321</v>
      </c>
    </row>
    <row r="2256" spans="1:1" x14ac:dyDescent="0.25">
      <c r="A2256" t="s">
        <v>2322</v>
      </c>
    </row>
    <row r="2257" spans="1:1" ht="255" x14ac:dyDescent="0.25">
      <c r="A2257" s="126" t="s">
        <v>2323</v>
      </c>
    </row>
    <row r="2258" spans="1:1" ht="270" x14ac:dyDescent="0.25">
      <c r="A2258" s="126" t="s">
        <v>2324</v>
      </c>
    </row>
    <row r="2259" spans="1:1" x14ac:dyDescent="0.25">
      <c r="A2259" s="124" t="s">
        <v>2325</v>
      </c>
    </row>
    <row r="2260" spans="1:1" x14ac:dyDescent="0.25">
      <c r="A2260" t="s">
        <v>2326</v>
      </c>
    </row>
    <row r="2261" spans="1:1" x14ac:dyDescent="0.25">
      <c r="A2261" s="125" t="s">
        <v>2327</v>
      </c>
    </row>
    <row r="2262" spans="1:1" x14ac:dyDescent="0.25">
      <c r="A2262" s="124" t="s">
        <v>2328</v>
      </c>
    </row>
    <row r="2263" spans="1:1" x14ac:dyDescent="0.25">
      <c r="A2263" t="s">
        <v>2329</v>
      </c>
    </row>
    <row r="2264" spans="1:1" x14ac:dyDescent="0.25">
      <c r="A2264" s="125" t="s">
        <v>2330</v>
      </c>
    </row>
    <row r="2265" spans="1:1" x14ac:dyDescent="0.25">
      <c r="A2265" s="125" t="s">
        <v>2331</v>
      </c>
    </row>
    <row r="2266" spans="1:1" x14ac:dyDescent="0.25">
      <c r="A2266" s="125" t="s">
        <v>2332</v>
      </c>
    </row>
    <row r="2267" spans="1:1" x14ac:dyDescent="0.25">
      <c r="A2267" s="124" t="s">
        <v>2333</v>
      </c>
    </row>
    <row r="2268" spans="1:1" x14ac:dyDescent="0.25">
      <c r="A2268" t="s">
        <v>2334</v>
      </c>
    </row>
    <row r="2269" spans="1:1" x14ac:dyDescent="0.25">
      <c r="A2269" s="125" t="s">
        <v>2335</v>
      </c>
    </row>
    <row r="2270" spans="1:1" x14ac:dyDescent="0.25">
      <c r="A2270" s="125" t="s">
        <v>2336</v>
      </c>
    </row>
    <row r="2271" spans="1:1" x14ac:dyDescent="0.25">
      <c r="A2271" s="27" t="s">
        <v>2337</v>
      </c>
    </row>
    <row r="2272" spans="1:1" x14ac:dyDescent="0.25">
      <c r="A2272" s="27" t="s">
        <v>2338</v>
      </c>
    </row>
    <row r="2273" spans="1:1" x14ac:dyDescent="0.25">
      <c r="A2273" s="27" t="s">
        <v>2339</v>
      </c>
    </row>
    <row r="2274" spans="1:1" x14ac:dyDescent="0.25">
      <c r="A2274" t="s">
        <v>2340</v>
      </c>
    </row>
    <row r="2275" spans="1:1" x14ac:dyDescent="0.25">
      <c r="A2275" s="124" t="s">
        <v>2341</v>
      </c>
    </row>
    <row r="2276" spans="1:1" x14ac:dyDescent="0.25">
      <c r="A2276" t="s">
        <v>2342</v>
      </c>
    </row>
    <row r="2277" spans="1:1" x14ac:dyDescent="0.25">
      <c r="A2277" s="125" t="s">
        <v>2343</v>
      </c>
    </row>
    <row r="2278" spans="1:1" x14ac:dyDescent="0.25">
      <c r="A2278" s="124" t="s">
        <v>2344</v>
      </c>
    </row>
    <row r="2279" spans="1:1" x14ac:dyDescent="0.25">
      <c r="A2279" t="s">
        <v>2345</v>
      </c>
    </row>
    <row r="2280" spans="1:1" x14ac:dyDescent="0.25">
      <c r="A2280" s="125" t="s">
        <v>2346</v>
      </c>
    </row>
    <row r="2281" spans="1:1" x14ac:dyDescent="0.25">
      <c r="A2281" s="125" t="s">
        <v>2347</v>
      </c>
    </row>
    <row r="2282" spans="1:1" x14ac:dyDescent="0.25">
      <c r="A2282" s="124" t="s">
        <v>2348</v>
      </c>
    </row>
    <row r="2283" spans="1:1" x14ac:dyDescent="0.25">
      <c r="A2283" s="124" t="s">
        <v>2349</v>
      </c>
    </row>
    <row r="2284" spans="1:1" x14ac:dyDescent="0.25">
      <c r="A2284" t="s">
        <v>2350</v>
      </c>
    </row>
    <row r="2285" spans="1:1" x14ac:dyDescent="0.25">
      <c r="A2285" s="124" t="s">
        <v>2351</v>
      </c>
    </row>
    <row r="2286" spans="1:1" x14ac:dyDescent="0.25">
      <c r="A2286" s="124" t="s">
        <v>2352</v>
      </c>
    </row>
    <row r="2287" spans="1:1" x14ac:dyDescent="0.25">
      <c r="A2287" s="27" t="s">
        <v>2353</v>
      </c>
    </row>
    <row r="2288" spans="1:1" x14ac:dyDescent="0.25">
      <c r="A2288" s="125" t="s">
        <v>2354</v>
      </c>
    </row>
    <row r="2289" spans="1:1" x14ac:dyDescent="0.25">
      <c r="A2289" s="124" t="s">
        <v>2355</v>
      </c>
    </row>
    <row r="2290" spans="1:1" x14ac:dyDescent="0.25">
      <c r="A2290" t="s">
        <v>2356</v>
      </c>
    </row>
    <row r="2291" spans="1:1" x14ac:dyDescent="0.25">
      <c r="A2291" s="125" t="s">
        <v>2357</v>
      </c>
    </row>
    <row r="2292" spans="1:1" x14ac:dyDescent="0.25">
      <c r="A2292" s="125" t="s">
        <v>2358</v>
      </c>
    </row>
    <row r="2293" spans="1:1" x14ac:dyDescent="0.25">
      <c r="A2293" s="27" t="s">
        <v>2359</v>
      </c>
    </row>
    <row r="2294" spans="1:1" x14ac:dyDescent="0.25">
      <c r="A2294" s="27" t="s">
        <v>2360</v>
      </c>
    </row>
    <row r="2295" spans="1:1" x14ac:dyDescent="0.25">
      <c r="A2295" s="27" t="s">
        <v>2361</v>
      </c>
    </row>
    <row r="2296" spans="1:1" x14ac:dyDescent="0.25">
      <c r="A2296" t="s">
        <v>2362</v>
      </c>
    </row>
    <row r="2297" spans="1:1" ht="255" x14ac:dyDescent="0.25">
      <c r="A2297" s="126" t="s">
        <v>2363</v>
      </c>
    </row>
    <row r="2298" spans="1:1" ht="270" x14ac:dyDescent="0.25">
      <c r="A2298" s="126" t="s">
        <v>2364</v>
      </c>
    </row>
    <row r="2299" spans="1:1" x14ac:dyDescent="0.25">
      <c r="A2299" s="124" t="s">
        <v>2365</v>
      </c>
    </row>
    <row r="2300" spans="1:1" x14ac:dyDescent="0.25">
      <c r="A2300" t="s">
        <v>2366</v>
      </c>
    </row>
    <row r="2301" spans="1:1" x14ac:dyDescent="0.25">
      <c r="A2301" s="125" t="s">
        <v>2367</v>
      </c>
    </row>
    <row r="2302" spans="1:1" x14ac:dyDescent="0.25">
      <c r="A2302" s="124" t="s">
        <v>2368</v>
      </c>
    </row>
    <row r="2303" spans="1:1" x14ac:dyDescent="0.25">
      <c r="A2303" t="s">
        <v>2369</v>
      </c>
    </row>
    <row r="2304" spans="1:1" x14ac:dyDescent="0.25">
      <c r="A2304" s="125" t="s">
        <v>2370</v>
      </c>
    </row>
    <row r="2305" spans="1:1" x14ac:dyDescent="0.25">
      <c r="A2305" s="125" t="s">
        <v>2371</v>
      </c>
    </row>
    <row r="2306" spans="1:1" x14ac:dyDescent="0.25">
      <c r="A2306" s="124" t="s">
        <v>2372</v>
      </c>
    </row>
    <row r="2307" spans="1:1" x14ac:dyDescent="0.25">
      <c r="A2307" t="s">
        <v>2373</v>
      </c>
    </row>
    <row r="2308" spans="1:1" x14ac:dyDescent="0.25">
      <c r="A2308" s="125" t="s">
        <v>2374</v>
      </c>
    </row>
    <row r="2309" spans="1:1" x14ac:dyDescent="0.25">
      <c r="A2309" s="124" t="s">
        <v>2375</v>
      </c>
    </row>
    <row r="2310" spans="1:1" x14ac:dyDescent="0.25">
      <c r="A2310" t="s">
        <v>2376</v>
      </c>
    </row>
    <row r="2311" spans="1:1" x14ac:dyDescent="0.25">
      <c r="A2311" s="125" t="s">
        <v>2377</v>
      </c>
    </row>
    <row r="2312" spans="1:1" x14ac:dyDescent="0.25">
      <c r="A2312" s="125" t="s">
        <v>2378</v>
      </c>
    </row>
    <row r="2313" spans="1:1" x14ac:dyDescent="0.25">
      <c r="A2313" s="124" t="s">
        <v>2379</v>
      </c>
    </row>
    <row r="2314" spans="1:1" x14ac:dyDescent="0.25">
      <c r="A2314" s="124" t="s">
        <v>2380</v>
      </c>
    </row>
    <row r="2315" spans="1:1" x14ac:dyDescent="0.25">
      <c r="A2315" t="s">
        <v>2381</v>
      </c>
    </row>
    <row r="2316" spans="1:1" x14ac:dyDescent="0.25">
      <c r="A2316" s="124" t="s">
        <v>2382</v>
      </c>
    </row>
    <row r="2317" spans="1:1" x14ac:dyDescent="0.25">
      <c r="A2317" s="124" t="s">
        <v>2383</v>
      </c>
    </row>
    <row r="2318" spans="1:1" x14ac:dyDescent="0.25">
      <c r="A2318" s="27" t="s">
        <v>2384</v>
      </c>
    </row>
    <row r="2319" spans="1:1" x14ac:dyDescent="0.25">
      <c r="A2319" s="125" t="s">
        <v>2385</v>
      </c>
    </row>
    <row r="2320" spans="1:1" x14ac:dyDescent="0.25">
      <c r="A2320" s="124" t="s">
        <v>2386</v>
      </c>
    </row>
    <row r="2321" spans="1:1" x14ac:dyDescent="0.25">
      <c r="A2321" t="s">
        <v>2387</v>
      </c>
    </row>
    <row r="2322" spans="1:1" x14ac:dyDescent="0.25">
      <c r="A2322" s="125" t="s">
        <v>2388</v>
      </c>
    </row>
    <row r="2323" spans="1:1" x14ac:dyDescent="0.25">
      <c r="A2323" s="125" t="s">
        <v>2389</v>
      </c>
    </row>
    <row r="2324" spans="1:1" x14ac:dyDescent="0.25">
      <c r="A2324" s="27" t="s">
        <v>2390</v>
      </c>
    </row>
    <row r="2325" spans="1:1" x14ac:dyDescent="0.25">
      <c r="A2325" s="27" t="s">
        <v>2391</v>
      </c>
    </row>
    <row r="2326" spans="1:1" x14ac:dyDescent="0.25">
      <c r="A2326" s="27" t="s">
        <v>2392</v>
      </c>
    </row>
    <row r="2327" spans="1:1" x14ac:dyDescent="0.25">
      <c r="A2327" t="s">
        <v>2393</v>
      </c>
    </row>
    <row r="2328" spans="1:1" ht="255" x14ac:dyDescent="0.25">
      <c r="A2328" s="126" t="s">
        <v>2394</v>
      </c>
    </row>
    <row r="2329" spans="1:1" ht="270" x14ac:dyDescent="0.25">
      <c r="A2329" s="126" t="s">
        <v>2395</v>
      </c>
    </row>
    <row r="2330" spans="1:1" x14ac:dyDescent="0.25">
      <c r="A2330" s="124" t="s">
        <v>2396</v>
      </c>
    </row>
    <row r="2331" spans="1:1" x14ac:dyDescent="0.25">
      <c r="A2331" t="s">
        <v>2397</v>
      </c>
    </row>
    <row r="2332" spans="1:1" x14ac:dyDescent="0.25">
      <c r="A2332" s="125" t="s">
        <v>2398</v>
      </c>
    </row>
    <row r="2333" spans="1:1" x14ac:dyDescent="0.25">
      <c r="A2333" s="124" t="s">
        <v>2399</v>
      </c>
    </row>
    <row r="2334" spans="1:1" x14ac:dyDescent="0.25">
      <c r="A2334" t="s">
        <v>2400</v>
      </c>
    </row>
    <row r="2335" spans="1:1" x14ac:dyDescent="0.25">
      <c r="A2335" s="125" t="s">
        <v>2401</v>
      </c>
    </row>
    <row r="2336" spans="1:1" x14ac:dyDescent="0.25">
      <c r="A2336" s="125" t="s">
        <v>2402</v>
      </c>
    </row>
    <row r="2337" spans="1:1" x14ac:dyDescent="0.25">
      <c r="A2337" s="124" t="s">
        <v>2403</v>
      </c>
    </row>
    <row r="2338" spans="1:1" x14ac:dyDescent="0.25">
      <c r="A2338" t="s">
        <v>2404</v>
      </c>
    </row>
    <row r="2339" spans="1:1" x14ac:dyDescent="0.25">
      <c r="A2339" s="125" t="s">
        <v>2405</v>
      </c>
    </row>
    <row r="2340" spans="1:1" x14ac:dyDescent="0.25">
      <c r="A2340" s="124" t="s">
        <v>2406</v>
      </c>
    </row>
    <row r="2341" spans="1:1" x14ac:dyDescent="0.25">
      <c r="A2341" t="s">
        <v>2407</v>
      </c>
    </row>
    <row r="2342" spans="1:1" x14ac:dyDescent="0.25">
      <c r="A2342" s="125" t="s">
        <v>2408</v>
      </c>
    </row>
    <row r="2343" spans="1:1" x14ac:dyDescent="0.25">
      <c r="A2343" s="125" t="s">
        <v>2409</v>
      </c>
    </row>
    <row r="2344" spans="1:1" x14ac:dyDescent="0.25">
      <c r="A2344" t="s">
        <v>2410</v>
      </c>
    </row>
    <row r="2345" spans="1:1" x14ac:dyDescent="0.25">
      <c r="A2345" t="s">
        <v>2411</v>
      </c>
    </row>
    <row r="2346" spans="1:1" x14ac:dyDescent="0.25">
      <c r="A2346" t="s">
        <v>2412</v>
      </c>
    </row>
    <row r="2347" spans="1:1" x14ac:dyDescent="0.25">
      <c r="A2347" t="s">
        <v>2413</v>
      </c>
    </row>
    <row r="2348" spans="1:1" x14ac:dyDescent="0.25">
      <c r="A2348" t="s">
        <v>2414</v>
      </c>
    </row>
    <row r="2349" spans="1:1" x14ac:dyDescent="0.25">
      <c r="A2349" t="s">
        <v>2415</v>
      </c>
    </row>
    <row r="2350" spans="1:1" x14ac:dyDescent="0.25">
      <c r="A2350" t="s">
        <v>2416</v>
      </c>
    </row>
    <row r="2351" spans="1:1" x14ac:dyDescent="0.25">
      <c r="A2351" t="s">
        <v>2417</v>
      </c>
    </row>
    <row r="2352" spans="1:1" x14ac:dyDescent="0.25">
      <c r="A2352" t="s">
        <v>2418</v>
      </c>
    </row>
    <row r="2353" spans="1:1" x14ac:dyDescent="0.25">
      <c r="A2353" t="s">
        <v>2419</v>
      </c>
    </row>
    <row r="2354" spans="1:1" x14ac:dyDescent="0.25">
      <c r="A2354" t="s">
        <v>2420</v>
      </c>
    </row>
    <row r="2355" spans="1:1" x14ac:dyDescent="0.25">
      <c r="A2355" s="124" t="s">
        <v>2421</v>
      </c>
    </row>
    <row r="2356" spans="1:1" x14ac:dyDescent="0.25">
      <c r="A2356" t="s">
        <v>2422</v>
      </c>
    </row>
    <row r="2357" spans="1:1" x14ac:dyDescent="0.25">
      <c r="A2357" s="124" t="s">
        <v>2423</v>
      </c>
    </row>
    <row r="2358" spans="1:1" x14ac:dyDescent="0.25">
      <c r="A2358" s="27" t="s">
        <v>2424</v>
      </c>
    </row>
    <row r="2359" spans="1:1" ht="255" x14ac:dyDescent="0.25">
      <c r="A2359" s="126" t="s">
        <v>2425</v>
      </c>
    </row>
    <row r="2360" spans="1:1" ht="270" x14ac:dyDescent="0.25">
      <c r="A2360" s="126" t="s">
        <v>2426</v>
      </c>
    </row>
    <row r="2361" spans="1:1" x14ac:dyDescent="0.25">
      <c r="A2361" s="124" t="s">
        <v>2427</v>
      </c>
    </row>
    <row r="2362" spans="1:1" x14ac:dyDescent="0.25">
      <c r="A2362" t="s">
        <v>2428</v>
      </c>
    </row>
    <row r="2363" spans="1:1" x14ac:dyDescent="0.25">
      <c r="A2363" s="125" t="s">
        <v>2429</v>
      </c>
    </row>
    <row r="2364" spans="1:1" x14ac:dyDescent="0.25">
      <c r="A2364" s="124" t="s">
        <v>2430</v>
      </c>
    </row>
    <row r="2365" spans="1:1" x14ac:dyDescent="0.25">
      <c r="A2365" t="s">
        <v>2431</v>
      </c>
    </row>
    <row r="2366" spans="1:1" x14ac:dyDescent="0.25">
      <c r="A2366" s="125" t="s">
        <v>2432</v>
      </c>
    </row>
    <row r="2367" spans="1:1" x14ac:dyDescent="0.25">
      <c r="A2367" s="125" t="s">
        <v>2433</v>
      </c>
    </row>
    <row r="2368" spans="1:1" x14ac:dyDescent="0.25">
      <c r="A2368" s="124" t="s">
        <v>2434</v>
      </c>
    </row>
    <row r="2369" spans="1:1" x14ac:dyDescent="0.25">
      <c r="A2369" t="s">
        <v>2435</v>
      </c>
    </row>
    <row r="2370" spans="1:1" x14ac:dyDescent="0.25">
      <c r="A2370" s="125" t="s">
        <v>2436</v>
      </c>
    </row>
    <row r="2371" spans="1:1" x14ac:dyDescent="0.25">
      <c r="A2371" s="124" t="s">
        <v>2437</v>
      </c>
    </row>
    <row r="2372" spans="1:1" x14ac:dyDescent="0.25">
      <c r="A2372" t="s">
        <v>2438</v>
      </c>
    </row>
    <row r="2373" spans="1:1" x14ac:dyDescent="0.25">
      <c r="A2373" s="125" t="s">
        <v>2439</v>
      </c>
    </row>
    <row r="2374" spans="1:1" x14ac:dyDescent="0.25">
      <c r="A2374" s="125" t="s">
        <v>2440</v>
      </c>
    </row>
    <row r="2375" spans="1:1" x14ac:dyDescent="0.25">
      <c r="A2375" t="s">
        <v>2441</v>
      </c>
    </row>
    <row r="2376" spans="1:1" x14ac:dyDescent="0.25">
      <c r="A2376" t="s">
        <v>2442</v>
      </c>
    </row>
    <row r="2377" spans="1:1" x14ac:dyDescent="0.25">
      <c r="A2377" t="s">
        <v>2443</v>
      </c>
    </row>
    <row r="2378" spans="1:1" x14ac:dyDescent="0.25">
      <c r="A2378" t="s">
        <v>2444</v>
      </c>
    </row>
    <row r="2379" spans="1:1" x14ac:dyDescent="0.25">
      <c r="A2379" t="s">
        <v>2445</v>
      </c>
    </row>
    <row r="2380" spans="1:1" x14ac:dyDescent="0.25">
      <c r="A2380" t="s">
        <v>2446</v>
      </c>
    </row>
    <row r="2381" spans="1:1" x14ac:dyDescent="0.25">
      <c r="A2381" t="s">
        <v>2447</v>
      </c>
    </row>
    <row r="2382" spans="1:1" x14ac:dyDescent="0.25">
      <c r="A2382" t="s">
        <v>2448</v>
      </c>
    </row>
    <row r="2383" spans="1:1" x14ac:dyDescent="0.25">
      <c r="A2383" t="s">
        <v>2449</v>
      </c>
    </row>
    <row r="2384" spans="1:1" x14ac:dyDescent="0.25">
      <c r="A2384" t="s">
        <v>2450</v>
      </c>
    </row>
    <row r="2385" spans="1:1" x14ac:dyDescent="0.25">
      <c r="A2385" t="s">
        <v>2451</v>
      </c>
    </row>
    <row r="2386" spans="1:1" x14ac:dyDescent="0.25">
      <c r="A2386" t="s">
        <v>2452</v>
      </c>
    </row>
    <row r="2387" spans="1:1" x14ac:dyDescent="0.25">
      <c r="A2387" s="125" t="s">
        <v>2453</v>
      </c>
    </row>
    <row r="2388" spans="1:1" x14ac:dyDescent="0.25">
      <c r="A2388" s="125" t="s">
        <v>2454</v>
      </c>
    </row>
    <row r="2389" spans="1:1" x14ac:dyDescent="0.25">
      <c r="A2389" s="125" t="s">
        <v>2455</v>
      </c>
    </row>
    <row r="2390" spans="1:1" x14ac:dyDescent="0.25">
      <c r="A2390" s="124" t="s">
        <v>2456</v>
      </c>
    </row>
    <row r="2391" spans="1:1" x14ac:dyDescent="0.25">
      <c r="A2391" s="124" t="s">
        <v>2457</v>
      </c>
    </row>
    <row r="2392" spans="1:1" x14ac:dyDescent="0.25">
      <c r="A2392" s="125" t="s">
        <v>2458</v>
      </c>
    </row>
    <row r="2393" spans="1:1" x14ac:dyDescent="0.25">
      <c r="A2393" s="125" t="s">
        <v>2459</v>
      </c>
    </row>
    <row r="2394" spans="1:1" x14ac:dyDescent="0.25">
      <c r="A2394" s="125" t="s">
        <v>2460</v>
      </c>
    </row>
    <row r="2395" spans="1:1" x14ac:dyDescent="0.25">
      <c r="A2395" s="125" t="s">
        <v>2461</v>
      </c>
    </row>
    <row r="2396" spans="1:1" x14ac:dyDescent="0.25">
      <c r="A2396" s="124" t="s">
        <v>2462</v>
      </c>
    </row>
    <row r="2397" spans="1:1" x14ac:dyDescent="0.25">
      <c r="A2397" s="124" t="s">
        <v>2463</v>
      </c>
    </row>
    <row r="2398" spans="1:1" x14ac:dyDescent="0.25">
      <c r="A2398" s="125" t="s">
        <v>2464</v>
      </c>
    </row>
    <row r="2399" spans="1:1" x14ac:dyDescent="0.25">
      <c r="A2399" s="125" t="s">
        <v>2465</v>
      </c>
    </row>
    <row r="2400" spans="1:1" x14ac:dyDescent="0.25">
      <c r="A2400" s="125" t="s">
        <v>2466</v>
      </c>
    </row>
    <row r="2401" spans="1:1" x14ac:dyDescent="0.25">
      <c r="A2401" s="125" t="s">
        <v>2467</v>
      </c>
    </row>
    <row r="2402" spans="1:1" x14ac:dyDescent="0.25">
      <c r="A2402" s="124" t="s">
        <v>2468</v>
      </c>
    </row>
    <row r="2403" spans="1:1" x14ac:dyDescent="0.25">
      <c r="A2403" s="124" t="s">
        <v>2469</v>
      </c>
    </row>
    <row r="2404" spans="1:1" x14ac:dyDescent="0.25">
      <c r="A2404" s="125" t="s">
        <v>2470</v>
      </c>
    </row>
    <row r="2405" spans="1:1" x14ac:dyDescent="0.25">
      <c r="A2405" s="125" t="s">
        <v>2471</v>
      </c>
    </row>
    <row r="2406" spans="1:1" x14ac:dyDescent="0.25">
      <c r="A2406" s="125" t="s">
        <v>2472</v>
      </c>
    </row>
    <row r="2407" spans="1:1" x14ac:dyDescent="0.25">
      <c r="A2407" s="125" t="s">
        <v>2473</v>
      </c>
    </row>
    <row r="2408" spans="1:1" x14ac:dyDescent="0.25">
      <c r="A2408" s="124" t="s">
        <v>2474</v>
      </c>
    </row>
    <row r="2409" spans="1:1" x14ac:dyDescent="0.25">
      <c r="A2409" s="124" t="s">
        <v>2475</v>
      </c>
    </row>
    <row r="2410" spans="1:1" x14ac:dyDescent="0.25">
      <c r="A2410" s="125" t="s">
        <v>2476</v>
      </c>
    </row>
    <row r="2411" spans="1:1" x14ac:dyDescent="0.25">
      <c r="A2411" s="125" t="s">
        <v>2477</v>
      </c>
    </row>
    <row r="2412" spans="1:1" x14ac:dyDescent="0.25">
      <c r="A2412" s="125" t="s">
        <v>2478</v>
      </c>
    </row>
    <row r="2413" spans="1:1" x14ac:dyDescent="0.25">
      <c r="A2413" s="125" t="s">
        <v>2479</v>
      </c>
    </row>
    <row r="2414" spans="1:1" x14ac:dyDescent="0.25">
      <c r="A2414" s="124" t="s">
        <v>2480</v>
      </c>
    </row>
    <row r="2415" spans="1:1" x14ac:dyDescent="0.25">
      <c r="A2415" s="124" t="s">
        <v>2481</v>
      </c>
    </row>
    <row r="2416" spans="1:1" x14ac:dyDescent="0.25">
      <c r="A2416" s="125" t="s">
        <v>2482</v>
      </c>
    </row>
    <row r="2417" spans="1:1" x14ac:dyDescent="0.25">
      <c r="A2417" s="125" t="s">
        <v>2483</v>
      </c>
    </row>
    <row r="2418" spans="1:1" x14ac:dyDescent="0.25">
      <c r="A2418" s="125" t="s">
        <v>2484</v>
      </c>
    </row>
    <row r="2419" spans="1:1" x14ac:dyDescent="0.25">
      <c r="A2419" s="125" t="s">
        <v>2485</v>
      </c>
    </row>
    <row r="2420" spans="1:1" x14ac:dyDescent="0.25">
      <c r="A2420" s="124" t="s">
        <v>2486</v>
      </c>
    </row>
    <row r="2421" spans="1:1" x14ac:dyDescent="0.25">
      <c r="A2421" s="124" t="s">
        <v>2487</v>
      </c>
    </row>
    <row r="2422" spans="1:1" x14ac:dyDescent="0.25">
      <c r="A2422" s="125" t="s">
        <v>2488</v>
      </c>
    </row>
    <row r="2423" spans="1:1" x14ac:dyDescent="0.25">
      <c r="A2423" s="125" t="s">
        <v>2489</v>
      </c>
    </row>
    <row r="2424" spans="1:1" x14ac:dyDescent="0.25">
      <c r="A2424" s="125" t="s">
        <v>2490</v>
      </c>
    </row>
    <row r="2425" spans="1:1" x14ac:dyDescent="0.25">
      <c r="A2425" s="125" t="s">
        <v>2491</v>
      </c>
    </row>
    <row r="2426" spans="1:1" x14ac:dyDescent="0.25">
      <c r="A2426" s="124" t="s">
        <v>2492</v>
      </c>
    </row>
    <row r="2427" spans="1:1" x14ac:dyDescent="0.25">
      <c r="A2427" s="124" t="s">
        <v>2493</v>
      </c>
    </row>
    <row r="2428" spans="1:1" x14ac:dyDescent="0.25">
      <c r="A2428" s="125" t="s">
        <v>2494</v>
      </c>
    </row>
    <row r="2429" spans="1:1" x14ac:dyDescent="0.25">
      <c r="A2429" s="125" t="s">
        <v>2495</v>
      </c>
    </row>
    <row r="2430" spans="1:1" x14ac:dyDescent="0.25">
      <c r="A2430" s="125" t="s">
        <v>2496</v>
      </c>
    </row>
    <row r="2431" spans="1:1" x14ac:dyDescent="0.25">
      <c r="A2431" s="125" t="s">
        <v>2497</v>
      </c>
    </row>
    <row r="2432" spans="1:1" x14ac:dyDescent="0.25">
      <c r="A2432" s="124" t="s">
        <v>2498</v>
      </c>
    </row>
    <row r="2433" spans="1:1" x14ac:dyDescent="0.25">
      <c r="A2433" s="124" t="s">
        <v>2499</v>
      </c>
    </row>
    <row r="2434" spans="1:1" x14ac:dyDescent="0.25">
      <c r="A2434" s="125" t="s">
        <v>2500</v>
      </c>
    </row>
    <row r="2435" spans="1:1" x14ac:dyDescent="0.25">
      <c r="A2435" s="125" t="s">
        <v>2501</v>
      </c>
    </row>
    <row r="2436" spans="1:1" x14ac:dyDescent="0.25">
      <c r="A2436" s="125" t="s">
        <v>2502</v>
      </c>
    </row>
    <row r="2437" spans="1:1" x14ac:dyDescent="0.25">
      <c r="A2437" s="125" t="s">
        <v>2503</v>
      </c>
    </row>
    <row r="2438" spans="1:1" x14ac:dyDescent="0.25">
      <c r="A2438" s="124" t="s">
        <v>2504</v>
      </c>
    </row>
    <row r="2439" spans="1:1" x14ac:dyDescent="0.25">
      <c r="A2439" s="124" t="s">
        <v>2505</v>
      </c>
    </row>
    <row r="2440" spans="1:1" x14ac:dyDescent="0.25">
      <c r="A2440" s="125" t="s">
        <v>2506</v>
      </c>
    </row>
    <row r="2441" spans="1:1" x14ac:dyDescent="0.25">
      <c r="A2441" s="125" t="s">
        <v>2507</v>
      </c>
    </row>
    <row r="2442" spans="1:1" x14ac:dyDescent="0.25">
      <c r="A2442" s="125" t="s">
        <v>2508</v>
      </c>
    </row>
    <row r="2443" spans="1:1" x14ac:dyDescent="0.25">
      <c r="A2443" s="125" t="s">
        <v>2509</v>
      </c>
    </row>
    <row r="2444" spans="1:1" x14ac:dyDescent="0.25">
      <c r="A2444" s="124" t="s">
        <v>2510</v>
      </c>
    </row>
    <row r="2445" spans="1:1" x14ac:dyDescent="0.25">
      <c r="A2445" s="124" t="s">
        <v>2511</v>
      </c>
    </row>
    <row r="2446" spans="1:1" x14ac:dyDescent="0.25">
      <c r="A2446" s="125" t="s">
        <v>2512</v>
      </c>
    </row>
    <row r="2447" spans="1:1" x14ac:dyDescent="0.25">
      <c r="A2447" s="125" t="s">
        <v>2513</v>
      </c>
    </row>
    <row r="2448" spans="1:1" x14ac:dyDescent="0.25">
      <c r="A2448" s="125" t="s">
        <v>2514</v>
      </c>
    </row>
    <row r="2449" spans="1:1" x14ac:dyDescent="0.25">
      <c r="A2449" s="125" t="s">
        <v>2515</v>
      </c>
    </row>
    <row r="2450" spans="1:1" x14ac:dyDescent="0.25">
      <c r="A2450" s="124" t="s">
        <v>2516</v>
      </c>
    </row>
    <row r="2451" spans="1:1" x14ac:dyDescent="0.25">
      <c r="A2451" s="124" t="s">
        <v>2517</v>
      </c>
    </row>
    <row r="2452" spans="1:1" x14ac:dyDescent="0.25">
      <c r="A2452" s="125" t="s">
        <v>2518</v>
      </c>
    </row>
    <row r="2453" spans="1:1" x14ac:dyDescent="0.25">
      <c r="A2453" s="125" t="s">
        <v>2519</v>
      </c>
    </row>
    <row r="2454" spans="1:1" x14ac:dyDescent="0.25">
      <c r="A2454" s="125" t="s">
        <v>2520</v>
      </c>
    </row>
    <row r="2455" spans="1:1" x14ac:dyDescent="0.25">
      <c r="A2455" s="125" t="s">
        <v>2521</v>
      </c>
    </row>
    <row r="2456" spans="1:1" x14ac:dyDescent="0.25">
      <c r="A2456" s="124" t="s">
        <v>2522</v>
      </c>
    </row>
    <row r="2457" spans="1:1" x14ac:dyDescent="0.25">
      <c r="A2457" s="124" t="s">
        <v>2523</v>
      </c>
    </row>
    <row r="2458" spans="1:1" x14ac:dyDescent="0.25">
      <c r="A2458" s="125" t="s">
        <v>2524</v>
      </c>
    </row>
    <row r="2459" spans="1:1" x14ac:dyDescent="0.25">
      <c r="A2459" s="125" t="s">
        <v>2525</v>
      </c>
    </row>
    <row r="2460" spans="1:1" x14ac:dyDescent="0.25">
      <c r="A2460" s="125" t="s">
        <v>2526</v>
      </c>
    </row>
    <row r="2461" spans="1:1" x14ac:dyDescent="0.25">
      <c r="A2461" s="125" t="s">
        <v>2527</v>
      </c>
    </row>
    <row r="2462" spans="1:1" x14ac:dyDescent="0.25">
      <c r="A2462" s="124" t="s">
        <v>2528</v>
      </c>
    </row>
    <row r="2463" spans="1:1" x14ac:dyDescent="0.25">
      <c r="A2463" s="124" t="s">
        <v>2529</v>
      </c>
    </row>
    <row r="2464" spans="1:1" x14ac:dyDescent="0.25">
      <c r="A2464" s="125" t="s">
        <v>2530</v>
      </c>
    </row>
    <row r="2465" spans="1:1" x14ac:dyDescent="0.25">
      <c r="A2465" s="124" t="s">
        <v>2531</v>
      </c>
    </row>
    <row r="2466" spans="1:1" x14ac:dyDescent="0.25">
      <c r="A2466" s="124" t="s">
        <v>2532</v>
      </c>
    </row>
    <row r="2467" spans="1:1" x14ac:dyDescent="0.25">
      <c r="A2467" t="s">
        <v>2533</v>
      </c>
    </row>
    <row r="2468" spans="1:1" x14ac:dyDescent="0.25">
      <c r="A2468" s="124" t="s">
        <v>2534</v>
      </c>
    </row>
    <row r="2469" spans="1:1" x14ac:dyDescent="0.25">
      <c r="A2469" s="124" t="s">
        <v>2535</v>
      </c>
    </row>
    <row r="2470" spans="1:1" x14ac:dyDescent="0.25">
      <c r="A2470" s="124" t="s">
        <v>2536</v>
      </c>
    </row>
    <row r="2471" spans="1:1" x14ac:dyDescent="0.25">
      <c r="A2471" s="27" t="s">
        <v>2537</v>
      </c>
    </row>
    <row r="2472" spans="1:1" x14ac:dyDescent="0.25">
      <c r="A2472" s="125" t="s">
        <v>2538</v>
      </c>
    </row>
    <row r="2473" spans="1:1" x14ac:dyDescent="0.25">
      <c r="A2473" s="124" t="s">
        <v>2539</v>
      </c>
    </row>
    <row r="2474" spans="1:1" x14ac:dyDescent="0.25">
      <c r="A2474" t="s">
        <v>2540</v>
      </c>
    </row>
    <row r="2475" spans="1:1" x14ac:dyDescent="0.25">
      <c r="A2475" s="125" t="s">
        <v>2541</v>
      </c>
    </row>
    <row r="2476" spans="1:1" x14ac:dyDescent="0.25">
      <c r="A2476" s="125" t="s">
        <v>2542</v>
      </c>
    </row>
    <row r="2477" spans="1:1" x14ac:dyDescent="0.25">
      <c r="A2477" s="27" t="s">
        <v>2543</v>
      </c>
    </row>
    <row r="2478" spans="1:1" x14ac:dyDescent="0.25">
      <c r="A2478" s="27" t="s">
        <v>2544</v>
      </c>
    </row>
    <row r="2479" spans="1:1" x14ac:dyDescent="0.25">
      <c r="A2479" s="27" t="s">
        <v>2545</v>
      </c>
    </row>
    <row r="2480" spans="1:1" x14ac:dyDescent="0.25">
      <c r="A2480" t="s">
        <v>2546</v>
      </c>
    </row>
    <row r="2481" spans="1:1" ht="255" x14ac:dyDescent="0.25">
      <c r="A2481" s="126" t="s">
        <v>2547</v>
      </c>
    </row>
    <row r="2482" spans="1:1" ht="270" x14ac:dyDescent="0.25">
      <c r="A2482" s="126" t="s">
        <v>2548</v>
      </c>
    </row>
    <row r="2483" spans="1:1" x14ac:dyDescent="0.25">
      <c r="A2483" s="124" t="s">
        <v>2549</v>
      </c>
    </row>
    <row r="2484" spans="1:1" x14ac:dyDescent="0.25">
      <c r="A2484" t="s">
        <v>2550</v>
      </c>
    </row>
    <row r="2485" spans="1:1" x14ac:dyDescent="0.25">
      <c r="A2485" s="125" t="s">
        <v>2551</v>
      </c>
    </row>
    <row r="2486" spans="1:1" x14ac:dyDescent="0.25">
      <c r="A2486" s="124" t="s">
        <v>2552</v>
      </c>
    </row>
    <row r="2487" spans="1:1" x14ac:dyDescent="0.25">
      <c r="A2487" t="s">
        <v>2553</v>
      </c>
    </row>
    <row r="2488" spans="1:1" x14ac:dyDescent="0.25">
      <c r="A2488" s="125" t="s">
        <v>2554</v>
      </c>
    </row>
    <row r="2489" spans="1:1" x14ac:dyDescent="0.25">
      <c r="A2489" s="125" t="s">
        <v>2555</v>
      </c>
    </row>
    <row r="2490" spans="1:1" x14ac:dyDescent="0.25">
      <c r="A2490" s="125" t="s">
        <v>2556</v>
      </c>
    </row>
    <row r="2491" spans="1:1" x14ac:dyDescent="0.25">
      <c r="A2491" s="124" t="s">
        <v>2557</v>
      </c>
    </row>
    <row r="2492" spans="1:1" x14ac:dyDescent="0.25">
      <c r="A2492" t="s">
        <v>2558</v>
      </c>
    </row>
    <row r="2493" spans="1:1" x14ac:dyDescent="0.25">
      <c r="A2493" s="125" t="s">
        <v>2559</v>
      </c>
    </row>
    <row r="2494" spans="1:1" x14ac:dyDescent="0.25">
      <c r="A2494" s="125" t="s">
        <v>2560</v>
      </c>
    </row>
    <row r="2495" spans="1:1" x14ac:dyDescent="0.25">
      <c r="A2495" s="27" t="s">
        <v>2561</v>
      </c>
    </row>
    <row r="2496" spans="1:1" x14ac:dyDescent="0.25">
      <c r="A2496" s="27" t="s">
        <v>2562</v>
      </c>
    </row>
    <row r="2497" spans="1:1" x14ac:dyDescent="0.25">
      <c r="A2497" s="27" t="s">
        <v>2563</v>
      </c>
    </row>
    <row r="2498" spans="1:1" x14ac:dyDescent="0.25">
      <c r="A2498" t="s">
        <v>2564</v>
      </c>
    </row>
    <row r="2499" spans="1:1" x14ac:dyDescent="0.25">
      <c r="A2499" s="124" t="s">
        <v>2565</v>
      </c>
    </row>
    <row r="2500" spans="1:1" x14ac:dyDescent="0.25">
      <c r="A2500" t="s">
        <v>2566</v>
      </c>
    </row>
    <row r="2501" spans="1:1" x14ac:dyDescent="0.25">
      <c r="A2501" s="125" t="s">
        <v>2567</v>
      </c>
    </row>
    <row r="2502" spans="1:1" x14ac:dyDescent="0.25">
      <c r="A2502" s="124" t="s">
        <v>2568</v>
      </c>
    </row>
    <row r="2503" spans="1:1" x14ac:dyDescent="0.25">
      <c r="A2503" t="s">
        <v>2569</v>
      </c>
    </row>
    <row r="2504" spans="1:1" x14ac:dyDescent="0.25">
      <c r="A2504" s="125" t="s">
        <v>2570</v>
      </c>
    </row>
    <row r="2505" spans="1:1" x14ac:dyDescent="0.25">
      <c r="A2505" s="125" t="s">
        <v>2571</v>
      </c>
    </row>
    <row r="2506" spans="1:1" x14ac:dyDescent="0.25">
      <c r="A2506" t="s">
        <v>2572</v>
      </c>
    </row>
    <row r="2507" spans="1:1" x14ac:dyDescent="0.25">
      <c r="A2507" t="s">
        <v>2573</v>
      </c>
    </row>
    <row r="2508" spans="1:1" x14ac:dyDescent="0.25">
      <c r="A2508" t="s">
        <v>2574</v>
      </c>
    </row>
    <row r="2509" spans="1:1" x14ac:dyDescent="0.25">
      <c r="A2509" t="s">
        <v>2575</v>
      </c>
    </row>
    <row r="2510" spans="1:1" x14ac:dyDescent="0.25">
      <c r="A2510" t="s">
        <v>2576</v>
      </c>
    </row>
    <row r="2511" spans="1:1" x14ac:dyDescent="0.25">
      <c r="A2511" s="124" t="s">
        <v>2577</v>
      </c>
    </row>
    <row r="2512" spans="1:1" x14ac:dyDescent="0.25">
      <c r="A2512" t="s">
        <v>2578</v>
      </c>
    </row>
    <row r="2513" spans="1:1" x14ac:dyDescent="0.25">
      <c r="A2513" s="124" t="s">
        <v>2579</v>
      </c>
    </row>
    <row r="2514" spans="1:1" x14ac:dyDescent="0.25">
      <c r="A2514" s="27" t="s">
        <v>2580</v>
      </c>
    </row>
    <row r="2515" spans="1:1" ht="255" x14ac:dyDescent="0.25">
      <c r="A2515" s="126" t="s">
        <v>2581</v>
      </c>
    </row>
    <row r="2516" spans="1:1" ht="270" x14ac:dyDescent="0.25">
      <c r="A2516" s="126" t="s">
        <v>2582</v>
      </c>
    </row>
    <row r="2517" spans="1:1" x14ac:dyDescent="0.25">
      <c r="A2517" s="124" t="s">
        <v>2583</v>
      </c>
    </row>
    <row r="2518" spans="1:1" x14ac:dyDescent="0.25">
      <c r="A2518" t="s">
        <v>2584</v>
      </c>
    </row>
    <row r="2519" spans="1:1" x14ac:dyDescent="0.25">
      <c r="A2519" s="125" t="s">
        <v>2585</v>
      </c>
    </row>
    <row r="2520" spans="1:1" x14ac:dyDescent="0.25">
      <c r="A2520" s="124" t="s">
        <v>2586</v>
      </c>
    </row>
    <row r="2521" spans="1:1" x14ac:dyDescent="0.25">
      <c r="A2521" t="s">
        <v>2587</v>
      </c>
    </row>
    <row r="2522" spans="1:1" x14ac:dyDescent="0.25">
      <c r="A2522" s="125" t="s">
        <v>2588</v>
      </c>
    </row>
    <row r="2523" spans="1:1" x14ac:dyDescent="0.25">
      <c r="A2523" s="125" t="s">
        <v>2589</v>
      </c>
    </row>
    <row r="2524" spans="1:1" x14ac:dyDescent="0.25">
      <c r="A2524" s="124" t="s">
        <v>2590</v>
      </c>
    </row>
    <row r="2525" spans="1:1" x14ac:dyDescent="0.25">
      <c r="A2525" t="s">
        <v>2591</v>
      </c>
    </row>
    <row r="2526" spans="1:1" x14ac:dyDescent="0.25">
      <c r="A2526" s="125" t="s">
        <v>2592</v>
      </c>
    </row>
    <row r="2527" spans="1:1" x14ac:dyDescent="0.25">
      <c r="A2527" s="124" t="s">
        <v>2593</v>
      </c>
    </row>
    <row r="2528" spans="1:1" x14ac:dyDescent="0.25">
      <c r="A2528" t="s">
        <v>2594</v>
      </c>
    </row>
    <row r="2529" spans="1:1" x14ac:dyDescent="0.25">
      <c r="A2529" s="125" t="s">
        <v>2595</v>
      </c>
    </row>
    <row r="2530" spans="1:1" x14ac:dyDescent="0.25">
      <c r="A2530" s="125" t="s">
        <v>2596</v>
      </c>
    </row>
    <row r="2531" spans="1:1" x14ac:dyDescent="0.25">
      <c r="A2531" s="124" t="s">
        <v>2597</v>
      </c>
    </row>
    <row r="2532" spans="1:1" x14ac:dyDescent="0.25">
      <c r="A2532" s="124" t="s">
        <v>2598</v>
      </c>
    </row>
    <row r="2533" spans="1:1" x14ac:dyDescent="0.25">
      <c r="A2533" t="s">
        <v>2599</v>
      </c>
    </row>
    <row r="2534" spans="1:1" x14ac:dyDescent="0.25">
      <c r="A2534" s="124" t="s">
        <v>2600</v>
      </c>
    </row>
    <row r="2535" spans="1:1" x14ac:dyDescent="0.25">
      <c r="A2535" s="124" t="s">
        <v>2601</v>
      </c>
    </row>
    <row r="2536" spans="1:1" x14ac:dyDescent="0.25">
      <c r="A2536" s="124" t="s">
        <v>2602</v>
      </c>
    </row>
    <row r="2537" spans="1:1" x14ac:dyDescent="0.25">
      <c r="A2537" s="27" t="s">
        <v>2603</v>
      </c>
    </row>
    <row r="2538" spans="1:1" x14ac:dyDescent="0.25">
      <c r="A2538" s="125" t="s">
        <v>2604</v>
      </c>
    </row>
    <row r="2539" spans="1:1" x14ac:dyDescent="0.25">
      <c r="A2539" s="124" t="s">
        <v>2605</v>
      </c>
    </row>
    <row r="2540" spans="1:1" x14ac:dyDescent="0.25">
      <c r="A2540" t="s">
        <v>2606</v>
      </c>
    </row>
    <row r="2541" spans="1:1" x14ac:dyDescent="0.25">
      <c r="A2541" s="125" t="s">
        <v>2607</v>
      </c>
    </row>
    <row r="2542" spans="1:1" x14ac:dyDescent="0.25">
      <c r="A2542" s="125" t="s">
        <v>2608</v>
      </c>
    </row>
    <row r="2543" spans="1:1" x14ac:dyDescent="0.25">
      <c r="A2543" s="27" t="s">
        <v>2609</v>
      </c>
    </row>
    <row r="2544" spans="1:1" x14ac:dyDescent="0.25">
      <c r="A2544" s="27" t="s">
        <v>2610</v>
      </c>
    </row>
    <row r="2545" spans="1:1" x14ac:dyDescent="0.25">
      <c r="A2545" s="27" t="s">
        <v>2611</v>
      </c>
    </row>
    <row r="2546" spans="1:1" x14ac:dyDescent="0.25">
      <c r="A2546" t="s">
        <v>2612</v>
      </c>
    </row>
    <row r="2547" spans="1:1" ht="255" x14ac:dyDescent="0.25">
      <c r="A2547" s="126" t="s">
        <v>2613</v>
      </c>
    </row>
    <row r="2548" spans="1:1" ht="270" x14ac:dyDescent="0.25">
      <c r="A2548" s="126" t="s">
        <v>2614</v>
      </c>
    </row>
    <row r="2549" spans="1:1" x14ac:dyDescent="0.25">
      <c r="A2549" s="124" t="s">
        <v>2615</v>
      </c>
    </row>
    <row r="2550" spans="1:1" x14ac:dyDescent="0.25">
      <c r="A2550" t="s">
        <v>2616</v>
      </c>
    </row>
    <row r="2551" spans="1:1" x14ac:dyDescent="0.25">
      <c r="A2551" s="125" t="s">
        <v>2617</v>
      </c>
    </row>
    <row r="2552" spans="1:1" x14ac:dyDescent="0.25">
      <c r="A2552" s="124" t="s">
        <v>2618</v>
      </c>
    </row>
    <row r="2553" spans="1:1" x14ac:dyDescent="0.25">
      <c r="A2553" t="s">
        <v>2619</v>
      </c>
    </row>
    <row r="2554" spans="1:1" x14ac:dyDescent="0.25">
      <c r="A2554" s="125" t="s">
        <v>2620</v>
      </c>
    </row>
    <row r="2555" spans="1:1" x14ac:dyDescent="0.25">
      <c r="A2555" s="125" t="s">
        <v>2621</v>
      </c>
    </row>
    <row r="2556" spans="1:1" x14ac:dyDescent="0.25">
      <c r="A2556" s="125" t="s">
        <v>2622</v>
      </c>
    </row>
    <row r="2557" spans="1:1" x14ac:dyDescent="0.25">
      <c r="A2557" s="124" t="s">
        <v>2623</v>
      </c>
    </row>
    <row r="2558" spans="1:1" x14ac:dyDescent="0.25">
      <c r="A2558" t="s">
        <v>2624</v>
      </c>
    </row>
    <row r="2559" spans="1:1" x14ac:dyDescent="0.25">
      <c r="A2559" s="125" t="s">
        <v>2625</v>
      </c>
    </row>
    <row r="2560" spans="1:1" x14ac:dyDescent="0.25">
      <c r="A2560" s="125" t="s">
        <v>2626</v>
      </c>
    </row>
    <row r="2561" spans="1:1" x14ac:dyDescent="0.25">
      <c r="A2561" s="27" t="s">
        <v>2627</v>
      </c>
    </row>
    <row r="2562" spans="1:1" x14ac:dyDescent="0.25">
      <c r="A2562" s="27" t="s">
        <v>2628</v>
      </c>
    </row>
    <row r="2563" spans="1:1" x14ac:dyDescent="0.25">
      <c r="A2563" s="27" t="s">
        <v>2629</v>
      </c>
    </row>
    <row r="2564" spans="1:1" x14ac:dyDescent="0.25">
      <c r="A2564" t="s">
        <v>2630</v>
      </c>
    </row>
    <row r="2565" spans="1:1" x14ac:dyDescent="0.25">
      <c r="A2565" s="124" t="s">
        <v>2631</v>
      </c>
    </row>
    <row r="2566" spans="1:1" x14ac:dyDescent="0.25">
      <c r="A2566" t="s">
        <v>2632</v>
      </c>
    </row>
    <row r="2567" spans="1:1" x14ac:dyDescent="0.25">
      <c r="A2567" s="125" t="s">
        <v>2633</v>
      </c>
    </row>
    <row r="2568" spans="1:1" x14ac:dyDescent="0.25">
      <c r="A2568" s="124" t="s">
        <v>2634</v>
      </c>
    </row>
    <row r="2569" spans="1:1" x14ac:dyDescent="0.25">
      <c r="A2569" t="s">
        <v>2635</v>
      </c>
    </row>
    <row r="2570" spans="1:1" x14ac:dyDescent="0.25">
      <c r="A2570" s="125" t="s">
        <v>2636</v>
      </c>
    </row>
    <row r="2571" spans="1:1" x14ac:dyDescent="0.25">
      <c r="A2571" s="125" t="s">
        <v>2637</v>
      </c>
    </row>
    <row r="2572" spans="1:1" x14ac:dyDescent="0.25">
      <c r="A2572" s="124" t="s">
        <v>2638</v>
      </c>
    </row>
    <row r="2573" spans="1:1" x14ac:dyDescent="0.25">
      <c r="A2573" t="s">
        <v>2639</v>
      </c>
    </row>
    <row r="2574" spans="1:1" x14ac:dyDescent="0.25">
      <c r="A2574" s="124" t="s">
        <v>2640</v>
      </c>
    </row>
    <row r="2575" spans="1:1" x14ac:dyDescent="0.25">
      <c r="A2575" s="27" t="s">
        <v>2641</v>
      </c>
    </row>
    <row r="2576" spans="1:1" ht="255" x14ac:dyDescent="0.25">
      <c r="A2576" s="126" t="s">
        <v>2642</v>
      </c>
    </row>
    <row r="2577" spans="1:1" ht="270" x14ac:dyDescent="0.25">
      <c r="A2577" s="126" t="s">
        <v>2643</v>
      </c>
    </row>
    <row r="2578" spans="1:1" x14ac:dyDescent="0.25">
      <c r="A2578" s="124" t="s">
        <v>2644</v>
      </c>
    </row>
    <row r="2579" spans="1:1" x14ac:dyDescent="0.25">
      <c r="A2579" t="s">
        <v>2645</v>
      </c>
    </row>
    <row r="2580" spans="1:1" x14ac:dyDescent="0.25">
      <c r="A2580" s="125" t="s">
        <v>2646</v>
      </c>
    </row>
    <row r="2581" spans="1:1" x14ac:dyDescent="0.25">
      <c r="A2581" s="124" t="s">
        <v>2647</v>
      </c>
    </row>
    <row r="2582" spans="1:1" x14ac:dyDescent="0.25">
      <c r="A2582" t="s">
        <v>2648</v>
      </c>
    </row>
    <row r="2583" spans="1:1" x14ac:dyDescent="0.25">
      <c r="A2583" s="125" t="s">
        <v>2649</v>
      </c>
    </row>
    <row r="2584" spans="1:1" x14ac:dyDescent="0.25">
      <c r="A2584" s="125" t="s">
        <v>2650</v>
      </c>
    </row>
    <row r="2585" spans="1:1" x14ac:dyDescent="0.25">
      <c r="A2585" s="124" t="s">
        <v>2651</v>
      </c>
    </row>
    <row r="2586" spans="1:1" x14ac:dyDescent="0.25">
      <c r="A2586" t="s">
        <v>2652</v>
      </c>
    </row>
    <row r="2587" spans="1:1" x14ac:dyDescent="0.25">
      <c r="A2587" s="125" t="s">
        <v>2653</v>
      </c>
    </row>
    <row r="2588" spans="1:1" x14ac:dyDescent="0.25">
      <c r="A2588" s="124" t="s">
        <v>2654</v>
      </c>
    </row>
    <row r="2589" spans="1:1" x14ac:dyDescent="0.25">
      <c r="A2589" t="s">
        <v>2655</v>
      </c>
    </row>
    <row r="2590" spans="1:1" x14ac:dyDescent="0.25">
      <c r="A2590" s="125" t="s">
        <v>2656</v>
      </c>
    </row>
    <row r="2591" spans="1:1" x14ac:dyDescent="0.25">
      <c r="A2591" s="125" t="s">
        <v>2657</v>
      </c>
    </row>
    <row r="2592" spans="1:1" x14ac:dyDescent="0.25">
      <c r="A2592" s="124" t="s">
        <v>2658</v>
      </c>
    </row>
    <row r="2593" spans="1:1" x14ac:dyDescent="0.25">
      <c r="A2593" s="124" t="s">
        <v>2659</v>
      </c>
    </row>
    <row r="2594" spans="1:1" x14ac:dyDescent="0.25">
      <c r="A2594" t="s">
        <v>2660</v>
      </c>
    </row>
    <row r="2595" spans="1:1" x14ac:dyDescent="0.25">
      <c r="A2595" s="124" t="s">
        <v>2661</v>
      </c>
    </row>
    <row r="2596" spans="1:1" x14ac:dyDescent="0.25">
      <c r="A2596" s="27" t="s">
        <v>2662</v>
      </c>
    </row>
    <row r="2597" spans="1:1" x14ac:dyDescent="0.25">
      <c r="A2597" s="125" t="s">
        <v>2663</v>
      </c>
    </row>
    <row r="2598" spans="1:1" x14ac:dyDescent="0.25">
      <c r="A2598" s="124" t="s">
        <v>2664</v>
      </c>
    </row>
    <row r="2599" spans="1:1" x14ac:dyDescent="0.25">
      <c r="A2599" t="s">
        <v>2665</v>
      </c>
    </row>
    <row r="2600" spans="1:1" x14ac:dyDescent="0.25">
      <c r="A2600" s="125" t="s">
        <v>2666</v>
      </c>
    </row>
    <row r="2601" spans="1:1" x14ac:dyDescent="0.25">
      <c r="A2601" s="125" t="s">
        <v>2667</v>
      </c>
    </row>
    <row r="2602" spans="1:1" x14ac:dyDescent="0.25">
      <c r="A2602" s="27" t="s">
        <v>2668</v>
      </c>
    </row>
    <row r="2603" spans="1:1" x14ac:dyDescent="0.25">
      <c r="A2603" s="27" t="s">
        <v>2669</v>
      </c>
    </row>
    <row r="2604" spans="1:1" x14ac:dyDescent="0.25">
      <c r="A2604" s="27" t="s">
        <v>2670</v>
      </c>
    </row>
    <row r="2605" spans="1:1" x14ac:dyDescent="0.25">
      <c r="A2605" t="s">
        <v>2671</v>
      </c>
    </row>
    <row r="2606" spans="1:1" ht="255" x14ac:dyDescent="0.25">
      <c r="A2606" s="126" t="s">
        <v>2672</v>
      </c>
    </row>
    <row r="2607" spans="1:1" ht="270" x14ac:dyDescent="0.25">
      <c r="A2607" s="126" t="s">
        <v>2673</v>
      </c>
    </row>
    <row r="2608" spans="1:1" x14ac:dyDescent="0.25">
      <c r="A2608" s="124" t="s">
        <v>2674</v>
      </c>
    </row>
    <row r="2609" spans="1:1" x14ac:dyDescent="0.25">
      <c r="A2609" t="s">
        <v>2675</v>
      </c>
    </row>
    <row r="2610" spans="1:1" x14ac:dyDescent="0.25">
      <c r="A2610" s="125" t="s">
        <v>2676</v>
      </c>
    </row>
    <row r="2611" spans="1:1" x14ac:dyDescent="0.25">
      <c r="A2611" s="124" t="s">
        <v>2677</v>
      </c>
    </row>
    <row r="2612" spans="1:1" x14ac:dyDescent="0.25">
      <c r="A2612" t="s">
        <v>2678</v>
      </c>
    </row>
    <row r="2613" spans="1:1" x14ac:dyDescent="0.25">
      <c r="A2613" s="125" t="s">
        <v>2679</v>
      </c>
    </row>
    <row r="2614" spans="1:1" x14ac:dyDescent="0.25">
      <c r="A2614" s="125" t="s">
        <v>2680</v>
      </c>
    </row>
    <row r="2615" spans="1:1" x14ac:dyDescent="0.25">
      <c r="A2615" s="124" t="s">
        <v>2681</v>
      </c>
    </row>
    <row r="2616" spans="1:1" x14ac:dyDescent="0.25">
      <c r="A2616" t="s">
        <v>2682</v>
      </c>
    </row>
    <row r="2617" spans="1:1" x14ac:dyDescent="0.25">
      <c r="A2617" s="125" t="s">
        <v>2683</v>
      </c>
    </row>
    <row r="2618" spans="1:1" x14ac:dyDescent="0.25">
      <c r="A2618" s="124" t="s">
        <v>2684</v>
      </c>
    </row>
    <row r="2619" spans="1:1" x14ac:dyDescent="0.25">
      <c r="A2619" t="s">
        <v>2685</v>
      </c>
    </row>
    <row r="2620" spans="1:1" x14ac:dyDescent="0.25">
      <c r="A2620" s="125" t="s">
        <v>2686</v>
      </c>
    </row>
    <row r="2621" spans="1:1" x14ac:dyDescent="0.25">
      <c r="A2621" s="125" t="s">
        <v>2687</v>
      </c>
    </row>
    <row r="2622" spans="1:1" x14ac:dyDescent="0.25">
      <c r="A2622" s="124" t="s">
        <v>2688</v>
      </c>
    </row>
    <row r="2623" spans="1:1" x14ac:dyDescent="0.25">
      <c r="A2623" s="124" t="s">
        <v>2689</v>
      </c>
    </row>
    <row r="2624" spans="1:1" x14ac:dyDescent="0.25">
      <c r="A2624" t="s">
        <v>2690</v>
      </c>
    </row>
    <row r="2625" spans="1:1" x14ac:dyDescent="0.25">
      <c r="A2625" s="27" t="s">
        <v>2691</v>
      </c>
    </row>
    <row r="2626" spans="1:1" x14ac:dyDescent="0.25">
      <c r="A2626" s="124" t="s">
        <v>2692</v>
      </c>
    </row>
    <row r="2627" spans="1:1" x14ac:dyDescent="0.25">
      <c r="A2627" t="s">
        <v>2693</v>
      </c>
    </row>
    <row r="2628" spans="1:1" x14ac:dyDescent="0.25">
      <c r="A2628" t="s">
        <v>2694</v>
      </c>
    </row>
    <row r="2629" spans="1:1" x14ac:dyDescent="0.25">
      <c r="A2629" t="s">
        <v>2695</v>
      </c>
    </row>
    <row r="2630" spans="1:1" x14ac:dyDescent="0.25">
      <c r="A2630" t="s">
        <v>2696</v>
      </c>
    </row>
    <row r="2631" spans="1:1" x14ac:dyDescent="0.25">
      <c r="A2631" t="s">
        <v>2697</v>
      </c>
    </row>
    <row r="2632" spans="1:1" x14ac:dyDescent="0.25">
      <c r="A2632" t="s">
        <v>2698</v>
      </c>
    </row>
    <row r="2633" spans="1:1" x14ac:dyDescent="0.25">
      <c r="A2633" t="s">
        <v>2699</v>
      </c>
    </row>
    <row r="2634" spans="1:1" x14ac:dyDescent="0.25">
      <c r="A2634" t="s">
        <v>2700</v>
      </c>
    </row>
    <row r="2635" spans="1:1" x14ac:dyDescent="0.25">
      <c r="A2635" s="27" t="s">
        <v>2701</v>
      </c>
    </row>
    <row r="2636" spans="1:1" x14ac:dyDescent="0.25">
      <c r="A2636" s="125" t="s">
        <v>2702</v>
      </c>
    </row>
    <row r="2637" spans="1:1" x14ac:dyDescent="0.25">
      <c r="A2637" s="124" t="s">
        <v>2703</v>
      </c>
    </row>
    <row r="2638" spans="1:1" x14ac:dyDescent="0.25">
      <c r="A2638" t="s">
        <v>2704</v>
      </c>
    </row>
    <row r="2639" spans="1:1" x14ac:dyDescent="0.25">
      <c r="A2639" s="125" t="s">
        <v>2705</v>
      </c>
    </row>
    <row r="2640" spans="1:1" x14ac:dyDescent="0.25">
      <c r="A2640" s="125" t="s">
        <v>2706</v>
      </c>
    </row>
    <row r="2641" spans="1:1" x14ac:dyDescent="0.25">
      <c r="A2641" s="27" t="s">
        <v>2707</v>
      </c>
    </row>
    <row r="2642" spans="1:1" x14ac:dyDescent="0.25">
      <c r="A2642" s="27" t="s">
        <v>2708</v>
      </c>
    </row>
    <row r="2643" spans="1:1" x14ac:dyDescent="0.25">
      <c r="A2643" s="27" t="s">
        <v>2709</v>
      </c>
    </row>
    <row r="2644" spans="1:1" x14ac:dyDescent="0.25">
      <c r="A2644" t="s">
        <v>2710</v>
      </c>
    </row>
    <row r="2645" spans="1:1" ht="255" x14ac:dyDescent="0.25">
      <c r="A2645" s="126" t="s">
        <v>2711</v>
      </c>
    </row>
    <row r="2646" spans="1:1" ht="270" x14ac:dyDescent="0.25">
      <c r="A2646" s="126" t="s">
        <v>2712</v>
      </c>
    </row>
    <row r="2647" spans="1:1" x14ac:dyDescent="0.25">
      <c r="A2647" s="124" t="s">
        <v>2713</v>
      </c>
    </row>
    <row r="2648" spans="1:1" x14ac:dyDescent="0.25">
      <c r="A2648" t="s">
        <v>2714</v>
      </c>
    </row>
    <row r="2649" spans="1:1" x14ac:dyDescent="0.25">
      <c r="A2649" s="125" t="s">
        <v>2715</v>
      </c>
    </row>
    <row r="2650" spans="1:1" x14ac:dyDescent="0.25">
      <c r="A2650" s="124" t="s">
        <v>2716</v>
      </c>
    </row>
    <row r="2651" spans="1:1" x14ac:dyDescent="0.25">
      <c r="A2651" t="s">
        <v>2717</v>
      </c>
    </row>
    <row r="2652" spans="1:1" x14ac:dyDescent="0.25">
      <c r="A2652" s="125" t="s">
        <v>2718</v>
      </c>
    </row>
    <row r="2653" spans="1:1" x14ac:dyDescent="0.25">
      <c r="A2653" s="125" t="s">
        <v>2719</v>
      </c>
    </row>
    <row r="2654" spans="1:1" x14ac:dyDescent="0.25">
      <c r="A2654" s="124" t="s">
        <v>2720</v>
      </c>
    </row>
    <row r="2655" spans="1:1" x14ac:dyDescent="0.25">
      <c r="A2655" t="s">
        <v>2721</v>
      </c>
    </row>
    <row r="2656" spans="1:1" x14ac:dyDescent="0.25">
      <c r="A2656" s="125" t="s">
        <v>2722</v>
      </c>
    </row>
    <row r="2657" spans="1:1" x14ac:dyDescent="0.25">
      <c r="A2657" s="124" t="s">
        <v>2723</v>
      </c>
    </row>
    <row r="2658" spans="1:1" x14ac:dyDescent="0.25">
      <c r="A2658" t="s">
        <v>2724</v>
      </c>
    </row>
    <row r="2659" spans="1:1" x14ac:dyDescent="0.25">
      <c r="A2659" s="125" t="s">
        <v>2725</v>
      </c>
    </row>
    <row r="2660" spans="1:1" x14ac:dyDescent="0.25">
      <c r="A2660" s="125" t="s">
        <v>2726</v>
      </c>
    </row>
    <row r="2661" spans="1:1" x14ac:dyDescent="0.25">
      <c r="A2661" t="s">
        <v>2727</v>
      </c>
    </row>
    <row r="2662" spans="1:1" x14ac:dyDescent="0.25">
      <c r="A2662" t="s">
        <v>2728</v>
      </c>
    </row>
    <row r="2663" spans="1:1" x14ac:dyDescent="0.25">
      <c r="A2663" t="s">
        <v>2729</v>
      </c>
    </row>
    <row r="2664" spans="1:1" x14ac:dyDescent="0.25">
      <c r="A2664" t="s">
        <v>2730</v>
      </c>
    </row>
    <row r="2665" spans="1:1" x14ac:dyDescent="0.25">
      <c r="A2665" t="s">
        <v>2731</v>
      </c>
    </row>
    <row r="2666" spans="1:1" x14ac:dyDescent="0.25">
      <c r="A2666" t="s">
        <v>2732</v>
      </c>
    </row>
    <row r="2667" spans="1:1" x14ac:dyDescent="0.25">
      <c r="A2667" s="124" t="s">
        <v>2733</v>
      </c>
    </row>
    <row r="2668" spans="1:1" x14ac:dyDescent="0.25">
      <c r="A2668" s="124" t="s">
        <v>2734</v>
      </c>
    </row>
    <row r="2669" spans="1:1" x14ac:dyDescent="0.25">
      <c r="A2669" t="s">
        <v>2735</v>
      </c>
    </row>
    <row r="2670" spans="1:1" x14ac:dyDescent="0.25">
      <c r="A2670" s="124" t="s">
        <v>2736</v>
      </c>
    </row>
    <row r="2671" spans="1:1" x14ac:dyDescent="0.25">
      <c r="A2671" s="27" t="s">
        <v>2737</v>
      </c>
    </row>
    <row r="2672" spans="1:1" x14ac:dyDescent="0.25">
      <c r="A2672" s="125" t="s">
        <v>2738</v>
      </c>
    </row>
    <row r="2673" spans="1:1" x14ac:dyDescent="0.25">
      <c r="A2673" s="124" t="s">
        <v>2739</v>
      </c>
    </row>
    <row r="2674" spans="1:1" x14ac:dyDescent="0.25">
      <c r="A2674" t="s">
        <v>2740</v>
      </c>
    </row>
    <row r="2675" spans="1:1" x14ac:dyDescent="0.25">
      <c r="A2675" s="125" t="s">
        <v>2741</v>
      </c>
    </row>
    <row r="2676" spans="1:1" x14ac:dyDescent="0.25">
      <c r="A2676" s="125" t="s">
        <v>2742</v>
      </c>
    </row>
    <row r="2677" spans="1:1" x14ac:dyDescent="0.25">
      <c r="A2677" s="27" t="s">
        <v>2743</v>
      </c>
    </row>
    <row r="2678" spans="1:1" x14ac:dyDescent="0.25">
      <c r="A2678" s="27" t="s">
        <v>2744</v>
      </c>
    </row>
    <row r="2679" spans="1:1" x14ac:dyDescent="0.25">
      <c r="A2679" s="27" t="s">
        <v>2745</v>
      </c>
    </row>
    <row r="2680" spans="1:1" x14ac:dyDescent="0.25">
      <c r="A2680" t="s">
        <v>2746</v>
      </c>
    </row>
    <row r="2681" spans="1:1" ht="255" x14ac:dyDescent="0.25">
      <c r="A2681" s="126" t="s">
        <v>2747</v>
      </c>
    </row>
    <row r="2682" spans="1:1" ht="270" x14ac:dyDescent="0.25">
      <c r="A2682" s="126" t="s">
        <v>2748</v>
      </c>
    </row>
    <row r="2683" spans="1:1" x14ac:dyDescent="0.25">
      <c r="A2683" s="124" t="s">
        <v>2749</v>
      </c>
    </row>
    <row r="2684" spans="1:1" x14ac:dyDescent="0.25">
      <c r="A2684" t="s">
        <v>2750</v>
      </c>
    </row>
    <row r="2685" spans="1:1" x14ac:dyDescent="0.25">
      <c r="A2685" s="125" t="s">
        <v>2751</v>
      </c>
    </row>
    <row r="2686" spans="1:1" x14ac:dyDescent="0.25">
      <c r="A2686" s="124" t="s">
        <v>2752</v>
      </c>
    </row>
    <row r="2687" spans="1:1" x14ac:dyDescent="0.25">
      <c r="A2687" t="s">
        <v>2753</v>
      </c>
    </row>
    <row r="2688" spans="1:1" x14ac:dyDescent="0.25">
      <c r="A2688" s="125" t="s">
        <v>2754</v>
      </c>
    </row>
    <row r="2689" spans="1:1" x14ac:dyDescent="0.25">
      <c r="A2689" s="125" t="s">
        <v>2755</v>
      </c>
    </row>
    <row r="2690" spans="1:1" x14ac:dyDescent="0.25">
      <c r="A2690" s="124" t="s">
        <v>2756</v>
      </c>
    </row>
    <row r="2691" spans="1:1" x14ac:dyDescent="0.25">
      <c r="A2691" t="s">
        <v>2757</v>
      </c>
    </row>
    <row r="2692" spans="1:1" x14ac:dyDescent="0.25">
      <c r="A2692" s="125" t="s">
        <v>2758</v>
      </c>
    </row>
    <row r="2693" spans="1:1" x14ac:dyDescent="0.25">
      <c r="A2693" s="124" t="s">
        <v>2759</v>
      </c>
    </row>
    <row r="2694" spans="1:1" x14ac:dyDescent="0.25">
      <c r="A2694" t="s">
        <v>2760</v>
      </c>
    </row>
    <row r="2695" spans="1:1" x14ac:dyDescent="0.25">
      <c r="A2695" s="125" t="s">
        <v>2761</v>
      </c>
    </row>
    <row r="2696" spans="1:1" x14ac:dyDescent="0.25">
      <c r="A2696" s="125" t="s">
        <v>2762</v>
      </c>
    </row>
    <row r="2697" spans="1:1" x14ac:dyDescent="0.25">
      <c r="A2697" t="s">
        <v>2763</v>
      </c>
    </row>
    <row r="2698" spans="1:1" x14ac:dyDescent="0.25">
      <c r="A2698" t="s">
        <v>2764</v>
      </c>
    </row>
    <row r="2699" spans="1:1" x14ac:dyDescent="0.25">
      <c r="A2699" t="s">
        <v>2765</v>
      </c>
    </row>
    <row r="2700" spans="1:1" x14ac:dyDescent="0.25">
      <c r="A2700" s="124" t="s">
        <v>2766</v>
      </c>
    </row>
    <row r="2701" spans="1:1" x14ac:dyDescent="0.25">
      <c r="A2701" s="124" t="s">
        <v>2767</v>
      </c>
    </row>
    <row r="2702" spans="1:1" x14ac:dyDescent="0.25">
      <c r="A2702" t="s">
        <v>2768</v>
      </c>
    </row>
    <row r="2703" spans="1:1" x14ac:dyDescent="0.25">
      <c r="A2703" s="124" t="s">
        <v>2769</v>
      </c>
    </row>
    <row r="2704" spans="1:1" x14ac:dyDescent="0.25">
      <c r="A2704" s="124" t="s">
        <v>2770</v>
      </c>
    </row>
    <row r="2705" spans="1:1" x14ac:dyDescent="0.25">
      <c r="A2705" s="124" t="s">
        <v>2771</v>
      </c>
    </row>
    <row r="2706" spans="1:1" x14ac:dyDescent="0.25">
      <c r="A2706" s="27" t="s">
        <v>2772</v>
      </c>
    </row>
    <row r="2707" spans="1:1" x14ac:dyDescent="0.25">
      <c r="A2707" s="125" t="s">
        <v>2773</v>
      </c>
    </row>
    <row r="2708" spans="1:1" x14ac:dyDescent="0.25">
      <c r="A2708" s="124" t="s">
        <v>2774</v>
      </c>
    </row>
    <row r="2709" spans="1:1" x14ac:dyDescent="0.25">
      <c r="A2709" t="s">
        <v>2775</v>
      </c>
    </row>
    <row r="2710" spans="1:1" x14ac:dyDescent="0.25">
      <c r="A2710" s="125" t="s">
        <v>2776</v>
      </c>
    </row>
    <row r="2711" spans="1:1" x14ac:dyDescent="0.25">
      <c r="A2711" s="125" t="s">
        <v>2777</v>
      </c>
    </row>
    <row r="2712" spans="1:1" x14ac:dyDescent="0.25">
      <c r="A2712" s="27" t="s">
        <v>2778</v>
      </c>
    </row>
    <row r="2713" spans="1:1" x14ac:dyDescent="0.25">
      <c r="A2713" s="27" t="s">
        <v>2779</v>
      </c>
    </row>
    <row r="2714" spans="1:1" x14ac:dyDescent="0.25">
      <c r="A2714" s="27" t="s">
        <v>2780</v>
      </c>
    </row>
    <row r="2715" spans="1:1" x14ac:dyDescent="0.25">
      <c r="A2715" t="s">
        <v>2781</v>
      </c>
    </row>
    <row r="2716" spans="1:1" ht="255" x14ac:dyDescent="0.25">
      <c r="A2716" s="126" t="s">
        <v>2782</v>
      </c>
    </row>
    <row r="2717" spans="1:1" ht="270" x14ac:dyDescent="0.25">
      <c r="A2717" s="126" t="s">
        <v>2783</v>
      </c>
    </row>
    <row r="2718" spans="1:1" x14ac:dyDescent="0.25">
      <c r="A2718" s="124" t="s">
        <v>2784</v>
      </c>
    </row>
    <row r="2719" spans="1:1" x14ac:dyDescent="0.25">
      <c r="A2719" t="s">
        <v>2785</v>
      </c>
    </row>
    <row r="2720" spans="1:1" x14ac:dyDescent="0.25">
      <c r="A2720" s="125" t="s">
        <v>2786</v>
      </c>
    </row>
    <row r="2721" spans="1:1" x14ac:dyDescent="0.25">
      <c r="A2721" s="124" t="s">
        <v>2787</v>
      </c>
    </row>
    <row r="2722" spans="1:1" x14ac:dyDescent="0.25">
      <c r="A2722" t="s">
        <v>2788</v>
      </c>
    </row>
    <row r="2723" spans="1:1" x14ac:dyDescent="0.25">
      <c r="A2723" s="125" t="s">
        <v>2789</v>
      </c>
    </row>
    <row r="2724" spans="1:1" x14ac:dyDescent="0.25">
      <c r="A2724" s="125" t="s">
        <v>2790</v>
      </c>
    </row>
    <row r="2725" spans="1:1" x14ac:dyDescent="0.25">
      <c r="A2725" s="125" t="s">
        <v>2791</v>
      </c>
    </row>
    <row r="2726" spans="1:1" x14ac:dyDescent="0.25">
      <c r="A2726" s="124" t="s">
        <v>2792</v>
      </c>
    </row>
    <row r="2727" spans="1:1" x14ac:dyDescent="0.25">
      <c r="A2727" t="s">
        <v>2793</v>
      </c>
    </row>
    <row r="2728" spans="1:1" x14ac:dyDescent="0.25">
      <c r="A2728" s="125" t="s">
        <v>2794</v>
      </c>
    </row>
    <row r="2729" spans="1:1" x14ac:dyDescent="0.25">
      <c r="A2729" s="125" t="s">
        <v>2795</v>
      </c>
    </row>
    <row r="2730" spans="1:1" x14ac:dyDescent="0.25">
      <c r="A2730" s="27" t="s">
        <v>2796</v>
      </c>
    </row>
    <row r="2731" spans="1:1" x14ac:dyDescent="0.25">
      <c r="A2731" s="27" t="s">
        <v>2797</v>
      </c>
    </row>
    <row r="2732" spans="1:1" x14ac:dyDescent="0.25">
      <c r="A2732" s="27" t="s">
        <v>2798</v>
      </c>
    </row>
    <row r="2733" spans="1:1" x14ac:dyDescent="0.25">
      <c r="A2733" t="s">
        <v>2799</v>
      </c>
    </row>
    <row r="2734" spans="1:1" x14ac:dyDescent="0.25">
      <c r="A2734" s="124" t="s">
        <v>2800</v>
      </c>
    </row>
    <row r="2735" spans="1:1" x14ac:dyDescent="0.25">
      <c r="A2735" t="s">
        <v>2801</v>
      </c>
    </row>
    <row r="2736" spans="1:1" x14ac:dyDescent="0.25">
      <c r="A2736" s="125" t="s">
        <v>2802</v>
      </c>
    </row>
    <row r="2737" spans="1:1" x14ac:dyDescent="0.25">
      <c r="A2737" s="124" t="s">
        <v>2803</v>
      </c>
    </row>
    <row r="2738" spans="1:1" x14ac:dyDescent="0.25">
      <c r="A2738" t="s">
        <v>2804</v>
      </c>
    </row>
    <row r="2739" spans="1:1" x14ac:dyDescent="0.25">
      <c r="A2739" s="125" t="s">
        <v>2805</v>
      </c>
    </row>
    <row r="2740" spans="1:1" x14ac:dyDescent="0.25">
      <c r="A2740" s="125" t="s">
        <v>2806</v>
      </c>
    </row>
    <row r="2741" spans="1:1" x14ac:dyDescent="0.25">
      <c r="A2741" t="s">
        <v>2807</v>
      </c>
    </row>
    <row r="2742" spans="1:1" x14ac:dyDescent="0.25">
      <c r="A2742" t="s">
        <v>2808</v>
      </c>
    </row>
    <row r="2743" spans="1:1" x14ac:dyDescent="0.25">
      <c r="A2743" t="s">
        <v>2809</v>
      </c>
    </row>
    <row r="2744" spans="1:1" x14ac:dyDescent="0.25">
      <c r="A2744" t="s">
        <v>2810</v>
      </c>
    </row>
    <row r="2745" spans="1:1" x14ac:dyDescent="0.25">
      <c r="A2745" s="124" t="s">
        <v>2811</v>
      </c>
    </row>
    <row r="2746" spans="1:1" x14ac:dyDescent="0.25">
      <c r="A2746" s="124" t="s">
        <v>2812</v>
      </c>
    </row>
    <row r="2747" spans="1:1" x14ac:dyDescent="0.25">
      <c r="A2747" t="s">
        <v>2813</v>
      </c>
    </row>
    <row r="2748" spans="1:1" x14ac:dyDescent="0.25">
      <c r="A2748" s="124" t="s">
        <v>2814</v>
      </c>
    </row>
    <row r="2749" spans="1:1" x14ac:dyDescent="0.25">
      <c r="A2749" s="124" t="s">
        <v>2815</v>
      </c>
    </row>
    <row r="2750" spans="1:1" x14ac:dyDescent="0.25">
      <c r="A2750" s="27" t="s">
        <v>2816</v>
      </c>
    </row>
    <row r="2751" spans="1:1" x14ac:dyDescent="0.25">
      <c r="A2751" s="125" t="s">
        <v>2817</v>
      </c>
    </row>
    <row r="2752" spans="1:1" x14ac:dyDescent="0.25">
      <c r="A2752" s="124" t="s">
        <v>2818</v>
      </c>
    </row>
    <row r="2753" spans="1:1" x14ac:dyDescent="0.25">
      <c r="A2753" t="s">
        <v>2819</v>
      </c>
    </row>
    <row r="2754" spans="1:1" x14ac:dyDescent="0.25">
      <c r="A2754" s="125" t="s">
        <v>2820</v>
      </c>
    </row>
    <row r="2755" spans="1:1" x14ac:dyDescent="0.25">
      <c r="A2755" s="125" t="s">
        <v>2821</v>
      </c>
    </row>
    <row r="2756" spans="1:1" x14ac:dyDescent="0.25">
      <c r="A2756" s="27" t="s">
        <v>2822</v>
      </c>
    </row>
    <row r="2757" spans="1:1" x14ac:dyDescent="0.25">
      <c r="A2757" s="27" t="s">
        <v>2823</v>
      </c>
    </row>
    <row r="2758" spans="1:1" x14ac:dyDescent="0.25">
      <c r="A2758" s="27" t="s">
        <v>2824</v>
      </c>
    </row>
    <row r="2759" spans="1:1" x14ac:dyDescent="0.25">
      <c r="A2759" t="s">
        <v>2825</v>
      </c>
    </row>
    <row r="2760" spans="1:1" ht="255" x14ac:dyDescent="0.25">
      <c r="A2760" s="126" t="s">
        <v>2826</v>
      </c>
    </row>
    <row r="2761" spans="1:1" ht="270" x14ac:dyDescent="0.25">
      <c r="A2761" s="126" t="s">
        <v>2827</v>
      </c>
    </row>
    <row r="2762" spans="1:1" x14ac:dyDescent="0.25">
      <c r="A2762" s="124" t="s">
        <v>2828</v>
      </c>
    </row>
    <row r="2763" spans="1:1" x14ac:dyDescent="0.25">
      <c r="A2763" t="s">
        <v>2829</v>
      </c>
    </row>
    <row r="2764" spans="1:1" x14ac:dyDescent="0.25">
      <c r="A2764" s="125" t="s">
        <v>2830</v>
      </c>
    </row>
    <row r="2765" spans="1:1" x14ac:dyDescent="0.25">
      <c r="A2765" s="124" t="s">
        <v>2831</v>
      </c>
    </row>
    <row r="2766" spans="1:1" x14ac:dyDescent="0.25">
      <c r="A2766" t="s">
        <v>2832</v>
      </c>
    </row>
    <row r="2767" spans="1:1" x14ac:dyDescent="0.25">
      <c r="A2767" s="125" t="s">
        <v>2833</v>
      </c>
    </row>
    <row r="2768" spans="1:1" x14ac:dyDescent="0.25">
      <c r="A2768" s="125" t="s">
        <v>2834</v>
      </c>
    </row>
    <row r="2769" spans="1:1" x14ac:dyDescent="0.25">
      <c r="A2769" s="124" t="s">
        <v>2835</v>
      </c>
    </row>
    <row r="2770" spans="1:1" x14ac:dyDescent="0.25">
      <c r="A2770" t="s">
        <v>2836</v>
      </c>
    </row>
    <row r="2771" spans="1:1" x14ac:dyDescent="0.25">
      <c r="A2771" s="125" t="s">
        <v>2837</v>
      </c>
    </row>
    <row r="2772" spans="1:1" x14ac:dyDescent="0.25">
      <c r="A2772" s="124" t="s">
        <v>2838</v>
      </c>
    </row>
    <row r="2773" spans="1:1" x14ac:dyDescent="0.25">
      <c r="A2773" t="s">
        <v>2839</v>
      </c>
    </row>
    <row r="2774" spans="1:1" x14ac:dyDescent="0.25">
      <c r="A2774" s="125" t="s">
        <v>2840</v>
      </c>
    </row>
    <row r="2775" spans="1:1" x14ac:dyDescent="0.25">
      <c r="A2775" s="125" t="s">
        <v>2841</v>
      </c>
    </row>
    <row r="2776" spans="1:1" x14ac:dyDescent="0.25">
      <c r="A2776" s="124" t="s">
        <v>2842</v>
      </c>
    </row>
    <row r="2777" spans="1:1" x14ac:dyDescent="0.25">
      <c r="A2777" t="s">
        <v>2843</v>
      </c>
    </row>
    <row r="2778" spans="1:1" x14ac:dyDescent="0.25">
      <c r="A2778" s="124" t="s">
        <v>2844</v>
      </c>
    </row>
    <row r="2779" spans="1:1" x14ac:dyDescent="0.25">
      <c r="A2779" s="27" t="s">
        <v>2845</v>
      </c>
    </row>
    <row r="2780" spans="1:1" ht="255" x14ac:dyDescent="0.25">
      <c r="A2780" s="126" t="s">
        <v>2846</v>
      </c>
    </row>
    <row r="2781" spans="1:1" ht="270" x14ac:dyDescent="0.25">
      <c r="A2781" s="126" t="s">
        <v>2847</v>
      </c>
    </row>
    <row r="2782" spans="1:1" x14ac:dyDescent="0.25">
      <c r="A2782" s="124" t="s">
        <v>2848</v>
      </c>
    </row>
    <row r="2783" spans="1:1" x14ac:dyDescent="0.25">
      <c r="A2783" t="s">
        <v>2849</v>
      </c>
    </row>
    <row r="2784" spans="1:1" x14ac:dyDescent="0.25">
      <c r="A2784" s="125" t="s">
        <v>2850</v>
      </c>
    </row>
    <row r="2785" spans="1:1" x14ac:dyDescent="0.25">
      <c r="A2785" s="124" t="s">
        <v>2851</v>
      </c>
    </row>
    <row r="2786" spans="1:1" x14ac:dyDescent="0.25">
      <c r="A2786" t="s">
        <v>2852</v>
      </c>
    </row>
    <row r="2787" spans="1:1" x14ac:dyDescent="0.25">
      <c r="A2787" s="125" t="s">
        <v>2853</v>
      </c>
    </row>
    <row r="2788" spans="1:1" x14ac:dyDescent="0.25">
      <c r="A2788" s="125" t="s">
        <v>2854</v>
      </c>
    </row>
    <row r="2789" spans="1:1" x14ac:dyDescent="0.25">
      <c r="A2789" s="124" t="s">
        <v>2855</v>
      </c>
    </row>
    <row r="2790" spans="1:1" x14ac:dyDescent="0.25">
      <c r="A2790" t="s">
        <v>2856</v>
      </c>
    </row>
    <row r="2791" spans="1:1" x14ac:dyDescent="0.25">
      <c r="A2791" s="125" t="s">
        <v>2857</v>
      </c>
    </row>
    <row r="2792" spans="1:1" x14ac:dyDescent="0.25">
      <c r="A2792" s="124" t="s">
        <v>2858</v>
      </c>
    </row>
    <row r="2793" spans="1:1" x14ac:dyDescent="0.25">
      <c r="A2793" t="s">
        <v>2859</v>
      </c>
    </row>
    <row r="2794" spans="1:1" x14ac:dyDescent="0.25">
      <c r="A2794" s="125" t="s">
        <v>2860</v>
      </c>
    </row>
    <row r="2795" spans="1:1" x14ac:dyDescent="0.25">
      <c r="A2795" s="125" t="s">
        <v>2861</v>
      </c>
    </row>
    <row r="2796" spans="1:1" x14ac:dyDescent="0.25">
      <c r="A2796" t="s">
        <v>2862</v>
      </c>
    </row>
    <row r="2797" spans="1:1" x14ac:dyDescent="0.25">
      <c r="A2797" t="s">
        <v>2863</v>
      </c>
    </row>
    <row r="2798" spans="1:1" x14ac:dyDescent="0.25">
      <c r="A2798" t="s">
        <v>2864</v>
      </c>
    </row>
    <row r="2799" spans="1:1" x14ac:dyDescent="0.25">
      <c r="A2799" t="s">
        <v>2865</v>
      </c>
    </row>
    <row r="2800" spans="1:1" x14ac:dyDescent="0.25">
      <c r="A2800" t="s">
        <v>2866</v>
      </c>
    </row>
    <row r="2801" spans="1:1" x14ac:dyDescent="0.25">
      <c r="A2801" s="124" t="s">
        <v>2867</v>
      </c>
    </row>
    <row r="2802" spans="1:1" x14ac:dyDescent="0.25">
      <c r="A2802" s="124" t="s">
        <v>2868</v>
      </c>
    </row>
    <row r="2803" spans="1:1" x14ac:dyDescent="0.25">
      <c r="A2803" t="s">
        <v>2869</v>
      </c>
    </row>
    <row r="2804" spans="1:1" x14ac:dyDescent="0.25">
      <c r="A2804" s="124" t="s">
        <v>2870</v>
      </c>
    </row>
    <row r="2805" spans="1:1" x14ac:dyDescent="0.25">
      <c r="A2805" s="124" t="s">
        <v>2871</v>
      </c>
    </row>
    <row r="2806" spans="1:1" x14ac:dyDescent="0.25">
      <c r="A2806" s="124" t="s">
        <v>2872</v>
      </c>
    </row>
    <row r="2807" spans="1:1" x14ac:dyDescent="0.25">
      <c r="A2807" s="27" t="s">
        <v>2873</v>
      </c>
    </row>
    <row r="2808" spans="1:1" x14ac:dyDescent="0.25">
      <c r="A2808" s="125" t="s">
        <v>2874</v>
      </c>
    </row>
    <row r="2809" spans="1:1" x14ac:dyDescent="0.25">
      <c r="A2809" s="124" t="s">
        <v>2875</v>
      </c>
    </row>
    <row r="2810" spans="1:1" x14ac:dyDescent="0.25">
      <c r="A2810" t="s">
        <v>2876</v>
      </c>
    </row>
    <row r="2811" spans="1:1" x14ac:dyDescent="0.25">
      <c r="A2811" s="125" t="s">
        <v>2877</v>
      </c>
    </row>
    <row r="2812" spans="1:1" x14ac:dyDescent="0.25">
      <c r="A2812" s="125" t="s">
        <v>2878</v>
      </c>
    </row>
    <row r="2813" spans="1:1" x14ac:dyDescent="0.25">
      <c r="A2813" s="27" t="s">
        <v>2879</v>
      </c>
    </row>
    <row r="2814" spans="1:1" x14ac:dyDescent="0.25">
      <c r="A2814" s="27" t="s">
        <v>2880</v>
      </c>
    </row>
    <row r="2815" spans="1:1" x14ac:dyDescent="0.25">
      <c r="A2815" s="27" t="s">
        <v>2881</v>
      </c>
    </row>
    <row r="2816" spans="1:1" x14ac:dyDescent="0.25">
      <c r="A2816" t="s">
        <v>2882</v>
      </c>
    </row>
    <row r="2817" spans="1:1" ht="255" x14ac:dyDescent="0.25">
      <c r="A2817" s="126" t="s">
        <v>2883</v>
      </c>
    </row>
    <row r="2818" spans="1:1" ht="270" x14ac:dyDescent="0.25">
      <c r="A2818" s="126" t="s">
        <v>2884</v>
      </c>
    </row>
    <row r="2819" spans="1:1" x14ac:dyDescent="0.25">
      <c r="A2819" s="124" t="s">
        <v>2885</v>
      </c>
    </row>
    <row r="2820" spans="1:1" x14ac:dyDescent="0.25">
      <c r="A2820" t="s">
        <v>2886</v>
      </c>
    </row>
    <row r="2821" spans="1:1" x14ac:dyDescent="0.25">
      <c r="A2821" s="125" t="s">
        <v>2887</v>
      </c>
    </row>
    <row r="2822" spans="1:1" x14ac:dyDescent="0.25">
      <c r="A2822" s="124" t="s">
        <v>2888</v>
      </c>
    </row>
    <row r="2823" spans="1:1" x14ac:dyDescent="0.25">
      <c r="A2823" t="s">
        <v>2889</v>
      </c>
    </row>
    <row r="2824" spans="1:1" x14ac:dyDescent="0.25">
      <c r="A2824" s="125" t="s">
        <v>2890</v>
      </c>
    </row>
    <row r="2825" spans="1:1" x14ac:dyDescent="0.25">
      <c r="A2825" s="125" t="s">
        <v>2891</v>
      </c>
    </row>
    <row r="2826" spans="1:1" x14ac:dyDescent="0.25">
      <c r="A2826" s="125" t="s">
        <v>2892</v>
      </c>
    </row>
    <row r="2827" spans="1:1" x14ac:dyDescent="0.25">
      <c r="A2827" s="124" t="s">
        <v>2893</v>
      </c>
    </row>
    <row r="2828" spans="1:1" x14ac:dyDescent="0.25">
      <c r="A2828" t="s">
        <v>2894</v>
      </c>
    </row>
    <row r="2829" spans="1:1" x14ac:dyDescent="0.25">
      <c r="A2829" s="125" t="s">
        <v>2895</v>
      </c>
    </row>
    <row r="2830" spans="1:1" x14ac:dyDescent="0.25">
      <c r="A2830" s="125" t="s">
        <v>2896</v>
      </c>
    </row>
    <row r="2831" spans="1:1" x14ac:dyDescent="0.25">
      <c r="A2831" s="27" t="s">
        <v>2897</v>
      </c>
    </row>
    <row r="2832" spans="1:1" x14ac:dyDescent="0.25">
      <c r="A2832" s="27" t="s">
        <v>2898</v>
      </c>
    </row>
    <row r="2833" spans="1:1" x14ac:dyDescent="0.25">
      <c r="A2833" s="27" t="s">
        <v>2899</v>
      </c>
    </row>
    <row r="2834" spans="1:1" x14ac:dyDescent="0.25">
      <c r="A2834" t="s">
        <v>2900</v>
      </c>
    </row>
    <row r="2835" spans="1:1" x14ac:dyDescent="0.25">
      <c r="A2835" s="124" t="s">
        <v>2901</v>
      </c>
    </row>
    <row r="2836" spans="1:1" x14ac:dyDescent="0.25">
      <c r="A2836" t="s">
        <v>2902</v>
      </c>
    </row>
    <row r="2837" spans="1:1" x14ac:dyDescent="0.25">
      <c r="A2837" s="125" t="s">
        <v>2903</v>
      </c>
    </row>
    <row r="2838" spans="1:1" x14ac:dyDescent="0.25">
      <c r="A2838" s="124" t="s">
        <v>2904</v>
      </c>
    </row>
    <row r="2839" spans="1:1" x14ac:dyDescent="0.25">
      <c r="A2839" t="s">
        <v>2905</v>
      </c>
    </row>
    <row r="2840" spans="1:1" x14ac:dyDescent="0.25">
      <c r="A2840" s="125" t="s">
        <v>2906</v>
      </c>
    </row>
    <row r="2841" spans="1:1" x14ac:dyDescent="0.25">
      <c r="A2841" s="125" t="s">
        <v>2907</v>
      </c>
    </row>
    <row r="2842" spans="1:1" x14ac:dyDescent="0.25">
      <c r="A2842" s="124" t="s">
        <v>2908</v>
      </c>
    </row>
    <row r="2843" spans="1:1" x14ac:dyDescent="0.25">
      <c r="A2843" t="s">
        <v>2909</v>
      </c>
    </row>
    <row r="2844" spans="1:1" x14ac:dyDescent="0.25">
      <c r="A2844" s="124" t="s">
        <v>2910</v>
      </c>
    </row>
    <row r="2845" spans="1:1" x14ac:dyDescent="0.25">
      <c r="A2845" s="27" t="s">
        <v>2911</v>
      </c>
    </row>
    <row r="2846" spans="1:1" ht="255" x14ac:dyDescent="0.25">
      <c r="A2846" s="126" t="s">
        <v>2912</v>
      </c>
    </row>
    <row r="2847" spans="1:1" ht="270" x14ac:dyDescent="0.25">
      <c r="A2847" s="126" t="s">
        <v>2913</v>
      </c>
    </row>
    <row r="2848" spans="1:1" x14ac:dyDescent="0.25">
      <c r="A2848" s="124" t="s">
        <v>2914</v>
      </c>
    </row>
    <row r="2849" spans="1:1" x14ac:dyDescent="0.25">
      <c r="A2849" t="s">
        <v>2915</v>
      </c>
    </row>
    <row r="2850" spans="1:1" x14ac:dyDescent="0.25">
      <c r="A2850" s="125" t="s">
        <v>2916</v>
      </c>
    </row>
    <row r="2851" spans="1:1" x14ac:dyDescent="0.25">
      <c r="A2851" s="124" t="s">
        <v>2917</v>
      </c>
    </row>
    <row r="2852" spans="1:1" x14ac:dyDescent="0.25">
      <c r="A2852" t="s">
        <v>2918</v>
      </c>
    </row>
    <row r="2853" spans="1:1" x14ac:dyDescent="0.25">
      <c r="A2853" s="125" t="s">
        <v>2919</v>
      </c>
    </row>
    <row r="2854" spans="1:1" x14ac:dyDescent="0.25">
      <c r="A2854" s="125" t="s">
        <v>2920</v>
      </c>
    </row>
    <row r="2855" spans="1:1" x14ac:dyDescent="0.25">
      <c r="A2855" s="124" t="s">
        <v>2921</v>
      </c>
    </row>
    <row r="2856" spans="1:1" x14ac:dyDescent="0.25">
      <c r="A2856" t="s">
        <v>2922</v>
      </c>
    </row>
    <row r="2857" spans="1:1" x14ac:dyDescent="0.25">
      <c r="A2857" s="125" t="s">
        <v>2923</v>
      </c>
    </row>
    <row r="2858" spans="1:1" x14ac:dyDescent="0.25">
      <c r="A2858" s="124" t="s">
        <v>2924</v>
      </c>
    </row>
    <row r="2859" spans="1:1" x14ac:dyDescent="0.25">
      <c r="A2859" t="s">
        <v>2925</v>
      </c>
    </row>
    <row r="2860" spans="1:1" x14ac:dyDescent="0.25">
      <c r="A2860" s="125" t="s">
        <v>2926</v>
      </c>
    </row>
    <row r="2861" spans="1:1" x14ac:dyDescent="0.25">
      <c r="A2861" s="125" t="s">
        <v>2927</v>
      </c>
    </row>
    <row r="2862" spans="1:1" x14ac:dyDescent="0.25">
      <c r="A2862" t="s">
        <v>2928</v>
      </c>
    </row>
    <row r="2863" spans="1:1" x14ac:dyDescent="0.25">
      <c r="A2863" t="s">
        <v>2929</v>
      </c>
    </row>
    <row r="2864" spans="1:1" x14ac:dyDescent="0.25">
      <c r="A2864" t="s">
        <v>2930</v>
      </c>
    </row>
    <row r="2865" spans="1:1" x14ac:dyDescent="0.25">
      <c r="A2865" t="s">
        <v>2931</v>
      </c>
    </row>
    <row r="2866" spans="1:1" x14ac:dyDescent="0.25">
      <c r="A2866" t="s">
        <v>2932</v>
      </c>
    </row>
    <row r="2867" spans="1:1" x14ac:dyDescent="0.25">
      <c r="A2867" t="s">
        <v>2933</v>
      </c>
    </row>
    <row r="2868" spans="1:1" x14ac:dyDescent="0.25">
      <c r="A2868" t="s">
        <v>2934</v>
      </c>
    </row>
    <row r="2869" spans="1:1" x14ac:dyDescent="0.25">
      <c r="A2869" t="s">
        <v>2935</v>
      </c>
    </row>
    <row r="2870" spans="1:1" x14ac:dyDescent="0.25">
      <c r="A2870" t="s">
        <v>2936</v>
      </c>
    </row>
    <row r="2871" spans="1:1" x14ac:dyDescent="0.25">
      <c r="A2871" t="s">
        <v>2937</v>
      </c>
    </row>
    <row r="2872" spans="1:1" x14ac:dyDescent="0.25">
      <c r="A2872" s="124" t="s">
        <v>2938</v>
      </c>
    </row>
    <row r="2873" spans="1:1" x14ac:dyDescent="0.25">
      <c r="A2873" s="124" t="s">
        <v>2939</v>
      </c>
    </row>
    <row r="2874" spans="1:1" x14ac:dyDescent="0.25">
      <c r="A2874" t="s">
        <v>2940</v>
      </c>
    </row>
    <row r="2875" spans="1:1" x14ac:dyDescent="0.25">
      <c r="A2875" s="124" t="s">
        <v>2941</v>
      </c>
    </row>
    <row r="2876" spans="1:1" x14ac:dyDescent="0.25">
      <c r="A2876" s="27" t="s">
        <v>2942</v>
      </c>
    </row>
    <row r="2877" spans="1:1" x14ac:dyDescent="0.25">
      <c r="A2877" s="125" t="s">
        <v>2943</v>
      </c>
    </row>
    <row r="2878" spans="1:1" x14ac:dyDescent="0.25">
      <c r="A2878" s="124" t="s">
        <v>2944</v>
      </c>
    </row>
    <row r="2879" spans="1:1" x14ac:dyDescent="0.25">
      <c r="A2879" t="s">
        <v>2945</v>
      </c>
    </row>
    <row r="2880" spans="1:1" x14ac:dyDescent="0.25">
      <c r="A2880" s="125" t="s">
        <v>2946</v>
      </c>
    </row>
    <row r="2881" spans="1:1" x14ac:dyDescent="0.25">
      <c r="A2881" s="125" t="s">
        <v>2947</v>
      </c>
    </row>
    <row r="2882" spans="1:1" x14ac:dyDescent="0.25">
      <c r="A2882" s="27" t="s">
        <v>2948</v>
      </c>
    </row>
    <row r="2883" spans="1:1" x14ac:dyDescent="0.25">
      <c r="A2883" s="27" t="s">
        <v>2949</v>
      </c>
    </row>
    <row r="2884" spans="1:1" x14ac:dyDescent="0.25">
      <c r="A2884" s="27" t="s">
        <v>2950</v>
      </c>
    </row>
    <row r="2885" spans="1:1" x14ac:dyDescent="0.25">
      <c r="A2885" t="s">
        <v>2951</v>
      </c>
    </row>
    <row r="2886" spans="1:1" ht="255" x14ac:dyDescent="0.25">
      <c r="A2886" s="126" t="s">
        <v>2952</v>
      </c>
    </row>
    <row r="2887" spans="1:1" ht="270" x14ac:dyDescent="0.25">
      <c r="A2887" s="126" t="s">
        <v>2953</v>
      </c>
    </row>
    <row r="2888" spans="1:1" x14ac:dyDescent="0.25">
      <c r="A2888" s="124" t="s">
        <v>2954</v>
      </c>
    </row>
    <row r="2889" spans="1:1" x14ac:dyDescent="0.25">
      <c r="A2889" t="s">
        <v>2955</v>
      </c>
    </row>
    <row r="2890" spans="1:1" x14ac:dyDescent="0.25">
      <c r="A2890" s="125" t="s">
        <v>2956</v>
      </c>
    </row>
    <row r="2891" spans="1:1" x14ac:dyDescent="0.25">
      <c r="A2891" s="124" t="s">
        <v>2957</v>
      </c>
    </row>
    <row r="2892" spans="1:1" x14ac:dyDescent="0.25">
      <c r="A2892" t="s">
        <v>2958</v>
      </c>
    </row>
    <row r="2893" spans="1:1" x14ac:dyDescent="0.25">
      <c r="A2893" s="125" t="s">
        <v>2959</v>
      </c>
    </row>
    <row r="2894" spans="1:1" x14ac:dyDescent="0.25">
      <c r="A2894" s="125" t="s">
        <v>2960</v>
      </c>
    </row>
    <row r="2895" spans="1:1" x14ac:dyDescent="0.25">
      <c r="A2895" s="124" t="s">
        <v>2961</v>
      </c>
    </row>
    <row r="2896" spans="1:1" x14ac:dyDescent="0.25">
      <c r="A2896" t="s">
        <v>2962</v>
      </c>
    </row>
    <row r="2897" spans="1:1" x14ac:dyDescent="0.25">
      <c r="A2897" s="125" t="s">
        <v>2963</v>
      </c>
    </row>
    <row r="2898" spans="1:1" x14ac:dyDescent="0.25">
      <c r="A2898" s="124" t="s">
        <v>2964</v>
      </c>
    </row>
    <row r="2899" spans="1:1" x14ac:dyDescent="0.25">
      <c r="A2899" t="s">
        <v>2965</v>
      </c>
    </row>
    <row r="2900" spans="1:1" x14ac:dyDescent="0.25">
      <c r="A2900" s="125" t="s">
        <v>2966</v>
      </c>
    </row>
    <row r="2901" spans="1:1" x14ac:dyDescent="0.25">
      <c r="A2901" s="125" t="s">
        <v>2967</v>
      </c>
    </row>
    <row r="2902" spans="1:1" x14ac:dyDescent="0.25">
      <c r="A2902" t="s">
        <v>2968</v>
      </c>
    </row>
    <row r="2903" spans="1:1" x14ac:dyDescent="0.25">
      <c r="A2903" t="s">
        <v>2969</v>
      </c>
    </row>
    <row r="2904" spans="1:1" x14ac:dyDescent="0.25">
      <c r="A2904" s="124" t="s">
        <v>2970</v>
      </c>
    </row>
    <row r="2905" spans="1:1" x14ac:dyDescent="0.25">
      <c r="A2905" s="124" t="s">
        <v>2971</v>
      </c>
    </row>
    <row r="2906" spans="1:1" x14ac:dyDescent="0.25">
      <c r="A2906" t="s">
        <v>2972</v>
      </c>
    </row>
    <row r="2907" spans="1:1" x14ac:dyDescent="0.25">
      <c r="A2907" s="124" t="s">
        <v>2973</v>
      </c>
    </row>
    <row r="2908" spans="1:1" x14ac:dyDescent="0.25">
      <c r="A2908" s="27" t="s">
        <v>2974</v>
      </c>
    </row>
    <row r="2909" spans="1:1" x14ac:dyDescent="0.25">
      <c r="A2909" s="125" t="s">
        <v>2975</v>
      </c>
    </row>
    <row r="2910" spans="1:1" x14ac:dyDescent="0.25">
      <c r="A2910" s="124" t="s">
        <v>2976</v>
      </c>
    </row>
    <row r="2911" spans="1:1" x14ac:dyDescent="0.25">
      <c r="A2911" t="s">
        <v>2977</v>
      </c>
    </row>
    <row r="2912" spans="1:1" x14ac:dyDescent="0.25">
      <c r="A2912" s="125" t="s">
        <v>2978</v>
      </c>
    </row>
    <row r="2913" spans="1:1" x14ac:dyDescent="0.25">
      <c r="A2913" s="125" t="s">
        <v>2979</v>
      </c>
    </row>
    <row r="2914" spans="1:1" x14ac:dyDescent="0.25">
      <c r="A2914" s="27" t="s">
        <v>2980</v>
      </c>
    </row>
    <row r="2915" spans="1:1" x14ac:dyDescent="0.25">
      <c r="A2915" s="27" t="s">
        <v>2981</v>
      </c>
    </row>
    <row r="2916" spans="1:1" x14ac:dyDescent="0.25">
      <c r="A2916" s="27" t="s">
        <v>2982</v>
      </c>
    </row>
    <row r="2917" spans="1:1" x14ac:dyDescent="0.25">
      <c r="A2917" t="s">
        <v>2983</v>
      </c>
    </row>
    <row r="2918" spans="1:1" ht="255" x14ac:dyDescent="0.25">
      <c r="A2918" s="126" t="s">
        <v>2984</v>
      </c>
    </row>
    <row r="2919" spans="1:1" ht="270" x14ac:dyDescent="0.25">
      <c r="A2919" s="126" t="s">
        <v>2985</v>
      </c>
    </row>
    <row r="2920" spans="1:1" x14ac:dyDescent="0.25">
      <c r="A2920" s="124" t="s">
        <v>2986</v>
      </c>
    </row>
    <row r="2921" spans="1:1" x14ac:dyDescent="0.25">
      <c r="A2921" t="s">
        <v>2987</v>
      </c>
    </row>
    <row r="2922" spans="1:1" x14ac:dyDescent="0.25">
      <c r="A2922" s="125" t="s">
        <v>2988</v>
      </c>
    </row>
    <row r="2923" spans="1:1" x14ac:dyDescent="0.25">
      <c r="A2923" s="124" t="s">
        <v>2989</v>
      </c>
    </row>
    <row r="2924" spans="1:1" x14ac:dyDescent="0.25">
      <c r="A2924" t="s">
        <v>2990</v>
      </c>
    </row>
    <row r="2925" spans="1:1" x14ac:dyDescent="0.25">
      <c r="A2925" s="125" t="s">
        <v>2991</v>
      </c>
    </row>
    <row r="2926" spans="1:1" x14ac:dyDescent="0.25">
      <c r="A2926" s="125" t="s">
        <v>2992</v>
      </c>
    </row>
    <row r="2927" spans="1:1" x14ac:dyDescent="0.25">
      <c r="A2927" s="124" t="s">
        <v>2993</v>
      </c>
    </row>
    <row r="2928" spans="1:1" x14ac:dyDescent="0.25">
      <c r="A2928" t="s">
        <v>2994</v>
      </c>
    </row>
    <row r="2929" spans="1:1" x14ac:dyDescent="0.25">
      <c r="A2929" s="125" t="s">
        <v>2995</v>
      </c>
    </row>
    <row r="2930" spans="1:1" x14ac:dyDescent="0.25">
      <c r="A2930" s="124" t="s">
        <v>2996</v>
      </c>
    </row>
    <row r="2931" spans="1:1" x14ac:dyDescent="0.25">
      <c r="A2931" t="s">
        <v>2997</v>
      </c>
    </row>
    <row r="2932" spans="1:1" x14ac:dyDescent="0.25">
      <c r="A2932" s="125" t="s">
        <v>2998</v>
      </c>
    </row>
    <row r="2933" spans="1:1" x14ac:dyDescent="0.25">
      <c r="A2933" s="125" t="s">
        <v>2999</v>
      </c>
    </row>
    <row r="2934" spans="1:1" x14ac:dyDescent="0.25">
      <c r="A2934" t="s">
        <v>3000</v>
      </c>
    </row>
    <row r="2935" spans="1:1" x14ac:dyDescent="0.25">
      <c r="A2935" t="s">
        <v>3001</v>
      </c>
    </row>
    <row r="2936" spans="1:1" x14ac:dyDescent="0.25">
      <c r="A2936" t="s">
        <v>3002</v>
      </c>
    </row>
    <row r="2937" spans="1:1" x14ac:dyDescent="0.25">
      <c r="A2937" s="125" t="s">
        <v>3003</v>
      </c>
    </row>
    <row r="2938" spans="1:1" x14ac:dyDescent="0.25">
      <c r="A2938" s="125" t="s">
        <v>3004</v>
      </c>
    </row>
    <row r="2939" spans="1:1" x14ac:dyDescent="0.25">
      <c r="A2939" s="125" t="s">
        <v>3005</v>
      </c>
    </row>
    <row r="2940" spans="1:1" x14ac:dyDescent="0.25">
      <c r="A2940" s="124" t="s">
        <v>3006</v>
      </c>
    </row>
    <row r="2941" spans="1:1" x14ac:dyDescent="0.25">
      <c r="A2941" s="124" t="s">
        <v>3007</v>
      </c>
    </row>
    <row r="2942" spans="1:1" x14ac:dyDescent="0.25">
      <c r="A2942" s="125" t="s">
        <v>3008</v>
      </c>
    </row>
    <row r="2943" spans="1:1" x14ac:dyDescent="0.25">
      <c r="A2943" s="125" t="s">
        <v>3009</v>
      </c>
    </row>
    <row r="2944" spans="1:1" x14ac:dyDescent="0.25">
      <c r="A2944" s="125" t="s">
        <v>3010</v>
      </c>
    </row>
    <row r="2945" spans="1:1" x14ac:dyDescent="0.25">
      <c r="A2945" s="125" t="s">
        <v>3011</v>
      </c>
    </row>
    <row r="2946" spans="1:1" x14ac:dyDescent="0.25">
      <c r="A2946" s="124" t="s">
        <v>3012</v>
      </c>
    </row>
    <row r="2947" spans="1:1" x14ac:dyDescent="0.25">
      <c r="A2947" s="124" t="s">
        <v>3013</v>
      </c>
    </row>
    <row r="2948" spans="1:1" x14ac:dyDescent="0.25">
      <c r="A2948" s="125" t="s">
        <v>3014</v>
      </c>
    </row>
    <row r="2949" spans="1:1" x14ac:dyDescent="0.25">
      <c r="A2949" s="125" t="s">
        <v>3015</v>
      </c>
    </row>
    <row r="2950" spans="1:1" x14ac:dyDescent="0.25">
      <c r="A2950" s="125" t="s">
        <v>3016</v>
      </c>
    </row>
    <row r="2951" spans="1:1" x14ac:dyDescent="0.25">
      <c r="A2951" s="125" t="s">
        <v>3017</v>
      </c>
    </row>
    <row r="2952" spans="1:1" x14ac:dyDescent="0.25">
      <c r="A2952" s="124" t="s">
        <v>3018</v>
      </c>
    </row>
    <row r="2953" spans="1:1" x14ac:dyDescent="0.25">
      <c r="A2953" s="124" t="s">
        <v>3019</v>
      </c>
    </row>
    <row r="2954" spans="1:1" x14ac:dyDescent="0.25">
      <c r="A2954" s="125" t="s">
        <v>3020</v>
      </c>
    </row>
    <row r="2955" spans="1:1" x14ac:dyDescent="0.25">
      <c r="A2955" s="125" t="s">
        <v>3021</v>
      </c>
    </row>
    <row r="2956" spans="1:1" x14ac:dyDescent="0.25">
      <c r="A2956" s="125" t="s">
        <v>3022</v>
      </c>
    </row>
    <row r="2957" spans="1:1" x14ac:dyDescent="0.25">
      <c r="A2957" s="125" t="s">
        <v>3023</v>
      </c>
    </row>
    <row r="2958" spans="1:1" x14ac:dyDescent="0.25">
      <c r="A2958" s="124" t="s">
        <v>3024</v>
      </c>
    </row>
    <row r="2959" spans="1:1" x14ac:dyDescent="0.25">
      <c r="A2959" s="124" t="s">
        <v>3025</v>
      </c>
    </row>
    <row r="2960" spans="1:1" x14ac:dyDescent="0.25">
      <c r="A2960" s="125" t="s">
        <v>3026</v>
      </c>
    </row>
    <row r="2961" spans="1:1" x14ac:dyDescent="0.25">
      <c r="A2961" s="125" t="s">
        <v>3027</v>
      </c>
    </row>
    <row r="2962" spans="1:1" x14ac:dyDescent="0.25">
      <c r="A2962" s="125" t="s">
        <v>3028</v>
      </c>
    </row>
    <row r="2963" spans="1:1" x14ac:dyDescent="0.25">
      <c r="A2963" s="125" t="s">
        <v>3029</v>
      </c>
    </row>
    <row r="2964" spans="1:1" x14ac:dyDescent="0.25">
      <c r="A2964" s="124" t="s">
        <v>3030</v>
      </c>
    </row>
    <row r="2965" spans="1:1" x14ac:dyDescent="0.25">
      <c r="A2965" s="124" t="s">
        <v>3031</v>
      </c>
    </row>
    <row r="2966" spans="1:1" x14ac:dyDescent="0.25">
      <c r="A2966" s="125" t="s">
        <v>3032</v>
      </c>
    </row>
    <row r="2967" spans="1:1" x14ac:dyDescent="0.25">
      <c r="A2967" s="125" t="s">
        <v>3033</v>
      </c>
    </row>
    <row r="2968" spans="1:1" x14ac:dyDescent="0.25">
      <c r="A2968" s="125" t="s">
        <v>3034</v>
      </c>
    </row>
    <row r="2969" spans="1:1" x14ac:dyDescent="0.25">
      <c r="A2969" s="125" t="s">
        <v>3035</v>
      </c>
    </row>
    <row r="2970" spans="1:1" x14ac:dyDescent="0.25">
      <c r="A2970" s="124" t="s">
        <v>3036</v>
      </c>
    </row>
    <row r="2971" spans="1:1" x14ac:dyDescent="0.25">
      <c r="A2971" s="124" t="s">
        <v>3037</v>
      </c>
    </row>
    <row r="2972" spans="1:1" x14ac:dyDescent="0.25">
      <c r="A2972" s="125" t="s">
        <v>3038</v>
      </c>
    </row>
    <row r="2973" spans="1:1" x14ac:dyDescent="0.25">
      <c r="A2973" s="125" t="s">
        <v>3039</v>
      </c>
    </row>
    <row r="2974" spans="1:1" x14ac:dyDescent="0.25">
      <c r="A2974" s="125" t="s">
        <v>3040</v>
      </c>
    </row>
    <row r="2975" spans="1:1" x14ac:dyDescent="0.25">
      <c r="A2975" s="125" t="s">
        <v>3041</v>
      </c>
    </row>
    <row r="2976" spans="1:1" x14ac:dyDescent="0.25">
      <c r="A2976" s="124" t="s">
        <v>3042</v>
      </c>
    </row>
    <row r="2977" spans="1:1" x14ac:dyDescent="0.25">
      <c r="A2977" s="124" t="s">
        <v>3043</v>
      </c>
    </row>
    <row r="2978" spans="1:1" x14ac:dyDescent="0.25">
      <c r="A2978" s="125" t="s">
        <v>3044</v>
      </c>
    </row>
    <row r="2979" spans="1:1" x14ac:dyDescent="0.25">
      <c r="A2979" s="125" t="s">
        <v>3045</v>
      </c>
    </row>
    <row r="2980" spans="1:1" x14ac:dyDescent="0.25">
      <c r="A2980" s="125" t="s">
        <v>3046</v>
      </c>
    </row>
    <row r="2981" spans="1:1" x14ac:dyDescent="0.25">
      <c r="A2981" s="125" t="s">
        <v>3047</v>
      </c>
    </row>
    <row r="2982" spans="1:1" x14ac:dyDescent="0.25">
      <c r="A2982" s="124" t="s">
        <v>3048</v>
      </c>
    </row>
    <row r="2983" spans="1:1" x14ac:dyDescent="0.25">
      <c r="A2983" s="124" t="s">
        <v>3049</v>
      </c>
    </row>
    <row r="2984" spans="1:1" x14ac:dyDescent="0.25">
      <c r="A2984" s="125" t="s">
        <v>3050</v>
      </c>
    </row>
    <row r="2985" spans="1:1" x14ac:dyDescent="0.25">
      <c r="A2985" s="125" t="s">
        <v>3051</v>
      </c>
    </row>
    <row r="2986" spans="1:1" x14ac:dyDescent="0.25">
      <c r="A2986" s="125" t="s">
        <v>3052</v>
      </c>
    </row>
    <row r="2987" spans="1:1" x14ac:dyDescent="0.25">
      <c r="A2987" s="125" t="s">
        <v>3053</v>
      </c>
    </row>
    <row r="2988" spans="1:1" x14ac:dyDescent="0.25">
      <c r="A2988" s="124" t="s">
        <v>3054</v>
      </c>
    </row>
    <row r="2989" spans="1:1" x14ac:dyDescent="0.25">
      <c r="A2989" s="124" t="s">
        <v>3055</v>
      </c>
    </row>
    <row r="2990" spans="1:1" x14ac:dyDescent="0.25">
      <c r="A2990" s="125" t="s">
        <v>3056</v>
      </c>
    </row>
    <row r="2991" spans="1:1" x14ac:dyDescent="0.25">
      <c r="A2991" s="125" t="s">
        <v>3057</v>
      </c>
    </row>
    <row r="2992" spans="1:1" x14ac:dyDescent="0.25">
      <c r="A2992" s="125" t="s">
        <v>3058</v>
      </c>
    </row>
    <row r="2993" spans="1:1" x14ac:dyDescent="0.25">
      <c r="A2993" s="125" t="s">
        <v>3059</v>
      </c>
    </row>
    <row r="2994" spans="1:1" x14ac:dyDescent="0.25">
      <c r="A2994" s="124" t="s">
        <v>3060</v>
      </c>
    </row>
    <row r="2995" spans="1:1" x14ac:dyDescent="0.25">
      <c r="A2995" s="124" t="s">
        <v>3061</v>
      </c>
    </row>
    <row r="2996" spans="1:1" x14ac:dyDescent="0.25">
      <c r="A2996" s="125" t="s">
        <v>3062</v>
      </c>
    </row>
    <row r="2997" spans="1:1" x14ac:dyDescent="0.25">
      <c r="A2997" s="125" t="s">
        <v>3063</v>
      </c>
    </row>
    <row r="2998" spans="1:1" x14ac:dyDescent="0.25">
      <c r="A2998" s="125" t="s">
        <v>3064</v>
      </c>
    </row>
    <row r="2999" spans="1:1" x14ac:dyDescent="0.25">
      <c r="A2999" s="125" t="s">
        <v>3065</v>
      </c>
    </row>
    <row r="3000" spans="1:1" x14ac:dyDescent="0.25">
      <c r="A3000" s="124" t="s">
        <v>3066</v>
      </c>
    </row>
    <row r="3001" spans="1:1" x14ac:dyDescent="0.25">
      <c r="A3001" s="124" t="s">
        <v>3067</v>
      </c>
    </row>
    <row r="3002" spans="1:1" x14ac:dyDescent="0.25">
      <c r="A3002" s="125" t="s">
        <v>3068</v>
      </c>
    </row>
    <row r="3003" spans="1:1" x14ac:dyDescent="0.25">
      <c r="A3003" s="125" t="s">
        <v>3069</v>
      </c>
    </row>
    <row r="3004" spans="1:1" x14ac:dyDescent="0.25">
      <c r="A3004" s="125" t="s">
        <v>3070</v>
      </c>
    </row>
    <row r="3005" spans="1:1" x14ac:dyDescent="0.25">
      <c r="A3005" s="125" t="s">
        <v>3071</v>
      </c>
    </row>
    <row r="3006" spans="1:1" x14ac:dyDescent="0.25">
      <c r="A3006" s="124" t="s">
        <v>3072</v>
      </c>
    </row>
    <row r="3007" spans="1:1" x14ac:dyDescent="0.25">
      <c r="A3007" s="124" t="s">
        <v>3073</v>
      </c>
    </row>
    <row r="3008" spans="1:1" x14ac:dyDescent="0.25">
      <c r="A3008" s="125" t="s">
        <v>3074</v>
      </c>
    </row>
    <row r="3009" spans="1:1" x14ac:dyDescent="0.25">
      <c r="A3009" s="125" t="s">
        <v>3075</v>
      </c>
    </row>
    <row r="3010" spans="1:1" x14ac:dyDescent="0.25">
      <c r="A3010" s="125" t="s">
        <v>3076</v>
      </c>
    </row>
    <row r="3011" spans="1:1" x14ac:dyDescent="0.25">
      <c r="A3011" s="125" t="s">
        <v>3077</v>
      </c>
    </row>
    <row r="3012" spans="1:1" x14ac:dyDescent="0.25">
      <c r="A3012" s="124" t="s">
        <v>3078</v>
      </c>
    </row>
    <row r="3013" spans="1:1" x14ac:dyDescent="0.25">
      <c r="A3013" s="124" t="s">
        <v>3079</v>
      </c>
    </row>
    <row r="3014" spans="1:1" x14ac:dyDescent="0.25">
      <c r="A3014" s="125" t="s">
        <v>3080</v>
      </c>
    </row>
    <row r="3015" spans="1:1" x14ac:dyDescent="0.25">
      <c r="A3015" s="124" t="s">
        <v>3081</v>
      </c>
    </row>
    <row r="3016" spans="1:1" x14ac:dyDescent="0.25">
      <c r="A3016" s="124" t="s">
        <v>3082</v>
      </c>
    </row>
    <row r="3017" spans="1:1" x14ac:dyDescent="0.25">
      <c r="A3017" t="s">
        <v>3083</v>
      </c>
    </row>
    <row r="3018" spans="1:1" x14ac:dyDescent="0.25">
      <c r="A3018" s="124" t="s">
        <v>3084</v>
      </c>
    </row>
    <row r="3019" spans="1:1" x14ac:dyDescent="0.25">
      <c r="A3019" s="124" t="s">
        <v>3085</v>
      </c>
    </row>
    <row r="3020" spans="1:1" x14ac:dyDescent="0.25">
      <c r="A3020" s="124" t="s">
        <v>3086</v>
      </c>
    </row>
    <row r="3021" spans="1:1" x14ac:dyDescent="0.25">
      <c r="A3021" s="27" t="s">
        <v>3087</v>
      </c>
    </row>
    <row r="3022" spans="1:1" x14ac:dyDescent="0.25">
      <c r="A3022" s="125" t="s">
        <v>3088</v>
      </c>
    </row>
    <row r="3023" spans="1:1" x14ac:dyDescent="0.25">
      <c r="A3023" s="124" t="s">
        <v>3089</v>
      </c>
    </row>
    <row r="3024" spans="1:1" x14ac:dyDescent="0.25">
      <c r="A3024" t="s">
        <v>3090</v>
      </c>
    </row>
    <row r="3025" spans="1:1" x14ac:dyDescent="0.25">
      <c r="A3025" s="125" t="s">
        <v>3091</v>
      </c>
    </row>
    <row r="3026" spans="1:1" x14ac:dyDescent="0.25">
      <c r="A3026" s="125" t="s">
        <v>3092</v>
      </c>
    </row>
    <row r="3027" spans="1:1" x14ac:dyDescent="0.25">
      <c r="A3027" s="27" t="s">
        <v>3093</v>
      </c>
    </row>
    <row r="3028" spans="1:1" x14ac:dyDescent="0.25">
      <c r="A3028" s="27" t="s">
        <v>3094</v>
      </c>
    </row>
    <row r="3029" spans="1:1" x14ac:dyDescent="0.25">
      <c r="A3029" s="27" t="s">
        <v>3095</v>
      </c>
    </row>
    <row r="3030" spans="1:1" x14ac:dyDescent="0.25">
      <c r="A3030" t="s">
        <v>3096</v>
      </c>
    </row>
    <row r="3031" spans="1:1" ht="255" x14ac:dyDescent="0.25">
      <c r="A3031" s="126" t="s">
        <v>3097</v>
      </c>
    </row>
    <row r="3032" spans="1:1" ht="270" x14ac:dyDescent="0.25">
      <c r="A3032" s="126" t="s">
        <v>3098</v>
      </c>
    </row>
    <row r="3033" spans="1:1" x14ac:dyDescent="0.25">
      <c r="A3033" s="124" t="s">
        <v>3099</v>
      </c>
    </row>
    <row r="3034" spans="1:1" x14ac:dyDescent="0.25">
      <c r="A3034" t="s">
        <v>3100</v>
      </c>
    </row>
    <row r="3035" spans="1:1" x14ac:dyDescent="0.25">
      <c r="A3035" s="125" t="s">
        <v>3101</v>
      </c>
    </row>
    <row r="3036" spans="1:1" x14ac:dyDescent="0.25">
      <c r="A3036" s="124" t="s">
        <v>3102</v>
      </c>
    </row>
    <row r="3037" spans="1:1" x14ac:dyDescent="0.25">
      <c r="A3037" t="s">
        <v>3103</v>
      </c>
    </row>
    <row r="3038" spans="1:1" x14ac:dyDescent="0.25">
      <c r="A3038" s="125" t="s">
        <v>3104</v>
      </c>
    </row>
    <row r="3039" spans="1:1" x14ac:dyDescent="0.25">
      <c r="A3039" s="125" t="s">
        <v>3105</v>
      </c>
    </row>
    <row r="3040" spans="1:1" x14ac:dyDescent="0.25">
      <c r="A3040" s="124" t="s">
        <v>3106</v>
      </c>
    </row>
    <row r="3041" spans="1:1" x14ac:dyDescent="0.25">
      <c r="A3041" t="s">
        <v>3107</v>
      </c>
    </row>
    <row r="3042" spans="1:1" x14ac:dyDescent="0.25">
      <c r="A3042" s="125" t="s">
        <v>3108</v>
      </c>
    </row>
    <row r="3043" spans="1:1" x14ac:dyDescent="0.25">
      <c r="A3043" s="124" t="s">
        <v>3109</v>
      </c>
    </row>
    <row r="3044" spans="1:1" x14ac:dyDescent="0.25">
      <c r="A3044" t="s">
        <v>3110</v>
      </c>
    </row>
    <row r="3045" spans="1:1" x14ac:dyDescent="0.25">
      <c r="A3045" s="125" t="s">
        <v>3111</v>
      </c>
    </row>
    <row r="3046" spans="1:1" x14ac:dyDescent="0.25">
      <c r="A3046" s="125" t="s">
        <v>3112</v>
      </c>
    </row>
    <row r="3047" spans="1:1" x14ac:dyDescent="0.25">
      <c r="A3047" s="124" t="s">
        <v>3113</v>
      </c>
    </row>
    <row r="3048" spans="1:1" x14ac:dyDescent="0.25">
      <c r="A3048" t="s">
        <v>3114</v>
      </c>
    </row>
    <row r="3049" spans="1:1" x14ac:dyDescent="0.25">
      <c r="A3049" s="124" t="s">
        <v>3115</v>
      </c>
    </row>
    <row r="3050" spans="1:1" x14ac:dyDescent="0.25">
      <c r="A3050" s="125" t="s">
        <v>3116</v>
      </c>
    </row>
    <row r="3051" spans="1:1" x14ac:dyDescent="0.25">
      <c r="A3051" s="124" t="s">
        <v>3117</v>
      </c>
    </row>
    <row r="3052" spans="1:1" x14ac:dyDescent="0.25">
      <c r="A3052" t="s">
        <v>3118</v>
      </c>
    </row>
    <row r="3053" spans="1:1" x14ac:dyDescent="0.25">
      <c r="A3053" s="125" t="s">
        <v>3119</v>
      </c>
    </row>
    <row r="3054" spans="1:1" x14ac:dyDescent="0.25">
      <c r="A3054" s="125" t="s">
        <v>3120</v>
      </c>
    </row>
    <row r="3055" spans="1:1" x14ac:dyDescent="0.25">
      <c r="A3055" s="27" t="s">
        <v>3121</v>
      </c>
    </row>
    <row r="3056" spans="1:1" x14ac:dyDescent="0.25">
      <c r="A3056" s="27" t="s">
        <v>3122</v>
      </c>
    </row>
    <row r="3057" spans="1:1" x14ac:dyDescent="0.25">
      <c r="A3057" s="27" t="s">
        <v>3123</v>
      </c>
    </row>
    <row r="3058" spans="1:1" x14ac:dyDescent="0.25">
      <c r="A3058" t="s">
        <v>3124</v>
      </c>
    </row>
    <row r="3059" spans="1:1" x14ac:dyDescent="0.25">
      <c r="A3059" s="27" t="s">
        <v>3125</v>
      </c>
    </row>
    <row r="3060" spans="1:1" ht="255" x14ac:dyDescent="0.25">
      <c r="A3060" s="126" t="s">
        <v>3126</v>
      </c>
    </row>
    <row r="3061" spans="1:1" ht="270" x14ac:dyDescent="0.25">
      <c r="A3061" s="126" t="s">
        <v>3127</v>
      </c>
    </row>
    <row r="3062" spans="1:1" x14ac:dyDescent="0.25">
      <c r="A3062" s="124" t="s">
        <v>3128</v>
      </c>
    </row>
    <row r="3063" spans="1:1" x14ac:dyDescent="0.25">
      <c r="A3063" t="s">
        <v>3129</v>
      </c>
    </row>
    <row r="3064" spans="1:1" x14ac:dyDescent="0.25">
      <c r="A3064" s="125" t="s">
        <v>3130</v>
      </c>
    </row>
    <row r="3065" spans="1:1" x14ac:dyDescent="0.25">
      <c r="A3065" s="124" t="s">
        <v>3131</v>
      </c>
    </row>
    <row r="3066" spans="1:1" x14ac:dyDescent="0.25">
      <c r="A3066" t="s">
        <v>3132</v>
      </c>
    </row>
    <row r="3067" spans="1:1" x14ac:dyDescent="0.25">
      <c r="A3067" s="125" t="s">
        <v>3133</v>
      </c>
    </row>
    <row r="3068" spans="1:1" x14ac:dyDescent="0.25">
      <c r="A3068" s="125" t="s">
        <v>3134</v>
      </c>
    </row>
    <row r="3069" spans="1:1" x14ac:dyDescent="0.25">
      <c r="A3069" s="124" t="s">
        <v>3135</v>
      </c>
    </row>
    <row r="3070" spans="1:1" x14ac:dyDescent="0.25">
      <c r="A3070" t="s">
        <v>3136</v>
      </c>
    </row>
    <row r="3071" spans="1:1" x14ac:dyDescent="0.25">
      <c r="A3071" s="125" t="s">
        <v>3137</v>
      </c>
    </row>
    <row r="3072" spans="1:1" x14ac:dyDescent="0.25">
      <c r="A3072" s="124" t="s">
        <v>3138</v>
      </c>
    </row>
    <row r="3073" spans="1:1" x14ac:dyDescent="0.25">
      <c r="A3073" t="s">
        <v>3139</v>
      </c>
    </row>
    <row r="3074" spans="1:1" x14ac:dyDescent="0.25">
      <c r="A3074" s="125" t="s">
        <v>3140</v>
      </c>
    </row>
    <row r="3075" spans="1:1" x14ac:dyDescent="0.25">
      <c r="A3075" s="125" t="s">
        <v>3141</v>
      </c>
    </row>
    <row r="3076" spans="1:1" x14ac:dyDescent="0.25">
      <c r="A3076" t="s">
        <v>3142</v>
      </c>
    </row>
    <row r="3077" spans="1:1" x14ac:dyDescent="0.25">
      <c r="A3077" t="s">
        <v>3143</v>
      </c>
    </row>
    <row r="3078" spans="1:1" x14ac:dyDescent="0.25">
      <c r="A3078" t="s">
        <v>3144</v>
      </c>
    </row>
    <row r="3079" spans="1:1" x14ac:dyDescent="0.25">
      <c r="A3079" t="s">
        <v>3145</v>
      </c>
    </row>
    <row r="3080" spans="1:1" x14ac:dyDescent="0.25">
      <c r="A3080" t="s">
        <v>3146</v>
      </c>
    </row>
    <row r="3081" spans="1:1" x14ac:dyDescent="0.25">
      <c r="A3081" t="s">
        <v>3147</v>
      </c>
    </row>
    <row r="3082" spans="1:1" x14ac:dyDescent="0.25">
      <c r="A3082" t="s">
        <v>3148</v>
      </c>
    </row>
    <row r="3083" spans="1:1" x14ac:dyDescent="0.25">
      <c r="A3083" t="s">
        <v>3149</v>
      </c>
    </row>
    <row r="3084" spans="1:1" x14ac:dyDescent="0.25">
      <c r="A3084" s="124" t="s">
        <v>3150</v>
      </c>
    </row>
    <row r="3085" spans="1:1" x14ac:dyDescent="0.25">
      <c r="A3085" s="124" t="s">
        <v>3151</v>
      </c>
    </row>
    <row r="3086" spans="1:1" x14ac:dyDescent="0.25">
      <c r="A3086" t="s">
        <v>3152</v>
      </c>
    </row>
    <row r="3087" spans="1:1" x14ac:dyDescent="0.25">
      <c r="A3087" s="124" t="s">
        <v>3153</v>
      </c>
    </row>
    <row r="3088" spans="1:1" x14ac:dyDescent="0.25">
      <c r="A3088" s="124" t="s">
        <v>3154</v>
      </c>
    </row>
    <row r="3089" spans="1:1" x14ac:dyDescent="0.25">
      <c r="A3089" s="124" t="s">
        <v>3155</v>
      </c>
    </row>
    <row r="3090" spans="1:1" x14ac:dyDescent="0.25">
      <c r="A3090" s="124" t="s">
        <v>3156</v>
      </c>
    </row>
    <row r="3091" spans="1:1" x14ac:dyDescent="0.25">
      <c r="A3091" s="27" t="s">
        <v>3157</v>
      </c>
    </row>
    <row r="3092" spans="1:1" x14ac:dyDescent="0.25">
      <c r="A3092" s="125" t="s">
        <v>3158</v>
      </c>
    </row>
    <row r="3093" spans="1:1" x14ac:dyDescent="0.25">
      <c r="A3093" s="124" t="s">
        <v>3159</v>
      </c>
    </row>
    <row r="3094" spans="1:1" x14ac:dyDescent="0.25">
      <c r="A3094" t="s">
        <v>3160</v>
      </c>
    </row>
    <row r="3095" spans="1:1" x14ac:dyDescent="0.25">
      <c r="A3095" s="125" t="s">
        <v>3161</v>
      </c>
    </row>
    <row r="3096" spans="1:1" x14ac:dyDescent="0.25">
      <c r="A3096" s="125" t="s">
        <v>3162</v>
      </c>
    </row>
    <row r="3097" spans="1:1" x14ac:dyDescent="0.25">
      <c r="A3097" s="27" t="s">
        <v>3163</v>
      </c>
    </row>
    <row r="3098" spans="1:1" x14ac:dyDescent="0.25">
      <c r="A3098" s="27" t="s">
        <v>3164</v>
      </c>
    </row>
    <row r="3099" spans="1:1" x14ac:dyDescent="0.25">
      <c r="A3099" s="27" t="s">
        <v>3165</v>
      </c>
    </row>
    <row r="3100" spans="1:1" x14ac:dyDescent="0.25">
      <c r="A3100" t="s">
        <v>3166</v>
      </c>
    </row>
    <row r="3101" spans="1:1" ht="255" x14ac:dyDescent="0.25">
      <c r="A3101" s="126" t="s">
        <v>3167</v>
      </c>
    </row>
    <row r="3102" spans="1:1" ht="270" x14ac:dyDescent="0.25">
      <c r="A3102" s="126" t="s">
        <v>3168</v>
      </c>
    </row>
    <row r="3103" spans="1:1" x14ac:dyDescent="0.25">
      <c r="A3103" s="124" t="s">
        <v>3169</v>
      </c>
    </row>
    <row r="3104" spans="1:1" x14ac:dyDescent="0.25">
      <c r="A3104" t="s">
        <v>3170</v>
      </c>
    </row>
    <row r="3105" spans="1:1" x14ac:dyDescent="0.25">
      <c r="A3105" s="125" t="s">
        <v>3171</v>
      </c>
    </row>
    <row r="3106" spans="1:1" x14ac:dyDescent="0.25">
      <c r="A3106" s="124" t="s">
        <v>3172</v>
      </c>
    </row>
    <row r="3107" spans="1:1" x14ac:dyDescent="0.25">
      <c r="A3107" t="s">
        <v>3173</v>
      </c>
    </row>
    <row r="3108" spans="1:1" x14ac:dyDescent="0.25">
      <c r="A3108" s="125" t="s">
        <v>3174</v>
      </c>
    </row>
    <row r="3109" spans="1:1" x14ac:dyDescent="0.25">
      <c r="A3109" s="125" t="s">
        <v>3175</v>
      </c>
    </row>
    <row r="3110" spans="1:1" x14ac:dyDescent="0.25">
      <c r="A3110" s="125" t="s">
        <v>3176</v>
      </c>
    </row>
    <row r="3111" spans="1:1" x14ac:dyDescent="0.25">
      <c r="A3111" s="124" t="s">
        <v>3177</v>
      </c>
    </row>
    <row r="3112" spans="1:1" x14ac:dyDescent="0.25">
      <c r="A3112" t="s">
        <v>3178</v>
      </c>
    </row>
    <row r="3113" spans="1:1" x14ac:dyDescent="0.25">
      <c r="A3113" s="125" t="s">
        <v>3179</v>
      </c>
    </row>
    <row r="3114" spans="1:1" x14ac:dyDescent="0.25">
      <c r="A3114" s="125" t="s">
        <v>3180</v>
      </c>
    </row>
    <row r="3115" spans="1:1" x14ac:dyDescent="0.25">
      <c r="A3115" s="27" t="s">
        <v>3181</v>
      </c>
    </row>
    <row r="3116" spans="1:1" x14ac:dyDescent="0.25">
      <c r="A3116" s="27" t="s">
        <v>3182</v>
      </c>
    </row>
    <row r="3117" spans="1:1" x14ac:dyDescent="0.25">
      <c r="A3117" s="27" t="s">
        <v>3183</v>
      </c>
    </row>
    <row r="3118" spans="1:1" x14ac:dyDescent="0.25">
      <c r="A3118" t="s">
        <v>3184</v>
      </c>
    </row>
    <row r="3119" spans="1:1" x14ac:dyDescent="0.25">
      <c r="A3119" s="124" t="s">
        <v>3185</v>
      </c>
    </row>
    <row r="3120" spans="1:1" x14ac:dyDescent="0.25">
      <c r="A3120" t="s">
        <v>3186</v>
      </c>
    </row>
    <row r="3121" spans="1:1" x14ac:dyDescent="0.25">
      <c r="A3121" s="125" t="s">
        <v>3187</v>
      </c>
    </row>
    <row r="3122" spans="1:1" x14ac:dyDescent="0.25">
      <c r="A3122" s="124" t="s">
        <v>3188</v>
      </c>
    </row>
    <row r="3123" spans="1:1" x14ac:dyDescent="0.25">
      <c r="A3123" t="s">
        <v>3189</v>
      </c>
    </row>
    <row r="3124" spans="1:1" x14ac:dyDescent="0.25">
      <c r="A3124" s="125" t="s">
        <v>3190</v>
      </c>
    </row>
    <row r="3125" spans="1:1" x14ac:dyDescent="0.25">
      <c r="A3125" s="125" t="s">
        <v>3191</v>
      </c>
    </row>
    <row r="3126" spans="1:1" x14ac:dyDescent="0.25">
      <c r="A3126" t="s">
        <v>3192</v>
      </c>
    </row>
    <row r="3127" spans="1:1" x14ac:dyDescent="0.25">
      <c r="A3127" t="s">
        <v>3193</v>
      </c>
    </row>
    <row r="3128" spans="1:1" x14ac:dyDescent="0.25">
      <c r="A3128" t="s">
        <v>3194</v>
      </c>
    </row>
    <row r="3129" spans="1:1" x14ac:dyDescent="0.25">
      <c r="A3129" t="s">
        <v>3195</v>
      </c>
    </row>
    <row r="3130" spans="1:1" x14ac:dyDescent="0.25">
      <c r="A3130" t="s">
        <v>3196</v>
      </c>
    </row>
    <row r="3131" spans="1:1" x14ac:dyDescent="0.25">
      <c r="A3131" t="s">
        <v>3197</v>
      </c>
    </row>
    <row r="3132" spans="1:1" x14ac:dyDescent="0.25">
      <c r="A3132" s="124" t="s">
        <v>3198</v>
      </c>
    </row>
    <row r="3133" spans="1:1" x14ac:dyDescent="0.25">
      <c r="A3133" t="s">
        <v>3199</v>
      </c>
    </row>
    <row r="3134" spans="1:1" x14ac:dyDescent="0.25">
      <c r="A3134" s="124" t="s">
        <v>3200</v>
      </c>
    </row>
    <row r="3135" spans="1:1" x14ac:dyDescent="0.25">
      <c r="A3135" s="27" t="s">
        <v>3201</v>
      </c>
    </row>
    <row r="3136" spans="1:1" ht="255" x14ac:dyDescent="0.25">
      <c r="A3136" s="126" t="s">
        <v>3202</v>
      </c>
    </row>
    <row r="3137" spans="1:1" ht="270" x14ac:dyDescent="0.25">
      <c r="A3137" s="126" t="s">
        <v>3203</v>
      </c>
    </row>
    <row r="3138" spans="1:1" x14ac:dyDescent="0.25">
      <c r="A3138" s="124" t="s">
        <v>3204</v>
      </c>
    </row>
    <row r="3139" spans="1:1" x14ac:dyDescent="0.25">
      <c r="A3139" t="s">
        <v>3205</v>
      </c>
    </row>
    <row r="3140" spans="1:1" x14ac:dyDescent="0.25">
      <c r="A3140" s="125" t="s">
        <v>3206</v>
      </c>
    </row>
    <row r="3141" spans="1:1" x14ac:dyDescent="0.25">
      <c r="A3141" s="124" t="s">
        <v>3207</v>
      </c>
    </row>
    <row r="3142" spans="1:1" x14ac:dyDescent="0.25">
      <c r="A3142" t="s">
        <v>3208</v>
      </c>
    </row>
    <row r="3143" spans="1:1" x14ac:dyDescent="0.25">
      <c r="A3143" s="125" t="s">
        <v>3209</v>
      </c>
    </row>
    <row r="3144" spans="1:1" x14ac:dyDescent="0.25">
      <c r="A3144" s="125" t="s">
        <v>3210</v>
      </c>
    </row>
    <row r="3145" spans="1:1" x14ac:dyDescent="0.25">
      <c r="A3145" s="124" t="s">
        <v>3211</v>
      </c>
    </row>
    <row r="3146" spans="1:1" x14ac:dyDescent="0.25">
      <c r="A3146" t="s">
        <v>3212</v>
      </c>
    </row>
    <row r="3147" spans="1:1" x14ac:dyDescent="0.25">
      <c r="A3147" s="125" t="s">
        <v>3213</v>
      </c>
    </row>
    <row r="3148" spans="1:1" x14ac:dyDescent="0.25">
      <c r="A3148" s="124" t="s">
        <v>3214</v>
      </c>
    </row>
    <row r="3149" spans="1:1" x14ac:dyDescent="0.25">
      <c r="A3149" t="s">
        <v>3215</v>
      </c>
    </row>
    <row r="3150" spans="1:1" x14ac:dyDescent="0.25">
      <c r="A3150" s="125" t="s">
        <v>3216</v>
      </c>
    </row>
    <row r="3151" spans="1:1" x14ac:dyDescent="0.25">
      <c r="A3151" s="125" t="s">
        <v>3217</v>
      </c>
    </row>
    <row r="3152" spans="1:1" x14ac:dyDescent="0.25">
      <c r="A3152" s="124" t="s">
        <v>3218</v>
      </c>
    </row>
    <row r="3153" spans="1:1" x14ac:dyDescent="0.25">
      <c r="A3153" s="124" t="s">
        <v>3219</v>
      </c>
    </row>
    <row r="3154" spans="1:1" x14ac:dyDescent="0.25">
      <c r="A3154" t="s">
        <v>3220</v>
      </c>
    </row>
    <row r="3155" spans="1:1" x14ac:dyDescent="0.25">
      <c r="A3155" s="124" t="s">
        <v>3221</v>
      </c>
    </row>
    <row r="3156" spans="1:1" x14ac:dyDescent="0.25">
      <c r="A3156" s="124" t="s">
        <v>3222</v>
      </c>
    </row>
    <row r="3157" spans="1:1" x14ac:dyDescent="0.25">
      <c r="A3157" s="124" t="s">
        <v>3223</v>
      </c>
    </row>
    <row r="3158" spans="1:1" x14ac:dyDescent="0.25">
      <c r="A3158" s="124" t="s">
        <v>3224</v>
      </c>
    </row>
    <row r="3159" spans="1:1" x14ac:dyDescent="0.25">
      <c r="A3159" s="27" t="s">
        <v>3225</v>
      </c>
    </row>
    <row r="3160" spans="1:1" x14ac:dyDescent="0.25">
      <c r="A3160" s="125" t="s">
        <v>3226</v>
      </c>
    </row>
    <row r="3161" spans="1:1" x14ac:dyDescent="0.25">
      <c r="A3161" s="124" t="s">
        <v>3227</v>
      </c>
    </row>
    <row r="3162" spans="1:1" x14ac:dyDescent="0.25">
      <c r="A3162" t="s">
        <v>3228</v>
      </c>
    </row>
    <row r="3163" spans="1:1" x14ac:dyDescent="0.25">
      <c r="A3163" s="125" t="s">
        <v>3229</v>
      </c>
    </row>
    <row r="3164" spans="1:1" x14ac:dyDescent="0.25">
      <c r="A3164" s="125" t="s">
        <v>3230</v>
      </c>
    </row>
    <row r="3165" spans="1:1" x14ac:dyDescent="0.25">
      <c r="A3165" s="27" t="s">
        <v>3231</v>
      </c>
    </row>
    <row r="3166" spans="1:1" x14ac:dyDescent="0.25">
      <c r="A3166" s="27" t="s">
        <v>3232</v>
      </c>
    </row>
    <row r="3167" spans="1:1" x14ac:dyDescent="0.25">
      <c r="A3167" s="27" t="s">
        <v>3233</v>
      </c>
    </row>
    <row r="3168" spans="1:1" x14ac:dyDescent="0.25">
      <c r="A3168" t="s">
        <v>3234</v>
      </c>
    </row>
    <row r="3169" spans="1:1" ht="255" x14ac:dyDescent="0.25">
      <c r="A3169" s="126" t="s">
        <v>3235</v>
      </c>
    </row>
    <row r="3170" spans="1:1" ht="270" x14ac:dyDescent="0.25">
      <c r="A3170" s="126" t="s">
        <v>3236</v>
      </c>
    </row>
    <row r="3171" spans="1:1" x14ac:dyDescent="0.25">
      <c r="A3171" s="124" t="s">
        <v>3237</v>
      </c>
    </row>
    <row r="3172" spans="1:1" x14ac:dyDescent="0.25">
      <c r="A3172" t="s">
        <v>3238</v>
      </c>
    </row>
    <row r="3173" spans="1:1" x14ac:dyDescent="0.25">
      <c r="A3173" s="125" t="s">
        <v>3239</v>
      </c>
    </row>
    <row r="3174" spans="1:1" x14ac:dyDescent="0.25">
      <c r="A3174" s="124" t="s">
        <v>3240</v>
      </c>
    </row>
    <row r="3175" spans="1:1" x14ac:dyDescent="0.25">
      <c r="A3175" t="s">
        <v>3241</v>
      </c>
    </row>
    <row r="3176" spans="1:1" x14ac:dyDescent="0.25">
      <c r="A3176" s="125" t="s">
        <v>3242</v>
      </c>
    </row>
    <row r="3177" spans="1:1" x14ac:dyDescent="0.25">
      <c r="A3177" s="125" t="s">
        <v>3243</v>
      </c>
    </row>
    <row r="3178" spans="1:1" x14ac:dyDescent="0.25">
      <c r="A3178" s="125" t="s">
        <v>3244</v>
      </c>
    </row>
    <row r="3179" spans="1:1" x14ac:dyDescent="0.25">
      <c r="A3179" s="124" t="s">
        <v>3245</v>
      </c>
    </row>
    <row r="3180" spans="1:1" x14ac:dyDescent="0.25">
      <c r="A3180" t="s">
        <v>3246</v>
      </c>
    </row>
    <row r="3181" spans="1:1" x14ac:dyDescent="0.25">
      <c r="A3181" s="125" t="s">
        <v>3247</v>
      </c>
    </row>
    <row r="3182" spans="1:1" x14ac:dyDescent="0.25">
      <c r="A3182" s="125" t="s">
        <v>3248</v>
      </c>
    </row>
    <row r="3183" spans="1:1" x14ac:dyDescent="0.25">
      <c r="A3183" s="27" t="s">
        <v>3249</v>
      </c>
    </row>
    <row r="3184" spans="1:1" x14ac:dyDescent="0.25">
      <c r="A3184" s="27" t="s">
        <v>3250</v>
      </c>
    </row>
    <row r="3185" spans="1:1" x14ac:dyDescent="0.25">
      <c r="A3185" s="27" t="s">
        <v>3251</v>
      </c>
    </row>
    <row r="3186" spans="1:1" x14ac:dyDescent="0.25">
      <c r="A3186" t="s">
        <v>3252</v>
      </c>
    </row>
    <row r="3187" spans="1:1" x14ac:dyDescent="0.25">
      <c r="A3187" s="124" t="s">
        <v>3253</v>
      </c>
    </row>
    <row r="3188" spans="1:1" x14ac:dyDescent="0.25">
      <c r="A3188" t="s">
        <v>3254</v>
      </c>
    </row>
    <row r="3189" spans="1:1" x14ac:dyDescent="0.25">
      <c r="A3189" s="125" t="s">
        <v>3255</v>
      </c>
    </row>
    <row r="3190" spans="1:1" x14ac:dyDescent="0.25">
      <c r="A3190" s="124" t="s">
        <v>3256</v>
      </c>
    </row>
    <row r="3191" spans="1:1" x14ac:dyDescent="0.25">
      <c r="A3191" t="s">
        <v>3257</v>
      </c>
    </row>
    <row r="3192" spans="1:1" x14ac:dyDescent="0.25">
      <c r="A3192" s="125" t="s">
        <v>3258</v>
      </c>
    </row>
    <row r="3193" spans="1:1" x14ac:dyDescent="0.25">
      <c r="A3193" s="125" t="s">
        <v>3259</v>
      </c>
    </row>
    <row r="3194" spans="1:1" x14ac:dyDescent="0.25">
      <c r="A3194" s="124" t="s">
        <v>3260</v>
      </c>
    </row>
    <row r="3195" spans="1:1" x14ac:dyDescent="0.25">
      <c r="A3195" s="124" t="s">
        <v>3261</v>
      </c>
    </row>
    <row r="3196" spans="1:1" x14ac:dyDescent="0.25">
      <c r="A3196" t="s">
        <v>3262</v>
      </c>
    </row>
    <row r="3197" spans="1:1" x14ac:dyDescent="0.25">
      <c r="A3197" s="124" t="s">
        <v>3263</v>
      </c>
    </row>
    <row r="3198" spans="1:1" x14ac:dyDescent="0.25">
      <c r="A3198" s="124" t="s">
        <v>3264</v>
      </c>
    </row>
    <row r="3199" spans="1:1" x14ac:dyDescent="0.25">
      <c r="A3199" s="124" t="s">
        <v>3265</v>
      </c>
    </row>
    <row r="3200" spans="1:1" x14ac:dyDescent="0.25">
      <c r="A3200" s="124" t="s">
        <v>3266</v>
      </c>
    </row>
    <row r="3201" spans="1:1" x14ac:dyDescent="0.25">
      <c r="A3201" s="27" t="s">
        <v>3267</v>
      </c>
    </row>
    <row r="3202" spans="1:1" x14ac:dyDescent="0.25">
      <c r="A3202" s="125" t="s">
        <v>3268</v>
      </c>
    </row>
    <row r="3203" spans="1:1" x14ac:dyDescent="0.25">
      <c r="A3203" s="124" t="s">
        <v>3269</v>
      </c>
    </row>
    <row r="3204" spans="1:1" x14ac:dyDescent="0.25">
      <c r="A3204" t="s">
        <v>3270</v>
      </c>
    </row>
    <row r="3205" spans="1:1" x14ac:dyDescent="0.25">
      <c r="A3205" s="125" t="s">
        <v>3271</v>
      </c>
    </row>
    <row r="3206" spans="1:1" x14ac:dyDescent="0.25">
      <c r="A3206" s="125" t="s">
        <v>3272</v>
      </c>
    </row>
    <row r="3207" spans="1:1" x14ac:dyDescent="0.25">
      <c r="A3207" s="27" t="s">
        <v>3273</v>
      </c>
    </row>
    <row r="3208" spans="1:1" x14ac:dyDescent="0.25">
      <c r="A3208" s="27" t="s">
        <v>3274</v>
      </c>
    </row>
    <row r="3209" spans="1:1" x14ac:dyDescent="0.25">
      <c r="A3209" s="27" t="s">
        <v>3275</v>
      </c>
    </row>
    <row r="3210" spans="1:1" x14ac:dyDescent="0.25">
      <c r="A3210" t="s">
        <v>3276</v>
      </c>
    </row>
    <row r="3211" spans="1:1" ht="255" x14ac:dyDescent="0.25">
      <c r="A3211" s="126" t="s">
        <v>3277</v>
      </c>
    </row>
    <row r="3212" spans="1:1" ht="270" x14ac:dyDescent="0.25">
      <c r="A3212" s="126" t="s">
        <v>3278</v>
      </c>
    </row>
    <row r="3213" spans="1:1" x14ac:dyDescent="0.25">
      <c r="A3213" s="124" t="s">
        <v>3279</v>
      </c>
    </row>
    <row r="3214" spans="1:1" x14ac:dyDescent="0.25">
      <c r="A3214" t="s">
        <v>3280</v>
      </c>
    </row>
    <row r="3215" spans="1:1" x14ac:dyDescent="0.25">
      <c r="A3215" s="125" t="s">
        <v>3281</v>
      </c>
    </row>
    <row r="3216" spans="1:1" x14ac:dyDescent="0.25">
      <c r="A3216" s="124" t="s">
        <v>3282</v>
      </c>
    </row>
    <row r="3217" spans="1:1" x14ac:dyDescent="0.25">
      <c r="A3217" t="s">
        <v>3283</v>
      </c>
    </row>
    <row r="3218" spans="1:1" x14ac:dyDescent="0.25">
      <c r="A3218" s="125" t="s">
        <v>3284</v>
      </c>
    </row>
    <row r="3219" spans="1:1" x14ac:dyDescent="0.25">
      <c r="A3219" s="125" t="s">
        <v>3285</v>
      </c>
    </row>
    <row r="3220" spans="1:1" x14ac:dyDescent="0.25">
      <c r="A3220" s="124" t="s">
        <v>3286</v>
      </c>
    </row>
    <row r="3221" spans="1:1" x14ac:dyDescent="0.25">
      <c r="A3221" t="s">
        <v>3287</v>
      </c>
    </row>
    <row r="3222" spans="1:1" x14ac:dyDescent="0.25">
      <c r="A3222" s="125" t="s">
        <v>3288</v>
      </c>
    </row>
    <row r="3223" spans="1:1" x14ac:dyDescent="0.25">
      <c r="A3223" s="124" t="s">
        <v>3289</v>
      </c>
    </row>
    <row r="3224" spans="1:1" x14ac:dyDescent="0.25">
      <c r="A3224" t="s">
        <v>3290</v>
      </c>
    </row>
    <row r="3225" spans="1:1" x14ac:dyDescent="0.25">
      <c r="A3225" s="125" t="s">
        <v>3291</v>
      </c>
    </row>
    <row r="3226" spans="1:1" x14ac:dyDescent="0.25">
      <c r="A3226" s="125" t="s">
        <v>3292</v>
      </c>
    </row>
    <row r="3227" spans="1:1" x14ac:dyDescent="0.25">
      <c r="A3227" s="124" t="s">
        <v>3293</v>
      </c>
    </row>
    <row r="3228" spans="1:1" x14ac:dyDescent="0.25">
      <c r="A3228" s="124" t="s">
        <v>3294</v>
      </c>
    </row>
    <row r="3229" spans="1:1" x14ac:dyDescent="0.25">
      <c r="A3229" t="s">
        <v>3295</v>
      </c>
    </row>
    <row r="3230" spans="1:1" x14ac:dyDescent="0.25">
      <c r="A3230" s="124" t="s">
        <v>3296</v>
      </c>
    </row>
    <row r="3231" spans="1:1" x14ac:dyDescent="0.25">
      <c r="A3231" s="124" t="s">
        <v>3297</v>
      </c>
    </row>
    <row r="3232" spans="1:1" x14ac:dyDescent="0.25">
      <c r="A3232" s="27" t="s">
        <v>3298</v>
      </c>
    </row>
    <row r="3233" spans="1:1" x14ac:dyDescent="0.25">
      <c r="A3233" s="125" t="s">
        <v>3299</v>
      </c>
    </row>
    <row r="3234" spans="1:1" x14ac:dyDescent="0.25">
      <c r="A3234" s="124" t="s">
        <v>3300</v>
      </c>
    </row>
    <row r="3235" spans="1:1" x14ac:dyDescent="0.25">
      <c r="A3235" t="s">
        <v>3301</v>
      </c>
    </row>
    <row r="3236" spans="1:1" x14ac:dyDescent="0.25">
      <c r="A3236" s="125" t="s">
        <v>3302</v>
      </c>
    </row>
    <row r="3237" spans="1:1" x14ac:dyDescent="0.25">
      <c r="A3237" s="125" t="s">
        <v>3303</v>
      </c>
    </row>
    <row r="3238" spans="1:1" x14ac:dyDescent="0.25">
      <c r="A3238" t="s">
        <v>3304</v>
      </c>
    </row>
    <row r="3239" spans="1:1" x14ac:dyDescent="0.25">
      <c r="A3239" t="s">
        <v>3305</v>
      </c>
    </row>
    <row r="3240" spans="1:1" x14ac:dyDescent="0.25">
      <c r="A3240" t="s">
        <v>3306</v>
      </c>
    </row>
    <row r="3241" spans="1:1" x14ac:dyDescent="0.25">
      <c r="A3241" t="s">
        <v>3307</v>
      </c>
    </row>
    <row r="3242" spans="1:1" x14ac:dyDescent="0.25">
      <c r="A3242" t="s">
        <v>3308</v>
      </c>
    </row>
    <row r="3243" spans="1:1" x14ac:dyDescent="0.25">
      <c r="A3243" t="s">
        <v>3309</v>
      </c>
    </row>
    <row r="3244" spans="1:1" x14ac:dyDescent="0.25">
      <c r="A3244" t="s">
        <v>3310</v>
      </c>
    </row>
    <row r="3245" spans="1:1" x14ac:dyDescent="0.25">
      <c r="A3245" s="27" t="s">
        <v>3311</v>
      </c>
    </row>
    <row r="3246" spans="1:1" x14ac:dyDescent="0.25">
      <c r="A3246" s="27" t="s">
        <v>3312</v>
      </c>
    </row>
    <row r="3247" spans="1:1" x14ac:dyDescent="0.25">
      <c r="A3247" s="27" t="s">
        <v>3313</v>
      </c>
    </row>
    <row r="3248" spans="1:1" x14ac:dyDescent="0.25">
      <c r="A3248" t="s">
        <v>3314</v>
      </c>
    </row>
    <row r="3249" spans="1:1" ht="255" x14ac:dyDescent="0.25">
      <c r="A3249" s="126" t="s">
        <v>3315</v>
      </c>
    </row>
    <row r="3250" spans="1:1" ht="270" x14ac:dyDescent="0.25">
      <c r="A3250" s="126" t="s">
        <v>3316</v>
      </c>
    </row>
    <row r="3251" spans="1:1" x14ac:dyDescent="0.25">
      <c r="A3251" s="124" t="s">
        <v>3317</v>
      </c>
    </row>
    <row r="3252" spans="1:1" x14ac:dyDescent="0.25">
      <c r="A3252" t="s">
        <v>3318</v>
      </c>
    </row>
    <row r="3253" spans="1:1" x14ac:dyDescent="0.25">
      <c r="A3253" s="125" t="s">
        <v>3319</v>
      </c>
    </row>
    <row r="3254" spans="1:1" x14ac:dyDescent="0.25">
      <c r="A3254" s="124" t="s">
        <v>3320</v>
      </c>
    </row>
    <row r="3255" spans="1:1" x14ac:dyDescent="0.25">
      <c r="A3255" t="s">
        <v>3321</v>
      </c>
    </row>
    <row r="3256" spans="1:1" x14ac:dyDescent="0.25">
      <c r="A3256" s="125" t="s">
        <v>3322</v>
      </c>
    </row>
    <row r="3257" spans="1:1" x14ac:dyDescent="0.25">
      <c r="A3257" s="125" t="s">
        <v>3323</v>
      </c>
    </row>
    <row r="3258" spans="1:1" x14ac:dyDescent="0.25">
      <c r="A3258" s="124" t="s">
        <v>3324</v>
      </c>
    </row>
    <row r="3259" spans="1:1" x14ac:dyDescent="0.25">
      <c r="A3259" t="s">
        <v>3325</v>
      </c>
    </row>
    <row r="3260" spans="1:1" x14ac:dyDescent="0.25">
      <c r="A3260" s="125" t="s">
        <v>3326</v>
      </c>
    </row>
    <row r="3261" spans="1:1" x14ac:dyDescent="0.25">
      <c r="A3261" s="124" t="s">
        <v>3327</v>
      </c>
    </row>
    <row r="3262" spans="1:1" x14ac:dyDescent="0.25">
      <c r="A3262" t="s">
        <v>3328</v>
      </c>
    </row>
    <row r="3263" spans="1:1" x14ac:dyDescent="0.25">
      <c r="A3263" s="125" t="s">
        <v>3329</v>
      </c>
    </row>
    <row r="3264" spans="1:1" x14ac:dyDescent="0.25">
      <c r="A3264" s="125" t="s">
        <v>3330</v>
      </c>
    </row>
    <row r="3265" spans="1:1" x14ac:dyDescent="0.25">
      <c r="A3265" t="s">
        <v>3331</v>
      </c>
    </row>
    <row r="3266" spans="1:1" x14ac:dyDescent="0.25">
      <c r="A3266" t="s">
        <v>3332</v>
      </c>
    </row>
    <row r="3267" spans="1:1" x14ac:dyDescent="0.25">
      <c r="A3267" t="s">
        <v>3333</v>
      </c>
    </row>
    <row r="3268" spans="1:1" x14ac:dyDescent="0.25">
      <c r="A3268" s="124" t="s">
        <v>3334</v>
      </c>
    </row>
    <row r="3269" spans="1:1" x14ac:dyDescent="0.25">
      <c r="A3269" t="s">
        <v>3335</v>
      </c>
    </row>
    <row r="3270" spans="1:1" x14ac:dyDescent="0.25">
      <c r="A3270" s="124" t="s">
        <v>3336</v>
      </c>
    </row>
    <row r="3271" spans="1:1" x14ac:dyDescent="0.25">
      <c r="A3271" s="27" t="s">
        <v>3337</v>
      </c>
    </row>
    <row r="3272" spans="1:1" ht="255" x14ac:dyDescent="0.25">
      <c r="A3272" s="126" t="s">
        <v>3338</v>
      </c>
    </row>
    <row r="3273" spans="1:1" ht="270" x14ac:dyDescent="0.25">
      <c r="A3273" s="126" t="s">
        <v>3339</v>
      </c>
    </row>
    <row r="3274" spans="1:1" x14ac:dyDescent="0.25">
      <c r="A3274" s="124" t="s">
        <v>3340</v>
      </c>
    </row>
    <row r="3275" spans="1:1" x14ac:dyDescent="0.25">
      <c r="A3275" t="s">
        <v>3341</v>
      </c>
    </row>
    <row r="3276" spans="1:1" x14ac:dyDescent="0.25">
      <c r="A3276" s="125" t="s">
        <v>3342</v>
      </c>
    </row>
    <row r="3277" spans="1:1" x14ac:dyDescent="0.25">
      <c r="A3277" s="124" t="s">
        <v>3343</v>
      </c>
    </row>
    <row r="3278" spans="1:1" x14ac:dyDescent="0.25">
      <c r="A3278" t="s">
        <v>3344</v>
      </c>
    </row>
    <row r="3279" spans="1:1" x14ac:dyDescent="0.25">
      <c r="A3279" s="125" t="s">
        <v>3345</v>
      </c>
    </row>
    <row r="3280" spans="1:1" x14ac:dyDescent="0.25">
      <c r="A3280" s="125" t="s">
        <v>3346</v>
      </c>
    </row>
    <row r="3281" spans="1:1" x14ac:dyDescent="0.25">
      <c r="A3281" t="s">
        <v>3347</v>
      </c>
    </row>
    <row r="3282" spans="1:1" x14ac:dyDescent="0.25">
      <c r="A3282" t="s">
        <v>3348</v>
      </c>
    </row>
    <row r="3283" spans="1:1" x14ac:dyDescent="0.25">
      <c r="A3283" t="s">
        <v>3349</v>
      </c>
    </row>
    <row r="3284" spans="1:1" x14ac:dyDescent="0.25">
      <c r="A3284" s="124" t="s">
        <v>3350</v>
      </c>
    </row>
    <row r="3285" spans="1:1" x14ac:dyDescent="0.25">
      <c r="A3285" t="s">
        <v>3351</v>
      </c>
    </row>
    <row r="3286" spans="1:1" x14ac:dyDescent="0.25">
      <c r="A3286" s="125" t="s">
        <v>3352</v>
      </c>
    </row>
    <row r="3287" spans="1:1" x14ac:dyDescent="0.25">
      <c r="A3287" s="124" t="s">
        <v>3353</v>
      </c>
    </row>
    <row r="3288" spans="1:1" x14ac:dyDescent="0.25">
      <c r="A3288" t="s">
        <v>3354</v>
      </c>
    </row>
    <row r="3289" spans="1:1" x14ac:dyDescent="0.25">
      <c r="A3289" s="125" t="s">
        <v>3355</v>
      </c>
    </row>
    <row r="3290" spans="1:1" x14ac:dyDescent="0.25">
      <c r="A3290" s="125" t="s">
        <v>3356</v>
      </c>
    </row>
    <row r="3291" spans="1:1" x14ac:dyDescent="0.25">
      <c r="A3291" t="s">
        <v>3357</v>
      </c>
    </row>
    <row r="3292" spans="1:1" x14ac:dyDescent="0.25">
      <c r="A3292" t="s">
        <v>3358</v>
      </c>
    </row>
    <row r="3293" spans="1:1" x14ac:dyDescent="0.25">
      <c r="A3293" t="s">
        <v>3359</v>
      </c>
    </row>
    <row r="3294" spans="1:1" x14ac:dyDescent="0.25">
      <c r="A3294" t="s">
        <v>3360</v>
      </c>
    </row>
    <row r="3295" spans="1:1" x14ac:dyDescent="0.25">
      <c r="A3295" t="s">
        <v>3361</v>
      </c>
    </row>
    <row r="3296" spans="1:1" x14ac:dyDescent="0.25">
      <c r="A3296" t="s">
        <v>3362</v>
      </c>
    </row>
    <row r="3297" spans="1:1" x14ac:dyDescent="0.25">
      <c r="A3297" t="s">
        <v>3363</v>
      </c>
    </row>
    <row r="3298" spans="1:1" x14ac:dyDescent="0.25">
      <c r="A3298" t="s">
        <v>3364</v>
      </c>
    </row>
    <row r="3299" spans="1:1" x14ac:dyDescent="0.25">
      <c r="A3299" s="124" t="s">
        <v>3365</v>
      </c>
    </row>
    <row r="3300" spans="1:1" x14ac:dyDescent="0.25">
      <c r="A3300" s="124" t="s">
        <v>3366</v>
      </c>
    </row>
    <row r="3301" spans="1:1" x14ac:dyDescent="0.25">
      <c r="A3301" t="s">
        <v>3367</v>
      </c>
    </row>
    <row r="3302" spans="1:1" x14ac:dyDescent="0.25">
      <c r="A3302" s="124" t="s">
        <v>3368</v>
      </c>
    </row>
    <row r="3303" spans="1:1" x14ac:dyDescent="0.25">
      <c r="A3303" s="124" t="s">
        <v>3369</v>
      </c>
    </row>
    <row r="3304" spans="1:1" x14ac:dyDescent="0.25">
      <c r="A3304" s="124" t="s">
        <v>3370</v>
      </c>
    </row>
    <row r="3305" spans="1:1" x14ac:dyDescent="0.25">
      <c r="A3305" s="27" t="s">
        <v>3371</v>
      </c>
    </row>
    <row r="3306" spans="1:1" x14ac:dyDescent="0.25">
      <c r="A3306" s="125" t="s">
        <v>3372</v>
      </c>
    </row>
    <row r="3307" spans="1:1" x14ac:dyDescent="0.25">
      <c r="A3307" s="124" t="s">
        <v>3373</v>
      </c>
    </row>
    <row r="3308" spans="1:1" x14ac:dyDescent="0.25">
      <c r="A3308" t="s">
        <v>3374</v>
      </c>
    </row>
    <row r="3309" spans="1:1" x14ac:dyDescent="0.25">
      <c r="A3309" s="125" t="s">
        <v>3375</v>
      </c>
    </row>
    <row r="3310" spans="1:1" x14ac:dyDescent="0.25">
      <c r="A3310" s="125" t="s">
        <v>3376</v>
      </c>
    </row>
    <row r="3311" spans="1:1" x14ac:dyDescent="0.25">
      <c r="A3311" s="27" t="s">
        <v>3377</v>
      </c>
    </row>
    <row r="3312" spans="1:1" x14ac:dyDescent="0.25">
      <c r="A3312" s="27" t="s">
        <v>3378</v>
      </c>
    </row>
    <row r="3313" spans="1:1" x14ac:dyDescent="0.25">
      <c r="A3313" s="27" t="s">
        <v>3379</v>
      </c>
    </row>
    <row r="3314" spans="1:1" x14ac:dyDescent="0.25">
      <c r="A3314" t="s">
        <v>3380</v>
      </c>
    </row>
    <row r="3315" spans="1:1" ht="255" x14ac:dyDescent="0.25">
      <c r="A3315" s="126" t="s">
        <v>3381</v>
      </c>
    </row>
    <row r="3316" spans="1:1" ht="270" x14ac:dyDescent="0.25">
      <c r="A3316" s="126" t="s">
        <v>3382</v>
      </c>
    </row>
    <row r="3317" spans="1:1" x14ac:dyDescent="0.25">
      <c r="A3317" s="124" t="s">
        <v>3383</v>
      </c>
    </row>
    <row r="3318" spans="1:1" x14ac:dyDescent="0.25">
      <c r="A3318" t="s">
        <v>3384</v>
      </c>
    </row>
    <row r="3319" spans="1:1" x14ac:dyDescent="0.25">
      <c r="A3319" s="125" t="s">
        <v>3385</v>
      </c>
    </row>
    <row r="3320" spans="1:1" x14ac:dyDescent="0.25">
      <c r="A3320" s="124" t="s">
        <v>3386</v>
      </c>
    </row>
    <row r="3321" spans="1:1" x14ac:dyDescent="0.25">
      <c r="A3321" t="s">
        <v>3387</v>
      </c>
    </row>
    <row r="3322" spans="1:1" x14ac:dyDescent="0.25">
      <c r="A3322" s="125" t="s">
        <v>3388</v>
      </c>
    </row>
    <row r="3323" spans="1:1" x14ac:dyDescent="0.25">
      <c r="A3323" s="125" t="s">
        <v>3389</v>
      </c>
    </row>
    <row r="3324" spans="1:1" x14ac:dyDescent="0.25">
      <c r="A3324" s="125" t="s">
        <v>3390</v>
      </c>
    </row>
    <row r="3325" spans="1:1" x14ac:dyDescent="0.25">
      <c r="A3325" s="124" t="s">
        <v>3391</v>
      </c>
    </row>
    <row r="3326" spans="1:1" x14ac:dyDescent="0.25">
      <c r="A3326" t="s">
        <v>3392</v>
      </c>
    </row>
    <row r="3327" spans="1:1" x14ac:dyDescent="0.25">
      <c r="A3327" s="125" t="s">
        <v>3393</v>
      </c>
    </row>
    <row r="3328" spans="1:1" x14ac:dyDescent="0.25">
      <c r="A3328" s="125" t="s">
        <v>3394</v>
      </c>
    </row>
    <row r="3329" spans="1:1" x14ac:dyDescent="0.25">
      <c r="A3329" s="27" t="s">
        <v>3395</v>
      </c>
    </row>
    <row r="3330" spans="1:1" x14ac:dyDescent="0.25">
      <c r="A3330" s="27" t="s">
        <v>3396</v>
      </c>
    </row>
    <row r="3331" spans="1:1" x14ac:dyDescent="0.25">
      <c r="A3331" s="27" t="s">
        <v>3397</v>
      </c>
    </row>
    <row r="3332" spans="1:1" x14ac:dyDescent="0.25">
      <c r="A3332" t="s">
        <v>3398</v>
      </c>
    </row>
    <row r="3333" spans="1:1" x14ac:dyDescent="0.25">
      <c r="A3333" s="124" t="s">
        <v>3399</v>
      </c>
    </row>
    <row r="3334" spans="1:1" x14ac:dyDescent="0.25">
      <c r="A3334" t="s">
        <v>3400</v>
      </c>
    </row>
    <row r="3335" spans="1:1" x14ac:dyDescent="0.25">
      <c r="A3335" s="125" t="s">
        <v>3401</v>
      </c>
    </row>
    <row r="3336" spans="1:1" x14ac:dyDescent="0.25">
      <c r="A3336" s="124" t="s">
        <v>3402</v>
      </c>
    </row>
    <row r="3337" spans="1:1" x14ac:dyDescent="0.25">
      <c r="A3337" t="s">
        <v>3403</v>
      </c>
    </row>
    <row r="3338" spans="1:1" x14ac:dyDescent="0.25">
      <c r="A3338" s="125" t="s">
        <v>3404</v>
      </c>
    </row>
    <row r="3339" spans="1:1" x14ac:dyDescent="0.25">
      <c r="A3339" s="125" t="s">
        <v>3405</v>
      </c>
    </row>
    <row r="3340" spans="1:1" x14ac:dyDescent="0.25">
      <c r="A3340" s="124" t="s">
        <v>3406</v>
      </c>
    </row>
    <row r="3341" spans="1:1" x14ac:dyDescent="0.25">
      <c r="A3341" t="s">
        <v>3407</v>
      </c>
    </row>
    <row r="3342" spans="1:1" x14ac:dyDescent="0.25">
      <c r="A3342" s="124" t="s">
        <v>3408</v>
      </c>
    </row>
    <row r="3343" spans="1:1" x14ac:dyDescent="0.25">
      <c r="A3343" s="27" t="s">
        <v>3409</v>
      </c>
    </row>
    <row r="3344" spans="1:1" ht="255" x14ac:dyDescent="0.25">
      <c r="A3344" s="126" t="s">
        <v>3410</v>
      </c>
    </row>
    <row r="3345" spans="1:1" ht="270" x14ac:dyDescent="0.25">
      <c r="A3345" s="126" t="s">
        <v>3411</v>
      </c>
    </row>
    <row r="3346" spans="1:1" x14ac:dyDescent="0.25">
      <c r="A3346" s="124" t="s">
        <v>3412</v>
      </c>
    </row>
    <row r="3347" spans="1:1" x14ac:dyDescent="0.25">
      <c r="A3347" t="s">
        <v>3413</v>
      </c>
    </row>
    <row r="3348" spans="1:1" x14ac:dyDescent="0.25">
      <c r="A3348" s="125" t="s">
        <v>3414</v>
      </c>
    </row>
    <row r="3349" spans="1:1" x14ac:dyDescent="0.25">
      <c r="A3349" s="124" t="s">
        <v>3415</v>
      </c>
    </row>
    <row r="3350" spans="1:1" x14ac:dyDescent="0.25">
      <c r="A3350" t="s">
        <v>3416</v>
      </c>
    </row>
    <row r="3351" spans="1:1" x14ac:dyDescent="0.25">
      <c r="A3351" s="125" t="s">
        <v>3417</v>
      </c>
    </row>
    <row r="3352" spans="1:1" x14ac:dyDescent="0.25">
      <c r="A3352" s="125" t="s">
        <v>3418</v>
      </c>
    </row>
    <row r="3353" spans="1:1" x14ac:dyDescent="0.25">
      <c r="A3353" s="124" t="s">
        <v>3419</v>
      </c>
    </row>
    <row r="3354" spans="1:1" x14ac:dyDescent="0.25">
      <c r="A3354" t="s">
        <v>3420</v>
      </c>
    </row>
    <row r="3355" spans="1:1" x14ac:dyDescent="0.25">
      <c r="A3355" s="125" t="s">
        <v>3421</v>
      </c>
    </row>
    <row r="3356" spans="1:1" x14ac:dyDescent="0.25">
      <c r="A3356" s="124" t="s">
        <v>3422</v>
      </c>
    </row>
    <row r="3357" spans="1:1" x14ac:dyDescent="0.25">
      <c r="A3357" t="s">
        <v>3423</v>
      </c>
    </row>
    <row r="3358" spans="1:1" x14ac:dyDescent="0.25">
      <c r="A3358" s="125" t="s">
        <v>3424</v>
      </c>
    </row>
    <row r="3359" spans="1:1" x14ac:dyDescent="0.25">
      <c r="A3359" s="125" t="s">
        <v>3425</v>
      </c>
    </row>
    <row r="3360" spans="1:1" x14ac:dyDescent="0.25">
      <c r="A3360" t="s">
        <v>3426</v>
      </c>
    </row>
    <row r="3361" spans="1:1" x14ac:dyDescent="0.25">
      <c r="A3361" t="s">
        <v>3427</v>
      </c>
    </row>
    <row r="3362" spans="1:1" x14ac:dyDescent="0.25">
      <c r="A3362" t="s">
        <v>3428</v>
      </c>
    </row>
    <row r="3363" spans="1:1" x14ac:dyDescent="0.25">
      <c r="A3363" t="s">
        <v>3429</v>
      </c>
    </row>
    <row r="3364" spans="1:1" x14ac:dyDescent="0.25">
      <c r="A3364" t="s">
        <v>3430</v>
      </c>
    </row>
    <row r="3365" spans="1:1" x14ac:dyDescent="0.25">
      <c r="A3365" t="s">
        <v>3431</v>
      </c>
    </row>
    <row r="3366" spans="1:1" x14ac:dyDescent="0.25">
      <c r="A3366" t="s">
        <v>3432</v>
      </c>
    </row>
    <row r="3367" spans="1:1" x14ac:dyDescent="0.25">
      <c r="A3367" t="s">
        <v>3433</v>
      </c>
    </row>
    <row r="3368" spans="1:1" x14ac:dyDescent="0.25">
      <c r="A3368" t="s">
        <v>3434</v>
      </c>
    </row>
    <row r="3369" spans="1:1" x14ac:dyDescent="0.25">
      <c r="A3369" t="s">
        <v>3435</v>
      </c>
    </row>
    <row r="3370" spans="1:1" x14ac:dyDescent="0.25">
      <c r="A3370" s="125" t="s">
        <v>3436</v>
      </c>
    </row>
    <row r="3371" spans="1:1" x14ac:dyDescent="0.25">
      <c r="A3371" s="125" t="s">
        <v>3437</v>
      </c>
    </row>
    <row r="3372" spans="1:1" x14ac:dyDescent="0.25">
      <c r="A3372" s="125" t="s">
        <v>3438</v>
      </c>
    </row>
    <row r="3373" spans="1:1" x14ac:dyDescent="0.25">
      <c r="A3373" s="124" t="s">
        <v>3439</v>
      </c>
    </row>
    <row r="3374" spans="1:1" x14ac:dyDescent="0.25">
      <c r="A3374" s="124" t="s">
        <v>3440</v>
      </c>
    </row>
    <row r="3375" spans="1:1" x14ac:dyDescent="0.25">
      <c r="A3375" s="125" t="s">
        <v>3441</v>
      </c>
    </row>
    <row r="3376" spans="1:1" x14ac:dyDescent="0.25">
      <c r="A3376" s="125" t="s">
        <v>3442</v>
      </c>
    </row>
    <row r="3377" spans="1:1" x14ac:dyDescent="0.25">
      <c r="A3377" s="125" t="s">
        <v>3443</v>
      </c>
    </row>
    <row r="3378" spans="1:1" x14ac:dyDescent="0.25">
      <c r="A3378" s="125" t="s">
        <v>3444</v>
      </c>
    </row>
    <row r="3379" spans="1:1" x14ac:dyDescent="0.25">
      <c r="A3379" s="124" t="s">
        <v>3445</v>
      </c>
    </row>
    <row r="3380" spans="1:1" x14ac:dyDescent="0.25">
      <c r="A3380" s="124" t="s">
        <v>3446</v>
      </c>
    </row>
    <row r="3381" spans="1:1" x14ac:dyDescent="0.25">
      <c r="A3381" s="125" t="s">
        <v>3447</v>
      </c>
    </row>
    <row r="3382" spans="1:1" x14ac:dyDescent="0.25">
      <c r="A3382" s="125" t="s">
        <v>3448</v>
      </c>
    </row>
    <row r="3383" spans="1:1" x14ac:dyDescent="0.25">
      <c r="A3383" s="125" t="s">
        <v>3449</v>
      </c>
    </row>
    <row r="3384" spans="1:1" x14ac:dyDescent="0.25">
      <c r="A3384" s="125" t="s">
        <v>3450</v>
      </c>
    </row>
    <row r="3385" spans="1:1" x14ac:dyDescent="0.25">
      <c r="A3385" s="124" t="s">
        <v>3451</v>
      </c>
    </row>
    <row r="3386" spans="1:1" x14ac:dyDescent="0.25">
      <c r="A3386" s="124" t="s">
        <v>3452</v>
      </c>
    </row>
    <row r="3387" spans="1:1" x14ac:dyDescent="0.25">
      <c r="A3387" s="125" t="s">
        <v>3453</v>
      </c>
    </row>
    <row r="3388" spans="1:1" x14ac:dyDescent="0.25">
      <c r="A3388" s="125" t="s">
        <v>3454</v>
      </c>
    </row>
    <row r="3389" spans="1:1" x14ac:dyDescent="0.25">
      <c r="A3389" s="125" t="s">
        <v>3455</v>
      </c>
    </row>
    <row r="3390" spans="1:1" x14ac:dyDescent="0.25">
      <c r="A3390" s="125" t="s">
        <v>3456</v>
      </c>
    </row>
    <row r="3391" spans="1:1" x14ac:dyDescent="0.25">
      <c r="A3391" s="124" t="s">
        <v>3457</v>
      </c>
    </row>
    <row r="3392" spans="1:1" x14ac:dyDescent="0.25">
      <c r="A3392" s="124" t="s">
        <v>3458</v>
      </c>
    </row>
    <row r="3393" spans="1:1" x14ac:dyDescent="0.25">
      <c r="A3393" s="125" t="s">
        <v>3459</v>
      </c>
    </row>
    <row r="3394" spans="1:1" x14ac:dyDescent="0.25">
      <c r="A3394" s="125" t="s">
        <v>3460</v>
      </c>
    </row>
    <row r="3395" spans="1:1" x14ac:dyDescent="0.25">
      <c r="A3395" s="125" t="s">
        <v>3461</v>
      </c>
    </row>
    <row r="3396" spans="1:1" x14ac:dyDescent="0.25">
      <c r="A3396" s="125" t="s">
        <v>3462</v>
      </c>
    </row>
    <row r="3397" spans="1:1" x14ac:dyDescent="0.25">
      <c r="A3397" s="124" t="s">
        <v>3463</v>
      </c>
    </row>
    <row r="3398" spans="1:1" x14ac:dyDescent="0.25">
      <c r="A3398" s="124" t="s">
        <v>3464</v>
      </c>
    </row>
    <row r="3399" spans="1:1" x14ac:dyDescent="0.25">
      <c r="A3399" s="125" t="s">
        <v>3465</v>
      </c>
    </row>
    <row r="3400" spans="1:1" x14ac:dyDescent="0.25">
      <c r="A3400" s="125" t="s">
        <v>3466</v>
      </c>
    </row>
    <row r="3401" spans="1:1" x14ac:dyDescent="0.25">
      <c r="A3401" s="125" t="s">
        <v>3467</v>
      </c>
    </row>
    <row r="3402" spans="1:1" x14ac:dyDescent="0.25">
      <c r="A3402" s="125" t="s">
        <v>3468</v>
      </c>
    </row>
    <row r="3403" spans="1:1" x14ac:dyDescent="0.25">
      <c r="A3403" s="124" t="s">
        <v>3469</v>
      </c>
    </row>
    <row r="3404" spans="1:1" x14ac:dyDescent="0.25">
      <c r="A3404" s="124" t="s">
        <v>3470</v>
      </c>
    </row>
    <row r="3405" spans="1:1" x14ac:dyDescent="0.25">
      <c r="A3405" s="125" t="s">
        <v>3471</v>
      </c>
    </row>
    <row r="3406" spans="1:1" x14ac:dyDescent="0.25">
      <c r="A3406" s="125" t="s">
        <v>3472</v>
      </c>
    </row>
    <row r="3407" spans="1:1" x14ac:dyDescent="0.25">
      <c r="A3407" s="125" t="s">
        <v>3473</v>
      </c>
    </row>
    <row r="3408" spans="1:1" x14ac:dyDescent="0.25">
      <c r="A3408" s="125" t="s">
        <v>3474</v>
      </c>
    </row>
    <row r="3409" spans="1:1" x14ac:dyDescent="0.25">
      <c r="A3409" s="124" t="s">
        <v>3475</v>
      </c>
    </row>
    <row r="3410" spans="1:1" x14ac:dyDescent="0.25">
      <c r="A3410" s="124" t="s">
        <v>3476</v>
      </c>
    </row>
    <row r="3411" spans="1:1" x14ac:dyDescent="0.25">
      <c r="A3411" s="125" t="s">
        <v>3477</v>
      </c>
    </row>
    <row r="3412" spans="1:1" x14ac:dyDescent="0.25">
      <c r="A3412" s="125" t="s">
        <v>3478</v>
      </c>
    </row>
    <row r="3413" spans="1:1" x14ac:dyDescent="0.25">
      <c r="A3413" s="125" t="s">
        <v>3479</v>
      </c>
    </row>
    <row r="3414" spans="1:1" x14ac:dyDescent="0.25">
      <c r="A3414" s="125" t="s">
        <v>3480</v>
      </c>
    </row>
    <row r="3415" spans="1:1" x14ac:dyDescent="0.25">
      <c r="A3415" s="124" t="s">
        <v>3481</v>
      </c>
    </row>
    <row r="3416" spans="1:1" x14ac:dyDescent="0.25">
      <c r="A3416" s="124" t="s">
        <v>3482</v>
      </c>
    </row>
    <row r="3417" spans="1:1" x14ac:dyDescent="0.25">
      <c r="A3417" s="125" t="s">
        <v>3483</v>
      </c>
    </row>
    <row r="3418" spans="1:1" x14ac:dyDescent="0.25">
      <c r="A3418" s="125" t="s">
        <v>3484</v>
      </c>
    </row>
    <row r="3419" spans="1:1" x14ac:dyDescent="0.25">
      <c r="A3419" s="125" t="s">
        <v>3485</v>
      </c>
    </row>
    <row r="3420" spans="1:1" x14ac:dyDescent="0.25">
      <c r="A3420" s="125" t="s">
        <v>3486</v>
      </c>
    </row>
    <row r="3421" spans="1:1" x14ac:dyDescent="0.25">
      <c r="A3421" s="124" t="s">
        <v>3487</v>
      </c>
    </row>
    <row r="3422" spans="1:1" x14ac:dyDescent="0.25">
      <c r="A3422" s="124" t="s">
        <v>3488</v>
      </c>
    </row>
    <row r="3423" spans="1:1" x14ac:dyDescent="0.25">
      <c r="A3423" s="125" t="s">
        <v>3489</v>
      </c>
    </row>
    <row r="3424" spans="1:1" x14ac:dyDescent="0.25">
      <c r="A3424" s="125" t="s">
        <v>3490</v>
      </c>
    </row>
    <row r="3425" spans="1:1" x14ac:dyDescent="0.25">
      <c r="A3425" s="125" t="s">
        <v>3491</v>
      </c>
    </row>
    <row r="3426" spans="1:1" x14ac:dyDescent="0.25">
      <c r="A3426" s="125" t="s">
        <v>3492</v>
      </c>
    </row>
    <row r="3427" spans="1:1" x14ac:dyDescent="0.25">
      <c r="A3427" s="124" t="s">
        <v>3493</v>
      </c>
    </row>
    <row r="3428" spans="1:1" x14ac:dyDescent="0.25">
      <c r="A3428" s="124" t="s">
        <v>3494</v>
      </c>
    </row>
    <row r="3429" spans="1:1" x14ac:dyDescent="0.25">
      <c r="A3429" s="125" t="s">
        <v>3495</v>
      </c>
    </row>
    <row r="3430" spans="1:1" x14ac:dyDescent="0.25">
      <c r="A3430" s="125" t="s">
        <v>3496</v>
      </c>
    </row>
    <row r="3431" spans="1:1" x14ac:dyDescent="0.25">
      <c r="A3431" s="125" t="s">
        <v>3497</v>
      </c>
    </row>
    <row r="3432" spans="1:1" x14ac:dyDescent="0.25">
      <c r="A3432" s="125" t="s">
        <v>3498</v>
      </c>
    </row>
    <row r="3433" spans="1:1" x14ac:dyDescent="0.25">
      <c r="A3433" s="124" t="s">
        <v>3499</v>
      </c>
    </row>
    <row r="3434" spans="1:1" x14ac:dyDescent="0.25">
      <c r="A3434" s="124" t="s">
        <v>3500</v>
      </c>
    </row>
    <row r="3435" spans="1:1" x14ac:dyDescent="0.25">
      <c r="A3435" s="125" t="s">
        <v>3501</v>
      </c>
    </row>
    <row r="3436" spans="1:1" x14ac:dyDescent="0.25">
      <c r="A3436" s="125" t="s">
        <v>3502</v>
      </c>
    </row>
    <row r="3437" spans="1:1" x14ac:dyDescent="0.25">
      <c r="A3437" s="125" t="s">
        <v>3503</v>
      </c>
    </row>
    <row r="3438" spans="1:1" x14ac:dyDescent="0.25">
      <c r="A3438" s="125" t="s">
        <v>3504</v>
      </c>
    </row>
    <row r="3439" spans="1:1" x14ac:dyDescent="0.25">
      <c r="A3439" s="124" t="s">
        <v>3505</v>
      </c>
    </row>
    <row r="3440" spans="1:1" x14ac:dyDescent="0.25">
      <c r="A3440" s="124" t="s">
        <v>3506</v>
      </c>
    </row>
    <row r="3441" spans="1:1" x14ac:dyDescent="0.25">
      <c r="A3441" s="125" t="s">
        <v>3507</v>
      </c>
    </row>
    <row r="3442" spans="1:1" x14ac:dyDescent="0.25">
      <c r="A3442" s="125" t="s">
        <v>3508</v>
      </c>
    </row>
    <row r="3443" spans="1:1" x14ac:dyDescent="0.25">
      <c r="A3443" s="125" t="s">
        <v>3509</v>
      </c>
    </row>
    <row r="3444" spans="1:1" x14ac:dyDescent="0.25">
      <c r="A3444" s="125" t="s">
        <v>3510</v>
      </c>
    </row>
    <row r="3445" spans="1:1" x14ac:dyDescent="0.25">
      <c r="A3445" s="124" t="s">
        <v>3511</v>
      </c>
    </row>
    <row r="3446" spans="1:1" x14ac:dyDescent="0.25">
      <c r="A3446" s="124" t="s">
        <v>3512</v>
      </c>
    </row>
    <row r="3447" spans="1:1" x14ac:dyDescent="0.25">
      <c r="A3447" s="125" t="s">
        <v>3513</v>
      </c>
    </row>
    <row r="3448" spans="1:1" x14ac:dyDescent="0.25">
      <c r="A3448" s="124" t="s">
        <v>3514</v>
      </c>
    </row>
    <row r="3449" spans="1:1" x14ac:dyDescent="0.25">
      <c r="A3449" s="124" t="s">
        <v>3515</v>
      </c>
    </row>
    <row r="3450" spans="1:1" x14ac:dyDescent="0.25">
      <c r="A3450" t="s">
        <v>3516</v>
      </c>
    </row>
    <row r="3451" spans="1:1" x14ac:dyDescent="0.25">
      <c r="A3451" s="124" t="s">
        <v>3517</v>
      </c>
    </row>
    <row r="3452" spans="1:1" x14ac:dyDescent="0.25">
      <c r="A3452" s="124" t="s">
        <v>3518</v>
      </c>
    </row>
    <row r="3453" spans="1:1" x14ac:dyDescent="0.25">
      <c r="A3453" s="124" t="s">
        <v>3519</v>
      </c>
    </row>
    <row r="3454" spans="1:1" x14ac:dyDescent="0.25">
      <c r="A3454" s="124" t="s">
        <v>3520</v>
      </c>
    </row>
    <row r="3455" spans="1:1" x14ac:dyDescent="0.25">
      <c r="A3455" s="27" t="s">
        <v>3521</v>
      </c>
    </row>
    <row r="3456" spans="1:1" x14ac:dyDescent="0.25">
      <c r="A3456" s="125" t="s">
        <v>3522</v>
      </c>
    </row>
    <row r="3457" spans="1:1" x14ac:dyDescent="0.25">
      <c r="A3457" s="124" t="s">
        <v>3523</v>
      </c>
    </row>
    <row r="3458" spans="1:1" x14ac:dyDescent="0.25">
      <c r="A3458" t="s">
        <v>3524</v>
      </c>
    </row>
    <row r="3459" spans="1:1" x14ac:dyDescent="0.25">
      <c r="A3459" s="125" t="s">
        <v>3525</v>
      </c>
    </row>
    <row r="3460" spans="1:1" x14ac:dyDescent="0.25">
      <c r="A3460" s="125" t="s">
        <v>3526</v>
      </c>
    </row>
    <row r="3461" spans="1:1" x14ac:dyDescent="0.25">
      <c r="A3461" s="27" t="s">
        <v>3527</v>
      </c>
    </row>
    <row r="3462" spans="1:1" x14ac:dyDescent="0.25">
      <c r="A3462" s="27" t="s">
        <v>3528</v>
      </c>
    </row>
    <row r="3463" spans="1:1" x14ac:dyDescent="0.25">
      <c r="A3463" s="27" t="s">
        <v>3529</v>
      </c>
    </row>
    <row r="3464" spans="1:1" x14ac:dyDescent="0.25">
      <c r="A3464" t="s">
        <v>3530</v>
      </c>
    </row>
    <row r="3465" spans="1:1" ht="255" x14ac:dyDescent="0.25">
      <c r="A3465" s="126" t="s">
        <v>3531</v>
      </c>
    </row>
    <row r="3466" spans="1:1" ht="270" x14ac:dyDescent="0.25">
      <c r="A3466" s="126" t="s">
        <v>3532</v>
      </c>
    </row>
    <row r="3467" spans="1:1" x14ac:dyDescent="0.25">
      <c r="A3467" s="124" t="s">
        <v>3533</v>
      </c>
    </row>
    <row r="3468" spans="1:1" x14ac:dyDescent="0.25">
      <c r="A3468" t="s">
        <v>3534</v>
      </c>
    </row>
    <row r="3469" spans="1:1" x14ac:dyDescent="0.25">
      <c r="A3469" s="125" t="s">
        <v>3535</v>
      </c>
    </row>
    <row r="3470" spans="1:1" x14ac:dyDescent="0.25">
      <c r="A3470" s="124" t="s">
        <v>3536</v>
      </c>
    </row>
    <row r="3471" spans="1:1" x14ac:dyDescent="0.25">
      <c r="A3471" t="s">
        <v>3537</v>
      </c>
    </row>
    <row r="3472" spans="1:1" x14ac:dyDescent="0.25">
      <c r="A3472" s="125" t="s">
        <v>3538</v>
      </c>
    </row>
    <row r="3473" spans="1:1" x14ac:dyDescent="0.25">
      <c r="A3473" s="125" t="s">
        <v>3539</v>
      </c>
    </row>
    <row r="3474" spans="1:1" x14ac:dyDescent="0.25">
      <c r="A3474" s="125" t="s">
        <v>3540</v>
      </c>
    </row>
    <row r="3475" spans="1:1" x14ac:dyDescent="0.25">
      <c r="A3475" s="124" t="s">
        <v>3541</v>
      </c>
    </row>
    <row r="3476" spans="1:1" x14ac:dyDescent="0.25">
      <c r="A3476" t="s">
        <v>3542</v>
      </c>
    </row>
    <row r="3477" spans="1:1" x14ac:dyDescent="0.25">
      <c r="A3477" s="125" t="s">
        <v>3543</v>
      </c>
    </row>
    <row r="3478" spans="1:1" x14ac:dyDescent="0.25">
      <c r="A3478" s="125" t="s">
        <v>3544</v>
      </c>
    </row>
    <row r="3479" spans="1:1" x14ac:dyDescent="0.25">
      <c r="A3479" s="27" t="s">
        <v>3545</v>
      </c>
    </row>
    <row r="3480" spans="1:1" x14ac:dyDescent="0.25">
      <c r="A3480" s="27" t="s">
        <v>3546</v>
      </c>
    </row>
    <row r="3481" spans="1:1" x14ac:dyDescent="0.25">
      <c r="A3481" s="27" t="s">
        <v>3547</v>
      </c>
    </row>
    <row r="3482" spans="1:1" x14ac:dyDescent="0.25">
      <c r="A3482" t="s">
        <v>3548</v>
      </c>
    </row>
    <row r="3483" spans="1:1" x14ac:dyDescent="0.25">
      <c r="A3483" s="124" t="s">
        <v>3549</v>
      </c>
    </row>
    <row r="3484" spans="1:1" x14ac:dyDescent="0.25">
      <c r="A3484" t="s">
        <v>3550</v>
      </c>
    </row>
    <row r="3485" spans="1:1" x14ac:dyDescent="0.25">
      <c r="A3485" s="125" t="s">
        <v>3551</v>
      </c>
    </row>
    <row r="3486" spans="1:1" x14ac:dyDescent="0.25">
      <c r="A3486" s="124" t="s">
        <v>3552</v>
      </c>
    </row>
    <row r="3487" spans="1:1" x14ac:dyDescent="0.25">
      <c r="A3487" t="s">
        <v>3553</v>
      </c>
    </row>
    <row r="3488" spans="1:1" x14ac:dyDescent="0.25">
      <c r="A3488" s="125" t="s">
        <v>3554</v>
      </c>
    </row>
    <row r="3489" spans="1:1" x14ac:dyDescent="0.25">
      <c r="A3489" s="125" t="s">
        <v>3555</v>
      </c>
    </row>
    <row r="3490" spans="1:1" x14ac:dyDescent="0.25">
      <c r="A3490" t="s">
        <v>3556</v>
      </c>
    </row>
    <row r="3491" spans="1:1" x14ac:dyDescent="0.25">
      <c r="A3491" t="s">
        <v>3557</v>
      </c>
    </row>
    <row r="3492" spans="1:1" x14ac:dyDescent="0.25">
      <c r="A3492" t="s">
        <v>3558</v>
      </c>
    </row>
    <row r="3493" spans="1:1" x14ac:dyDescent="0.25">
      <c r="A3493" t="s">
        <v>3559</v>
      </c>
    </row>
    <row r="3494" spans="1:1" x14ac:dyDescent="0.25">
      <c r="A3494" t="s">
        <v>3560</v>
      </c>
    </row>
    <row r="3495" spans="1:1" x14ac:dyDescent="0.25">
      <c r="A3495" s="124" t="s">
        <v>3561</v>
      </c>
    </row>
    <row r="3496" spans="1:1" x14ac:dyDescent="0.25">
      <c r="A3496" s="124" t="s">
        <v>3562</v>
      </c>
    </row>
    <row r="3497" spans="1:1" x14ac:dyDescent="0.25">
      <c r="A3497" t="s">
        <v>3563</v>
      </c>
    </row>
    <row r="3498" spans="1:1" x14ac:dyDescent="0.25">
      <c r="A3498" s="124" t="s">
        <v>3564</v>
      </c>
    </row>
    <row r="3499" spans="1:1" x14ac:dyDescent="0.25">
      <c r="A3499" s="124" t="s">
        <v>3565</v>
      </c>
    </row>
    <row r="3500" spans="1:1" x14ac:dyDescent="0.25">
      <c r="A3500" s="124" t="s">
        <v>3566</v>
      </c>
    </row>
    <row r="3501" spans="1:1" x14ac:dyDescent="0.25">
      <c r="A3501" s="27" t="s">
        <v>3567</v>
      </c>
    </row>
    <row r="3502" spans="1:1" x14ac:dyDescent="0.25">
      <c r="A3502" s="125" t="s">
        <v>3568</v>
      </c>
    </row>
    <row r="3503" spans="1:1" x14ac:dyDescent="0.25">
      <c r="A3503" s="124" t="s">
        <v>3569</v>
      </c>
    </row>
    <row r="3504" spans="1:1" x14ac:dyDescent="0.25">
      <c r="A3504" t="s">
        <v>3570</v>
      </c>
    </row>
    <row r="3505" spans="1:1" x14ac:dyDescent="0.25">
      <c r="A3505" s="125" t="s">
        <v>3571</v>
      </c>
    </row>
    <row r="3506" spans="1:1" x14ac:dyDescent="0.25">
      <c r="A3506" s="125" t="s">
        <v>3572</v>
      </c>
    </row>
    <row r="3507" spans="1:1" x14ac:dyDescent="0.25">
      <c r="A3507" s="27" t="s">
        <v>3573</v>
      </c>
    </row>
    <row r="3508" spans="1:1" x14ac:dyDescent="0.25">
      <c r="A3508" s="27" t="s">
        <v>3574</v>
      </c>
    </row>
    <row r="3509" spans="1:1" x14ac:dyDescent="0.25">
      <c r="A3509" s="27" t="s">
        <v>3575</v>
      </c>
    </row>
    <row r="3510" spans="1:1" x14ac:dyDescent="0.25">
      <c r="A3510" t="s">
        <v>3576</v>
      </c>
    </row>
    <row r="3511" spans="1:1" ht="255" x14ac:dyDescent="0.25">
      <c r="A3511" s="126" t="s">
        <v>3577</v>
      </c>
    </row>
    <row r="3512" spans="1:1" ht="270" x14ac:dyDescent="0.25">
      <c r="A3512" s="126" t="s">
        <v>3578</v>
      </c>
    </row>
    <row r="3513" spans="1:1" x14ac:dyDescent="0.25">
      <c r="A3513" s="124" t="s">
        <v>3579</v>
      </c>
    </row>
    <row r="3514" spans="1:1" x14ac:dyDescent="0.25">
      <c r="A3514" t="s">
        <v>3580</v>
      </c>
    </row>
    <row r="3515" spans="1:1" x14ac:dyDescent="0.25">
      <c r="A3515" s="125" t="s">
        <v>3581</v>
      </c>
    </row>
    <row r="3516" spans="1:1" x14ac:dyDescent="0.25">
      <c r="A3516" s="124" t="s">
        <v>3582</v>
      </c>
    </row>
    <row r="3517" spans="1:1" x14ac:dyDescent="0.25">
      <c r="A3517" t="s">
        <v>3583</v>
      </c>
    </row>
    <row r="3518" spans="1:1" x14ac:dyDescent="0.25">
      <c r="A3518" s="125" t="s">
        <v>3584</v>
      </c>
    </row>
    <row r="3519" spans="1:1" x14ac:dyDescent="0.25">
      <c r="A3519" s="125" t="s">
        <v>3585</v>
      </c>
    </row>
    <row r="3520" spans="1:1" x14ac:dyDescent="0.25">
      <c r="A3520" s="124" t="s">
        <v>3586</v>
      </c>
    </row>
    <row r="3521" spans="1:1" x14ac:dyDescent="0.25">
      <c r="A3521" t="s">
        <v>3587</v>
      </c>
    </row>
    <row r="3522" spans="1:1" x14ac:dyDescent="0.25">
      <c r="A3522" s="125" t="s">
        <v>3588</v>
      </c>
    </row>
    <row r="3523" spans="1:1" x14ac:dyDescent="0.25">
      <c r="A3523" s="124" t="s">
        <v>3589</v>
      </c>
    </row>
    <row r="3524" spans="1:1" x14ac:dyDescent="0.25">
      <c r="A3524" t="s">
        <v>3590</v>
      </c>
    </row>
    <row r="3525" spans="1:1" x14ac:dyDescent="0.25">
      <c r="A3525" s="125" t="s">
        <v>3591</v>
      </c>
    </row>
    <row r="3526" spans="1:1" x14ac:dyDescent="0.25">
      <c r="A3526" s="125" t="s">
        <v>3592</v>
      </c>
    </row>
    <row r="3527" spans="1:1" x14ac:dyDescent="0.25">
      <c r="A3527" s="124" t="s">
        <v>3593</v>
      </c>
    </row>
    <row r="3528" spans="1:1" x14ac:dyDescent="0.25">
      <c r="A3528" t="s">
        <v>3594</v>
      </c>
    </row>
    <row r="3529" spans="1:1" x14ac:dyDescent="0.25">
      <c r="A3529" s="124" t="s">
        <v>3595</v>
      </c>
    </row>
    <row r="3530" spans="1:1" x14ac:dyDescent="0.25">
      <c r="A3530" s="27" t="s">
        <v>3596</v>
      </c>
    </row>
    <row r="3531" spans="1:1" ht="255" x14ac:dyDescent="0.25">
      <c r="A3531" s="126" t="s">
        <v>3597</v>
      </c>
    </row>
    <row r="3532" spans="1:1" ht="270" x14ac:dyDescent="0.25">
      <c r="A3532" s="126" t="s">
        <v>3598</v>
      </c>
    </row>
    <row r="3533" spans="1:1" x14ac:dyDescent="0.25">
      <c r="A3533" s="124" t="s">
        <v>3599</v>
      </c>
    </row>
    <row r="3534" spans="1:1" x14ac:dyDescent="0.25">
      <c r="A3534" t="s">
        <v>3600</v>
      </c>
    </row>
    <row r="3535" spans="1:1" x14ac:dyDescent="0.25">
      <c r="A3535" s="125" t="s">
        <v>3601</v>
      </c>
    </row>
    <row r="3536" spans="1:1" x14ac:dyDescent="0.25">
      <c r="A3536" s="124" t="s">
        <v>3602</v>
      </c>
    </row>
    <row r="3537" spans="1:1" x14ac:dyDescent="0.25">
      <c r="A3537" t="s">
        <v>3603</v>
      </c>
    </row>
    <row r="3538" spans="1:1" x14ac:dyDescent="0.25">
      <c r="A3538" s="125" t="s">
        <v>3604</v>
      </c>
    </row>
    <row r="3539" spans="1:1" x14ac:dyDescent="0.25">
      <c r="A3539" s="125" t="s">
        <v>3605</v>
      </c>
    </row>
    <row r="3540" spans="1:1" x14ac:dyDescent="0.25">
      <c r="A3540" s="124" t="s">
        <v>3606</v>
      </c>
    </row>
    <row r="3541" spans="1:1" x14ac:dyDescent="0.25">
      <c r="A3541" t="s">
        <v>3607</v>
      </c>
    </row>
    <row r="3542" spans="1:1" x14ac:dyDescent="0.25">
      <c r="A3542" s="125" t="s">
        <v>3608</v>
      </c>
    </row>
    <row r="3543" spans="1:1" x14ac:dyDescent="0.25">
      <c r="A3543" s="124" t="s">
        <v>3609</v>
      </c>
    </row>
    <row r="3544" spans="1:1" x14ac:dyDescent="0.25">
      <c r="A3544" t="s">
        <v>3610</v>
      </c>
    </row>
    <row r="3545" spans="1:1" x14ac:dyDescent="0.25">
      <c r="A3545" s="125" t="s">
        <v>3611</v>
      </c>
    </row>
    <row r="3546" spans="1:1" x14ac:dyDescent="0.25">
      <c r="A3546" s="125" t="s">
        <v>3612</v>
      </c>
    </row>
    <row r="3547" spans="1:1" x14ac:dyDescent="0.25">
      <c r="A3547" t="s">
        <v>3613</v>
      </c>
    </row>
    <row r="3548" spans="1:1" x14ac:dyDescent="0.25">
      <c r="A3548" t="s">
        <v>3614</v>
      </c>
    </row>
    <row r="3549" spans="1:1" x14ac:dyDescent="0.25">
      <c r="A3549" t="s">
        <v>3615</v>
      </c>
    </row>
    <row r="3550" spans="1:1" x14ac:dyDescent="0.25">
      <c r="A3550" s="124" t="s">
        <v>3616</v>
      </c>
    </row>
    <row r="3551" spans="1:1" x14ac:dyDescent="0.25">
      <c r="A3551" s="124" t="s">
        <v>3617</v>
      </c>
    </row>
    <row r="3552" spans="1:1" x14ac:dyDescent="0.25">
      <c r="A3552" t="s">
        <v>3618</v>
      </c>
    </row>
    <row r="3553" spans="1:1" x14ac:dyDescent="0.25">
      <c r="A3553" s="124" t="s">
        <v>3619</v>
      </c>
    </row>
    <row r="3554" spans="1:1" x14ac:dyDescent="0.25">
      <c r="A3554" s="124" t="s">
        <v>3620</v>
      </c>
    </row>
    <row r="3555" spans="1:1" x14ac:dyDescent="0.25">
      <c r="A3555" s="124" t="s">
        <v>3621</v>
      </c>
    </row>
    <row r="3556" spans="1:1" x14ac:dyDescent="0.25">
      <c r="A3556" s="27" t="s">
        <v>3622</v>
      </c>
    </row>
    <row r="3557" spans="1:1" x14ac:dyDescent="0.25">
      <c r="A3557" s="125" t="s">
        <v>3623</v>
      </c>
    </row>
    <row r="3558" spans="1:1" x14ac:dyDescent="0.25">
      <c r="A3558" s="124" t="s">
        <v>3624</v>
      </c>
    </row>
    <row r="3559" spans="1:1" x14ac:dyDescent="0.25">
      <c r="A3559" t="s">
        <v>3625</v>
      </c>
    </row>
    <row r="3560" spans="1:1" x14ac:dyDescent="0.25">
      <c r="A3560" s="125" t="s">
        <v>3626</v>
      </c>
    </row>
    <row r="3561" spans="1:1" x14ac:dyDescent="0.25">
      <c r="A3561" s="125" t="s">
        <v>3627</v>
      </c>
    </row>
    <row r="3562" spans="1:1" x14ac:dyDescent="0.25">
      <c r="A3562" s="27" t="s">
        <v>3628</v>
      </c>
    </row>
    <row r="3563" spans="1:1" x14ac:dyDescent="0.25">
      <c r="A3563" s="27" t="s">
        <v>3629</v>
      </c>
    </row>
    <row r="3564" spans="1:1" x14ac:dyDescent="0.25">
      <c r="A3564" s="27" t="s">
        <v>3630</v>
      </c>
    </row>
    <row r="3565" spans="1:1" x14ac:dyDescent="0.25">
      <c r="A3565" t="s">
        <v>3631</v>
      </c>
    </row>
    <row r="3566" spans="1:1" ht="255" x14ac:dyDescent="0.25">
      <c r="A3566" s="126" t="s">
        <v>3632</v>
      </c>
    </row>
    <row r="3567" spans="1:1" ht="270" x14ac:dyDescent="0.25">
      <c r="A3567" s="126" t="s">
        <v>3633</v>
      </c>
    </row>
    <row r="3568" spans="1:1" x14ac:dyDescent="0.25">
      <c r="A3568" s="124" t="s">
        <v>3634</v>
      </c>
    </row>
    <row r="3569" spans="1:1" x14ac:dyDescent="0.25">
      <c r="A3569" t="s">
        <v>3635</v>
      </c>
    </row>
    <row r="3570" spans="1:1" x14ac:dyDescent="0.25">
      <c r="A3570" s="125" t="s">
        <v>3636</v>
      </c>
    </row>
    <row r="3571" spans="1:1" x14ac:dyDescent="0.25">
      <c r="A3571" s="124" t="s">
        <v>3637</v>
      </c>
    </row>
    <row r="3572" spans="1:1" x14ac:dyDescent="0.25">
      <c r="A3572" t="s">
        <v>3638</v>
      </c>
    </row>
    <row r="3573" spans="1:1" x14ac:dyDescent="0.25">
      <c r="A3573" s="125" t="s">
        <v>3639</v>
      </c>
    </row>
    <row r="3574" spans="1:1" x14ac:dyDescent="0.25">
      <c r="A3574" s="125" t="s">
        <v>3640</v>
      </c>
    </row>
    <row r="3575" spans="1:1" x14ac:dyDescent="0.25">
      <c r="A3575" s="125" t="s">
        <v>3641</v>
      </c>
    </row>
    <row r="3576" spans="1:1" x14ac:dyDescent="0.25">
      <c r="A3576" s="124" t="s">
        <v>3642</v>
      </c>
    </row>
    <row r="3577" spans="1:1" x14ac:dyDescent="0.25">
      <c r="A3577" t="s">
        <v>3643</v>
      </c>
    </row>
    <row r="3578" spans="1:1" x14ac:dyDescent="0.25">
      <c r="A3578" s="125" t="s">
        <v>3644</v>
      </c>
    </row>
    <row r="3579" spans="1:1" x14ac:dyDescent="0.25">
      <c r="A3579" s="125" t="s">
        <v>3645</v>
      </c>
    </row>
    <row r="3580" spans="1:1" x14ac:dyDescent="0.25">
      <c r="A3580" s="27" t="s">
        <v>3646</v>
      </c>
    </row>
    <row r="3581" spans="1:1" x14ac:dyDescent="0.25">
      <c r="A3581" s="27" t="s">
        <v>3647</v>
      </c>
    </row>
    <row r="3582" spans="1:1" x14ac:dyDescent="0.25">
      <c r="A3582" s="27" t="s">
        <v>3648</v>
      </c>
    </row>
    <row r="3583" spans="1:1" x14ac:dyDescent="0.25">
      <c r="A3583" t="s">
        <v>3649</v>
      </c>
    </row>
    <row r="3584" spans="1:1" x14ac:dyDescent="0.25">
      <c r="A3584" s="124" t="s">
        <v>3650</v>
      </c>
    </row>
    <row r="3585" spans="1:1" x14ac:dyDescent="0.25">
      <c r="A3585" t="s">
        <v>3651</v>
      </c>
    </row>
    <row r="3586" spans="1:1" x14ac:dyDescent="0.25">
      <c r="A3586" s="125" t="s">
        <v>3652</v>
      </c>
    </row>
    <row r="3587" spans="1:1" x14ac:dyDescent="0.25">
      <c r="A3587" s="124" t="s">
        <v>3653</v>
      </c>
    </row>
    <row r="3588" spans="1:1" x14ac:dyDescent="0.25">
      <c r="A3588" t="s">
        <v>3654</v>
      </c>
    </row>
    <row r="3589" spans="1:1" x14ac:dyDescent="0.25">
      <c r="A3589" s="125" t="s">
        <v>3655</v>
      </c>
    </row>
    <row r="3590" spans="1:1" x14ac:dyDescent="0.25">
      <c r="A3590" s="125" t="s">
        <v>3656</v>
      </c>
    </row>
    <row r="3591" spans="1:1" x14ac:dyDescent="0.25">
      <c r="A3591" s="124" t="s">
        <v>3657</v>
      </c>
    </row>
    <row r="3592" spans="1:1" x14ac:dyDescent="0.25">
      <c r="A3592" s="124" t="s">
        <v>3658</v>
      </c>
    </row>
    <row r="3593" spans="1:1" x14ac:dyDescent="0.25">
      <c r="A3593" t="s">
        <v>3659</v>
      </c>
    </row>
    <row r="3594" spans="1:1" x14ac:dyDescent="0.25">
      <c r="A3594" s="124" t="s">
        <v>3660</v>
      </c>
    </row>
    <row r="3595" spans="1:1" x14ac:dyDescent="0.25">
      <c r="A3595" s="124" t="s">
        <v>3661</v>
      </c>
    </row>
    <row r="3596" spans="1:1" x14ac:dyDescent="0.25">
      <c r="A3596" t="s">
        <v>3662</v>
      </c>
    </row>
    <row r="3597" spans="1:1" x14ac:dyDescent="0.25">
      <c r="A3597" t="s">
        <v>3663</v>
      </c>
    </row>
    <row r="3598" spans="1:1" x14ac:dyDescent="0.25">
      <c r="A3598" t="s">
        <v>3664</v>
      </c>
    </row>
    <row r="3599" spans="1:1" x14ac:dyDescent="0.25">
      <c r="A3599" t="s">
        <v>3665</v>
      </c>
    </row>
    <row r="3600" spans="1:1" x14ac:dyDescent="0.25">
      <c r="A3600" t="s">
        <v>3666</v>
      </c>
    </row>
    <row r="3601" spans="1:1" x14ac:dyDescent="0.25">
      <c r="A3601" s="27" t="s">
        <v>3667</v>
      </c>
    </row>
    <row r="3602" spans="1:1" x14ac:dyDescent="0.25">
      <c r="A3602" s="124" t="s">
        <v>3668</v>
      </c>
    </row>
    <row r="3603" spans="1:1" x14ac:dyDescent="0.25">
      <c r="A3603" t="s">
        <v>3669</v>
      </c>
    </row>
    <row r="3604" spans="1:1" x14ac:dyDescent="0.25">
      <c r="A3604" s="124" t="s">
        <v>3670</v>
      </c>
    </row>
    <row r="3605" spans="1:1" x14ac:dyDescent="0.25">
      <c r="A3605" t="s">
        <v>3671</v>
      </c>
    </row>
    <row r="3606" spans="1:1" x14ac:dyDescent="0.25">
      <c r="A3606" t="s">
        <v>3672</v>
      </c>
    </row>
    <row r="3607" spans="1:1" x14ac:dyDescent="0.25">
      <c r="A3607" t="s">
        <v>3673</v>
      </c>
    </row>
    <row r="3608" spans="1:1" x14ac:dyDescent="0.25">
      <c r="A3608" t="s">
        <v>3674</v>
      </c>
    </row>
    <row r="3609" spans="1:1" x14ac:dyDescent="0.25">
      <c r="A3609" t="s">
        <v>3675</v>
      </c>
    </row>
    <row r="3610" spans="1:1" x14ac:dyDescent="0.25">
      <c r="A3610" s="125" t="s">
        <v>3676</v>
      </c>
    </row>
    <row r="3611" spans="1:1" x14ac:dyDescent="0.25">
      <c r="A3611" s="124" t="s">
        <v>3677</v>
      </c>
    </row>
    <row r="3612" spans="1:1" x14ac:dyDescent="0.25">
      <c r="A3612" t="s">
        <v>3678</v>
      </c>
    </row>
    <row r="3613" spans="1:1" x14ac:dyDescent="0.25">
      <c r="A3613" s="125" t="s">
        <v>3679</v>
      </c>
    </row>
    <row r="3614" spans="1:1" x14ac:dyDescent="0.25">
      <c r="A3614" s="125" t="s">
        <v>3680</v>
      </c>
    </row>
    <row r="3615" spans="1:1" x14ac:dyDescent="0.25">
      <c r="A3615" s="27" t="s">
        <v>3681</v>
      </c>
    </row>
    <row r="3616" spans="1:1" x14ac:dyDescent="0.25">
      <c r="A3616" s="27" t="s">
        <v>3682</v>
      </c>
    </row>
    <row r="3617" spans="1:1" x14ac:dyDescent="0.25">
      <c r="A3617" s="27" t="s">
        <v>3683</v>
      </c>
    </row>
    <row r="3618" spans="1:1" x14ac:dyDescent="0.25">
      <c r="A3618" t="s">
        <v>3684</v>
      </c>
    </row>
    <row r="3619" spans="1:1" ht="255" x14ac:dyDescent="0.25">
      <c r="A3619" s="126" t="s">
        <v>3685</v>
      </c>
    </row>
    <row r="3620" spans="1:1" ht="270" x14ac:dyDescent="0.25">
      <c r="A3620" s="126" t="s">
        <v>3686</v>
      </c>
    </row>
    <row r="3621" spans="1:1" x14ac:dyDescent="0.25">
      <c r="A3621" s="124" t="s">
        <v>3687</v>
      </c>
    </row>
    <row r="3622" spans="1:1" x14ac:dyDescent="0.25">
      <c r="A3622" t="s">
        <v>3688</v>
      </c>
    </row>
    <row r="3623" spans="1:1" x14ac:dyDescent="0.25">
      <c r="A3623" s="125" t="s">
        <v>3689</v>
      </c>
    </row>
    <row r="3624" spans="1:1" x14ac:dyDescent="0.25">
      <c r="A3624" s="124" t="s">
        <v>3690</v>
      </c>
    </row>
    <row r="3625" spans="1:1" x14ac:dyDescent="0.25">
      <c r="A3625" t="s">
        <v>3691</v>
      </c>
    </row>
    <row r="3626" spans="1:1" x14ac:dyDescent="0.25">
      <c r="A3626" s="125" t="s">
        <v>3692</v>
      </c>
    </row>
    <row r="3627" spans="1:1" x14ac:dyDescent="0.25">
      <c r="A3627" s="125" t="s">
        <v>3693</v>
      </c>
    </row>
    <row r="3628" spans="1:1" x14ac:dyDescent="0.25">
      <c r="A3628" s="27" t="s">
        <v>3694</v>
      </c>
    </row>
    <row r="3629" spans="1:1" x14ac:dyDescent="0.25">
      <c r="A3629" s="124" t="s">
        <v>3695</v>
      </c>
    </row>
    <row r="3630" spans="1:1" x14ac:dyDescent="0.25">
      <c r="A3630" t="s">
        <v>3696</v>
      </c>
    </row>
    <row r="3631" spans="1:1" x14ac:dyDescent="0.25">
      <c r="A3631" s="125" t="s">
        <v>3697</v>
      </c>
    </row>
    <row r="3632" spans="1:1" x14ac:dyDescent="0.25">
      <c r="A3632" s="124" t="s">
        <v>3698</v>
      </c>
    </row>
    <row r="3633" spans="1:1" x14ac:dyDescent="0.25">
      <c r="A3633" t="s">
        <v>3699</v>
      </c>
    </row>
    <row r="3634" spans="1:1" x14ac:dyDescent="0.25">
      <c r="A3634" s="125" t="s">
        <v>3700</v>
      </c>
    </row>
    <row r="3635" spans="1:1" x14ac:dyDescent="0.25">
      <c r="A3635" s="125" t="s">
        <v>3701</v>
      </c>
    </row>
    <row r="3636" spans="1:1" ht="255" x14ac:dyDescent="0.25">
      <c r="A3636" s="126" t="s">
        <v>3702</v>
      </c>
    </row>
    <row r="3637" spans="1:1" ht="270" x14ac:dyDescent="0.25">
      <c r="A3637" s="126" t="s">
        <v>3703</v>
      </c>
    </row>
    <row r="3638" spans="1:1" x14ac:dyDescent="0.25">
      <c r="A3638" s="124" t="s">
        <v>3704</v>
      </c>
    </row>
    <row r="3639" spans="1:1" x14ac:dyDescent="0.25">
      <c r="A3639" t="s">
        <v>3705</v>
      </c>
    </row>
    <row r="3640" spans="1:1" x14ac:dyDescent="0.25">
      <c r="A3640" s="125" t="s">
        <v>3706</v>
      </c>
    </row>
    <row r="3641" spans="1:1" x14ac:dyDescent="0.25">
      <c r="A3641" s="124" t="s">
        <v>3707</v>
      </c>
    </row>
    <row r="3642" spans="1:1" x14ac:dyDescent="0.25">
      <c r="A3642" t="s">
        <v>3708</v>
      </c>
    </row>
    <row r="3643" spans="1:1" x14ac:dyDescent="0.25">
      <c r="A3643" s="125" t="s">
        <v>3709</v>
      </c>
    </row>
    <row r="3644" spans="1:1" x14ac:dyDescent="0.25">
      <c r="A3644" s="125" t="s">
        <v>3710</v>
      </c>
    </row>
    <row r="3645" spans="1:1" x14ac:dyDescent="0.25">
      <c r="A3645" s="124" t="s">
        <v>3711</v>
      </c>
    </row>
    <row r="3646" spans="1:1" x14ac:dyDescent="0.25">
      <c r="A3646" t="s">
        <v>3712</v>
      </c>
    </row>
    <row r="3647" spans="1:1" x14ac:dyDescent="0.25">
      <c r="A3647" s="125" t="s">
        <v>3713</v>
      </c>
    </row>
    <row r="3648" spans="1:1" x14ac:dyDescent="0.25">
      <c r="A3648" s="124" t="s">
        <v>3714</v>
      </c>
    </row>
    <row r="3649" spans="1:1" x14ac:dyDescent="0.25">
      <c r="A3649" t="s">
        <v>3715</v>
      </c>
    </row>
    <row r="3650" spans="1:1" x14ac:dyDescent="0.25">
      <c r="A3650" s="125" t="s">
        <v>3716</v>
      </c>
    </row>
    <row r="3651" spans="1:1" x14ac:dyDescent="0.25">
      <c r="A3651" s="125" t="s">
        <v>3717</v>
      </c>
    </row>
    <row r="3652" spans="1:1" x14ac:dyDescent="0.25">
      <c r="A3652" s="124" t="s">
        <v>3718</v>
      </c>
    </row>
    <row r="3653" spans="1:1" x14ac:dyDescent="0.25">
      <c r="A3653" s="124" t="s">
        <v>3719</v>
      </c>
    </row>
    <row r="3654" spans="1:1" x14ac:dyDescent="0.25">
      <c r="A3654" t="s">
        <v>3720</v>
      </c>
    </row>
    <row r="3655" spans="1:1" x14ac:dyDescent="0.25">
      <c r="A3655" s="124" t="s">
        <v>3721</v>
      </c>
    </row>
    <row r="3656" spans="1:1" x14ac:dyDescent="0.25">
      <c r="A3656" s="124" t="s">
        <v>3722</v>
      </c>
    </row>
    <row r="3657" spans="1:1" x14ac:dyDescent="0.25">
      <c r="A3657" s="124" t="s">
        <v>3723</v>
      </c>
    </row>
    <row r="3658" spans="1:1" x14ac:dyDescent="0.25">
      <c r="A3658" s="124" t="s">
        <v>3724</v>
      </c>
    </row>
    <row r="3659" spans="1:1" x14ac:dyDescent="0.25">
      <c r="A3659" s="124" t="s">
        <v>3725</v>
      </c>
    </row>
    <row r="3660" spans="1:1" x14ac:dyDescent="0.25">
      <c r="A3660" s="27" t="s">
        <v>3726</v>
      </c>
    </row>
    <row r="3661" spans="1:1" x14ac:dyDescent="0.25">
      <c r="A3661" s="125" t="s">
        <v>3727</v>
      </c>
    </row>
    <row r="3662" spans="1:1" x14ac:dyDescent="0.25">
      <c r="A3662" s="124" t="s">
        <v>3728</v>
      </c>
    </row>
    <row r="3663" spans="1:1" x14ac:dyDescent="0.25">
      <c r="A3663" t="s">
        <v>3729</v>
      </c>
    </row>
    <row r="3664" spans="1:1" x14ac:dyDescent="0.25">
      <c r="A3664" s="125" t="s">
        <v>3730</v>
      </c>
    </row>
    <row r="3665" spans="1:1" x14ac:dyDescent="0.25">
      <c r="A3665" s="125" t="s">
        <v>3731</v>
      </c>
    </row>
    <row r="3666" spans="1:1" x14ac:dyDescent="0.25">
      <c r="A3666" s="27" t="s">
        <v>3732</v>
      </c>
    </row>
    <row r="3667" spans="1:1" x14ac:dyDescent="0.25">
      <c r="A3667" s="27" t="s">
        <v>3733</v>
      </c>
    </row>
    <row r="3668" spans="1:1" x14ac:dyDescent="0.25">
      <c r="A3668" s="27" t="s">
        <v>3734</v>
      </c>
    </row>
    <row r="3669" spans="1:1" x14ac:dyDescent="0.25">
      <c r="A3669" t="s">
        <v>3735</v>
      </c>
    </row>
    <row r="3670" spans="1:1" x14ac:dyDescent="0.25">
      <c r="A3670" s="124" t="s">
        <v>3736</v>
      </c>
    </row>
    <row r="3671" spans="1:1" x14ac:dyDescent="0.25">
      <c r="A3671" t="s">
        <v>3737</v>
      </c>
    </row>
    <row r="3672" spans="1:1" x14ac:dyDescent="0.25">
      <c r="A3672" s="124" t="s">
        <v>3738</v>
      </c>
    </row>
    <row r="3673" spans="1:1" ht="255" x14ac:dyDescent="0.25">
      <c r="A3673" s="126" t="s">
        <v>3739</v>
      </c>
    </row>
    <row r="3674" spans="1:1" ht="270" x14ac:dyDescent="0.25">
      <c r="A3674" s="126" t="s">
        <v>3740</v>
      </c>
    </row>
    <row r="3675" spans="1:1" x14ac:dyDescent="0.25">
      <c r="A3675" s="124" t="s">
        <v>3741</v>
      </c>
    </row>
    <row r="3676" spans="1:1" x14ac:dyDescent="0.25">
      <c r="A3676" t="s">
        <v>3742</v>
      </c>
    </row>
    <row r="3677" spans="1:1" x14ac:dyDescent="0.25">
      <c r="A3677" s="125" t="s">
        <v>3743</v>
      </c>
    </row>
    <row r="3678" spans="1:1" x14ac:dyDescent="0.25">
      <c r="A3678" s="124" t="s">
        <v>3744</v>
      </c>
    </row>
    <row r="3679" spans="1:1" x14ac:dyDescent="0.25">
      <c r="A3679" t="s">
        <v>3745</v>
      </c>
    </row>
    <row r="3680" spans="1:1" x14ac:dyDescent="0.25">
      <c r="A3680" s="125" t="s">
        <v>3746</v>
      </c>
    </row>
    <row r="3681" spans="1:1" x14ac:dyDescent="0.25">
      <c r="A3681" s="125" t="s">
        <v>3747</v>
      </c>
    </row>
    <row r="3682" spans="1:1" x14ac:dyDescent="0.25">
      <c r="A3682" s="125" t="s">
        <v>3748</v>
      </c>
    </row>
    <row r="3683" spans="1:1" x14ac:dyDescent="0.25">
      <c r="A3683" s="124" t="s">
        <v>3749</v>
      </c>
    </row>
    <row r="3684" spans="1:1" x14ac:dyDescent="0.25">
      <c r="A3684" t="s">
        <v>3750</v>
      </c>
    </row>
    <row r="3685" spans="1:1" x14ac:dyDescent="0.25">
      <c r="A3685" s="125" t="s">
        <v>3751</v>
      </c>
    </row>
    <row r="3686" spans="1:1" x14ac:dyDescent="0.25">
      <c r="A3686" s="125" t="s">
        <v>3752</v>
      </c>
    </row>
    <row r="3687" spans="1:1" x14ac:dyDescent="0.25">
      <c r="A3687" s="27" t="s">
        <v>3753</v>
      </c>
    </row>
    <row r="3688" spans="1:1" x14ac:dyDescent="0.25">
      <c r="A3688" s="27" t="s">
        <v>3754</v>
      </c>
    </row>
    <row r="3689" spans="1:1" x14ac:dyDescent="0.25">
      <c r="A3689" s="27" t="s">
        <v>3755</v>
      </c>
    </row>
    <row r="3690" spans="1:1" x14ac:dyDescent="0.25">
      <c r="A3690" t="s">
        <v>3756</v>
      </c>
    </row>
    <row r="3691" spans="1:1" x14ac:dyDescent="0.25">
      <c r="A3691" s="124" t="s">
        <v>3757</v>
      </c>
    </row>
    <row r="3692" spans="1:1" x14ac:dyDescent="0.25">
      <c r="A3692" t="s">
        <v>3758</v>
      </c>
    </row>
    <row r="3693" spans="1:1" x14ac:dyDescent="0.25">
      <c r="A3693" s="125" t="s">
        <v>3759</v>
      </c>
    </row>
    <row r="3694" spans="1:1" x14ac:dyDescent="0.25">
      <c r="A3694" s="124" t="s">
        <v>3760</v>
      </c>
    </row>
    <row r="3695" spans="1:1" x14ac:dyDescent="0.25">
      <c r="A3695" t="s">
        <v>3761</v>
      </c>
    </row>
    <row r="3696" spans="1:1" x14ac:dyDescent="0.25">
      <c r="A3696" s="125" t="s">
        <v>3762</v>
      </c>
    </row>
    <row r="3697" spans="1:1" x14ac:dyDescent="0.25">
      <c r="A3697" s="125" t="s">
        <v>3763</v>
      </c>
    </row>
    <row r="3698" spans="1:1" x14ac:dyDescent="0.25">
      <c r="A3698" s="27" t="s">
        <v>3764</v>
      </c>
    </row>
    <row r="3699" spans="1:1" ht="255" x14ac:dyDescent="0.25">
      <c r="A3699" s="126" t="s">
        <v>3765</v>
      </c>
    </row>
    <row r="3700" spans="1:1" ht="270" x14ac:dyDescent="0.25">
      <c r="A3700" s="126" t="s">
        <v>3766</v>
      </c>
    </row>
    <row r="3701" spans="1:1" x14ac:dyDescent="0.25">
      <c r="A3701" s="124" t="s">
        <v>3767</v>
      </c>
    </row>
    <row r="3702" spans="1:1" x14ac:dyDescent="0.25">
      <c r="A3702" t="s">
        <v>3768</v>
      </c>
    </row>
    <row r="3703" spans="1:1" x14ac:dyDescent="0.25">
      <c r="A3703" s="125" t="s">
        <v>3769</v>
      </c>
    </row>
    <row r="3704" spans="1:1" x14ac:dyDescent="0.25">
      <c r="A3704" s="124" t="s">
        <v>3770</v>
      </c>
    </row>
    <row r="3705" spans="1:1" x14ac:dyDescent="0.25">
      <c r="A3705" t="s">
        <v>3771</v>
      </c>
    </row>
    <row r="3706" spans="1:1" x14ac:dyDescent="0.25">
      <c r="A3706" s="125" t="s">
        <v>3772</v>
      </c>
    </row>
    <row r="3707" spans="1:1" x14ac:dyDescent="0.25">
      <c r="A3707" s="125" t="s">
        <v>3773</v>
      </c>
    </row>
    <row r="3708" spans="1:1" x14ac:dyDescent="0.25">
      <c r="A3708" s="124" t="s">
        <v>3774</v>
      </c>
    </row>
    <row r="3709" spans="1:1" x14ac:dyDescent="0.25">
      <c r="A3709" t="s">
        <v>3775</v>
      </c>
    </row>
    <row r="3710" spans="1:1" x14ac:dyDescent="0.25">
      <c r="A3710" s="125" t="s">
        <v>3776</v>
      </c>
    </row>
    <row r="3711" spans="1:1" x14ac:dyDescent="0.25">
      <c r="A3711" s="124" t="s">
        <v>3777</v>
      </c>
    </row>
    <row r="3712" spans="1:1" x14ac:dyDescent="0.25">
      <c r="A3712" t="s">
        <v>3778</v>
      </c>
    </row>
    <row r="3713" spans="1:1" x14ac:dyDescent="0.25">
      <c r="A3713" s="125" t="s">
        <v>3779</v>
      </c>
    </row>
    <row r="3714" spans="1:1" x14ac:dyDescent="0.25">
      <c r="A3714" s="125" t="s">
        <v>3780</v>
      </c>
    </row>
    <row r="3715" spans="1:1" x14ac:dyDescent="0.25">
      <c r="A3715" t="s">
        <v>3781</v>
      </c>
    </row>
    <row r="3716" spans="1:1" x14ac:dyDescent="0.25">
      <c r="A3716" t="s">
        <v>3782</v>
      </c>
    </row>
    <row r="3717" spans="1:1" x14ac:dyDescent="0.25">
      <c r="A3717" t="s">
        <v>3783</v>
      </c>
    </row>
    <row r="3718" spans="1:1" x14ac:dyDescent="0.25">
      <c r="A3718" t="s">
        <v>3784</v>
      </c>
    </row>
    <row r="3719" spans="1:1" x14ac:dyDescent="0.25">
      <c r="A3719" t="s">
        <v>3785</v>
      </c>
    </row>
    <row r="3720" spans="1:1" x14ac:dyDescent="0.25">
      <c r="A3720" t="s">
        <v>3786</v>
      </c>
    </row>
    <row r="3721" spans="1:1" x14ac:dyDescent="0.25">
      <c r="A3721" t="s">
        <v>3787</v>
      </c>
    </row>
    <row r="3722" spans="1:1" x14ac:dyDescent="0.25">
      <c r="A3722" t="s">
        <v>3788</v>
      </c>
    </row>
    <row r="3723" spans="1:1" x14ac:dyDescent="0.25">
      <c r="A3723" t="s">
        <v>3789</v>
      </c>
    </row>
    <row r="3724" spans="1:1" x14ac:dyDescent="0.25">
      <c r="A3724" t="s">
        <v>3790</v>
      </c>
    </row>
    <row r="3725" spans="1:1" x14ac:dyDescent="0.25">
      <c r="A3725" t="s">
        <v>3791</v>
      </c>
    </row>
    <row r="3726" spans="1:1" x14ac:dyDescent="0.25">
      <c r="A3726" t="s">
        <v>3792</v>
      </c>
    </row>
    <row r="3727" spans="1:1" x14ac:dyDescent="0.25">
      <c r="A3727" t="s">
        <v>3793</v>
      </c>
    </row>
    <row r="3728" spans="1:1" x14ac:dyDescent="0.25">
      <c r="A3728" t="s">
        <v>3794</v>
      </c>
    </row>
    <row r="3729" spans="1:1" x14ac:dyDescent="0.25">
      <c r="A3729" t="s">
        <v>3795</v>
      </c>
    </row>
    <row r="3730" spans="1:1" x14ac:dyDescent="0.25">
      <c r="A3730" t="s">
        <v>3796</v>
      </c>
    </row>
    <row r="3731" spans="1:1" x14ac:dyDescent="0.25">
      <c r="A3731" t="s">
        <v>3797</v>
      </c>
    </row>
    <row r="3732" spans="1:1" x14ac:dyDescent="0.25">
      <c r="A3732" t="s">
        <v>3798</v>
      </c>
    </row>
    <row r="3733" spans="1:1" x14ac:dyDescent="0.25">
      <c r="A3733" s="124" t="s">
        <v>3799</v>
      </c>
    </row>
    <row r="3734" spans="1:1" x14ac:dyDescent="0.25">
      <c r="A3734" s="124" t="s">
        <v>3800</v>
      </c>
    </row>
    <row r="3735" spans="1:1" x14ac:dyDescent="0.25">
      <c r="A3735" t="s">
        <v>3801</v>
      </c>
    </row>
    <row r="3736" spans="1:1" x14ac:dyDescent="0.25">
      <c r="A3736" s="124" t="s">
        <v>3802</v>
      </c>
    </row>
    <row r="3737" spans="1:1" x14ac:dyDescent="0.25">
      <c r="A3737" s="27" t="s">
        <v>3803</v>
      </c>
    </row>
    <row r="3738" spans="1:1" x14ac:dyDescent="0.25">
      <c r="A3738" s="125" t="s">
        <v>3804</v>
      </c>
    </row>
    <row r="3739" spans="1:1" x14ac:dyDescent="0.25">
      <c r="A3739" s="124" t="s">
        <v>3805</v>
      </c>
    </row>
    <row r="3740" spans="1:1" x14ac:dyDescent="0.25">
      <c r="A3740" t="s">
        <v>3806</v>
      </c>
    </row>
    <row r="3741" spans="1:1" x14ac:dyDescent="0.25">
      <c r="A3741" s="125" t="s">
        <v>3807</v>
      </c>
    </row>
    <row r="3742" spans="1:1" x14ac:dyDescent="0.25">
      <c r="A3742" s="125" t="s">
        <v>3808</v>
      </c>
    </row>
    <row r="3743" spans="1:1" x14ac:dyDescent="0.25">
      <c r="A3743" s="27" t="s">
        <v>3809</v>
      </c>
    </row>
    <row r="3744" spans="1:1" x14ac:dyDescent="0.25">
      <c r="A3744" s="27" t="s">
        <v>3810</v>
      </c>
    </row>
    <row r="3745" spans="1:1" x14ac:dyDescent="0.25">
      <c r="A3745" s="27" t="s">
        <v>3811</v>
      </c>
    </row>
    <row r="3746" spans="1:1" x14ac:dyDescent="0.25">
      <c r="A3746" t="s">
        <v>3812</v>
      </c>
    </row>
    <row r="3747" spans="1:1" ht="255" x14ac:dyDescent="0.25">
      <c r="A3747" s="126" t="s">
        <v>3813</v>
      </c>
    </row>
    <row r="3748" spans="1:1" ht="270" x14ac:dyDescent="0.25">
      <c r="A3748" s="126" t="s">
        <v>3814</v>
      </c>
    </row>
    <row r="3749" spans="1:1" x14ac:dyDescent="0.25">
      <c r="A3749" s="124" t="s">
        <v>3815</v>
      </c>
    </row>
    <row r="3750" spans="1:1" x14ac:dyDescent="0.25">
      <c r="A3750" t="s">
        <v>3816</v>
      </c>
    </row>
    <row r="3751" spans="1:1" x14ac:dyDescent="0.25">
      <c r="A3751" s="125" t="s">
        <v>3817</v>
      </c>
    </row>
    <row r="3752" spans="1:1" x14ac:dyDescent="0.25">
      <c r="A3752" s="124" t="s">
        <v>3818</v>
      </c>
    </row>
    <row r="3753" spans="1:1" x14ac:dyDescent="0.25">
      <c r="A3753" t="s">
        <v>3819</v>
      </c>
    </row>
    <row r="3754" spans="1:1" x14ac:dyDescent="0.25">
      <c r="A3754" s="125" t="s">
        <v>3820</v>
      </c>
    </row>
    <row r="3755" spans="1:1" x14ac:dyDescent="0.25">
      <c r="A3755" s="125" t="s">
        <v>3821</v>
      </c>
    </row>
    <row r="3756" spans="1:1" x14ac:dyDescent="0.25">
      <c r="A3756" s="124" t="s">
        <v>3822</v>
      </c>
    </row>
    <row r="3757" spans="1:1" x14ac:dyDescent="0.25">
      <c r="A3757" t="s">
        <v>3823</v>
      </c>
    </row>
    <row r="3758" spans="1:1" x14ac:dyDescent="0.25">
      <c r="A3758" s="125" t="s">
        <v>3824</v>
      </c>
    </row>
    <row r="3759" spans="1:1" x14ac:dyDescent="0.25">
      <c r="A3759" s="124" t="s">
        <v>3825</v>
      </c>
    </row>
    <row r="3760" spans="1:1" x14ac:dyDescent="0.25">
      <c r="A3760" t="s">
        <v>3826</v>
      </c>
    </row>
    <row r="3761" spans="1:1" x14ac:dyDescent="0.25">
      <c r="A3761" s="125" t="s">
        <v>3827</v>
      </c>
    </row>
    <row r="3762" spans="1:1" x14ac:dyDescent="0.25">
      <c r="A3762" s="125" t="s">
        <v>3828</v>
      </c>
    </row>
    <row r="3763" spans="1:1" x14ac:dyDescent="0.25">
      <c r="A3763" s="124" t="s">
        <v>3829</v>
      </c>
    </row>
    <row r="3764" spans="1:1" x14ac:dyDescent="0.25">
      <c r="A3764" s="124" t="s">
        <v>3830</v>
      </c>
    </row>
    <row r="3765" spans="1:1" x14ac:dyDescent="0.25">
      <c r="A3765" t="s">
        <v>3831</v>
      </c>
    </row>
    <row r="3766" spans="1:1" x14ac:dyDescent="0.25">
      <c r="A3766" s="124" t="s">
        <v>3832</v>
      </c>
    </row>
    <row r="3767" spans="1:1" x14ac:dyDescent="0.25">
      <c r="A3767" s="124" t="s">
        <v>3833</v>
      </c>
    </row>
    <row r="3768" spans="1:1" x14ac:dyDescent="0.25">
      <c r="A3768" s="124" t="s">
        <v>3834</v>
      </c>
    </row>
    <row r="3769" spans="1:1" x14ac:dyDescent="0.25">
      <c r="A3769" s="27" t="s">
        <v>3835</v>
      </c>
    </row>
    <row r="3770" spans="1:1" x14ac:dyDescent="0.25">
      <c r="A3770" s="125" t="s">
        <v>3836</v>
      </c>
    </row>
    <row r="3771" spans="1:1" x14ac:dyDescent="0.25">
      <c r="A3771" s="124" t="s">
        <v>3837</v>
      </c>
    </row>
    <row r="3772" spans="1:1" x14ac:dyDescent="0.25">
      <c r="A3772" t="s">
        <v>3838</v>
      </c>
    </row>
    <row r="3773" spans="1:1" x14ac:dyDescent="0.25">
      <c r="A3773" s="125" t="s">
        <v>3839</v>
      </c>
    </row>
    <row r="3774" spans="1:1" x14ac:dyDescent="0.25">
      <c r="A3774" s="125" t="s">
        <v>3840</v>
      </c>
    </row>
    <row r="3775" spans="1:1" x14ac:dyDescent="0.25">
      <c r="A3775" s="27" t="s">
        <v>3841</v>
      </c>
    </row>
    <row r="3776" spans="1:1" x14ac:dyDescent="0.25">
      <c r="A3776" s="27" t="s">
        <v>3842</v>
      </c>
    </row>
    <row r="3777" spans="1:1" x14ac:dyDescent="0.25">
      <c r="A3777" s="27" t="s">
        <v>3843</v>
      </c>
    </row>
    <row r="3778" spans="1:1" x14ac:dyDescent="0.25">
      <c r="A3778" t="s">
        <v>3844</v>
      </c>
    </row>
    <row r="3779" spans="1:1" ht="255" x14ac:dyDescent="0.25">
      <c r="A3779" s="126" t="s">
        <v>3845</v>
      </c>
    </row>
    <row r="3780" spans="1:1" ht="270" x14ac:dyDescent="0.25">
      <c r="A3780" s="126" t="s">
        <v>3846</v>
      </c>
    </row>
    <row r="3781" spans="1:1" x14ac:dyDescent="0.25">
      <c r="A3781" s="124" t="s">
        <v>3847</v>
      </c>
    </row>
    <row r="3782" spans="1:1" x14ac:dyDescent="0.25">
      <c r="A3782" t="s">
        <v>3848</v>
      </c>
    </row>
    <row r="3783" spans="1:1" x14ac:dyDescent="0.25">
      <c r="A3783" s="125" t="s">
        <v>3849</v>
      </c>
    </row>
    <row r="3784" spans="1:1" x14ac:dyDescent="0.25">
      <c r="A3784" s="124" t="s">
        <v>3850</v>
      </c>
    </row>
    <row r="3785" spans="1:1" x14ac:dyDescent="0.25">
      <c r="A3785" t="s">
        <v>3851</v>
      </c>
    </row>
    <row r="3786" spans="1:1" x14ac:dyDescent="0.25">
      <c r="A3786" s="125" t="s">
        <v>3852</v>
      </c>
    </row>
    <row r="3787" spans="1:1" x14ac:dyDescent="0.25">
      <c r="A3787" s="125" t="s">
        <v>3853</v>
      </c>
    </row>
    <row r="3788" spans="1:1" x14ac:dyDescent="0.25">
      <c r="A3788" s="125" t="s">
        <v>3854</v>
      </c>
    </row>
    <row r="3789" spans="1:1" x14ac:dyDescent="0.25">
      <c r="A3789" s="124" t="s">
        <v>3855</v>
      </c>
    </row>
    <row r="3790" spans="1:1" x14ac:dyDescent="0.25">
      <c r="A3790" t="s">
        <v>3856</v>
      </c>
    </row>
    <row r="3791" spans="1:1" x14ac:dyDescent="0.25">
      <c r="A3791" s="125" t="s">
        <v>3857</v>
      </c>
    </row>
    <row r="3792" spans="1:1" x14ac:dyDescent="0.25">
      <c r="A3792" s="125" t="s">
        <v>3858</v>
      </c>
    </row>
    <row r="3793" spans="1:1" x14ac:dyDescent="0.25">
      <c r="A3793" s="27" t="s">
        <v>3859</v>
      </c>
    </row>
    <row r="3794" spans="1:1" x14ac:dyDescent="0.25">
      <c r="A3794" s="27" t="s">
        <v>3860</v>
      </c>
    </row>
    <row r="3795" spans="1:1" x14ac:dyDescent="0.25">
      <c r="A3795" s="27" t="s">
        <v>3861</v>
      </c>
    </row>
    <row r="3796" spans="1:1" x14ac:dyDescent="0.25">
      <c r="A3796" t="s">
        <v>3862</v>
      </c>
    </row>
    <row r="3797" spans="1:1" x14ac:dyDescent="0.25">
      <c r="A3797" s="124" t="s">
        <v>3863</v>
      </c>
    </row>
    <row r="3798" spans="1:1" x14ac:dyDescent="0.25">
      <c r="A3798" t="s">
        <v>3864</v>
      </c>
    </row>
    <row r="3799" spans="1:1" x14ac:dyDescent="0.25">
      <c r="A3799" s="125" t="s">
        <v>3865</v>
      </c>
    </row>
    <row r="3800" spans="1:1" x14ac:dyDescent="0.25">
      <c r="A3800" s="124" t="s">
        <v>3866</v>
      </c>
    </row>
    <row r="3801" spans="1:1" x14ac:dyDescent="0.25">
      <c r="A3801" t="s">
        <v>3867</v>
      </c>
    </row>
    <row r="3802" spans="1:1" x14ac:dyDescent="0.25">
      <c r="A3802" s="125" t="s">
        <v>3868</v>
      </c>
    </row>
    <row r="3803" spans="1:1" x14ac:dyDescent="0.25">
      <c r="A3803" s="125" t="s">
        <v>3869</v>
      </c>
    </row>
    <row r="3804" spans="1:1" x14ac:dyDescent="0.25">
      <c r="A3804" t="s">
        <v>3870</v>
      </c>
    </row>
    <row r="3805" spans="1:1" x14ac:dyDescent="0.25">
      <c r="A3805" t="s">
        <v>3871</v>
      </c>
    </row>
    <row r="3806" spans="1:1" x14ac:dyDescent="0.25">
      <c r="A3806" t="s">
        <v>3872</v>
      </c>
    </row>
    <row r="3807" spans="1:1" x14ac:dyDescent="0.25">
      <c r="A3807" t="s">
        <v>3873</v>
      </c>
    </row>
    <row r="3808" spans="1:1" x14ac:dyDescent="0.25">
      <c r="A3808" s="124" t="s">
        <v>3874</v>
      </c>
    </row>
    <row r="3809" spans="1:1" x14ac:dyDescent="0.25">
      <c r="A3809" t="s">
        <v>3875</v>
      </c>
    </row>
    <row r="3810" spans="1:1" x14ac:dyDescent="0.25">
      <c r="A3810" s="124" t="s">
        <v>3876</v>
      </c>
    </row>
    <row r="3811" spans="1:1" x14ac:dyDescent="0.25">
      <c r="A3811" s="27" t="s">
        <v>3877</v>
      </c>
    </row>
    <row r="3812" spans="1:1" ht="255" x14ac:dyDescent="0.25">
      <c r="A3812" s="126" t="s">
        <v>3878</v>
      </c>
    </row>
    <row r="3813" spans="1:1" ht="270" x14ac:dyDescent="0.25">
      <c r="A3813" s="126" t="s">
        <v>3879</v>
      </c>
    </row>
    <row r="3814" spans="1:1" x14ac:dyDescent="0.25">
      <c r="A3814" s="124" t="s">
        <v>3880</v>
      </c>
    </row>
    <row r="3815" spans="1:1" x14ac:dyDescent="0.25">
      <c r="A3815" t="s">
        <v>3881</v>
      </c>
    </row>
    <row r="3816" spans="1:1" x14ac:dyDescent="0.25">
      <c r="A3816" s="125" t="s">
        <v>3882</v>
      </c>
    </row>
    <row r="3817" spans="1:1" x14ac:dyDescent="0.25">
      <c r="A3817" s="124" t="s">
        <v>3883</v>
      </c>
    </row>
    <row r="3818" spans="1:1" x14ac:dyDescent="0.25">
      <c r="A3818" t="s">
        <v>3884</v>
      </c>
    </row>
    <row r="3819" spans="1:1" x14ac:dyDescent="0.25">
      <c r="A3819" s="125" t="s">
        <v>3885</v>
      </c>
    </row>
    <row r="3820" spans="1:1" x14ac:dyDescent="0.25">
      <c r="A3820" s="125" t="s">
        <v>3886</v>
      </c>
    </row>
    <row r="3821" spans="1:1" x14ac:dyDescent="0.25">
      <c r="A3821" s="124" t="s">
        <v>3887</v>
      </c>
    </row>
    <row r="3822" spans="1:1" x14ac:dyDescent="0.25">
      <c r="A3822" t="s">
        <v>3888</v>
      </c>
    </row>
    <row r="3823" spans="1:1" x14ac:dyDescent="0.25">
      <c r="A3823" s="125" t="s">
        <v>3889</v>
      </c>
    </row>
    <row r="3824" spans="1:1" x14ac:dyDescent="0.25">
      <c r="A3824" s="124" t="s">
        <v>3890</v>
      </c>
    </row>
    <row r="3825" spans="1:1" x14ac:dyDescent="0.25">
      <c r="A3825" t="s">
        <v>3891</v>
      </c>
    </row>
    <row r="3826" spans="1:1" x14ac:dyDescent="0.25">
      <c r="A3826" s="125" t="s">
        <v>3892</v>
      </c>
    </row>
    <row r="3827" spans="1:1" x14ac:dyDescent="0.25">
      <c r="A3827" s="125" t="s">
        <v>3893</v>
      </c>
    </row>
    <row r="3828" spans="1:1" x14ac:dyDescent="0.25">
      <c r="A3828" s="124" t="s">
        <v>3894</v>
      </c>
    </row>
    <row r="3829" spans="1:1" x14ac:dyDescent="0.25">
      <c r="A3829" s="124" t="s">
        <v>3895</v>
      </c>
    </row>
    <row r="3830" spans="1:1" x14ac:dyDescent="0.25">
      <c r="A3830" t="s">
        <v>3896</v>
      </c>
    </row>
    <row r="3831" spans="1:1" x14ac:dyDescent="0.25">
      <c r="A3831" s="124" t="s">
        <v>3897</v>
      </c>
    </row>
    <row r="3832" spans="1:1" x14ac:dyDescent="0.25">
      <c r="A3832" s="27" t="s">
        <v>3898</v>
      </c>
    </row>
    <row r="3833" spans="1:1" x14ac:dyDescent="0.25">
      <c r="A3833" s="125" t="s">
        <v>3899</v>
      </c>
    </row>
    <row r="3834" spans="1:1" x14ac:dyDescent="0.25">
      <c r="A3834" s="124" t="s">
        <v>3900</v>
      </c>
    </row>
    <row r="3835" spans="1:1" x14ac:dyDescent="0.25">
      <c r="A3835" t="s">
        <v>3901</v>
      </c>
    </row>
    <row r="3836" spans="1:1" x14ac:dyDescent="0.25">
      <c r="A3836" s="125" t="s">
        <v>3902</v>
      </c>
    </row>
    <row r="3837" spans="1:1" x14ac:dyDescent="0.25">
      <c r="A3837" s="125" t="s">
        <v>3903</v>
      </c>
    </row>
    <row r="3838" spans="1:1" x14ac:dyDescent="0.25">
      <c r="A3838" t="s">
        <v>3904</v>
      </c>
    </row>
    <row r="3839" spans="1:1" x14ac:dyDescent="0.25">
      <c r="A3839" t="s">
        <v>3905</v>
      </c>
    </row>
    <row r="3840" spans="1:1" x14ac:dyDescent="0.25">
      <c r="A3840" t="s">
        <v>3906</v>
      </c>
    </row>
    <row r="3841" spans="1:1" x14ac:dyDescent="0.25">
      <c r="A3841" t="s">
        <v>3907</v>
      </c>
    </row>
    <row r="3842" spans="1:1" x14ac:dyDescent="0.25">
      <c r="A3842" t="s">
        <v>3908</v>
      </c>
    </row>
    <row r="3843" spans="1:1" x14ac:dyDescent="0.25">
      <c r="A3843" t="s">
        <v>3909</v>
      </c>
    </row>
    <row r="3844" spans="1:1" x14ac:dyDescent="0.25">
      <c r="A3844" t="s">
        <v>3910</v>
      </c>
    </row>
    <row r="3845" spans="1:1" x14ac:dyDescent="0.25">
      <c r="A3845" t="s">
        <v>3911</v>
      </c>
    </row>
    <row r="3846" spans="1:1" x14ac:dyDescent="0.25">
      <c r="A3846" s="27" t="s">
        <v>3912</v>
      </c>
    </row>
    <row r="3847" spans="1:1" x14ac:dyDescent="0.25">
      <c r="A3847" s="27" t="s">
        <v>3913</v>
      </c>
    </row>
    <row r="3848" spans="1:1" x14ac:dyDescent="0.25">
      <c r="A3848" s="27" t="s">
        <v>3914</v>
      </c>
    </row>
    <row r="3849" spans="1:1" x14ac:dyDescent="0.25">
      <c r="A3849" t="s">
        <v>3915</v>
      </c>
    </row>
    <row r="3850" spans="1:1" ht="255" x14ac:dyDescent="0.25">
      <c r="A3850" s="126" t="s">
        <v>3916</v>
      </c>
    </row>
    <row r="3851" spans="1:1" ht="270" x14ac:dyDescent="0.25">
      <c r="A3851" s="126" t="s">
        <v>3917</v>
      </c>
    </row>
    <row r="3852" spans="1:1" x14ac:dyDescent="0.25">
      <c r="A3852" s="124" t="s">
        <v>3918</v>
      </c>
    </row>
    <row r="3853" spans="1:1" x14ac:dyDescent="0.25">
      <c r="A3853" t="s">
        <v>3919</v>
      </c>
    </row>
    <row r="3854" spans="1:1" x14ac:dyDescent="0.25">
      <c r="A3854" s="125" t="s">
        <v>3920</v>
      </c>
    </row>
    <row r="3855" spans="1:1" x14ac:dyDescent="0.25">
      <c r="A3855" s="124" t="s">
        <v>3921</v>
      </c>
    </row>
    <row r="3856" spans="1:1" x14ac:dyDescent="0.25">
      <c r="A3856" t="s">
        <v>3922</v>
      </c>
    </row>
    <row r="3857" spans="1:1" x14ac:dyDescent="0.25">
      <c r="A3857" s="125" t="s">
        <v>3923</v>
      </c>
    </row>
    <row r="3858" spans="1:1" x14ac:dyDescent="0.25">
      <c r="A3858" s="125" t="s">
        <v>3924</v>
      </c>
    </row>
    <row r="3859" spans="1:1" x14ac:dyDescent="0.25">
      <c r="A3859" s="124" t="s">
        <v>3925</v>
      </c>
    </row>
    <row r="3860" spans="1:1" x14ac:dyDescent="0.25">
      <c r="A3860" t="s">
        <v>3926</v>
      </c>
    </row>
    <row r="3861" spans="1:1" x14ac:dyDescent="0.25">
      <c r="A3861" s="125" t="s">
        <v>3927</v>
      </c>
    </row>
    <row r="3862" spans="1:1" x14ac:dyDescent="0.25">
      <c r="A3862" s="124" t="s">
        <v>3928</v>
      </c>
    </row>
    <row r="3863" spans="1:1" x14ac:dyDescent="0.25">
      <c r="A3863" t="s">
        <v>3929</v>
      </c>
    </row>
    <row r="3864" spans="1:1" x14ac:dyDescent="0.25">
      <c r="A3864" s="125" t="s">
        <v>3930</v>
      </c>
    </row>
    <row r="3865" spans="1:1" x14ac:dyDescent="0.25">
      <c r="A3865" s="125" t="s">
        <v>3931</v>
      </c>
    </row>
    <row r="3866" spans="1:1" x14ac:dyDescent="0.25">
      <c r="A3866" t="s">
        <v>3932</v>
      </c>
    </row>
    <row r="3867" spans="1:1" x14ac:dyDescent="0.25">
      <c r="A3867" t="s">
        <v>3933</v>
      </c>
    </row>
    <row r="3868" spans="1:1" x14ac:dyDescent="0.25">
      <c r="A3868" t="s">
        <v>3934</v>
      </c>
    </row>
    <row r="3869" spans="1:1" x14ac:dyDescent="0.25">
      <c r="A3869" t="s">
        <v>3935</v>
      </c>
    </row>
    <row r="3870" spans="1:1" x14ac:dyDescent="0.25">
      <c r="A3870" t="s">
        <v>3936</v>
      </c>
    </row>
    <row r="3871" spans="1:1" x14ac:dyDescent="0.25">
      <c r="A3871" t="s">
        <v>3937</v>
      </c>
    </row>
    <row r="3872" spans="1:1" x14ac:dyDescent="0.25">
      <c r="A3872" t="s">
        <v>3938</v>
      </c>
    </row>
    <row r="3873" spans="1:1" x14ac:dyDescent="0.25">
      <c r="A3873" s="124" t="s">
        <v>3939</v>
      </c>
    </row>
    <row r="3874" spans="1:1" x14ac:dyDescent="0.25">
      <c r="A3874" s="124" t="s">
        <v>3940</v>
      </c>
    </row>
    <row r="3875" spans="1:1" x14ac:dyDescent="0.25">
      <c r="A3875" t="s">
        <v>3941</v>
      </c>
    </row>
    <row r="3876" spans="1:1" x14ac:dyDescent="0.25">
      <c r="A3876" s="124" t="s">
        <v>3942</v>
      </c>
    </row>
    <row r="3877" spans="1:1" x14ac:dyDescent="0.25">
      <c r="A3877" s="124" t="s">
        <v>3943</v>
      </c>
    </row>
    <row r="3878" spans="1:1" x14ac:dyDescent="0.25">
      <c r="A3878" s="124" t="s">
        <v>3944</v>
      </c>
    </row>
    <row r="3879" spans="1:1" x14ac:dyDescent="0.25">
      <c r="A3879" s="124" t="s">
        <v>3945</v>
      </c>
    </row>
    <row r="3880" spans="1:1" x14ac:dyDescent="0.25">
      <c r="A3880" s="27" t="s">
        <v>3946</v>
      </c>
    </row>
    <row r="3881" spans="1:1" x14ac:dyDescent="0.25">
      <c r="A3881" s="125" t="s">
        <v>3947</v>
      </c>
    </row>
    <row r="3882" spans="1:1" x14ac:dyDescent="0.25">
      <c r="A3882" s="124" t="s">
        <v>3948</v>
      </c>
    </row>
    <row r="3883" spans="1:1" x14ac:dyDescent="0.25">
      <c r="A3883" t="s">
        <v>3949</v>
      </c>
    </row>
    <row r="3884" spans="1:1" x14ac:dyDescent="0.25">
      <c r="A3884" s="125" t="s">
        <v>3950</v>
      </c>
    </row>
    <row r="3885" spans="1:1" x14ac:dyDescent="0.25">
      <c r="A3885" s="125" t="s">
        <v>3951</v>
      </c>
    </row>
    <row r="3886" spans="1:1" x14ac:dyDescent="0.25">
      <c r="A3886" s="27" t="s">
        <v>3952</v>
      </c>
    </row>
    <row r="3887" spans="1:1" x14ac:dyDescent="0.25">
      <c r="A3887" s="27" t="s">
        <v>3953</v>
      </c>
    </row>
    <row r="3888" spans="1:1" x14ac:dyDescent="0.25">
      <c r="A3888" s="27" t="s">
        <v>3954</v>
      </c>
    </row>
    <row r="3889" spans="1:1" x14ac:dyDescent="0.25">
      <c r="A3889" t="s">
        <v>3955</v>
      </c>
    </row>
    <row r="3890" spans="1:1" ht="255" x14ac:dyDescent="0.25">
      <c r="A3890" s="126" t="s">
        <v>3956</v>
      </c>
    </row>
    <row r="3891" spans="1:1" ht="270" x14ac:dyDescent="0.25">
      <c r="A3891" s="126" t="s">
        <v>3957</v>
      </c>
    </row>
    <row r="3892" spans="1:1" x14ac:dyDescent="0.25">
      <c r="A3892" s="124" t="s">
        <v>3958</v>
      </c>
    </row>
    <row r="3893" spans="1:1" x14ac:dyDescent="0.25">
      <c r="A3893" t="s">
        <v>3959</v>
      </c>
    </row>
    <row r="3894" spans="1:1" x14ac:dyDescent="0.25">
      <c r="A3894" s="125" t="s">
        <v>3960</v>
      </c>
    </row>
    <row r="3895" spans="1:1" x14ac:dyDescent="0.25">
      <c r="A3895" s="124" t="s">
        <v>3961</v>
      </c>
    </row>
    <row r="3896" spans="1:1" x14ac:dyDescent="0.25">
      <c r="A3896" t="s">
        <v>3962</v>
      </c>
    </row>
    <row r="3897" spans="1:1" x14ac:dyDescent="0.25">
      <c r="A3897" s="125" t="s">
        <v>3963</v>
      </c>
    </row>
    <row r="3898" spans="1:1" x14ac:dyDescent="0.25">
      <c r="A3898" s="125" t="s">
        <v>3964</v>
      </c>
    </row>
    <row r="3899" spans="1:1" x14ac:dyDescent="0.25">
      <c r="A3899" s="125" t="s">
        <v>3965</v>
      </c>
    </row>
    <row r="3900" spans="1:1" x14ac:dyDescent="0.25">
      <c r="A3900" s="124" t="s">
        <v>3966</v>
      </c>
    </row>
    <row r="3901" spans="1:1" x14ac:dyDescent="0.25">
      <c r="A3901" t="s">
        <v>3967</v>
      </c>
    </row>
    <row r="3902" spans="1:1" x14ac:dyDescent="0.25">
      <c r="A3902" s="125" t="s">
        <v>3968</v>
      </c>
    </row>
    <row r="3903" spans="1:1" x14ac:dyDescent="0.25">
      <c r="A3903" s="125" t="s">
        <v>3969</v>
      </c>
    </row>
    <row r="3904" spans="1:1" x14ac:dyDescent="0.25">
      <c r="A3904" s="27" t="s">
        <v>3970</v>
      </c>
    </row>
    <row r="3905" spans="1:1" x14ac:dyDescent="0.25">
      <c r="A3905" s="27" t="s">
        <v>3971</v>
      </c>
    </row>
    <row r="3906" spans="1:1" x14ac:dyDescent="0.25">
      <c r="A3906" s="27" t="s">
        <v>3972</v>
      </c>
    </row>
    <row r="3907" spans="1:1" x14ac:dyDescent="0.25">
      <c r="A3907" t="s">
        <v>3973</v>
      </c>
    </row>
    <row r="3908" spans="1:1" x14ac:dyDescent="0.25">
      <c r="A3908" s="124" t="s">
        <v>3974</v>
      </c>
    </row>
    <row r="3909" spans="1:1" x14ac:dyDescent="0.25">
      <c r="A3909" t="s">
        <v>3975</v>
      </c>
    </row>
    <row r="3910" spans="1:1" x14ac:dyDescent="0.25">
      <c r="A3910" s="125" t="s">
        <v>3976</v>
      </c>
    </row>
    <row r="3911" spans="1:1" x14ac:dyDescent="0.25">
      <c r="A3911" s="124" t="s">
        <v>3977</v>
      </c>
    </row>
    <row r="3912" spans="1:1" x14ac:dyDescent="0.25">
      <c r="A3912" t="s">
        <v>3978</v>
      </c>
    </row>
    <row r="3913" spans="1:1" x14ac:dyDescent="0.25">
      <c r="A3913" s="125" t="s">
        <v>3979</v>
      </c>
    </row>
    <row r="3914" spans="1:1" x14ac:dyDescent="0.25">
      <c r="A3914" s="125" t="s">
        <v>3980</v>
      </c>
    </row>
    <row r="3915" spans="1:1" x14ac:dyDescent="0.25">
      <c r="A3915" s="124" t="s">
        <v>3981</v>
      </c>
    </row>
    <row r="3916" spans="1:1" x14ac:dyDescent="0.25">
      <c r="A3916" t="s">
        <v>3982</v>
      </c>
    </row>
    <row r="3917" spans="1:1" x14ac:dyDescent="0.25">
      <c r="A3917" s="124" t="s">
        <v>3983</v>
      </c>
    </row>
    <row r="3918" spans="1:1" x14ac:dyDescent="0.25">
      <c r="A3918" s="27" t="s">
        <v>3984</v>
      </c>
    </row>
    <row r="3919" spans="1:1" ht="255" x14ac:dyDescent="0.25">
      <c r="A3919" s="126" t="s">
        <v>3985</v>
      </c>
    </row>
    <row r="3920" spans="1:1" ht="270" x14ac:dyDescent="0.25">
      <c r="A3920" s="126" t="s">
        <v>3986</v>
      </c>
    </row>
    <row r="3921" spans="1:1" x14ac:dyDescent="0.25">
      <c r="A3921" s="124" t="s">
        <v>3987</v>
      </c>
    </row>
    <row r="3922" spans="1:1" x14ac:dyDescent="0.25">
      <c r="A3922" t="s">
        <v>3988</v>
      </c>
    </row>
    <row r="3923" spans="1:1" x14ac:dyDescent="0.25">
      <c r="A3923" s="125" t="s">
        <v>3989</v>
      </c>
    </row>
    <row r="3924" spans="1:1" x14ac:dyDescent="0.25">
      <c r="A3924" s="124" t="s">
        <v>3990</v>
      </c>
    </row>
    <row r="3925" spans="1:1" x14ac:dyDescent="0.25">
      <c r="A3925" t="s">
        <v>3991</v>
      </c>
    </row>
    <row r="3926" spans="1:1" x14ac:dyDescent="0.25">
      <c r="A3926" s="125" t="s">
        <v>3992</v>
      </c>
    </row>
    <row r="3927" spans="1:1" x14ac:dyDescent="0.25">
      <c r="A3927" s="125" t="s">
        <v>3993</v>
      </c>
    </row>
    <row r="3928" spans="1:1" x14ac:dyDescent="0.25">
      <c r="A3928" s="124" t="s">
        <v>3994</v>
      </c>
    </row>
    <row r="3929" spans="1:1" x14ac:dyDescent="0.25">
      <c r="A3929" t="s">
        <v>3995</v>
      </c>
    </row>
    <row r="3930" spans="1:1" x14ac:dyDescent="0.25">
      <c r="A3930" s="125" t="s">
        <v>3996</v>
      </c>
    </row>
    <row r="3931" spans="1:1" x14ac:dyDescent="0.25">
      <c r="A3931" s="124" t="s">
        <v>3997</v>
      </c>
    </row>
    <row r="3932" spans="1:1" x14ac:dyDescent="0.25">
      <c r="A3932" t="s">
        <v>3998</v>
      </c>
    </row>
    <row r="3933" spans="1:1" x14ac:dyDescent="0.25">
      <c r="A3933" s="125" t="s">
        <v>3999</v>
      </c>
    </row>
    <row r="3934" spans="1:1" x14ac:dyDescent="0.25">
      <c r="A3934" s="125" t="s">
        <v>4000</v>
      </c>
    </row>
    <row r="3935" spans="1:1" x14ac:dyDescent="0.25">
      <c r="A3935" s="124" t="s">
        <v>4001</v>
      </c>
    </row>
    <row r="3936" spans="1:1" x14ac:dyDescent="0.25">
      <c r="A3936" s="124" t="s">
        <v>4002</v>
      </c>
    </row>
    <row r="3937" spans="1:1" x14ac:dyDescent="0.25">
      <c r="A3937" t="s">
        <v>4003</v>
      </c>
    </row>
    <row r="3938" spans="1:1" x14ac:dyDescent="0.25">
      <c r="A3938" s="124" t="s">
        <v>4004</v>
      </c>
    </row>
    <row r="3939" spans="1:1" x14ac:dyDescent="0.25">
      <c r="A3939" s="124" t="s">
        <v>4005</v>
      </c>
    </row>
    <row r="3940" spans="1:1" x14ac:dyDescent="0.25">
      <c r="A3940" s="124" t="s">
        <v>4006</v>
      </c>
    </row>
    <row r="3941" spans="1:1" x14ac:dyDescent="0.25">
      <c r="A3941" s="124" t="s">
        <v>4007</v>
      </c>
    </row>
    <row r="3942" spans="1:1" x14ac:dyDescent="0.25">
      <c r="A3942" s="124" t="s">
        <v>4008</v>
      </c>
    </row>
    <row r="3943" spans="1:1" x14ac:dyDescent="0.25">
      <c r="A3943" s="27" t="s">
        <v>4009</v>
      </c>
    </row>
    <row r="3944" spans="1:1" x14ac:dyDescent="0.25">
      <c r="A3944" s="125" t="s">
        <v>4010</v>
      </c>
    </row>
    <row r="3945" spans="1:1" x14ac:dyDescent="0.25">
      <c r="A3945" s="124" t="s">
        <v>4011</v>
      </c>
    </row>
    <row r="3946" spans="1:1" x14ac:dyDescent="0.25">
      <c r="A3946" t="s">
        <v>4012</v>
      </c>
    </row>
    <row r="3947" spans="1:1" x14ac:dyDescent="0.25">
      <c r="A3947" s="125" t="s">
        <v>4013</v>
      </c>
    </row>
    <row r="3948" spans="1:1" x14ac:dyDescent="0.25">
      <c r="A3948" s="125" t="s">
        <v>4014</v>
      </c>
    </row>
    <row r="3949" spans="1:1" x14ac:dyDescent="0.25">
      <c r="A3949" s="27" t="s">
        <v>4015</v>
      </c>
    </row>
    <row r="3950" spans="1:1" x14ac:dyDescent="0.25">
      <c r="A3950" s="27" t="s">
        <v>4016</v>
      </c>
    </row>
    <row r="3951" spans="1:1" x14ac:dyDescent="0.25">
      <c r="A3951" s="27" t="s">
        <v>4017</v>
      </c>
    </row>
    <row r="3952" spans="1:1" x14ac:dyDescent="0.25">
      <c r="A3952" t="s">
        <v>4018</v>
      </c>
    </row>
    <row r="3953" spans="1:1" ht="255" x14ac:dyDescent="0.25">
      <c r="A3953" s="126" t="s">
        <v>4019</v>
      </c>
    </row>
    <row r="3954" spans="1:1" ht="270" x14ac:dyDescent="0.25">
      <c r="A3954" s="126" t="s">
        <v>4020</v>
      </c>
    </row>
    <row r="3955" spans="1:1" x14ac:dyDescent="0.25">
      <c r="A3955" s="124" t="s">
        <v>4021</v>
      </c>
    </row>
    <row r="3956" spans="1:1" x14ac:dyDescent="0.25">
      <c r="A3956" t="s">
        <v>4022</v>
      </c>
    </row>
    <row r="3957" spans="1:1" x14ac:dyDescent="0.25">
      <c r="A3957" s="125" t="s">
        <v>4023</v>
      </c>
    </row>
    <row r="3958" spans="1:1" x14ac:dyDescent="0.25">
      <c r="A3958" s="124" t="s">
        <v>4024</v>
      </c>
    </row>
    <row r="3959" spans="1:1" x14ac:dyDescent="0.25">
      <c r="A3959" t="s">
        <v>4025</v>
      </c>
    </row>
    <row r="3960" spans="1:1" x14ac:dyDescent="0.25">
      <c r="A3960" s="125" t="s">
        <v>4026</v>
      </c>
    </row>
    <row r="3961" spans="1:1" x14ac:dyDescent="0.25">
      <c r="A3961" s="125" t="s">
        <v>4027</v>
      </c>
    </row>
    <row r="3962" spans="1:1" x14ac:dyDescent="0.25">
      <c r="A3962" s="125" t="s">
        <v>4028</v>
      </c>
    </row>
    <row r="3963" spans="1:1" x14ac:dyDescent="0.25">
      <c r="A3963" s="124" t="s">
        <v>4029</v>
      </c>
    </row>
    <row r="3964" spans="1:1" x14ac:dyDescent="0.25">
      <c r="A3964" t="s">
        <v>4030</v>
      </c>
    </row>
    <row r="3965" spans="1:1" x14ac:dyDescent="0.25">
      <c r="A3965" s="125" t="s">
        <v>4031</v>
      </c>
    </row>
    <row r="3966" spans="1:1" x14ac:dyDescent="0.25">
      <c r="A3966" s="125" t="s">
        <v>4032</v>
      </c>
    </row>
    <row r="3967" spans="1:1" x14ac:dyDescent="0.25">
      <c r="A3967" s="27" t="s">
        <v>4033</v>
      </c>
    </row>
    <row r="3968" spans="1:1" x14ac:dyDescent="0.25">
      <c r="A3968" s="27" t="s">
        <v>4034</v>
      </c>
    </row>
    <row r="3969" spans="1:1" x14ac:dyDescent="0.25">
      <c r="A3969" s="27" t="s">
        <v>4035</v>
      </c>
    </row>
    <row r="3970" spans="1:1" x14ac:dyDescent="0.25">
      <c r="A3970" t="s">
        <v>4036</v>
      </c>
    </row>
    <row r="3971" spans="1:1" x14ac:dyDescent="0.25">
      <c r="A3971" s="124" t="s">
        <v>4037</v>
      </c>
    </row>
    <row r="3972" spans="1:1" x14ac:dyDescent="0.25">
      <c r="A3972" t="s">
        <v>4038</v>
      </c>
    </row>
    <row r="3973" spans="1:1" x14ac:dyDescent="0.25">
      <c r="A3973" s="125" t="s">
        <v>4039</v>
      </c>
    </row>
    <row r="3974" spans="1:1" x14ac:dyDescent="0.25">
      <c r="A3974" s="124" t="s">
        <v>4040</v>
      </c>
    </row>
    <row r="3975" spans="1:1" x14ac:dyDescent="0.25">
      <c r="A3975" t="s">
        <v>4041</v>
      </c>
    </row>
    <row r="3976" spans="1:1" x14ac:dyDescent="0.25">
      <c r="A3976" s="125" t="s">
        <v>4042</v>
      </c>
    </row>
    <row r="3977" spans="1:1" x14ac:dyDescent="0.25">
      <c r="A3977" s="125" t="s">
        <v>4043</v>
      </c>
    </row>
    <row r="3978" spans="1:1" x14ac:dyDescent="0.25">
      <c r="A3978" s="124" t="s">
        <v>4044</v>
      </c>
    </row>
    <row r="3979" spans="1:1" x14ac:dyDescent="0.25">
      <c r="A3979" t="s">
        <v>4045</v>
      </c>
    </row>
    <row r="3980" spans="1:1" x14ac:dyDescent="0.25">
      <c r="A3980" s="27" t="s">
        <v>4046</v>
      </c>
    </row>
    <row r="3981" spans="1:1" x14ac:dyDescent="0.25">
      <c r="A3981" s="124" t="s">
        <v>4047</v>
      </c>
    </row>
    <row r="3982" spans="1:1" x14ac:dyDescent="0.25">
      <c r="A3982" s="27" t="s">
        <v>4048</v>
      </c>
    </row>
    <row r="3983" spans="1:1" ht="255" x14ac:dyDescent="0.25">
      <c r="A3983" s="126" t="s">
        <v>4049</v>
      </c>
    </row>
    <row r="3984" spans="1:1" ht="270" x14ac:dyDescent="0.25">
      <c r="A3984" s="126" t="s">
        <v>4050</v>
      </c>
    </row>
    <row r="3985" spans="1:1" x14ac:dyDescent="0.25">
      <c r="A3985" s="124" t="s">
        <v>4051</v>
      </c>
    </row>
    <row r="3986" spans="1:1" x14ac:dyDescent="0.25">
      <c r="A3986" t="s">
        <v>4052</v>
      </c>
    </row>
    <row r="3987" spans="1:1" x14ac:dyDescent="0.25">
      <c r="A3987" s="125" t="s">
        <v>4053</v>
      </c>
    </row>
    <row r="3988" spans="1:1" x14ac:dyDescent="0.25">
      <c r="A3988" s="124" t="s">
        <v>4054</v>
      </c>
    </row>
    <row r="3989" spans="1:1" x14ac:dyDescent="0.25">
      <c r="A3989" t="s">
        <v>4055</v>
      </c>
    </row>
    <row r="3990" spans="1:1" x14ac:dyDescent="0.25">
      <c r="A3990" s="125" t="s">
        <v>4056</v>
      </c>
    </row>
    <row r="3991" spans="1:1" x14ac:dyDescent="0.25">
      <c r="A3991" s="125" t="s">
        <v>4057</v>
      </c>
    </row>
    <row r="3992" spans="1:1" x14ac:dyDescent="0.25">
      <c r="A3992" s="124" t="s">
        <v>4058</v>
      </c>
    </row>
    <row r="3993" spans="1:1" x14ac:dyDescent="0.25">
      <c r="A3993" t="s">
        <v>4059</v>
      </c>
    </row>
    <row r="3994" spans="1:1" x14ac:dyDescent="0.25">
      <c r="A3994" s="125" t="s">
        <v>4060</v>
      </c>
    </row>
    <row r="3995" spans="1:1" x14ac:dyDescent="0.25">
      <c r="A3995" s="124" t="s">
        <v>4061</v>
      </c>
    </row>
    <row r="3996" spans="1:1" x14ac:dyDescent="0.25">
      <c r="A3996" t="s">
        <v>4062</v>
      </c>
    </row>
    <row r="3997" spans="1:1" x14ac:dyDescent="0.25">
      <c r="A3997" s="125" t="s">
        <v>4063</v>
      </c>
    </row>
    <row r="3998" spans="1:1" x14ac:dyDescent="0.25">
      <c r="A3998" s="125" t="s">
        <v>4064</v>
      </c>
    </row>
    <row r="3999" spans="1:1" x14ac:dyDescent="0.25">
      <c r="A3999" t="s">
        <v>4065</v>
      </c>
    </row>
    <row r="4000" spans="1:1" x14ac:dyDescent="0.25">
      <c r="A4000" t="s">
        <v>4066</v>
      </c>
    </row>
    <row r="4001" spans="1:1" x14ac:dyDescent="0.25">
      <c r="A4001" t="s">
        <v>4067</v>
      </c>
    </row>
    <row r="4002" spans="1:1" x14ac:dyDescent="0.25">
      <c r="A4002" t="s">
        <v>4068</v>
      </c>
    </row>
    <row r="4003" spans="1:1" x14ac:dyDescent="0.25">
      <c r="A4003" t="s">
        <v>4069</v>
      </c>
    </row>
    <row r="4004" spans="1:1" x14ac:dyDescent="0.25">
      <c r="A4004" t="s">
        <v>4070</v>
      </c>
    </row>
    <row r="4005" spans="1:1" x14ac:dyDescent="0.25">
      <c r="A4005" t="s">
        <v>4071</v>
      </c>
    </row>
    <row r="4006" spans="1:1" x14ac:dyDescent="0.25">
      <c r="A4006" t="s">
        <v>4072</v>
      </c>
    </row>
    <row r="4007" spans="1:1" x14ac:dyDescent="0.25">
      <c r="A4007" t="s">
        <v>4073</v>
      </c>
    </row>
    <row r="4008" spans="1:1" x14ac:dyDescent="0.25">
      <c r="A4008" t="s">
        <v>4074</v>
      </c>
    </row>
    <row r="4009" spans="1:1" x14ac:dyDescent="0.25">
      <c r="A4009" t="s">
        <v>4075</v>
      </c>
    </row>
    <row r="4010" spans="1:1" x14ac:dyDescent="0.25">
      <c r="A4010" t="s">
        <v>4076</v>
      </c>
    </row>
    <row r="4011" spans="1:1" x14ac:dyDescent="0.25">
      <c r="A4011" t="s">
        <v>4077</v>
      </c>
    </row>
    <row r="4012" spans="1:1" x14ac:dyDescent="0.25">
      <c r="A4012" t="s">
        <v>4078</v>
      </c>
    </row>
    <row r="4013" spans="1:1" x14ac:dyDescent="0.25">
      <c r="A4013" t="s">
        <v>4079</v>
      </c>
    </row>
    <row r="4014" spans="1:1" x14ac:dyDescent="0.25">
      <c r="A4014" s="124" t="s">
        <v>4080</v>
      </c>
    </row>
    <row r="4015" spans="1:1" x14ac:dyDescent="0.25">
      <c r="A4015" s="124" t="s">
        <v>4081</v>
      </c>
    </row>
    <row r="4016" spans="1:1" x14ac:dyDescent="0.25">
      <c r="A4016" t="s">
        <v>4082</v>
      </c>
    </row>
    <row r="4017" spans="1:1" x14ac:dyDescent="0.25">
      <c r="A4017" s="124" t="s">
        <v>4083</v>
      </c>
    </row>
    <row r="4018" spans="1:1" x14ac:dyDescent="0.25">
      <c r="A4018" s="27" t="s">
        <v>4084</v>
      </c>
    </row>
    <row r="4019" spans="1:1" x14ac:dyDescent="0.25">
      <c r="A4019" s="125" t="s">
        <v>4085</v>
      </c>
    </row>
    <row r="4020" spans="1:1" x14ac:dyDescent="0.25">
      <c r="A4020" s="124" t="s">
        <v>4086</v>
      </c>
    </row>
    <row r="4021" spans="1:1" x14ac:dyDescent="0.25">
      <c r="A4021" t="s">
        <v>4087</v>
      </c>
    </row>
    <row r="4022" spans="1:1" x14ac:dyDescent="0.25">
      <c r="A4022" s="125" t="s">
        <v>4088</v>
      </c>
    </row>
    <row r="4023" spans="1:1" x14ac:dyDescent="0.25">
      <c r="A4023" s="125" t="s">
        <v>4089</v>
      </c>
    </row>
    <row r="4024" spans="1:1" x14ac:dyDescent="0.25">
      <c r="A4024" s="27" t="s">
        <v>4090</v>
      </c>
    </row>
    <row r="4025" spans="1:1" x14ac:dyDescent="0.25">
      <c r="A4025" s="27" t="s">
        <v>4091</v>
      </c>
    </row>
    <row r="4026" spans="1:1" x14ac:dyDescent="0.25">
      <c r="A4026" s="27" t="s">
        <v>4092</v>
      </c>
    </row>
    <row r="4027" spans="1:1" x14ac:dyDescent="0.25">
      <c r="A4027" t="s">
        <v>4093</v>
      </c>
    </row>
    <row r="4028" spans="1:1" ht="255" x14ac:dyDescent="0.25">
      <c r="A4028" s="126" t="s">
        <v>4094</v>
      </c>
    </row>
    <row r="4029" spans="1:1" ht="270" x14ac:dyDescent="0.25">
      <c r="A4029" s="126" t="s">
        <v>4095</v>
      </c>
    </row>
    <row r="4030" spans="1:1" x14ac:dyDescent="0.25">
      <c r="A4030" s="124" t="s">
        <v>4096</v>
      </c>
    </row>
    <row r="4031" spans="1:1" x14ac:dyDescent="0.25">
      <c r="A4031" t="s">
        <v>4097</v>
      </c>
    </row>
    <row r="4032" spans="1:1" x14ac:dyDescent="0.25">
      <c r="A4032" s="125" t="s">
        <v>4098</v>
      </c>
    </row>
    <row r="4033" spans="1:1" x14ac:dyDescent="0.25">
      <c r="A4033" s="124" t="s">
        <v>4099</v>
      </c>
    </row>
    <row r="4034" spans="1:1" x14ac:dyDescent="0.25">
      <c r="A4034" t="s">
        <v>4100</v>
      </c>
    </row>
    <row r="4035" spans="1:1" x14ac:dyDescent="0.25">
      <c r="A4035" s="125" t="s">
        <v>4101</v>
      </c>
    </row>
    <row r="4036" spans="1:1" x14ac:dyDescent="0.25">
      <c r="A4036" s="125" t="s">
        <v>4102</v>
      </c>
    </row>
    <row r="4037" spans="1:1" x14ac:dyDescent="0.25">
      <c r="A4037" s="124" t="s">
        <v>4103</v>
      </c>
    </row>
    <row r="4038" spans="1:1" x14ac:dyDescent="0.25">
      <c r="A4038" t="s">
        <v>4104</v>
      </c>
    </row>
    <row r="4039" spans="1:1" x14ac:dyDescent="0.25">
      <c r="A4039" s="125" t="s">
        <v>4105</v>
      </c>
    </row>
    <row r="4040" spans="1:1" x14ac:dyDescent="0.25">
      <c r="A4040" s="124" t="s">
        <v>4106</v>
      </c>
    </row>
    <row r="4041" spans="1:1" x14ac:dyDescent="0.25">
      <c r="A4041" t="s">
        <v>4107</v>
      </c>
    </row>
    <row r="4042" spans="1:1" x14ac:dyDescent="0.25">
      <c r="A4042" s="125" t="s">
        <v>4108</v>
      </c>
    </row>
    <row r="4043" spans="1:1" x14ac:dyDescent="0.25">
      <c r="A4043" s="125" t="s">
        <v>4109</v>
      </c>
    </row>
    <row r="4044" spans="1:1" x14ac:dyDescent="0.25">
      <c r="A4044" s="124" t="s">
        <v>4110</v>
      </c>
    </row>
    <row r="4045" spans="1:1" x14ac:dyDescent="0.25">
      <c r="A4045" s="124" t="s">
        <v>4111</v>
      </c>
    </row>
    <row r="4046" spans="1:1" x14ac:dyDescent="0.25">
      <c r="A4046" t="s">
        <v>4112</v>
      </c>
    </row>
    <row r="4047" spans="1:1" x14ac:dyDescent="0.25">
      <c r="A4047" s="124" t="s">
        <v>4113</v>
      </c>
    </row>
    <row r="4048" spans="1:1" x14ac:dyDescent="0.25">
      <c r="A4048" s="124" t="s">
        <v>4114</v>
      </c>
    </row>
    <row r="4049" spans="1:1" x14ac:dyDescent="0.25">
      <c r="A4049" s="124" t="s">
        <v>4115</v>
      </c>
    </row>
    <row r="4050" spans="1:1" x14ac:dyDescent="0.25">
      <c r="A4050" s="27" t="s">
        <v>4116</v>
      </c>
    </row>
    <row r="4051" spans="1:1" x14ac:dyDescent="0.25">
      <c r="A4051" s="125" t="s">
        <v>4117</v>
      </c>
    </row>
    <row r="4052" spans="1:1" x14ac:dyDescent="0.25">
      <c r="A4052" s="124" t="s">
        <v>4118</v>
      </c>
    </row>
    <row r="4053" spans="1:1" x14ac:dyDescent="0.25">
      <c r="A4053" t="s">
        <v>4119</v>
      </c>
    </row>
    <row r="4054" spans="1:1" x14ac:dyDescent="0.25">
      <c r="A4054" s="125" t="s">
        <v>4120</v>
      </c>
    </row>
    <row r="4055" spans="1:1" x14ac:dyDescent="0.25">
      <c r="A4055" s="125" t="s">
        <v>4121</v>
      </c>
    </row>
    <row r="4056" spans="1:1" x14ac:dyDescent="0.25">
      <c r="A4056" s="27" t="s">
        <v>4122</v>
      </c>
    </row>
    <row r="4057" spans="1:1" x14ac:dyDescent="0.25">
      <c r="A4057" s="27" t="s">
        <v>4123</v>
      </c>
    </row>
    <row r="4058" spans="1:1" x14ac:dyDescent="0.25">
      <c r="A4058" s="27" t="s">
        <v>4124</v>
      </c>
    </row>
    <row r="4059" spans="1:1" x14ac:dyDescent="0.25">
      <c r="A4059" t="s">
        <v>4125</v>
      </c>
    </row>
    <row r="4060" spans="1:1" ht="255" x14ac:dyDescent="0.25">
      <c r="A4060" s="126" t="s">
        <v>4126</v>
      </c>
    </row>
    <row r="4061" spans="1:1" ht="270" x14ac:dyDescent="0.25">
      <c r="A4061" s="126" t="s">
        <v>4127</v>
      </c>
    </row>
    <row r="4062" spans="1:1" x14ac:dyDescent="0.25">
      <c r="A4062" s="124" t="s">
        <v>4128</v>
      </c>
    </row>
    <row r="4063" spans="1:1" x14ac:dyDescent="0.25">
      <c r="A4063" t="s">
        <v>4129</v>
      </c>
    </row>
    <row r="4064" spans="1:1" x14ac:dyDescent="0.25">
      <c r="A4064" s="125" t="s">
        <v>4130</v>
      </c>
    </row>
    <row r="4065" spans="1:1" x14ac:dyDescent="0.25">
      <c r="A4065" s="124" t="s">
        <v>4131</v>
      </c>
    </row>
    <row r="4066" spans="1:1" x14ac:dyDescent="0.25">
      <c r="A4066" t="s">
        <v>4132</v>
      </c>
    </row>
    <row r="4067" spans="1:1" x14ac:dyDescent="0.25">
      <c r="A4067" s="125" t="s">
        <v>4133</v>
      </c>
    </row>
    <row r="4068" spans="1:1" x14ac:dyDescent="0.25">
      <c r="A4068" s="125" t="s">
        <v>4134</v>
      </c>
    </row>
    <row r="4069" spans="1:1" x14ac:dyDescent="0.25">
      <c r="A4069" s="124" t="s">
        <v>4135</v>
      </c>
    </row>
    <row r="4070" spans="1:1" x14ac:dyDescent="0.25">
      <c r="A4070" t="s">
        <v>4136</v>
      </c>
    </row>
    <row r="4071" spans="1:1" x14ac:dyDescent="0.25">
      <c r="A4071" s="124" t="s">
        <v>4137</v>
      </c>
    </row>
    <row r="4072" spans="1:1" x14ac:dyDescent="0.25">
      <c r="A4072" s="125" t="s">
        <v>4138</v>
      </c>
    </row>
    <row r="4073" spans="1:1" x14ac:dyDescent="0.25">
      <c r="A4073" s="124" t="s">
        <v>4139</v>
      </c>
    </row>
    <row r="4074" spans="1:1" x14ac:dyDescent="0.25">
      <c r="A4074" t="s">
        <v>4140</v>
      </c>
    </row>
    <row r="4075" spans="1:1" x14ac:dyDescent="0.25">
      <c r="A4075" s="125" t="s">
        <v>4141</v>
      </c>
    </row>
    <row r="4076" spans="1:1" x14ac:dyDescent="0.25">
      <c r="A4076" s="125" t="s">
        <v>4142</v>
      </c>
    </row>
    <row r="4077" spans="1:1" x14ac:dyDescent="0.25">
      <c r="A4077" s="27" t="s">
        <v>4143</v>
      </c>
    </row>
    <row r="4078" spans="1:1" x14ac:dyDescent="0.25">
      <c r="A4078" s="27" t="s">
        <v>4144</v>
      </c>
    </row>
    <row r="4079" spans="1:1" x14ac:dyDescent="0.25">
      <c r="A4079" s="27" t="s">
        <v>4145</v>
      </c>
    </row>
    <row r="4080" spans="1:1" x14ac:dyDescent="0.25">
      <c r="A4080" t="s">
        <v>4146</v>
      </c>
    </row>
    <row r="4081" spans="1:1" x14ac:dyDescent="0.25">
      <c r="A4081" s="124" t="s">
        <v>4147</v>
      </c>
    </row>
    <row r="4082" spans="1:1" x14ac:dyDescent="0.25">
      <c r="A4082" t="s">
        <v>4148</v>
      </c>
    </row>
    <row r="4083" spans="1:1" x14ac:dyDescent="0.25">
      <c r="A4083" s="125" t="s">
        <v>4149</v>
      </c>
    </row>
    <row r="4084" spans="1:1" x14ac:dyDescent="0.25">
      <c r="A4084" s="124" t="s">
        <v>4150</v>
      </c>
    </row>
    <row r="4085" spans="1:1" x14ac:dyDescent="0.25">
      <c r="A4085" t="s">
        <v>4151</v>
      </c>
    </row>
    <row r="4086" spans="1:1" x14ac:dyDescent="0.25">
      <c r="A4086" s="125" t="s">
        <v>4152</v>
      </c>
    </row>
    <row r="4087" spans="1:1" x14ac:dyDescent="0.25">
      <c r="A4087" s="125" t="s">
        <v>4153</v>
      </c>
    </row>
    <row r="4088" spans="1:1" x14ac:dyDescent="0.25">
      <c r="A4088" s="27" t="s">
        <v>4154</v>
      </c>
    </row>
    <row r="4089" spans="1:1" ht="255" x14ac:dyDescent="0.25">
      <c r="A4089" s="126" t="s">
        <v>4155</v>
      </c>
    </row>
    <row r="4090" spans="1:1" ht="270" x14ac:dyDescent="0.25">
      <c r="A4090" s="126" t="s">
        <v>4156</v>
      </c>
    </row>
    <row r="4091" spans="1:1" x14ac:dyDescent="0.25">
      <c r="A4091" s="124" t="s">
        <v>4157</v>
      </c>
    </row>
    <row r="4092" spans="1:1" x14ac:dyDescent="0.25">
      <c r="A4092" t="s">
        <v>4158</v>
      </c>
    </row>
    <row r="4093" spans="1:1" x14ac:dyDescent="0.25">
      <c r="A4093" s="125" t="s">
        <v>4159</v>
      </c>
    </row>
    <row r="4094" spans="1:1" x14ac:dyDescent="0.25">
      <c r="A4094" s="124" t="s">
        <v>4160</v>
      </c>
    </row>
    <row r="4095" spans="1:1" x14ac:dyDescent="0.25">
      <c r="A4095" t="s">
        <v>4161</v>
      </c>
    </row>
    <row r="4096" spans="1:1" x14ac:dyDescent="0.25">
      <c r="A4096" s="125" t="s">
        <v>4162</v>
      </c>
    </row>
    <row r="4097" spans="1:1" x14ac:dyDescent="0.25">
      <c r="A4097" s="125" t="s">
        <v>4163</v>
      </c>
    </row>
    <row r="4098" spans="1:1" x14ac:dyDescent="0.25">
      <c r="A4098" s="124" t="s">
        <v>4164</v>
      </c>
    </row>
    <row r="4099" spans="1:1" x14ac:dyDescent="0.25">
      <c r="A4099" t="s">
        <v>4165</v>
      </c>
    </row>
    <row r="4100" spans="1:1" x14ac:dyDescent="0.25">
      <c r="A4100" s="125" t="s">
        <v>4166</v>
      </c>
    </row>
    <row r="4101" spans="1:1" x14ac:dyDescent="0.25">
      <c r="A4101" s="124" t="s">
        <v>4167</v>
      </c>
    </row>
    <row r="4102" spans="1:1" x14ac:dyDescent="0.25">
      <c r="A4102" t="s">
        <v>4168</v>
      </c>
    </row>
    <row r="4103" spans="1:1" x14ac:dyDescent="0.25">
      <c r="A4103" s="125" t="s">
        <v>4169</v>
      </c>
    </row>
    <row r="4104" spans="1:1" x14ac:dyDescent="0.25">
      <c r="A4104" s="125" t="s">
        <v>4170</v>
      </c>
    </row>
    <row r="4105" spans="1:1" x14ac:dyDescent="0.25">
      <c r="A4105" s="124" t="s">
        <v>4171</v>
      </c>
    </row>
    <row r="4106" spans="1:1" x14ac:dyDescent="0.25">
      <c r="A4106" s="124" t="s">
        <v>4172</v>
      </c>
    </row>
    <row r="4107" spans="1:1" x14ac:dyDescent="0.25">
      <c r="A4107" t="s">
        <v>4173</v>
      </c>
    </row>
    <row r="4108" spans="1:1" x14ac:dyDescent="0.25">
      <c r="A4108" s="27" t="s">
        <v>4174</v>
      </c>
    </row>
    <row r="4109" spans="1:1" x14ac:dyDescent="0.25">
      <c r="A4109" s="124" t="s">
        <v>4175</v>
      </c>
    </row>
    <row r="4110" spans="1:1" x14ac:dyDescent="0.25">
      <c r="A4110" s="27" t="s">
        <v>4176</v>
      </c>
    </row>
    <row r="4111" spans="1:1" x14ac:dyDescent="0.25">
      <c r="A4111" s="125" t="s">
        <v>4177</v>
      </c>
    </row>
    <row r="4112" spans="1:1" x14ac:dyDescent="0.25">
      <c r="A4112" s="124" t="s">
        <v>4178</v>
      </c>
    </row>
    <row r="4113" spans="1:1" x14ac:dyDescent="0.25">
      <c r="A4113" t="s">
        <v>4179</v>
      </c>
    </row>
    <row r="4114" spans="1:1" x14ac:dyDescent="0.25">
      <c r="A4114" s="125" t="s">
        <v>4180</v>
      </c>
    </row>
    <row r="4115" spans="1:1" x14ac:dyDescent="0.25">
      <c r="A4115" s="125" t="s">
        <v>4181</v>
      </c>
    </row>
    <row r="4116" spans="1:1" x14ac:dyDescent="0.25">
      <c r="A4116" s="27" t="s">
        <v>4182</v>
      </c>
    </row>
    <row r="4117" spans="1:1" x14ac:dyDescent="0.25">
      <c r="A4117" s="27" t="s">
        <v>4183</v>
      </c>
    </row>
    <row r="4118" spans="1:1" x14ac:dyDescent="0.25">
      <c r="A4118" s="27" t="s">
        <v>4184</v>
      </c>
    </row>
    <row r="4119" spans="1:1" x14ac:dyDescent="0.25">
      <c r="A4119" t="s">
        <v>4185</v>
      </c>
    </row>
    <row r="4120" spans="1:1" x14ac:dyDescent="0.25">
      <c r="A4120" t="s">
        <v>4186</v>
      </c>
    </row>
    <row r="4121" spans="1:1" x14ac:dyDescent="0.25">
      <c r="A4121" t="s">
        <v>4187</v>
      </c>
    </row>
    <row r="4122" spans="1:1" x14ac:dyDescent="0.25">
      <c r="A4122" t="s">
        <v>4188</v>
      </c>
    </row>
    <row r="4123" spans="1:1" x14ac:dyDescent="0.25">
      <c r="A4123" t="s">
        <v>4189</v>
      </c>
    </row>
    <row r="4124" spans="1:1" x14ac:dyDescent="0.25">
      <c r="A4124" t="s">
        <v>4190</v>
      </c>
    </row>
    <row r="4125" spans="1:1" ht="255" x14ac:dyDescent="0.25">
      <c r="A4125" s="126" t="s">
        <v>4191</v>
      </c>
    </row>
    <row r="4126" spans="1:1" ht="270" x14ac:dyDescent="0.25">
      <c r="A4126" s="126" t="s">
        <v>4192</v>
      </c>
    </row>
    <row r="4127" spans="1:1" x14ac:dyDescent="0.25">
      <c r="A4127" s="124" t="s">
        <v>4193</v>
      </c>
    </row>
    <row r="4128" spans="1:1" x14ac:dyDescent="0.25">
      <c r="A4128" t="s">
        <v>4194</v>
      </c>
    </row>
    <row r="4129" spans="1:1" x14ac:dyDescent="0.25">
      <c r="A4129" s="125" t="s">
        <v>4195</v>
      </c>
    </row>
    <row r="4130" spans="1:1" x14ac:dyDescent="0.25">
      <c r="A4130" s="124" t="s">
        <v>4196</v>
      </c>
    </row>
    <row r="4131" spans="1:1" x14ac:dyDescent="0.25">
      <c r="A4131" t="s">
        <v>4197</v>
      </c>
    </row>
    <row r="4132" spans="1:1" x14ac:dyDescent="0.25">
      <c r="A4132" s="125" t="s">
        <v>4198</v>
      </c>
    </row>
    <row r="4133" spans="1:1" x14ac:dyDescent="0.25">
      <c r="A4133" s="125" t="s">
        <v>4199</v>
      </c>
    </row>
    <row r="4134" spans="1:1" x14ac:dyDescent="0.25">
      <c r="A4134" s="124" t="s">
        <v>4200</v>
      </c>
    </row>
    <row r="4135" spans="1:1" x14ac:dyDescent="0.25">
      <c r="A4135" t="s">
        <v>4201</v>
      </c>
    </row>
    <row r="4136" spans="1:1" x14ac:dyDescent="0.25">
      <c r="A4136" s="125" t="s">
        <v>4202</v>
      </c>
    </row>
    <row r="4137" spans="1:1" x14ac:dyDescent="0.25">
      <c r="A4137" s="124" t="s">
        <v>4203</v>
      </c>
    </row>
    <row r="4138" spans="1:1" x14ac:dyDescent="0.25">
      <c r="A4138" t="s">
        <v>4204</v>
      </c>
    </row>
    <row r="4139" spans="1:1" x14ac:dyDescent="0.25">
      <c r="A4139" s="125" t="s">
        <v>4205</v>
      </c>
    </row>
    <row r="4140" spans="1:1" x14ac:dyDescent="0.25">
      <c r="A4140" s="125" t="s">
        <v>4206</v>
      </c>
    </row>
    <row r="4141" spans="1:1" x14ac:dyDescent="0.25">
      <c r="A4141" s="124" t="s">
        <v>4207</v>
      </c>
    </row>
    <row r="4142" spans="1:1" x14ac:dyDescent="0.25">
      <c r="A4142" s="124" t="s">
        <v>4208</v>
      </c>
    </row>
    <row r="4143" spans="1:1" x14ac:dyDescent="0.25">
      <c r="A4143" t="s">
        <v>4209</v>
      </c>
    </row>
    <row r="4144" spans="1:1" x14ac:dyDescent="0.25">
      <c r="A4144" s="124" t="s">
        <v>4210</v>
      </c>
    </row>
    <row r="4145" spans="1:1" x14ac:dyDescent="0.25">
      <c r="A4145" s="27" t="s">
        <v>4211</v>
      </c>
    </row>
    <row r="4146" spans="1:1" x14ac:dyDescent="0.25">
      <c r="A4146" s="125" t="s">
        <v>4212</v>
      </c>
    </row>
    <row r="4147" spans="1:1" x14ac:dyDescent="0.25">
      <c r="A4147" s="124" t="s">
        <v>4213</v>
      </c>
    </row>
    <row r="4148" spans="1:1" x14ac:dyDescent="0.25">
      <c r="A4148" t="s">
        <v>4214</v>
      </c>
    </row>
    <row r="4149" spans="1:1" x14ac:dyDescent="0.25">
      <c r="A4149" s="125" t="s">
        <v>4215</v>
      </c>
    </row>
    <row r="4150" spans="1:1" x14ac:dyDescent="0.25">
      <c r="A4150" s="125" t="s">
        <v>4216</v>
      </c>
    </row>
    <row r="4151" spans="1:1" x14ac:dyDescent="0.25">
      <c r="A4151" s="27" t="s">
        <v>4217</v>
      </c>
    </row>
    <row r="4152" spans="1:1" x14ac:dyDescent="0.25">
      <c r="A4152" s="27" t="s">
        <v>4218</v>
      </c>
    </row>
    <row r="4153" spans="1:1" x14ac:dyDescent="0.25">
      <c r="A4153" s="27" t="s">
        <v>4219</v>
      </c>
    </row>
    <row r="4154" spans="1:1" x14ac:dyDescent="0.25">
      <c r="A4154" t="s">
        <v>4220</v>
      </c>
    </row>
    <row r="4155" spans="1:1" ht="255" x14ac:dyDescent="0.25">
      <c r="A4155" s="126" t="s">
        <v>4221</v>
      </c>
    </row>
    <row r="4156" spans="1:1" ht="270" x14ac:dyDescent="0.25">
      <c r="A4156" s="126" t="s">
        <v>4222</v>
      </c>
    </row>
    <row r="4157" spans="1:1" x14ac:dyDescent="0.25">
      <c r="A4157" s="124" t="s">
        <v>4223</v>
      </c>
    </row>
    <row r="4158" spans="1:1" x14ac:dyDescent="0.25">
      <c r="A4158" t="s">
        <v>4224</v>
      </c>
    </row>
    <row r="4159" spans="1:1" x14ac:dyDescent="0.25">
      <c r="A4159" s="125" t="s">
        <v>4225</v>
      </c>
    </row>
    <row r="4160" spans="1:1" x14ac:dyDescent="0.25">
      <c r="A4160" s="124" t="s">
        <v>4226</v>
      </c>
    </row>
    <row r="4161" spans="1:1" x14ac:dyDescent="0.25">
      <c r="A4161" t="s">
        <v>4227</v>
      </c>
    </row>
    <row r="4162" spans="1:1" x14ac:dyDescent="0.25">
      <c r="A4162" s="125" t="s">
        <v>4228</v>
      </c>
    </row>
    <row r="4163" spans="1:1" x14ac:dyDescent="0.25">
      <c r="A4163" s="125" t="s">
        <v>4229</v>
      </c>
    </row>
    <row r="4164" spans="1:1" x14ac:dyDescent="0.25">
      <c r="A4164" s="124" t="s">
        <v>4230</v>
      </c>
    </row>
    <row r="4165" spans="1:1" x14ac:dyDescent="0.25">
      <c r="A4165" t="s">
        <v>4231</v>
      </c>
    </row>
    <row r="4166" spans="1:1" x14ac:dyDescent="0.25">
      <c r="A4166" s="125" t="s">
        <v>4232</v>
      </c>
    </row>
    <row r="4167" spans="1:1" x14ac:dyDescent="0.25">
      <c r="A4167" s="124" t="s">
        <v>4233</v>
      </c>
    </row>
    <row r="4168" spans="1:1" x14ac:dyDescent="0.25">
      <c r="A4168" t="s">
        <v>4234</v>
      </c>
    </row>
    <row r="4169" spans="1:1" x14ac:dyDescent="0.25">
      <c r="A4169" s="125" t="s">
        <v>4235</v>
      </c>
    </row>
    <row r="4170" spans="1:1" x14ac:dyDescent="0.25">
      <c r="A4170" s="125" t="s">
        <v>4236</v>
      </c>
    </row>
    <row r="4171" spans="1:1" x14ac:dyDescent="0.25">
      <c r="A4171" t="s">
        <v>4237</v>
      </c>
    </row>
    <row r="4172" spans="1:1" x14ac:dyDescent="0.25">
      <c r="A4172" t="s">
        <v>4238</v>
      </c>
    </row>
    <row r="4173" spans="1:1" x14ac:dyDescent="0.25">
      <c r="A4173" t="s">
        <v>4239</v>
      </c>
    </row>
    <row r="4174" spans="1:1" x14ac:dyDescent="0.25">
      <c r="A4174" t="s">
        <v>4240</v>
      </c>
    </row>
    <row r="4175" spans="1:1" x14ac:dyDescent="0.25">
      <c r="A4175" t="s">
        <v>4241</v>
      </c>
    </row>
    <row r="4176" spans="1:1" x14ac:dyDescent="0.25">
      <c r="A4176" t="s">
        <v>4242</v>
      </c>
    </row>
    <row r="4177" spans="1:1" x14ac:dyDescent="0.25">
      <c r="A4177" t="s">
        <v>4243</v>
      </c>
    </row>
    <row r="4178" spans="1:1" x14ac:dyDescent="0.25">
      <c r="A4178" t="s">
        <v>4244</v>
      </c>
    </row>
    <row r="4179" spans="1:1" x14ac:dyDescent="0.25">
      <c r="A4179" t="s">
        <v>4245</v>
      </c>
    </row>
    <row r="4180" spans="1:1" x14ac:dyDescent="0.25">
      <c r="A4180" t="s">
        <v>4246</v>
      </c>
    </row>
    <row r="4181" spans="1:1" x14ac:dyDescent="0.25">
      <c r="A4181" t="s">
        <v>4247</v>
      </c>
    </row>
    <row r="4182" spans="1:1" x14ac:dyDescent="0.25">
      <c r="A4182" t="s">
        <v>4248</v>
      </c>
    </row>
    <row r="4183" spans="1:1" x14ac:dyDescent="0.25">
      <c r="A4183" s="124" t="s">
        <v>4249</v>
      </c>
    </row>
    <row r="4184" spans="1:1" x14ac:dyDescent="0.25">
      <c r="A4184" s="124" t="s">
        <v>4250</v>
      </c>
    </row>
    <row r="4185" spans="1:1" x14ac:dyDescent="0.25">
      <c r="A4185" t="s">
        <v>4251</v>
      </c>
    </row>
    <row r="4186" spans="1:1" x14ac:dyDescent="0.25">
      <c r="A4186" s="124" t="s">
        <v>4252</v>
      </c>
    </row>
    <row r="4187" spans="1:1" x14ac:dyDescent="0.25">
      <c r="A4187" t="s">
        <v>4253</v>
      </c>
    </row>
    <row r="4188" spans="1:1" x14ac:dyDescent="0.25">
      <c r="A4188" t="s">
        <v>4254</v>
      </c>
    </row>
    <row r="4189" spans="1:1" x14ac:dyDescent="0.25">
      <c r="A4189" t="s">
        <v>4255</v>
      </c>
    </row>
    <row r="4190" spans="1:1" x14ac:dyDescent="0.25">
      <c r="A4190" t="s">
        <v>4256</v>
      </c>
    </row>
    <row r="4191" spans="1:1" x14ac:dyDescent="0.25">
      <c r="A4191" t="s">
        <v>4257</v>
      </c>
    </row>
    <row r="4192" spans="1:1" x14ac:dyDescent="0.25">
      <c r="A4192" t="s">
        <v>4258</v>
      </c>
    </row>
    <row r="4193" spans="1:1" x14ac:dyDescent="0.25">
      <c r="A4193" s="27" t="s">
        <v>4259</v>
      </c>
    </row>
    <row r="4194" spans="1:1" x14ac:dyDescent="0.25">
      <c r="A4194" s="125" t="s">
        <v>4260</v>
      </c>
    </row>
    <row r="4195" spans="1:1" x14ac:dyDescent="0.25">
      <c r="A4195" s="124" t="s">
        <v>4261</v>
      </c>
    </row>
    <row r="4196" spans="1:1" x14ac:dyDescent="0.25">
      <c r="A4196" t="s">
        <v>4262</v>
      </c>
    </row>
    <row r="4197" spans="1:1" x14ac:dyDescent="0.25">
      <c r="A4197" s="125" t="s">
        <v>4263</v>
      </c>
    </row>
    <row r="4198" spans="1:1" x14ac:dyDescent="0.25">
      <c r="A4198" s="125" t="s">
        <v>4264</v>
      </c>
    </row>
    <row r="4199" spans="1:1" x14ac:dyDescent="0.25">
      <c r="A4199" s="27" t="s">
        <v>4265</v>
      </c>
    </row>
    <row r="4200" spans="1:1" x14ac:dyDescent="0.25">
      <c r="A4200" s="27" t="s">
        <v>4266</v>
      </c>
    </row>
    <row r="4201" spans="1:1" x14ac:dyDescent="0.25">
      <c r="A4201" s="27" t="s">
        <v>4267</v>
      </c>
    </row>
    <row r="4202" spans="1:1" x14ac:dyDescent="0.25">
      <c r="A4202" t="s">
        <v>4268</v>
      </c>
    </row>
    <row r="4203" spans="1:1" ht="255" x14ac:dyDescent="0.25">
      <c r="A4203" s="126" t="s">
        <v>4269</v>
      </c>
    </row>
    <row r="4204" spans="1:1" ht="270" x14ac:dyDescent="0.25">
      <c r="A4204" s="126" t="s">
        <v>4270</v>
      </c>
    </row>
    <row r="4205" spans="1:1" x14ac:dyDescent="0.25">
      <c r="A4205" s="124" t="s">
        <v>4271</v>
      </c>
    </row>
    <row r="4206" spans="1:1" x14ac:dyDescent="0.25">
      <c r="A4206" t="s">
        <v>4272</v>
      </c>
    </row>
    <row r="4207" spans="1:1" x14ac:dyDescent="0.25">
      <c r="A4207" s="125" t="s">
        <v>4273</v>
      </c>
    </row>
    <row r="4208" spans="1:1" x14ac:dyDescent="0.25">
      <c r="A4208" s="124" t="s">
        <v>4274</v>
      </c>
    </row>
    <row r="4209" spans="1:1" x14ac:dyDescent="0.25">
      <c r="A4209" t="s">
        <v>4275</v>
      </c>
    </row>
    <row r="4210" spans="1:1" x14ac:dyDescent="0.25">
      <c r="A4210" s="125" t="s">
        <v>4276</v>
      </c>
    </row>
    <row r="4211" spans="1:1" x14ac:dyDescent="0.25">
      <c r="A4211" s="125" t="s">
        <v>4277</v>
      </c>
    </row>
    <row r="4212" spans="1:1" x14ac:dyDescent="0.25">
      <c r="A4212" s="124" t="s">
        <v>4278</v>
      </c>
    </row>
    <row r="4213" spans="1:1" x14ac:dyDescent="0.25">
      <c r="A4213" t="s">
        <v>4279</v>
      </c>
    </row>
    <row r="4214" spans="1:1" x14ac:dyDescent="0.25">
      <c r="A4214" s="125" t="s">
        <v>4280</v>
      </c>
    </row>
    <row r="4215" spans="1:1" x14ac:dyDescent="0.25">
      <c r="A4215" s="124" t="s">
        <v>4281</v>
      </c>
    </row>
    <row r="4216" spans="1:1" x14ac:dyDescent="0.25">
      <c r="A4216" t="s">
        <v>4282</v>
      </c>
    </row>
    <row r="4217" spans="1:1" x14ac:dyDescent="0.25">
      <c r="A4217" s="125" t="s">
        <v>4283</v>
      </c>
    </row>
    <row r="4218" spans="1:1" x14ac:dyDescent="0.25">
      <c r="A4218" s="125" t="s">
        <v>4284</v>
      </c>
    </row>
    <row r="4219" spans="1:1" x14ac:dyDescent="0.25">
      <c r="A4219" s="124" t="s">
        <v>4285</v>
      </c>
    </row>
    <row r="4220" spans="1:1" x14ac:dyDescent="0.25">
      <c r="A4220" s="124" t="s">
        <v>4286</v>
      </c>
    </row>
    <row r="4221" spans="1:1" x14ac:dyDescent="0.25">
      <c r="A4221" t="s">
        <v>4287</v>
      </c>
    </row>
    <row r="4222" spans="1:1" x14ac:dyDescent="0.25">
      <c r="A4222" s="124" t="s">
        <v>4288</v>
      </c>
    </row>
    <row r="4223" spans="1:1" x14ac:dyDescent="0.25">
      <c r="A4223" s="124" t="s">
        <v>4289</v>
      </c>
    </row>
    <row r="4224" spans="1:1" x14ac:dyDescent="0.25">
      <c r="A4224" s="124" t="s">
        <v>4290</v>
      </c>
    </row>
    <row r="4225" spans="1:1" x14ac:dyDescent="0.25">
      <c r="A4225" s="124" t="s">
        <v>4291</v>
      </c>
    </row>
    <row r="4226" spans="1:1" x14ac:dyDescent="0.25">
      <c r="A4226" s="124" t="s">
        <v>4292</v>
      </c>
    </row>
    <row r="4227" spans="1:1" x14ac:dyDescent="0.25">
      <c r="A4227" s="124" t="s">
        <v>4292</v>
      </c>
    </row>
    <row r="4228" spans="1:1" x14ac:dyDescent="0.25">
      <c r="A4228" s="124" t="s">
        <v>4293</v>
      </c>
    </row>
    <row r="4229" spans="1:1" x14ac:dyDescent="0.25">
      <c r="A4229" s="124" t="s">
        <v>4294</v>
      </c>
    </row>
    <row r="4230" spans="1:1" x14ac:dyDescent="0.25">
      <c r="A4230" s="27" t="s">
        <v>4295</v>
      </c>
    </row>
    <row r="4231" spans="1:1" x14ac:dyDescent="0.25">
      <c r="A4231" s="125" t="s">
        <v>4296</v>
      </c>
    </row>
    <row r="4232" spans="1:1" x14ac:dyDescent="0.25">
      <c r="A4232" s="124" t="s">
        <v>4297</v>
      </c>
    </row>
    <row r="4233" spans="1:1" x14ac:dyDescent="0.25">
      <c r="A4233" t="s">
        <v>4298</v>
      </c>
    </row>
    <row r="4234" spans="1:1" x14ac:dyDescent="0.25">
      <c r="A4234" s="125" t="s">
        <v>4299</v>
      </c>
    </row>
    <row r="4235" spans="1:1" x14ac:dyDescent="0.25">
      <c r="A4235" s="125" t="s">
        <v>4300</v>
      </c>
    </row>
    <row r="4236" spans="1:1" x14ac:dyDescent="0.25">
      <c r="A4236" s="27" t="s">
        <v>4301</v>
      </c>
    </row>
    <row r="4237" spans="1:1" x14ac:dyDescent="0.25">
      <c r="A4237" s="27" t="s">
        <v>4302</v>
      </c>
    </row>
    <row r="4238" spans="1:1" x14ac:dyDescent="0.25">
      <c r="A4238" s="27" t="s">
        <v>4303</v>
      </c>
    </row>
    <row r="4239" spans="1:1" x14ac:dyDescent="0.25">
      <c r="A4239" t="s">
        <v>4304</v>
      </c>
    </row>
    <row r="4240" spans="1:1" ht="255" x14ac:dyDescent="0.25">
      <c r="A4240" s="126" t="s">
        <v>4305</v>
      </c>
    </row>
    <row r="4241" spans="1:1" ht="270" x14ac:dyDescent="0.25">
      <c r="A4241" s="126" t="s">
        <v>4306</v>
      </c>
    </row>
    <row r="4242" spans="1:1" x14ac:dyDescent="0.25">
      <c r="A4242" s="124" t="s">
        <v>4307</v>
      </c>
    </row>
    <row r="4243" spans="1:1" x14ac:dyDescent="0.25">
      <c r="A4243" t="s">
        <v>4308</v>
      </c>
    </row>
    <row r="4244" spans="1:1" x14ac:dyDescent="0.25">
      <c r="A4244" s="125" t="s">
        <v>4309</v>
      </c>
    </row>
    <row r="4245" spans="1:1" x14ac:dyDescent="0.25">
      <c r="A4245" s="124" t="s">
        <v>4310</v>
      </c>
    </row>
    <row r="4246" spans="1:1" x14ac:dyDescent="0.25">
      <c r="A4246" t="s">
        <v>4311</v>
      </c>
    </row>
    <row r="4247" spans="1:1" x14ac:dyDescent="0.25">
      <c r="A4247" s="125" t="s">
        <v>4312</v>
      </c>
    </row>
    <row r="4248" spans="1:1" x14ac:dyDescent="0.25">
      <c r="A4248" s="125" t="s">
        <v>4313</v>
      </c>
    </row>
    <row r="4249" spans="1:1" x14ac:dyDescent="0.25">
      <c r="A4249" s="125" t="s">
        <v>4314</v>
      </c>
    </row>
    <row r="4250" spans="1:1" x14ac:dyDescent="0.25">
      <c r="A4250" s="124" t="s">
        <v>4315</v>
      </c>
    </row>
    <row r="4251" spans="1:1" x14ac:dyDescent="0.25">
      <c r="A4251" t="s">
        <v>4316</v>
      </c>
    </row>
    <row r="4252" spans="1:1" x14ac:dyDescent="0.25">
      <c r="A4252" s="125" t="s">
        <v>4317</v>
      </c>
    </row>
    <row r="4253" spans="1:1" x14ac:dyDescent="0.25">
      <c r="A4253" s="125" t="s">
        <v>4318</v>
      </c>
    </row>
    <row r="4254" spans="1:1" x14ac:dyDescent="0.25">
      <c r="A4254" s="27" t="s">
        <v>4319</v>
      </c>
    </row>
    <row r="4255" spans="1:1" x14ac:dyDescent="0.25">
      <c r="A4255" s="27" t="s">
        <v>4320</v>
      </c>
    </row>
    <row r="4256" spans="1:1" x14ac:dyDescent="0.25">
      <c r="A4256" s="27" t="s">
        <v>4321</v>
      </c>
    </row>
    <row r="4257" spans="1:1" x14ac:dyDescent="0.25">
      <c r="A4257" t="s">
        <v>4322</v>
      </c>
    </row>
    <row r="4258" spans="1:1" x14ac:dyDescent="0.25">
      <c r="A4258" s="124" t="s">
        <v>4323</v>
      </c>
    </row>
    <row r="4259" spans="1:1" x14ac:dyDescent="0.25">
      <c r="A4259" t="s">
        <v>4324</v>
      </c>
    </row>
    <row r="4260" spans="1:1" x14ac:dyDescent="0.25">
      <c r="A4260" s="125" t="s">
        <v>4325</v>
      </c>
    </row>
    <row r="4261" spans="1:1" x14ac:dyDescent="0.25">
      <c r="A4261" s="124" t="s">
        <v>4326</v>
      </c>
    </row>
    <row r="4262" spans="1:1" x14ac:dyDescent="0.25">
      <c r="A4262" t="s">
        <v>4327</v>
      </c>
    </row>
    <row r="4263" spans="1:1" x14ac:dyDescent="0.25">
      <c r="A4263" s="125" t="s">
        <v>4328</v>
      </c>
    </row>
    <row r="4264" spans="1:1" x14ac:dyDescent="0.25">
      <c r="A4264" s="125" t="s">
        <v>4329</v>
      </c>
    </row>
    <row r="4265" spans="1:1" x14ac:dyDescent="0.25">
      <c r="A4265" s="125" t="s">
        <v>4330</v>
      </c>
    </row>
    <row r="4266" spans="1:1" x14ac:dyDescent="0.25">
      <c r="A4266" s="124" t="s">
        <v>4331</v>
      </c>
    </row>
    <row r="4267" spans="1:1" x14ac:dyDescent="0.25">
      <c r="A4267" t="s">
        <v>4332</v>
      </c>
    </row>
    <row r="4268" spans="1:1" x14ac:dyDescent="0.25">
      <c r="A4268" s="125" t="s">
        <v>4333</v>
      </c>
    </row>
    <row r="4269" spans="1:1" x14ac:dyDescent="0.25">
      <c r="A4269" s="125" t="s">
        <v>4334</v>
      </c>
    </row>
    <row r="4270" spans="1:1" x14ac:dyDescent="0.25">
      <c r="A4270" s="27" t="s">
        <v>4335</v>
      </c>
    </row>
    <row r="4271" spans="1:1" x14ac:dyDescent="0.25">
      <c r="A4271" s="27" t="s">
        <v>4336</v>
      </c>
    </row>
    <row r="4272" spans="1:1" x14ac:dyDescent="0.25">
      <c r="A4272" s="27" t="s">
        <v>4337</v>
      </c>
    </row>
    <row r="4273" spans="1:1" x14ac:dyDescent="0.25">
      <c r="A4273" t="s">
        <v>4338</v>
      </c>
    </row>
    <row r="4274" spans="1:1" x14ac:dyDescent="0.25">
      <c r="A4274" t="s">
        <v>4339</v>
      </c>
    </row>
    <row r="4275" spans="1:1" x14ac:dyDescent="0.25">
      <c r="A4275" t="s">
        <v>4340</v>
      </c>
    </row>
    <row r="4276" spans="1:1" x14ac:dyDescent="0.25">
      <c r="A4276" t="s">
        <v>4341</v>
      </c>
    </row>
    <row r="4277" spans="1:1" x14ac:dyDescent="0.25">
      <c r="A4277" t="s">
        <v>4342</v>
      </c>
    </row>
    <row r="4278" spans="1:1" x14ac:dyDescent="0.25">
      <c r="A4278" s="124" t="s">
        <v>4343</v>
      </c>
    </row>
    <row r="4279" spans="1:1" x14ac:dyDescent="0.25">
      <c r="A4279" t="s">
        <v>4344</v>
      </c>
    </row>
    <row r="4280" spans="1:1" x14ac:dyDescent="0.25">
      <c r="A4280" s="124" t="s">
        <v>4345</v>
      </c>
    </row>
    <row r="4281" spans="1:1" x14ac:dyDescent="0.25">
      <c r="A4281" s="124" t="s">
        <v>4346</v>
      </c>
    </row>
    <row r="4282" spans="1:1" x14ac:dyDescent="0.25">
      <c r="A4282" s="124" t="s">
        <v>4347</v>
      </c>
    </row>
    <row r="4283" spans="1:1" x14ac:dyDescent="0.25">
      <c r="A4283" s="27" t="s">
        <v>4348</v>
      </c>
    </row>
    <row r="4284" spans="1:1" ht="255" x14ac:dyDescent="0.25">
      <c r="A4284" s="126" t="s">
        <v>4349</v>
      </c>
    </row>
    <row r="4285" spans="1:1" ht="270" x14ac:dyDescent="0.25">
      <c r="A4285" s="126" t="s">
        <v>4350</v>
      </c>
    </row>
    <row r="4286" spans="1:1" x14ac:dyDescent="0.25">
      <c r="A4286" s="124" t="s">
        <v>4351</v>
      </c>
    </row>
    <row r="4287" spans="1:1" x14ac:dyDescent="0.25">
      <c r="A4287" t="s">
        <v>4352</v>
      </c>
    </row>
    <row r="4288" spans="1:1" x14ac:dyDescent="0.25">
      <c r="A4288" s="125" t="s">
        <v>4353</v>
      </c>
    </row>
    <row r="4289" spans="1:1" x14ac:dyDescent="0.25">
      <c r="A4289" s="124" t="s">
        <v>4354</v>
      </c>
    </row>
    <row r="4290" spans="1:1" x14ac:dyDescent="0.25">
      <c r="A4290" t="s">
        <v>4355</v>
      </c>
    </row>
    <row r="4291" spans="1:1" x14ac:dyDescent="0.25">
      <c r="A4291" s="125" t="s">
        <v>4356</v>
      </c>
    </row>
    <row r="4292" spans="1:1" x14ac:dyDescent="0.25">
      <c r="A4292" s="125" t="s">
        <v>4357</v>
      </c>
    </row>
    <row r="4293" spans="1:1" x14ac:dyDescent="0.25">
      <c r="A4293" s="124" t="s">
        <v>4358</v>
      </c>
    </row>
    <row r="4294" spans="1:1" x14ac:dyDescent="0.25">
      <c r="A4294" t="s">
        <v>4359</v>
      </c>
    </row>
    <row r="4295" spans="1:1" x14ac:dyDescent="0.25">
      <c r="A4295" s="125" t="s">
        <v>4360</v>
      </c>
    </row>
    <row r="4296" spans="1:1" x14ac:dyDescent="0.25">
      <c r="A4296" s="124" t="s">
        <v>4361</v>
      </c>
    </row>
    <row r="4297" spans="1:1" x14ac:dyDescent="0.25">
      <c r="A4297" t="s">
        <v>4362</v>
      </c>
    </row>
    <row r="4298" spans="1:1" x14ac:dyDescent="0.25">
      <c r="A4298" s="125" t="s">
        <v>4363</v>
      </c>
    </row>
    <row r="4299" spans="1:1" x14ac:dyDescent="0.25">
      <c r="A4299" s="125" t="s">
        <v>4364</v>
      </c>
    </row>
    <row r="4300" spans="1:1" x14ac:dyDescent="0.25">
      <c r="A4300" t="s">
        <v>4365</v>
      </c>
    </row>
    <row r="4301" spans="1:1" x14ac:dyDescent="0.25">
      <c r="A4301" t="s">
        <v>4366</v>
      </c>
    </row>
    <row r="4302" spans="1:1" x14ac:dyDescent="0.25">
      <c r="A4302" t="s">
        <v>4367</v>
      </c>
    </row>
    <row r="4303" spans="1:1" x14ac:dyDescent="0.25">
      <c r="A4303" t="s">
        <v>4368</v>
      </c>
    </row>
    <row r="4304" spans="1:1" x14ac:dyDescent="0.25">
      <c r="A4304" t="s">
        <v>4369</v>
      </c>
    </row>
    <row r="4305" spans="1:1" x14ac:dyDescent="0.25">
      <c r="A4305" t="s">
        <v>4370</v>
      </c>
    </row>
    <row r="4306" spans="1:1" x14ac:dyDescent="0.25">
      <c r="A4306" t="s">
        <v>4371</v>
      </c>
    </row>
    <row r="4307" spans="1:1" x14ac:dyDescent="0.25">
      <c r="A4307" t="s">
        <v>4372</v>
      </c>
    </row>
    <row r="4308" spans="1:1" x14ac:dyDescent="0.25">
      <c r="A4308" t="s">
        <v>4373</v>
      </c>
    </row>
    <row r="4309" spans="1:1" x14ac:dyDescent="0.25">
      <c r="A4309" s="124" t="s">
        <v>4374</v>
      </c>
    </row>
    <row r="4310" spans="1:1" x14ac:dyDescent="0.25">
      <c r="A4310" s="124" t="s">
        <v>4375</v>
      </c>
    </row>
    <row r="4311" spans="1:1" x14ac:dyDescent="0.25">
      <c r="A4311" t="s">
        <v>4376</v>
      </c>
    </row>
    <row r="4312" spans="1:1" x14ac:dyDescent="0.25">
      <c r="A4312" s="124" t="s">
        <v>4377</v>
      </c>
    </row>
    <row r="4313" spans="1:1" x14ac:dyDescent="0.25">
      <c r="A4313" s="124" t="s">
        <v>4378</v>
      </c>
    </row>
    <row r="4314" spans="1:1" x14ac:dyDescent="0.25">
      <c r="A4314" s="27" t="s">
        <v>4379</v>
      </c>
    </row>
    <row r="4315" spans="1:1" x14ac:dyDescent="0.25">
      <c r="A4315" s="125" t="s">
        <v>4380</v>
      </c>
    </row>
    <row r="4316" spans="1:1" x14ac:dyDescent="0.25">
      <c r="A4316" s="124" t="s">
        <v>4381</v>
      </c>
    </row>
    <row r="4317" spans="1:1" x14ac:dyDescent="0.25">
      <c r="A4317" t="s">
        <v>4382</v>
      </c>
    </row>
    <row r="4318" spans="1:1" x14ac:dyDescent="0.25">
      <c r="A4318" s="125" t="s">
        <v>4383</v>
      </c>
    </row>
    <row r="4319" spans="1:1" x14ac:dyDescent="0.25">
      <c r="A4319" s="125" t="s">
        <v>4384</v>
      </c>
    </row>
    <row r="4320" spans="1:1" x14ac:dyDescent="0.25">
      <c r="A4320" s="27" t="s">
        <v>4385</v>
      </c>
    </row>
    <row r="4321" spans="1:1" x14ac:dyDescent="0.25">
      <c r="A4321" s="27" t="s">
        <v>4386</v>
      </c>
    </row>
    <row r="4322" spans="1:1" x14ac:dyDescent="0.25">
      <c r="A4322" s="27" t="s">
        <v>4387</v>
      </c>
    </row>
    <row r="4323" spans="1:1" x14ac:dyDescent="0.25">
      <c r="A4323" t="s">
        <v>4388</v>
      </c>
    </row>
    <row r="4324" spans="1:1" ht="255" x14ac:dyDescent="0.25">
      <c r="A4324" s="126" t="s">
        <v>4389</v>
      </c>
    </row>
    <row r="4325" spans="1:1" ht="270" x14ac:dyDescent="0.25">
      <c r="A4325" s="126" t="s">
        <v>4390</v>
      </c>
    </row>
    <row r="4326" spans="1:1" x14ac:dyDescent="0.25">
      <c r="A4326" s="124" t="s">
        <v>4391</v>
      </c>
    </row>
    <row r="4327" spans="1:1" x14ac:dyDescent="0.25">
      <c r="A4327" t="s">
        <v>4392</v>
      </c>
    </row>
    <row r="4328" spans="1:1" x14ac:dyDescent="0.25">
      <c r="A4328" s="125" t="s">
        <v>4393</v>
      </c>
    </row>
    <row r="4329" spans="1:1" x14ac:dyDescent="0.25">
      <c r="A4329" s="124" t="s">
        <v>4394</v>
      </c>
    </row>
    <row r="4330" spans="1:1" x14ac:dyDescent="0.25">
      <c r="A4330" t="s">
        <v>4395</v>
      </c>
    </row>
    <row r="4331" spans="1:1" x14ac:dyDescent="0.25">
      <c r="A4331" s="125" t="s">
        <v>4396</v>
      </c>
    </row>
    <row r="4332" spans="1:1" x14ac:dyDescent="0.25">
      <c r="A4332" s="125" t="s">
        <v>4397</v>
      </c>
    </row>
    <row r="4333" spans="1:1" x14ac:dyDescent="0.25">
      <c r="A4333" s="124" t="s">
        <v>4398</v>
      </c>
    </row>
    <row r="4334" spans="1:1" x14ac:dyDescent="0.25">
      <c r="A4334" t="s">
        <v>4399</v>
      </c>
    </row>
    <row r="4335" spans="1:1" x14ac:dyDescent="0.25">
      <c r="A4335" s="125" t="s">
        <v>4400</v>
      </c>
    </row>
    <row r="4336" spans="1:1" x14ac:dyDescent="0.25">
      <c r="A4336" s="124" t="s">
        <v>4401</v>
      </c>
    </row>
    <row r="4337" spans="1:1" x14ac:dyDescent="0.25">
      <c r="A4337" t="s">
        <v>4402</v>
      </c>
    </row>
    <row r="4338" spans="1:1" x14ac:dyDescent="0.25">
      <c r="A4338" s="125" t="s">
        <v>4403</v>
      </c>
    </row>
    <row r="4339" spans="1:1" x14ac:dyDescent="0.25">
      <c r="A4339" s="125" t="s">
        <v>4404</v>
      </c>
    </row>
    <row r="4340" spans="1:1" x14ac:dyDescent="0.25">
      <c r="A4340" t="s">
        <v>4405</v>
      </c>
    </row>
    <row r="4341" spans="1:1" x14ac:dyDescent="0.25">
      <c r="A4341" s="124" t="s">
        <v>4406</v>
      </c>
    </row>
    <row r="4342" spans="1:1" x14ac:dyDescent="0.25">
      <c r="A4342" t="s">
        <v>4407</v>
      </c>
    </row>
    <row r="4343" spans="1:1" x14ac:dyDescent="0.25">
      <c r="A4343" s="124" t="s">
        <v>4408</v>
      </c>
    </row>
    <row r="4344" spans="1:1" x14ac:dyDescent="0.25">
      <c r="A4344" t="s">
        <v>4409</v>
      </c>
    </row>
    <row r="4345" spans="1:1" x14ac:dyDescent="0.25">
      <c r="A4345" t="s">
        <v>4410</v>
      </c>
    </row>
    <row r="4346" spans="1:1" x14ac:dyDescent="0.25">
      <c r="A4346" s="27" t="s">
        <v>4411</v>
      </c>
    </row>
    <row r="4347" spans="1:1" ht="255" x14ac:dyDescent="0.25">
      <c r="A4347" s="126" t="s">
        <v>4412</v>
      </c>
    </row>
    <row r="4348" spans="1:1" ht="270" x14ac:dyDescent="0.25">
      <c r="A4348" s="126" t="s">
        <v>4413</v>
      </c>
    </row>
    <row r="4349" spans="1:1" x14ac:dyDescent="0.25">
      <c r="A4349" s="124" t="s">
        <v>4414</v>
      </c>
    </row>
    <row r="4350" spans="1:1" x14ac:dyDescent="0.25">
      <c r="A4350" t="s">
        <v>4415</v>
      </c>
    </row>
    <row r="4351" spans="1:1" x14ac:dyDescent="0.25">
      <c r="A4351" s="125" t="s">
        <v>4416</v>
      </c>
    </row>
    <row r="4352" spans="1:1" x14ac:dyDescent="0.25">
      <c r="A4352" s="124" t="s">
        <v>4417</v>
      </c>
    </row>
    <row r="4353" spans="1:1" x14ac:dyDescent="0.25">
      <c r="A4353" t="s">
        <v>4418</v>
      </c>
    </row>
    <row r="4354" spans="1:1" x14ac:dyDescent="0.25">
      <c r="A4354" s="125" t="s">
        <v>4419</v>
      </c>
    </row>
    <row r="4355" spans="1:1" x14ac:dyDescent="0.25">
      <c r="A4355" s="125" t="s">
        <v>4420</v>
      </c>
    </row>
    <row r="4356" spans="1:1" x14ac:dyDescent="0.25">
      <c r="A4356" s="124" t="s">
        <v>4421</v>
      </c>
    </row>
    <row r="4357" spans="1:1" x14ac:dyDescent="0.25">
      <c r="A4357" t="s">
        <v>4422</v>
      </c>
    </row>
    <row r="4358" spans="1:1" x14ac:dyDescent="0.25">
      <c r="A4358" s="125" t="s">
        <v>4423</v>
      </c>
    </row>
    <row r="4359" spans="1:1" x14ac:dyDescent="0.25">
      <c r="A4359" s="124" t="s">
        <v>4424</v>
      </c>
    </row>
    <row r="4360" spans="1:1" x14ac:dyDescent="0.25">
      <c r="A4360" t="s">
        <v>4425</v>
      </c>
    </row>
    <row r="4361" spans="1:1" x14ac:dyDescent="0.25">
      <c r="A4361" s="125" t="s">
        <v>4426</v>
      </c>
    </row>
    <row r="4362" spans="1:1" x14ac:dyDescent="0.25">
      <c r="A4362" s="125" t="s">
        <v>4427</v>
      </c>
    </row>
    <row r="4363" spans="1:1" x14ac:dyDescent="0.25">
      <c r="A4363" s="124" t="s">
        <v>4428</v>
      </c>
    </row>
    <row r="4364" spans="1:1" x14ac:dyDescent="0.25">
      <c r="A4364" s="124" t="s">
        <v>4429</v>
      </c>
    </row>
    <row r="4365" spans="1:1" x14ac:dyDescent="0.25">
      <c r="A4365" t="s">
        <v>4430</v>
      </c>
    </row>
    <row r="4366" spans="1:1" x14ac:dyDescent="0.25">
      <c r="A4366" s="124" t="s">
        <v>4431</v>
      </c>
    </row>
    <row r="4367" spans="1:1" x14ac:dyDescent="0.25">
      <c r="A4367" s="27" t="s">
        <v>4432</v>
      </c>
    </row>
    <row r="4368" spans="1:1" x14ac:dyDescent="0.25">
      <c r="A4368" s="125" t="s">
        <v>4433</v>
      </c>
    </row>
    <row r="4369" spans="1:1" x14ac:dyDescent="0.25">
      <c r="A4369" s="124" t="s">
        <v>4434</v>
      </c>
    </row>
    <row r="4370" spans="1:1" x14ac:dyDescent="0.25">
      <c r="A4370" t="s">
        <v>4435</v>
      </c>
    </row>
    <row r="4371" spans="1:1" x14ac:dyDescent="0.25">
      <c r="A4371" s="125" t="s">
        <v>4436</v>
      </c>
    </row>
    <row r="4372" spans="1:1" x14ac:dyDescent="0.25">
      <c r="A4372" s="125" t="s">
        <v>4437</v>
      </c>
    </row>
    <row r="4373" spans="1:1" x14ac:dyDescent="0.25">
      <c r="A4373" s="27" t="s">
        <v>4438</v>
      </c>
    </row>
    <row r="4374" spans="1:1" x14ac:dyDescent="0.25">
      <c r="A4374" s="27" t="s">
        <v>4439</v>
      </c>
    </row>
    <row r="4375" spans="1:1" x14ac:dyDescent="0.25">
      <c r="A4375" s="27" t="s">
        <v>4440</v>
      </c>
    </row>
    <row r="4376" spans="1:1" x14ac:dyDescent="0.25">
      <c r="A4376" t="s">
        <v>4441</v>
      </c>
    </row>
    <row r="4377" spans="1:1" ht="255" x14ac:dyDescent="0.25">
      <c r="A4377" s="126" t="s">
        <v>4442</v>
      </c>
    </row>
    <row r="4378" spans="1:1" ht="270" x14ac:dyDescent="0.25">
      <c r="A4378" s="126" t="s">
        <v>4443</v>
      </c>
    </row>
    <row r="4379" spans="1:1" x14ac:dyDescent="0.25">
      <c r="A4379" s="124" t="s">
        <v>4444</v>
      </c>
    </row>
    <row r="4380" spans="1:1" x14ac:dyDescent="0.25">
      <c r="A4380" t="s">
        <v>4445</v>
      </c>
    </row>
    <row r="4381" spans="1:1" x14ac:dyDescent="0.25">
      <c r="A4381" s="125" t="s">
        <v>4446</v>
      </c>
    </row>
    <row r="4382" spans="1:1" x14ac:dyDescent="0.25">
      <c r="A4382" s="124" t="s">
        <v>4447</v>
      </c>
    </row>
    <row r="4383" spans="1:1" x14ac:dyDescent="0.25">
      <c r="A4383" t="s">
        <v>4448</v>
      </c>
    </row>
    <row r="4384" spans="1:1" x14ac:dyDescent="0.25">
      <c r="A4384" s="125" t="s">
        <v>4449</v>
      </c>
    </row>
    <row r="4385" spans="1:1" x14ac:dyDescent="0.25">
      <c r="A4385" s="125" t="s">
        <v>4450</v>
      </c>
    </row>
    <row r="4386" spans="1:1" x14ac:dyDescent="0.25">
      <c r="A4386" s="124" t="s">
        <v>4451</v>
      </c>
    </row>
    <row r="4387" spans="1:1" x14ac:dyDescent="0.25">
      <c r="A4387" t="s">
        <v>4452</v>
      </c>
    </row>
    <row r="4388" spans="1:1" x14ac:dyDescent="0.25">
      <c r="A4388" s="125" t="s">
        <v>4453</v>
      </c>
    </row>
    <row r="4389" spans="1:1" x14ac:dyDescent="0.25">
      <c r="A4389" s="124" t="s">
        <v>4454</v>
      </c>
    </row>
    <row r="4390" spans="1:1" x14ac:dyDescent="0.25">
      <c r="A4390" t="s">
        <v>4455</v>
      </c>
    </row>
    <row r="4391" spans="1:1" x14ac:dyDescent="0.25">
      <c r="A4391" s="125" t="s">
        <v>4456</v>
      </c>
    </row>
    <row r="4392" spans="1:1" x14ac:dyDescent="0.25">
      <c r="A4392" s="125" t="s">
        <v>4457</v>
      </c>
    </row>
    <row r="4393" spans="1:1" x14ac:dyDescent="0.25">
      <c r="A4393" s="124" t="s">
        <v>4458</v>
      </c>
    </row>
    <row r="4394" spans="1:1" x14ac:dyDescent="0.25">
      <c r="A4394" s="124" t="s">
        <v>4459</v>
      </c>
    </row>
    <row r="4395" spans="1:1" x14ac:dyDescent="0.25">
      <c r="A4395" t="s">
        <v>4460</v>
      </c>
    </row>
    <row r="4396" spans="1:1" x14ac:dyDescent="0.25">
      <c r="A4396" s="124" t="s">
        <v>4461</v>
      </c>
    </row>
    <row r="4397" spans="1:1" x14ac:dyDescent="0.25">
      <c r="A4397" s="27" t="s">
        <v>4462</v>
      </c>
    </row>
    <row r="4398" spans="1:1" x14ac:dyDescent="0.25">
      <c r="A4398" s="125" t="s">
        <v>4463</v>
      </c>
    </row>
    <row r="4399" spans="1:1" x14ac:dyDescent="0.25">
      <c r="A4399" s="124" t="s">
        <v>4464</v>
      </c>
    </row>
    <row r="4400" spans="1:1" x14ac:dyDescent="0.25">
      <c r="A4400" t="s">
        <v>4465</v>
      </c>
    </row>
    <row r="4401" spans="1:1" x14ac:dyDescent="0.25">
      <c r="A4401" s="125" t="s">
        <v>4466</v>
      </c>
    </row>
    <row r="4402" spans="1:1" x14ac:dyDescent="0.25">
      <c r="A4402" s="125" t="s">
        <v>4467</v>
      </c>
    </row>
    <row r="4403" spans="1:1" x14ac:dyDescent="0.25">
      <c r="A4403" s="27" t="s">
        <v>4468</v>
      </c>
    </row>
    <row r="4404" spans="1:1" x14ac:dyDescent="0.25">
      <c r="A4404" s="27" t="s">
        <v>4469</v>
      </c>
    </row>
    <row r="4405" spans="1:1" x14ac:dyDescent="0.25">
      <c r="A4405" s="27" t="s">
        <v>4470</v>
      </c>
    </row>
    <row r="4406" spans="1:1" x14ac:dyDescent="0.25">
      <c r="A4406" t="s">
        <v>4471</v>
      </c>
    </row>
    <row r="4407" spans="1:1" ht="255" x14ac:dyDescent="0.25">
      <c r="A4407" s="126" t="s">
        <v>4472</v>
      </c>
    </row>
    <row r="4408" spans="1:1" ht="270" x14ac:dyDescent="0.25">
      <c r="A4408" s="126" t="s">
        <v>4473</v>
      </c>
    </row>
    <row r="4409" spans="1:1" x14ac:dyDescent="0.25">
      <c r="A4409" s="124" t="s">
        <v>4474</v>
      </c>
    </row>
    <row r="4410" spans="1:1" x14ac:dyDescent="0.25">
      <c r="A4410" t="s">
        <v>4475</v>
      </c>
    </row>
    <row r="4411" spans="1:1" x14ac:dyDescent="0.25">
      <c r="A4411" s="125" t="s">
        <v>4476</v>
      </c>
    </row>
    <row r="4412" spans="1:1" x14ac:dyDescent="0.25">
      <c r="A4412" s="124" t="s">
        <v>4477</v>
      </c>
    </row>
    <row r="4413" spans="1:1" x14ac:dyDescent="0.25">
      <c r="A4413" t="s">
        <v>4478</v>
      </c>
    </row>
    <row r="4414" spans="1:1" x14ac:dyDescent="0.25">
      <c r="A4414" s="125" t="s">
        <v>4479</v>
      </c>
    </row>
    <row r="4415" spans="1:1" x14ac:dyDescent="0.25">
      <c r="A4415" s="125" t="s">
        <v>4480</v>
      </c>
    </row>
    <row r="4416" spans="1:1" x14ac:dyDescent="0.25">
      <c r="A4416" s="124" t="s">
        <v>4481</v>
      </c>
    </row>
    <row r="4417" spans="1:1" x14ac:dyDescent="0.25">
      <c r="A4417" t="s">
        <v>4482</v>
      </c>
    </row>
    <row r="4418" spans="1:1" x14ac:dyDescent="0.25">
      <c r="A4418" s="125" t="s">
        <v>4483</v>
      </c>
    </row>
    <row r="4419" spans="1:1" x14ac:dyDescent="0.25">
      <c r="A4419" s="124" t="s">
        <v>4484</v>
      </c>
    </row>
    <row r="4420" spans="1:1" x14ac:dyDescent="0.25">
      <c r="A4420" t="s">
        <v>4485</v>
      </c>
    </row>
    <row r="4421" spans="1:1" x14ac:dyDescent="0.25">
      <c r="A4421" s="125" t="s">
        <v>4486</v>
      </c>
    </row>
    <row r="4422" spans="1:1" x14ac:dyDescent="0.25">
      <c r="A4422" s="125" t="s">
        <v>4487</v>
      </c>
    </row>
    <row r="4423" spans="1:1" x14ac:dyDescent="0.25">
      <c r="A4423" t="s">
        <v>4488</v>
      </c>
    </row>
    <row r="4424" spans="1:1" x14ac:dyDescent="0.25">
      <c r="A4424" t="s">
        <v>4489</v>
      </c>
    </row>
    <row r="4425" spans="1:1" x14ac:dyDescent="0.25">
      <c r="A4425" t="s">
        <v>4490</v>
      </c>
    </row>
    <row r="4426" spans="1:1" x14ac:dyDescent="0.25">
      <c r="A4426" t="s">
        <v>4491</v>
      </c>
    </row>
    <row r="4427" spans="1:1" x14ac:dyDescent="0.25">
      <c r="A4427" t="s">
        <v>4492</v>
      </c>
    </row>
    <row r="4428" spans="1:1" x14ac:dyDescent="0.25">
      <c r="A4428" s="124" t="s">
        <v>4493</v>
      </c>
    </row>
    <row r="4429" spans="1:1" x14ac:dyDescent="0.25">
      <c r="A4429" s="124" t="s">
        <v>4494</v>
      </c>
    </row>
    <row r="4430" spans="1:1" x14ac:dyDescent="0.25">
      <c r="A4430" t="s">
        <v>4495</v>
      </c>
    </row>
    <row r="4431" spans="1:1" x14ac:dyDescent="0.25">
      <c r="A4431" s="124" t="s">
        <v>4496</v>
      </c>
    </row>
    <row r="4432" spans="1:1" x14ac:dyDescent="0.25">
      <c r="A4432" s="27" t="s">
        <v>4497</v>
      </c>
    </row>
    <row r="4433" spans="1:1" x14ac:dyDescent="0.25">
      <c r="A4433" t="s">
        <v>4498</v>
      </c>
    </row>
    <row r="4434" spans="1:1" x14ac:dyDescent="0.25">
      <c r="A4434" t="s">
        <v>4499</v>
      </c>
    </row>
    <row r="4435" spans="1:1" x14ac:dyDescent="0.25">
      <c r="A4435" t="s">
        <v>4500</v>
      </c>
    </row>
    <row r="4436" spans="1:1" x14ac:dyDescent="0.25">
      <c r="A4436" t="s">
        <v>4501</v>
      </c>
    </row>
    <row r="4437" spans="1:1" x14ac:dyDescent="0.25">
      <c r="A4437" t="s">
        <v>4502</v>
      </c>
    </row>
    <row r="4438" spans="1:1" x14ac:dyDescent="0.25">
      <c r="A4438" s="125" t="s">
        <v>4503</v>
      </c>
    </row>
    <row r="4439" spans="1:1" x14ac:dyDescent="0.25">
      <c r="A4439" s="124" t="s">
        <v>4504</v>
      </c>
    </row>
    <row r="4440" spans="1:1" x14ac:dyDescent="0.25">
      <c r="A4440" t="s">
        <v>4505</v>
      </c>
    </row>
    <row r="4441" spans="1:1" x14ac:dyDescent="0.25">
      <c r="A4441" s="125" t="s">
        <v>4506</v>
      </c>
    </row>
    <row r="4442" spans="1:1" x14ac:dyDescent="0.25">
      <c r="A4442" s="125" t="s">
        <v>4507</v>
      </c>
    </row>
    <row r="4443" spans="1:1" x14ac:dyDescent="0.25">
      <c r="A4443" s="27" t="s">
        <v>4508</v>
      </c>
    </row>
    <row r="4444" spans="1:1" x14ac:dyDescent="0.25">
      <c r="A4444" s="27" t="s">
        <v>4509</v>
      </c>
    </row>
    <row r="4445" spans="1:1" x14ac:dyDescent="0.25">
      <c r="A4445" s="27" t="s">
        <v>4510</v>
      </c>
    </row>
    <row r="4446" spans="1:1" x14ac:dyDescent="0.25">
      <c r="A4446" t="s">
        <v>4511</v>
      </c>
    </row>
    <row r="4447" spans="1:1" ht="255" x14ac:dyDescent="0.25">
      <c r="A4447" s="126" t="s">
        <v>4512</v>
      </c>
    </row>
    <row r="4448" spans="1:1" ht="270" x14ac:dyDescent="0.25">
      <c r="A4448" s="126" t="s">
        <v>4513</v>
      </c>
    </row>
    <row r="4449" spans="1:1" x14ac:dyDescent="0.25">
      <c r="A4449" s="124" t="s">
        <v>4514</v>
      </c>
    </row>
    <row r="4450" spans="1:1" x14ac:dyDescent="0.25">
      <c r="A4450" t="s">
        <v>4515</v>
      </c>
    </row>
    <row r="4451" spans="1:1" x14ac:dyDescent="0.25">
      <c r="A4451" s="125" t="s">
        <v>4516</v>
      </c>
    </row>
    <row r="4452" spans="1:1" x14ac:dyDescent="0.25">
      <c r="A4452" s="124" t="s">
        <v>4517</v>
      </c>
    </row>
    <row r="4453" spans="1:1" x14ac:dyDescent="0.25">
      <c r="A4453" t="s">
        <v>4518</v>
      </c>
    </row>
    <row r="4454" spans="1:1" x14ac:dyDescent="0.25">
      <c r="A4454" s="125" t="s">
        <v>4519</v>
      </c>
    </row>
    <row r="4455" spans="1:1" x14ac:dyDescent="0.25">
      <c r="A4455" s="125" t="s">
        <v>4520</v>
      </c>
    </row>
    <row r="4456" spans="1:1" x14ac:dyDescent="0.25">
      <c r="A4456" s="124" t="s">
        <v>4521</v>
      </c>
    </row>
    <row r="4457" spans="1:1" x14ac:dyDescent="0.25">
      <c r="A4457" s="124" t="s">
        <v>4522</v>
      </c>
    </row>
    <row r="4458" spans="1:1" x14ac:dyDescent="0.25">
      <c r="A4458" t="s">
        <v>4523</v>
      </c>
    </row>
    <row r="4459" spans="1:1" x14ac:dyDescent="0.25">
      <c r="A4459" s="124" t="s">
        <v>4524</v>
      </c>
    </row>
    <row r="4460" spans="1:1" x14ac:dyDescent="0.25">
      <c r="A4460" s="124" t="s">
        <v>4525</v>
      </c>
    </row>
    <row r="4461" spans="1:1" x14ac:dyDescent="0.25">
      <c r="A4461" s="124" t="s">
        <v>4526</v>
      </c>
    </row>
    <row r="4462" spans="1:1" x14ac:dyDescent="0.25">
      <c r="A4462" s="124" t="s">
        <v>4527</v>
      </c>
    </row>
    <row r="4463" spans="1:1" x14ac:dyDescent="0.25">
      <c r="A4463" t="s">
        <v>4528</v>
      </c>
    </row>
    <row r="4464" spans="1:1" x14ac:dyDescent="0.25">
      <c r="A4464" s="125" t="s">
        <v>4529</v>
      </c>
    </row>
    <row r="4465" spans="1:1" x14ac:dyDescent="0.25">
      <c r="A4465" s="124" t="s">
        <v>4530</v>
      </c>
    </row>
    <row r="4466" spans="1:1" x14ac:dyDescent="0.25">
      <c r="A4466" t="s">
        <v>4531</v>
      </c>
    </row>
    <row r="4467" spans="1:1" x14ac:dyDescent="0.25">
      <c r="A4467" s="125" t="s">
        <v>4532</v>
      </c>
    </row>
    <row r="4468" spans="1:1" x14ac:dyDescent="0.25">
      <c r="A4468" s="125" t="s">
        <v>4533</v>
      </c>
    </row>
    <row r="4469" spans="1:1" x14ac:dyDescent="0.25">
      <c r="A4469" s="124" t="s">
        <v>4534</v>
      </c>
    </row>
    <row r="4470" spans="1:1" x14ac:dyDescent="0.25">
      <c r="A4470" s="27" t="s">
        <v>4535</v>
      </c>
    </row>
    <row r="4471" spans="1:1" x14ac:dyDescent="0.25">
      <c r="A4471" s="125" t="s">
        <v>4536</v>
      </c>
    </row>
    <row r="4472" spans="1:1" x14ac:dyDescent="0.25">
      <c r="A4472" s="124" t="s">
        <v>4537</v>
      </c>
    </row>
    <row r="4473" spans="1:1" x14ac:dyDescent="0.25">
      <c r="A4473" t="s">
        <v>4538</v>
      </c>
    </row>
    <row r="4474" spans="1:1" x14ac:dyDescent="0.25">
      <c r="A4474" s="125" t="s">
        <v>4539</v>
      </c>
    </row>
    <row r="4475" spans="1:1" x14ac:dyDescent="0.25">
      <c r="A4475" s="125" t="s">
        <v>4540</v>
      </c>
    </row>
    <row r="4476" spans="1:1" x14ac:dyDescent="0.25">
      <c r="A4476" s="27" t="s">
        <v>4541</v>
      </c>
    </row>
    <row r="4477" spans="1:1" x14ac:dyDescent="0.25">
      <c r="A4477" s="27" t="s">
        <v>4542</v>
      </c>
    </row>
    <row r="4478" spans="1:1" x14ac:dyDescent="0.25">
      <c r="A4478" s="27" t="s">
        <v>4543</v>
      </c>
    </row>
    <row r="4479" spans="1:1" x14ac:dyDescent="0.25">
      <c r="A4479" t="s">
        <v>4544</v>
      </c>
    </row>
    <row r="4480" spans="1:1" ht="255" x14ac:dyDescent="0.25">
      <c r="A4480" s="126" t="s">
        <v>4545</v>
      </c>
    </row>
    <row r="4481" spans="1:1" ht="270" x14ac:dyDescent="0.25">
      <c r="A4481" s="126" t="s">
        <v>4546</v>
      </c>
    </row>
    <row r="4482" spans="1:1" x14ac:dyDescent="0.25">
      <c r="A4482" s="124" t="s">
        <v>4547</v>
      </c>
    </row>
    <row r="4483" spans="1:1" x14ac:dyDescent="0.25">
      <c r="A4483" t="s">
        <v>4548</v>
      </c>
    </row>
    <row r="4484" spans="1:1" x14ac:dyDescent="0.25">
      <c r="A4484" s="125" t="s">
        <v>4549</v>
      </c>
    </row>
    <row r="4485" spans="1:1" x14ac:dyDescent="0.25">
      <c r="A4485" s="124" t="s">
        <v>4550</v>
      </c>
    </row>
    <row r="4486" spans="1:1" x14ac:dyDescent="0.25">
      <c r="A4486" t="s">
        <v>4551</v>
      </c>
    </row>
    <row r="4487" spans="1:1" x14ac:dyDescent="0.25">
      <c r="A4487" s="125" t="s">
        <v>4552</v>
      </c>
    </row>
    <row r="4488" spans="1:1" x14ac:dyDescent="0.25">
      <c r="A4488" s="125" t="s">
        <v>4553</v>
      </c>
    </row>
    <row r="4489" spans="1:1" x14ac:dyDescent="0.25">
      <c r="A4489" s="125" t="s">
        <v>4554</v>
      </c>
    </row>
    <row r="4490" spans="1:1" x14ac:dyDescent="0.25">
      <c r="A4490" s="124" t="s">
        <v>4555</v>
      </c>
    </row>
    <row r="4491" spans="1:1" x14ac:dyDescent="0.25">
      <c r="A4491" t="s">
        <v>4556</v>
      </c>
    </row>
    <row r="4492" spans="1:1" x14ac:dyDescent="0.25">
      <c r="A4492" s="125" t="s">
        <v>4557</v>
      </c>
    </row>
    <row r="4493" spans="1:1" x14ac:dyDescent="0.25">
      <c r="A4493" s="125" t="s">
        <v>4558</v>
      </c>
    </row>
    <row r="4494" spans="1:1" x14ac:dyDescent="0.25">
      <c r="A4494" s="27" t="s">
        <v>4559</v>
      </c>
    </row>
    <row r="4495" spans="1:1" x14ac:dyDescent="0.25">
      <c r="A4495" s="27" t="s">
        <v>4560</v>
      </c>
    </row>
    <row r="4496" spans="1:1" x14ac:dyDescent="0.25">
      <c r="A4496" s="27" t="s">
        <v>4561</v>
      </c>
    </row>
    <row r="4497" spans="1:1" x14ac:dyDescent="0.25">
      <c r="A4497" t="s">
        <v>4562</v>
      </c>
    </row>
    <row r="4498" spans="1:1" x14ac:dyDescent="0.25">
      <c r="A4498" s="124" t="s">
        <v>4563</v>
      </c>
    </row>
    <row r="4499" spans="1:1" x14ac:dyDescent="0.25">
      <c r="A4499" t="s">
        <v>4564</v>
      </c>
    </row>
    <row r="4500" spans="1:1" x14ac:dyDescent="0.25">
      <c r="A4500" t="s">
        <v>4565</v>
      </c>
    </row>
    <row r="4501" spans="1:1" x14ac:dyDescent="0.25">
      <c r="A4501" t="s">
        <v>4566</v>
      </c>
    </row>
    <row r="4502" spans="1:1" x14ac:dyDescent="0.25">
      <c r="A4502" t="s">
        <v>4567</v>
      </c>
    </row>
    <row r="4503" spans="1:1" x14ac:dyDescent="0.25">
      <c r="A4503" t="s">
        <v>4568</v>
      </c>
    </row>
    <row r="4504" spans="1:1" x14ac:dyDescent="0.25">
      <c r="A4504" s="125" t="s">
        <v>4569</v>
      </c>
    </row>
    <row r="4505" spans="1:1" x14ac:dyDescent="0.25">
      <c r="A4505" s="124" t="s">
        <v>4570</v>
      </c>
    </row>
    <row r="4506" spans="1:1" x14ac:dyDescent="0.25">
      <c r="A4506" t="s">
        <v>4571</v>
      </c>
    </row>
    <row r="4507" spans="1:1" x14ac:dyDescent="0.25">
      <c r="A4507" s="125" t="s">
        <v>4572</v>
      </c>
    </row>
    <row r="4508" spans="1:1" x14ac:dyDescent="0.25">
      <c r="A4508" s="125" t="s">
        <v>4573</v>
      </c>
    </row>
    <row r="4509" spans="1:1" x14ac:dyDescent="0.25">
      <c r="A4509" t="s">
        <v>4574</v>
      </c>
    </row>
    <row r="4510" spans="1:1" x14ac:dyDescent="0.25">
      <c r="A4510" t="s">
        <v>4575</v>
      </c>
    </row>
    <row r="4511" spans="1:1" x14ac:dyDescent="0.25">
      <c r="A4511" t="s">
        <v>4576</v>
      </c>
    </row>
    <row r="4512" spans="1:1" x14ac:dyDescent="0.25">
      <c r="A4512" s="124" t="s">
        <v>4577</v>
      </c>
    </row>
    <row r="4513" spans="1:1" x14ac:dyDescent="0.25">
      <c r="A4513" s="124" t="s">
        <v>4578</v>
      </c>
    </row>
    <row r="4514" spans="1:1" x14ac:dyDescent="0.25">
      <c r="A4514" t="s">
        <v>4579</v>
      </c>
    </row>
    <row r="4515" spans="1:1" x14ac:dyDescent="0.25">
      <c r="A4515" s="124" t="s">
        <v>4580</v>
      </c>
    </row>
    <row r="4516" spans="1:1" x14ac:dyDescent="0.25">
      <c r="A4516" s="124" t="s">
        <v>4581</v>
      </c>
    </row>
    <row r="4517" spans="1:1" x14ac:dyDescent="0.25">
      <c r="A4517" s="27" t="s">
        <v>4582</v>
      </c>
    </row>
    <row r="4518" spans="1:1" x14ac:dyDescent="0.25">
      <c r="A4518" s="125" t="s">
        <v>4583</v>
      </c>
    </row>
    <row r="4519" spans="1:1" x14ac:dyDescent="0.25">
      <c r="A4519" s="124" t="s">
        <v>4584</v>
      </c>
    </row>
    <row r="4520" spans="1:1" x14ac:dyDescent="0.25">
      <c r="A4520" t="s">
        <v>4585</v>
      </c>
    </row>
    <row r="4521" spans="1:1" x14ac:dyDescent="0.25">
      <c r="A4521" s="125" t="s">
        <v>4586</v>
      </c>
    </row>
    <row r="4522" spans="1:1" x14ac:dyDescent="0.25">
      <c r="A4522" s="125" t="s">
        <v>4587</v>
      </c>
    </row>
    <row r="4523" spans="1:1" x14ac:dyDescent="0.25">
      <c r="A4523" s="27" t="s">
        <v>4588</v>
      </c>
    </row>
    <row r="4524" spans="1:1" x14ac:dyDescent="0.25">
      <c r="A4524" s="27" t="s">
        <v>4589</v>
      </c>
    </row>
    <row r="4525" spans="1:1" x14ac:dyDescent="0.25">
      <c r="A4525" s="27" t="s">
        <v>4590</v>
      </c>
    </row>
    <row r="4526" spans="1:1" x14ac:dyDescent="0.25">
      <c r="A4526" t="s">
        <v>4591</v>
      </c>
    </row>
    <row r="4527" spans="1:1" ht="255" x14ac:dyDescent="0.25">
      <c r="A4527" s="126" t="s">
        <v>4592</v>
      </c>
    </row>
    <row r="4528" spans="1:1" ht="270" x14ac:dyDescent="0.25">
      <c r="A4528" s="126" t="s">
        <v>4593</v>
      </c>
    </row>
    <row r="4529" spans="1:1" x14ac:dyDescent="0.25">
      <c r="A4529" t="s">
        <v>4594</v>
      </c>
    </row>
    <row r="4530" spans="1:1" x14ac:dyDescent="0.25">
      <c r="A4530" t="s">
        <v>4595</v>
      </c>
    </row>
    <row r="4531" spans="1:1" x14ac:dyDescent="0.25">
      <c r="A4531" s="124" t="s">
        <v>4596</v>
      </c>
    </row>
    <row r="4532" spans="1:1" x14ac:dyDescent="0.25">
      <c r="A4532" t="s">
        <v>4597</v>
      </c>
    </row>
    <row r="4533" spans="1:1" x14ac:dyDescent="0.25">
      <c r="A4533" s="125" t="s">
        <v>4598</v>
      </c>
    </row>
    <row r="4534" spans="1:1" x14ac:dyDescent="0.25">
      <c r="A4534" s="124" t="s">
        <v>4599</v>
      </c>
    </row>
    <row r="4535" spans="1:1" x14ac:dyDescent="0.25">
      <c r="A4535" t="s">
        <v>4600</v>
      </c>
    </row>
    <row r="4536" spans="1:1" x14ac:dyDescent="0.25">
      <c r="A4536" s="125" t="s">
        <v>4601</v>
      </c>
    </row>
    <row r="4537" spans="1:1" x14ac:dyDescent="0.25">
      <c r="A4537" s="125" t="s">
        <v>4602</v>
      </c>
    </row>
    <row r="4538" spans="1:1" x14ac:dyDescent="0.25">
      <c r="A4538" s="124" t="s">
        <v>4603</v>
      </c>
    </row>
    <row r="4539" spans="1:1" x14ac:dyDescent="0.25">
      <c r="A4539" t="s">
        <v>4604</v>
      </c>
    </row>
    <row r="4540" spans="1:1" x14ac:dyDescent="0.25">
      <c r="A4540" s="125" t="s">
        <v>4605</v>
      </c>
    </row>
    <row r="4541" spans="1:1" x14ac:dyDescent="0.25">
      <c r="A4541" s="124" t="s">
        <v>4606</v>
      </c>
    </row>
    <row r="4542" spans="1:1" x14ac:dyDescent="0.25">
      <c r="A4542" t="s">
        <v>4607</v>
      </c>
    </row>
    <row r="4543" spans="1:1" x14ac:dyDescent="0.25">
      <c r="A4543" s="125" t="s">
        <v>4608</v>
      </c>
    </row>
    <row r="4544" spans="1:1" x14ac:dyDescent="0.25">
      <c r="A4544" s="125" t="s">
        <v>4609</v>
      </c>
    </row>
    <row r="4545" spans="1:1" x14ac:dyDescent="0.25">
      <c r="A4545" s="124" t="s">
        <v>4610</v>
      </c>
    </row>
    <row r="4546" spans="1:1" x14ac:dyDescent="0.25">
      <c r="A4546" s="124" t="s">
        <v>4611</v>
      </c>
    </row>
    <row r="4547" spans="1:1" x14ac:dyDescent="0.25">
      <c r="A4547" t="s">
        <v>4612</v>
      </c>
    </row>
    <row r="4548" spans="1:1" x14ac:dyDescent="0.25">
      <c r="A4548" s="124" t="s">
        <v>4613</v>
      </c>
    </row>
    <row r="4549" spans="1:1" x14ac:dyDescent="0.25">
      <c r="A4549" s="124" t="s">
        <v>4614</v>
      </c>
    </row>
    <row r="4550" spans="1:1" x14ac:dyDescent="0.25">
      <c r="A4550" s="124" t="s">
        <v>4615</v>
      </c>
    </row>
    <row r="4551" spans="1:1" x14ac:dyDescent="0.25">
      <c r="A4551" s="27" t="s">
        <v>4616</v>
      </c>
    </row>
    <row r="4552" spans="1:1" x14ac:dyDescent="0.25">
      <c r="A4552" s="125" t="s">
        <v>4617</v>
      </c>
    </row>
    <row r="4553" spans="1:1" x14ac:dyDescent="0.25">
      <c r="A4553" s="124" t="s">
        <v>4618</v>
      </c>
    </row>
    <row r="4554" spans="1:1" x14ac:dyDescent="0.25">
      <c r="A4554" t="s">
        <v>4619</v>
      </c>
    </row>
    <row r="4555" spans="1:1" x14ac:dyDescent="0.25">
      <c r="A4555" s="125" t="s">
        <v>4620</v>
      </c>
    </row>
    <row r="4556" spans="1:1" x14ac:dyDescent="0.25">
      <c r="A4556" s="125" t="s">
        <v>4621</v>
      </c>
    </row>
    <row r="4557" spans="1:1" x14ac:dyDescent="0.25">
      <c r="A4557" s="27" t="s">
        <v>4622</v>
      </c>
    </row>
    <row r="4558" spans="1:1" x14ac:dyDescent="0.25">
      <c r="A4558" s="27" t="s">
        <v>4623</v>
      </c>
    </row>
    <row r="4559" spans="1:1" x14ac:dyDescent="0.25">
      <c r="A4559" s="27" t="s">
        <v>4624</v>
      </c>
    </row>
    <row r="4560" spans="1:1" x14ac:dyDescent="0.25">
      <c r="A4560" t="s">
        <v>4625</v>
      </c>
    </row>
    <row r="4561" spans="1:1" ht="255" x14ac:dyDescent="0.25">
      <c r="A4561" s="126" t="s">
        <v>4626</v>
      </c>
    </row>
    <row r="4562" spans="1:1" ht="270" x14ac:dyDescent="0.25">
      <c r="A4562" s="126" t="s">
        <v>4627</v>
      </c>
    </row>
    <row r="4563" spans="1:1" x14ac:dyDescent="0.25">
      <c r="A4563" s="124" t="s">
        <v>4628</v>
      </c>
    </row>
    <row r="4564" spans="1:1" x14ac:dyDescent="0.25">
      <c r="A4564" t="s">
        <v>4629</v>
      </c>
    </row>
    <row r="4565" spans="1:1" x14ac:dyDescent="0.25">
      <c r="A4565" s="125" t="s">
        <v>4630</v>
      </c>
    </row>
    <row r="4566" spans="1:1" x14ac:dyDescent="0.25">
      <c r="A4566" s="124" t="s">
        <v>4631</v>
      </c>
    </row>
    <row r="4567" spans="1:1" x14ac:dyDescent="0.25">
      <c r="A4567" t="s">
        <v>4632</v>
      </c>
    </row>
    <row r="4568" spans="1:1" x14ac:dyDescent="0.25">
      <c r="A4568" s="125" t="s">
        <v>4633</v>
      </c>
    </row>
    <row r="4569" spans="1:1" x14ac:dyDescent="0.25">
      <c r="A4569" s="125" t="s">
        <v>4634</v>
      </c>
    </row>
    <row r="4570" spans="1:1" x14ac:dyDescent="0.25">
      <c r="A4570" s="124" t="s">
        <v>4635</v>
      </c>
    </row>
    <row r="4571" spans="1:1" x14ac:dyDescent="0.25">
      <c r="A4571" t="s">
        <v>4636</v>
      </c>
    </row>
    <row r="4572" spans="1:1" x14ac:dyDescent="0.25">
      <c r="A4572" s="125" t="s">
        <v>4637</v>
      </c>
    </row>
    <row r="4573" spans="1:1" x14ac:dyDescent="0.25">
      <c r="A4573" s="124" t="s">
        <v>4638</v>
      </c>
    </row>
    <row r="4574" spans="1:1" x14ac:dyDescent="0.25">
      <c r="A4574" t="s">
        <v>4639</v>
      </c>
    </row>
    <row r="4575" spans="1:1" x14ac:dyDescent="0.25">
      <c r="A4575" s="125" t="s">
        <v>4640</v>
      </c>
    </row>
    <row r="4576" spans="1:1" x14ac:dyDescent="0.25">
      <c r="A4576" s="125" t="s">
        <v>4641</v>
      </c>
    </row>
    <row r="4577" spans="1:1" x14ac:dyDescent="0.25">
      <c r="A4577" s="124" t="s">
        <v>4642</v>
      </c>
    </row>
    <row r="4578" spans="1:1" x14ac:dyDescent="0.25">
      <c r="A4578" t="s">
        <v>4643</v>
      </c>
    </row>
    <row r="4579" spans="1:1" x14ac:dyDescent="0.25">
      <c r="A4579" s="124" t="s">
        <v>4644</v>
      </c>
    </row>
    <row r="4580" spans="1:1" x14ac:dyDescent="0.25">
      <c r="A4580" s="27" t="s">
        <v>4645</v>
      </c>
    </row>
    <row r="4581" spans="1:1" ht="255" x14ac:dyDescent="0.25">
      <c r="A4581" s="126" t="s">
        <v>4646</v>
      </c>
    </row>
    <row r="4582" spans="1:1" ht="270" x14ac:dyDescent="0.25">
      <c r="A4582" s="126" t="s">
        <v>4647</v>
      </c>
    </row>
    <row r="4583" spans="1:1" x14ac:dyDescent="0.25">
      <c r="A4583" s="124" t="s">
        <v>4648</v>
      </c>
    </row>
    <row r="4584" spans="1:1" x14ac:dyDescent="0.25">
      <c r="A4584" t="s">
        <v>4649</v>
      </c>
    </row>
    <row r="4585" spans="1:1" x14ac:dyDescent="0.25">
      <c r="A4585" s="125" t="s">
        <v>4650</v>
      </c>
    </row>
    <row r="4586" spans="1:1" x14ac:dyDescent="0.25">
      <c r="A4586" s="124" t="s">
        <v>4651</v>
      </c>
    </row>
    <row r="4587" spans="1:1" x14ac:dyDescent="0.25">
      <c r="A4587" t="s">
        <v>4652</v>
      </c>
    </row>
    <row r="4588" spans="1:1" x14ac:dyDescent="0.25">
      <c r="A4588" s="125" t="s">
        <v>4653</v>
      </c>
    </row>
    <row r="4589" spans="1:1" x14ac:dyDescent="0.25">
      <c r="A4589" s="125" t="s">
        <v>4654</v>
      </c>
    </row>
    <row r="4590" spans="1:1" x14ac:dyDescent="0.25">
      <c r="A4590" s="124" t="s">
        <v>4655</v>
      </c>
    </row>
    <row r="4591" spans="1:1" x14ac:dyDescent="0.25">
      <c r="A4591" t="s">
        <v>4656</v>
      </c>
    </row>
    <row r="4592" spans="1:1" x14ac:dyDescent="0.25">
      <c r="A4592" s="125" t="s">
        <v>4657</v>
      </c>
    </row>
    <row r="4593" spans="1:1" x14ac:dyDescent="0.25">
      <c r="A4593" s="124" t="s">
        <v>4658</v>
      </c>
    </row>
    <row r="4594" spans="1:1" x14ac:dyDescent="0.25">
      <c r="A4594" t="s">
        <v>4659</v>
      </c>
    </row>
    <row r="4595" spans="1:1" x14ac:dyDescent="0.25">
      <c r="A4595" s="125" t="s">
        <v>4660</v>
      </c>
    </row>
    <row r="4596" spans="1:1" x14ac:dyDescent="0.25">
      <c r="A4596" s="125" t="s">
        <v>4661</v>
      </c>
    </row>
    <row r="4597" spans="1:1" x14ac:dyDescent="0.25">
      <c r="A4597" t="s">
        <v>4662</v>
      </c>
    </row>
    <row r="4598" spans="1:1" x14ac:dyDescent="0.25">
      <c r="A4598" t="s">
        <v>4663</v>
      </c>
    </row>
    <row r="4599" spans="1:1" x14ac:dyDescent="0.25">
      <c r="A4599" t="s">
        <v>4664</v>
      </c>
    </row>
    <row r="4600" spans="1:1" x14ac:dyDescent="0.25">
      <c r="A4600" s="124" t="s">
        <v>4665</v>
      </c>
    </row>
    <row r="4601" spans="1:1" x14ac:dyDescent="0.25">
      <c r="A4601" s="124" t="s">
        <v>4666</v>
      </c>
    </row>
    <row r="4602" spans="1:1" x14ac:dyDescent="0.25">
      <c r="A4602" t="s">
        <v>4667</v>
      </c>
    </row>
    <row r="4603" spans="1:1" x14ac:dyDescent="0.25">
      <c r="A4603" s="124" t="s">
        <v>4668</v>
      </c>
    </row>
    <row r="4604" spans="1:1" x14ac:dyDescent="0.25">
      <c r="A4604" s="27" t="s">
        <v>4669</v>
      </c>
    </row>
    <row r="4605" spans="1:1" x14ac:dyDescent="0.25">
      <c r="A4605" s="125" t="s">
        <v>4670</v>
      </c>
    </row>
    <row r="4606" spans="1:1" x14ac:dyDescent="0.25">
      <c r="A4606" s="124" t="s">
        <v>4671</v>
      </c>
    </row>
    <row r="4607" spans="1:1" x14ac:dyDescent="0.25">
      <c r="A4607" t="s">
        <v>4672</v>
      </c>
    </row>
    <row r="4608" spans="1:1" x14ac:dyDescent="0.25">
      <c r="A4608" s="125" t="s">
        <v>4673</v>
      </c>
    </row>
    <row r="4609" spans="1:1" x14ac:dyDescent="0.25">
      <c r="A4609" s="125" t="s">
        <v>4674</v>
      </c>
    </row>
    <row r="4610" spans="1:1" x14ac:dyDescent="0.25">
      <c r="A4610" s="27" t="s">
        <v>4675</v>
      </c>
    </row>
    <row r="4611" spans="1:1" x14ac:dyDescent="0.25">
      <c r="A4611" s="27" t="s">
        <v>4676</v>
      </c>
    </row>
    <row r="4612" spans="1:1" x14ac:dyDescent="0.25">
      <c r="A4612" s="27" t="s">
        <v>4677</v>
      </c>
    </row>
    <row r="4613" spans="1:1" x14ac:dyDescent="0.25">
      <c r="A4613" t="s">
        <v>4678</v>
      </c>
    </row>
    <row r="4614" spans="1:1" ht="255" x14ac:dyDescent="0.25">
      <c r="A4614" s="126" t="s">
        <v>4679</v>
      </c>
    </row>
    <row r="4615" spans="1:1" ht="270" x14ac:dyDescent="0.25">
      <c r="A4615" s="126" t="s">
        <v>4680</v>
      </c>
    </row>
    <row r="4616" spans="1:1" x14ac:dyDescent="0.25">
      <c r="A4616" s="124" t="s">
        <v>4681</v>
      </c>
    </row>
    <row r="4617" spans="1:1" x14ac:dyDescent="0.25">
      <c r="A4617" t="s">
        <v>4682</v>
      </c>
    </row>
    <row r="4618" spans="1:1" x14ac:dyDescent="0.25">
      <c r="A4618" s="125" t="s">
        <v>4683</v>
      </c>
    </row>
    <row r="4619" spans="1:1" x14ac:dyDescent="0.25">
      <c r="A4619" s="124" t="s">
        <v>4684</v>
      </c>
    </row>
    <row r="4620" spans="1:1" x14ac:dyDescent="0.25">
      <c r="A4620" t="s">
        <v>4685</v>
      </c>
    </row>
    <row r="4621" spans="1:1" x14ac:dyDescent="0.25">
      <c r="A4621" s="125" t="s">
        <v>4686</v>
      </c>
    </row>
    <row r="4622" spans="1:1" x14ac:dyDescent="0.25">
      <c r="A4622" s="125" t="s">
        <v>4687</v>
      </c>
    </row>
    <row r="4623" spans="1:1" x14ac:dyDescent="0.25">
      <c r="A4623" s="124" t="s">
        <v>4688</v>
      </c>
    </row>
    <row r="4624" spans="1:1" x14ac:dyDescent="0.25">
      <c r="A4624" t="s">
        <v>4689</v>
      </c>
    </row>
    <row r="4625" spans="1:1" x14ac:dyDescent="0.25">
      <c r="A4625" s="125" t="s">
        <v>4690</v>
      </c>
    </row>
    <row r="4626" spans="1:1" x14ac:dyDescent="0.25">
      <c r="A4626" s="124" t="s">
        <v>4691</v>
      </c>
    </row>
    <row r="4627" spans="1:1" x14ac:dyDescent="0.25">
      <c r="A4627" t="s">
        <v>4692</v>
      </c>
    </row>
    <row r="4628" spans="1:1" x14ac:dyDescent="0.25">
      <c r="A4628" s="125" t="s">
        <v>4693</v>
      </c>
    </row>
    <row r="4629" spans="1:1" x14ac:dyDescent="0.25">
      <c r="A4629" s="125" t="s">
        <v>4694</v>
      </c>
    </row>
    <row r="4630" spans="1:1" x14ac:dyDescent="0.25">
      <c r="A4630" t="s">
        <v>4695</v>
      </c>
    </row>
    <row r="4631" spans="1:1" x14ac:dyDescent="0.25">
      <c r="A4631" t="s">
        <v>4696</v>
      </c>
    </row>
    <row r="4632" spans="1:1" x14ac:dyDescent="0.25">
      <c r="A4632" t="s">
        <v>4697</v>
      </c>
    </row>
    <row r="4633" spans="1:1" x14ac:dyDescent="0.25">
      <c r="A4633" s="124" t="s">
        <v>4698</v>
      </c>
    </row>
    <row r="4634" spans="1:1" x14ac:dyDescent="0.25">
      <c r="A4634" s="124" t="s">
        <v>4699</v>
      </c>
    </row>
    <row r="4635" spans="1:1" x14ac:dyDescent="0.25">
      <c r="A4635" t="s">
        <v>4700</v>
      </c>
    </row>
    <row r="4636" spans="1:1" x14ac:dyDescent="0.25">
      <c r="A4636" s="124" t="s">
        <v>4701</v>
      </c>
    </row>
    <row r="4637" spans="1:1" x14ac:dyDescent="0.25">
      <c r="A4637" s="27" t="s">
        <v>4702</v>
      </c>
    </row>
    <row r="4638" spans="1:1" x14ac:dyDescent="0.25">
      <c r="A4638" s="125" t="s">
        <v>4703</v>
      </c>
    </row>
    <row r="4639" spans="1:1" x14ac:dyDescent="0.25">
      <c r="A4639" s="124" t="s">
        <v>4704</v>
      </c>
    </row>
    <row r="4640" spans="1:1" x14ac:dyDescent="0.25">
      <c r="A4640" t="s">
        <v>4705</v>
      </c>
    </row>
    <row r="4641" spans="1:1" x14ac:dyDescent="0.25">
      <c r="A4641" s="125" t="s">
        <v>4706</v>
      </c>
    </row>
    <row r="4642" spans="1:1" x14ac:dyDescent="0.25">
      <c r="A4642" s="125" t="s">
        <v>4707</v>
      </c>
    </row>
    <row r="4643" spans="1:1" x14ac:dyDescent="0.25">
      <c r="A4643" s="27" t="s">
        <v>4708</v>
      </c>
    </row>
    <row r="4644" spans="1:1" x14ac:dyDescent="0.25">
      <c r="A4644" s="27" t="s">
        <v>4709</v>
      </c>
    </row>
    <row r="4645" spans="1:1" x14ac:dyDescent="0.25">
      <c r="A4645" s="27" t="s">
        <v>4710</v>
      </c>
    </row>
    <row r="4646" spans="1:1" x14ac:dyDescent="0.25">
      <c r="A4646" t="s">
        <v>4711</v>
      </c>
    </row>
    <row r="4647" spans="1:1" ht="255" x14ac:dyDescent="0.25">
      <c r="A4647" s="126" t="s">
        <v>4712</v>
      </c>
    </row>
    <row r="4648" spans="1:1" ht="270" x14ac:dyDescent="0.25">
      <c r="A4648" s="126" t="s">
        <v>4713</v>
      </c>
    </row>
    <row r="4649" spans="1:1" x14ac:dyDescent="0.25">
      <c r="A4649" s="124" t="s">
        <v>4714</v>
      </c>
    </row>
    <row r="4650" spans="1:1" x14ac:dyDescent="0.25">
      <c r="A4650" t="s">
        <v>4715</v>
      </c>
    </row>
    <row r="4651" spans="1:1" x14ac:dyDescent="0.25">
      <c r="A4651" s="125" t="s">
        <v>4716</v>
      </c>
    </row>
    <row r="4652" spans="1:1" x14ac:dyDescent="0.25">
      <c r="A4652" s="124" t="s">
        <v>4717</v>
      </c>
    </row>
    <row r="4653" spans="1:1" x14ac:dyDescent="0.25">
      <c r="A4653" t="s">
        <v>4718</v>
      </c>
    </row>
    <row r="4654" spans="1:1" x14ac:dyDescent="0.25">
      <c r="A4654" s="125" t="s">
        <v>4719</v>
      </c>
    </row>
    <row r="4655" spans="1:1" x14ac:dyDescent="0.25">
      <c r="A4655" s="125" t="s">
        <v>4720</v>
      </c>
    </row>
    <row r="4656" spans="1:1" x14ac:dyDescent="0.25">
      <c r="A4656" s="124" t="s">
        <v>4721</v>
      </c>
    </row>
    <row r="4657" spans="1:1" x14ac:dyDescent="0.25">
      <c r="A4657" t="s">
        <v>4722</v>
      </c>
    </row>
    <row r="4658" spans="1:1" x14ac:dyDescent="0.25">
      <c r="A4658" s="125" t="s">
        <v>4723</v>
      </c>
    </row>
    <row r="4659" spans="1:1" x14ac:dyDescent="0.25">
      <c r="A4659" s="124" t="s">
        <v>4724</v>
      </c>
    </row>
    <row r="4660" spans="1:1" x14ac:dyDescent="0.25">
      <c r="A4660" t="s">
        <v>4725</v>
      </c>
    </row>
    <row r="4661" spans="1:1" x14ac:dyDescent="0.25">
      <c r="A4661" s="125" t="s">
        <v>4726</v>
      </c>
    </row>
    <row r="4662" spans="1:1" x14ac:dyDescent="0.25">
      <c r="A4662" s="125" t="s">
        <v>4727</v>
      </c>
    </row>
    <row r="4663" spans="1:1" x14ac:dyDescent="0.25">
      <c r="A4663" t="s">
        <v>4728</v>
      </c>
    </row>
    <row r="4664" spans="1:1" x14ac:dyDescent="0.25">
      <c r="A4664" t="s">
        <v>4729</v>
      </c>
    </row>
    <row r="4665" spans="1:1" x14ac:dyDescent="0.25">
      <c r="A4665" t="s">
        <v>4730</v>
      </c>
    </row>
    <row r="4666" spans="1:1" x14ac:dyDescent="0.25">
      <c r="A4666" t="s">
        <v>4731</v>
      </c>
    </row>
    <row r="4667" spans="1:1" x14ac:dyDescent="0.25">
      <c r="A4667" s="125" t="s">
        <v>4732</v>
      </c>
    </row>
    <row r="4668" spans="1:1" x14ac:dyDescent="0.25">
      <c r="A4668" s="125" t="s">
        <v>4733</v>
      </c>
    </row>
    <row r="4669" spans="1:1" x14ac:dyDescent="0.25">
      <c r="A4669" s="125" t="s">
        <v>4734</v>
      </c>
    </row>
    <row r="4670" spans="1:1" x14ac:dyDescent="0.25">
      <c r="A4670" s="124" t="s">
        <v>4735</v>
      </c>
    </row>
    <row r="4671" spans="1:1" x14ac:dyDescent="0.25">
      <c r="A4671" s="124" t="s">
        <v>4736</v>
      </c>
    </row>
    <row r="4672" spans="1:1" x14ac:dyDescent="0.25">
      <c r="A4672" s="125" t="s">
        <v>4737</v>
      </c>
    </row>
    <row r="4673" spans="1:1" x14ac:dyDescent="0.25">
      <c r="A4673" s="125" t="s">
        <v>4738</v>
      </c>
    </row>
    <row r="4674" spans="1:1" x14ac:dyDescent="0.25">
      <c r="A4674" s="125" t="s">
        <v>4739</v>
      </c>
    </row>
    <row r="4675" spans="1:1" x14ac:dyDescent="0.25">
      <c r="A4675" s="125" t="s">
        <v>4740</v>
      </c>
    </row>
    <row r="4676" spans="1:1" x14ac:dyDescent="0.25">
      <c r="A4676" s="124" t="s">
        <v>4741</v>
      </c>
    </row>
    <row r="4677" spans="1:1" x14ac:dyDescent="0.25">
      <c r="A4677" s="124" t="s">
        <v>4742</v>
      </c>
    </row>
    <row r="4678" spans="1:1" x14ac:dyDescent="0.25">
      <c r="A4678" s="125" t="s">
        <v>4743</v>
      </c>
    </row>
    <row r="4679" spans="1:1" x14ac:dyDescent="0.25">
      <c r="A4679" s="125" t="s">
        <v>4744</v>
      </c>
    </row>
    <row r="4680" spans="1:1" x14ac:dyDescent="0.25">
      <c r="A4680" s="125" t="s">
        <v>4745</v>
      </c>
    </row>
    <row r="4681" spans="1:1" x14ac:dyDescent="0.25">
      <c r="A4681" s="125" t="s">
        <v>4746</v>
      </c>
    </row>
    <row r="4682" spans="1:1" x14ac:dyDescent="0.25">
      <c r="A4682" s="124" t="s">
        <v>4747</v>
      </c>
    </row>
    <row r="4683" spans="1:1" x14ac:dyDescent="0.25">
      <c r="A4683" s="124" t="s">
        <v>4748</v>
      </c>
    </row>
    <row r="4684" spans="1:1" x14ac:dyDescent="0.25">
      <c r="A4684" s="125" t="s">
        <v>4749</v>
      </c>
    </row>
    <row r="4685" spans="1:1" x14ac:dyDescent="0.25">
      <c r="A4685" s="125" t="s">
        <v>4750</v>
      </c>
    </row>
    <row r="4686" spans="1:1" x14ac:dyDescent="0.25">
      <c r="A4686" s="125" t="s">
        <v>4751</v>
      </c>
    </row>
    <row r="4687" spans="1:1" x14ac:dyDescent="0.25">
      <c r="A4687" s="125" t="s">
        <v>4752</v>
      </c>
    </row>
    <row r="4688" spans="1:1" x14ac:dyDescent="0.25">
      <c r="A4688" s="124" t="s">
        <v>4753</v>
      </c>
    </row>
    <row r="4689" spans="1:1" x14ac:dyDescent="0.25">
      <c r="A4689" s="124" t="s">
        <v>4754</v>
      </c>
    </row>
    <row r="4690" spans="1:1" x14ac:dyDescent="0.25">
      <c r="A4690" s="125" t="s">
        <v>4755</v>
      </c>
    </row>
    <row r="4691" spans="1:1" x14ac:dyDescent="0.25">
      <c r="A4691" s="125" t="s">
        <v>4756</v>
      </c>
    </row>
    <row r="4692" spans="1:1" x14ac:dyDescent="0.25">
      <c r="A4692" s="125" t="s">
        <v>4757</v>
      </c>
    </row>
    <row r="4693" spans="1:1" x14ac:dyDescent="0.25">
      <c r="A4693" s="125" t="s">
        <v>4758</v>
      </c>
    </row>
    <row r="4694" spans="1:1" x14ac:dyDescent="0.25">
      <c r="A4694" s="124" t="s">
        <v>4759</v>
      </c>
    </row>
    <row r="4695" spans="1:1" x14ac:dyDescent="0.25">
      <c r="A4695" s="124" t="s">
        <v>4760</v>
      </c>
    </row>
    <row r="4696" spans="1:1" x14ac:dyDescent="0.25">
      <c r="A4696" s="125" t="s">
        <v>4761</v>
      </c>
    </row>
    <row r="4697" spans="1:1" x14ac:dyDescent="0.25">
      <c r="A4697" s="125" t="s">
        <v>4762</v>
      </c>
    </row>
    <row r="4698" spans="1:1" x14ac:dyDescent="0.25">
      <c r="A4698" s="125" t="s">
        <v>4763</v>
      </c>
    </row>
    <row r="4699" spans="1:1" x14ac:dyDescent="0.25">
      <c r="A4699" s="125" t="s">
        <v>4764</v>
      </c>
    </row>
    <row r="4700" spans="1:1" x14ac:dyDescent="0.25">
      <c r="A4700" s="124" t="s">
        <v>4765</v>
      </c>
    </row>
    <row r="4701" spans="1:1" x14ac:dyDescent="0.25">
      <c r="A4701" s="124" t="s">
        <v>4766</v>
      </c>
    </row>
    <row r="4702" spans="1:1" x14ac:dyDescent="0.25">
      <c r="A4702" s="125" t="s">
        <v>4767</v>
      </c>
    </row>
    <row r="4703" spans="1:1" x14ac:dyDescent="0.25">
      <c r="A4703" s="125" t="s">
        <v>4768</v>
      </c>
    </row>
    <row r="4704" spans="1:1" x14ac:dyDescent="0.25">
      <c r="A4704" s="125" t="s">
        <v>4769</v>
      </c>
    </row>
    <row r="4705" spans="1:1" x14ac:dyDescent="0.25">
      <c r="A4705" s="125" t="s">
        <v>4770</v>
      </c>
    </row>
    <row r="4706" spans="1:1" x14ac:dyDescent="0.25">
      <c r="A4706" s="124" t="s">
        <v>4771</v>
      </c>
    </row>
    <row r="4707" spans="1:1" x14ac:dyDescent="0.25">
      <c r="A4707" s="124" t="s">
        <v>4772</v>
      </c>
    </row>
    <row r="4708" spans="1:1" x14ac:dyDescent="0.25">
      <c r="A4708" s="125" t="s">
        <v>4773</v>
      </c>
    </row>
    <row r="4709" spans="1:1" x14ac:dyDescent="0.25">
      <c r="A4709" s="125" t="s">
        <v>4774</v>
      </c>
    </row>
    <row r="4710" spans="1:1" x14ac:dyDescent="0.25">
      <c r="A4710" s="125" t="s">
        <v>4775</v>
      </c>
    </row>
    <row r="4711" spans="1:1" x14ac:dyDescent="0.25">
      <c r="A4711" s="125" t="s">
        <v>4776</v>
      </c>
    </row>
    <row r="4712" spans="1:1" x14ac:dyDescent="0.25">
      <c r="A4712" s="124" t="s">
        <v>4777</v>
      </c>
    </row>
    <row r="4713" spans="1:1" x14ac:dyDescent="0.25">
      <c r="A4713" s="124" t="s">
        <v>4778</v>
      </c>
    </row>
    <row r="4714" spans="1:1" x14ac:dyDescent="0.25">
      <c r="A4714" s="125" t="s">
        <v>4779</v>
      </c>
    </row>
    <row r="4715" spans="1:1" x14ac:dyDescent="0.25">
      <c r="A4715" s="125" t="s">
        <v>4780</v>
      </c>
    </row>
    <row r="4716" spans="1:1" x14ac:dyDescent="0.25">
      <c r="A4716" s="125" t="s">
        <v>4781</v>
      </c>
    </row>
    <row r="4717" spans="1:1" x14ac:dyDescent="0.25">
      <c r="A4717" s="125" t="s">
        <v>4782</v>
      </c>
    </row>
    <row r="4718" spans="1:1" x14ac:dyDescent="0.25">
      <c r="A4718" s="124" t="s">
        <v>4783</v>
      </c>
    </row>
    <row r="4719" spans="1:1" x14ac:dyDescent="0.25">
      <c r="A4719" s="124" t="s">
        <v>4784</v>
      </c>
    </row>
    <row r="4720" spans="1:1" x14ac:dyDescent="0.25">
      <c r="A4720" s="125" t="s">
        <v>4785</v>
      </c>
    </row>
    <row r="4721" spans="1:1" x14ac:dyDescent="0.25">
      <c r="A4721" s="125" t="s">
        <v>4786</v>
      </c>
    </row>
    <row r="4722" spans="1:1" x14ac:dyDescent="0.25">
      <c r="A4722" s="125" t="s">
        <v>4787</v>
      </c>
    </row>
    <row r="4723" spans="1:1" x14ac:dyDescent="0.25">
      <c r="A4723" s="125" t="s">
        <v>4788</v>
      </c>
    </row>
    <row r="4724" spans="1:1" x14ac:dyDescent="0.25">
      <c r="A4724" s="124" t="s">
        <v>4789</v>
      </c>
    </row>
    <row r="4725" spans="1:1" x14ac:dyDescent="0.25">
      <c r="A4725" s="124" t="s">
        <v>4790</v>
      </c>
    </row>
    <row r="4726" spans="1:1" x14ac:dyDescent="0.25">
      <c r="A4726" s="125" t="s">
        <v>4791</v>
      </c>
    </row>
    <row r="4727" spans="1:1" x14ac:dyDescent="0.25">
      <c r="A4727" s="125" t="s">
        <v>4792</v>
      </c>
    </row>
    <row r="4728" spans="1:1" x14ac:dyDescent="0.25">
      <c r="A4728" s="125" t="s">
        <v>4793</v>
      </c>
    </row>
    <row r="4729" spans="1:1" x14ac:dyDescent="0.25">
      <c r="A4729" s="125" t="s">
        <v>4794</v>
      </c>
    </row>
    <row r="4730" spans="1:1" x14ac:dyDescent="0.25">
      <c r="A4730" s="124" t="s">
        <v>4795</v>
      </c>
    </row>
    <row r="4731" spans="1:1" x14ac:dyDescent="0.25">
      <c r="A4731" s="124" t="s">
        <v>4796</v>
      </c>
    </row>
    <row r="4732" spans="1:1" x14ac:dyDescent="0.25">
      <c r="A4732" s="125" t="s">
        <v>4797</v>
      </c>
    </row>
    <row r="4733" spans="1:1" x14ac:dyDescent="0.25">
      <c r="A4733" s="125" t="s">
        <v>4798</v>
      </c>
    </row>
    <row r="4734" spans="1:1" x14ac:dyDescent="0.25">
      <c r="A4734" s="125" t="s">
        <v>4799</v>
      </c>
    </row>
    <row r="4735" spans="1:1" x14ac:dyDescent="0.25">
      <c r="A4735" s="125" t="s">
        <v>4800</v>
      </c>
    </row>
    <row r="4736" spans="1:1" x14ac:dyDescent="0.25">
      <c r="A4736" s="124" t="s">
        <v>4801</v>
      </c>
    </row>
    <row r="4737" spans="1:1" x14ac:dyDescent="0.25">
      <c r="A4737" s="124" t="s">
        <v>4802</v>
      </c>
    </row>
    <row r="4738" spans="1:1" x14ac:dyDescent="0.25">
      <c r="A4738" s="125" t="s">
        <v>4803</v>
      </c>
    </row>
    <row r="4739" spans="1:1" x14ac:dyDescent="0.25">
      <c r="A4739" s="125" t="s">
        <v>4804</v>
      </c>
    </row>
    <row r="4740" spans="1:1" x14ac:dyDescent="0.25">
      <c r="A4740" s="125" t="s">
        <v>4805</v>
      </c>
    </row>
    <row r="4741" spans="1:1" x14ac:dyDescent="0.25">
      <c r="A4741" s="125" t="s">
        <v>4806</v>
      </c>
    </row>
    <row r="4742" spans="1:1" x14ac:dyDescent="0.25">
      <c r="A4742" s="124" t="s">
        <v>4807</v>
      </c>
    </row>
    <row r="4743" spans="1:1" x14ac:dyDescent="0.25">
      <c r="A4743" s="124" t="s">
        <v>4808</v>
      </c>
    </row>
    <row r="4744" spans="1:1" x14ac:dyDescent="0.25">
      <c r="A4744" s="125" t="s">
        <v>4809</v>
      </c>
    </row>
    <row r="4745" spans="1:1" x14ac:dyDescent="0.25">
      <c r="A4745" s="124" t="s">
        <v>4810</v>
      </c>
    </row>
    <row r="4746" spans="1:1" x14ac:dyDescent="0.25">
      <c r="A4746" s="124" t="s">
        <v>4811</v>
      </c>
    </row>
    <row r="4747" spans="1:1" x14ac:dyDescent="0.25">
      <c r="A4747" t="s">
        <v>4812</v>
      </c>
    </row>
    <row r="4748" spans="1:1" x14ac:dyDescent="0.25">
      <c r="A4748" s="124" t="s">
        <v>4813</v>
      </c>
    </row>
    <row r="4749" spans="1:1" x14ac:dyDescent="0.25">
      <c r="A4749" s="27" t="s">
        <v>4814</v>
      </c>
    </row>
    <row r="4750" spans="1:1" x14ac:dyDescent="0.25">
      <c r="A4750" s="125" t="s">
        <v>4815</v>
      </c>
    </row>
    <row r="4751" spans="1:1" x14ac:dyDescent="0.25">
      <c r="A4751" s="124" t="s">
        <v>4816</v>
      </c>
    </row>
    <row r="4752" spans="1:1" x14ac:dyDescent="0.25">
      <c r="A4752" t="s">
        <v>4817</v>
      </c>
    </row>
    <row r="4753" spans="1:1" x14ac:dyDescent="0.25">
      <c r="A4753" s="125" t="s">
        <v>4818</v>
      </c>
    </row>
    <row r="4754" spans="1:1" x14ac:dyDescent="0.25">
      <c r="A4754" s="125" t="s">
        <v>4819</v>
      </c>
    </row>
    <row r="4755" spans="1:1" x14ac:dyDescent="0.25">
      <c r="A4755" s="27" t="s">
        <v>4820</v>
      </c>
    </row>
    <row r="4756" spans="1:1" x14ac:dyDescent="0.25">
      <c r="A4756" s="27" t="s">
        <v>4821</v>
      </c>
    </row>
    <row r="4757" spans="1:1" x14ac:dyDescent="0.25">
      <c r="A4757" s="27" t="s">
        <v>4822</v>
      </c>
    </row>
    <row r="4758" spans="1:1" x14ac:dyDescent="0.25">
      <c r="A4758" t="s">
        <v>4823</v>
      </c>
    </row>
    <row r="4759" spans="1:1" ht="255" x14ac:dyDescent="0.25">
      <c r="A4759" s="126" t="s">
        <v>4824</v>
      </c>
    </row>
    <row r="4760" spans="1:1" ht="270" x14ac:dyDescent="0.25">
      <c r="A4760" s="126" t="s">
        <v>4825</v>
      </c>
    </row>
    <row r="4761" spans="1:1" x14ac:dyDescent="0.25">
      <c r="A4761" s="124" t="s">
        <v>4826</v>
      </c>
    </row>
    <row r="4762" spans="1:1" x14ac:dyDescent="0.25">
      <c r="A4762" t="s">
        <v>4827</v>
      </c>
    </row>
    <row r="4763" spans="1:1" x14ac:dyDescent="0.25">
      <c r="A4763" s="125" t="s">
        <v>4828</v>
      </c>
    </row>
    <row r="4764" spans="1:1" x14ac:dyDescent="0.25">
      <c r="A4764" s="124" t="s">
        <v>4829</v>
      </c>
    </row>
    <row r="4765" spans="1:1" x14ac:dyDescent="0.25">
      <c r="A4765" t="s">
        <v>4830</v>
      </c>
    </row>
    <row r="4766" spans="1:1" x14ac:dyDescent="0.25">
      <c r="A4766" s="125" t="s">
        <v>4831</v>
      </c>
    </row>
    <row r="4767" spans="1:1" x14ac:dyDescent="0.25">
      <c r="A4767" s="125" t="s">
        <v>4832</v>
      </c>
    </row>
    <row r="4768" spans="1:1" x14ac:dyDescent="0.25">
      <c r="A4768" s="124" t="s">
        <v>4833</v>
      </c>
    </row>
    <row r="4769" spans="1:1" x14ac:dyDescent="0.25">
      <c r="A4769" t="s">
        <v>4834</v>
      </c>
    </row>
    <row r="4770" spans="1:1" x14ac:dyDescent="0.25">
      <c r="A4770" s="125" t="s">
        <v>4835</v>
      </c>
    </row>
    <row r="4771" spans="1:1" x14ac:dyDescent="0.25">
      <c r="A4771" s="124" t="s">
        <v>4836</v>
      </c>
    </row>
    <row r="4772" spans="1:1" x14ac:dyDescent="0.25">
      <c r="A4772" t="s">
        <v>4837</v>
      </c>
    </row>
    <row r="4773" spans="1:1" x14ac:dyDescent="0.25">
      <c r="A4773" s="125" t="s">
        <v>4838</v>
      </c>
    </row>
    <row r="4774" spans="1:1" x14ac:dyDescent="0.25">
      <c r="A4774" s="125" t="s">
        <v>4839</v>
      </c>
    </row>
    <row r="4775" spans="1:1" x14ac:dyDescent="0.25">
      <c r="A4775" s="124" t="s">
        <v>4840</v>
      </c>
    </row>
    <row r="4776" spans="1:1" x14ac:dyDescent="0.25">
      <c r="A4776" s="124" t="s">
        <v>4841</v>
      </c>
    </row>
    <row r="4777" spans="1:1" x14ac:dyDescent="0.25">
      <c r="A4777" t="s">
        <v>4842</v>
      </c>
    </row>
    <row r="4778" spans="1:1" x14ac:dyDescent="0.25">
      <c r="A4778" s="124" t="s">
        <v>4843</v>
      </c>
    </row>
    <row r="4779" spans="1:1" x14ac:dyDescent="0.25">
      <c r="A4779" s="124" t="s">
        <v>4844</v>
      </c>
    </row>
    <row r="4780" spans="1:1" x14ac:dyDescent="0.25">
      <c r="A4780" s="124" t="s">
        <v>4845</v>
      </c>
    </row>
    <row r="4781" spans="1:1" x14ac:dyDescent="0.25">
      <c r="A4781" s="124" t="s">
        <v>4846</v>
      </c>
    </row>
    <row r="4782" spans="1:1" x14ac:dyDescent="0.25">
      <c r="A4782" s="124" t="s">
        <v>4847</v>
      </c>
    </row>
    <row r="4783" spans="1:1" x14ac:dyDescent="0.25">
      <c r="A4783" s="27" t="s">
        <v>4848</v>
      </c>
    </row>
    <row r="4784" spans="1:1" x14ac:dyDescent="0.25">
      <c r="A4784" s="125" t="s">
        <v>4849</v>
      </c>
    </row>
    <row r="4785" spans="1:1" x14ac:dyDescent="0.25">
      <c r="A4785" s="124" t="s">
        <v>4850</v>
      </c>
    </row>
    <row r="4786" spans="1:1" x14ac:dyDescent="0.25">
      <c r="A4786" t="s">
        <v>4851</v>
      </c>
    </row>
    <row r="4787" spans="1:1" x14ac:dyDescent="0.25">
      <c r="A4787" s="125" t="s">
        <v>4852</v>
      </c>
    </row>
    <row r="4788" spans="1:1" x14ac:dyDescent="0.25">
      <c r="A4788" s="125" t="s">
        <v>4853</v>
      </c>
    </row>
    <row r="4789" spans="1:1" x14ac:dyDescent="0.25">
      <c r="A4789" s="27" t="s">
        <v>4854</v>
      </c>
    </row>
    <row r="4790" spans="1:1" x14ac:dyDescent="0.25">
      <c r="A4790" s="27" t="s">
        <v>4855</v>
      </c>
    </row>
    <row r="4791" spans="1:1" x14ac:dyDescent="0.25">
      <c r="A4791" s="27" t="s">
        <v>4856</v>
      </c>
    </row>
    <row r="4792" spans="1:1" x14ac:dyDescent="0.25">
      <c r="A4792" t="s">
        <v>4857</v>
      </c>
    </row>
    <row r="4793" spans="1:1" ht="255" x14ac:dyDescent="0.25">
      <c r="A4793" s="126" t="s">
        <v>4858</v>
      </c>
    </row>
    <row r="4794" spans="1:1" ht="270" x14ac:dyDescent="0.25">
      <c r="A4794" s="126" t="s">
        <v>4859</v>
      </c>
    </row>
    <row r="4795" spans="1:1" x14ac:dyDescent="0.25">
      <c r="A4795" s="124" t="s">
        <v>4860</v>
      </c>
    </row>
    <row r="4796" spans="1:1" x14ac:dyDescent="0.25">
      <c r="A4796" t="s">
        <v>4861</v>
      </c>
    </row>
    <row r="4797" spans="1:1" x14ac:dyDescent="0.25">
      <c r="A4797" s="125" t="s">
        <v>4862</v>
      </c>
    </row>
    <row r="4798" spans="1:1" x14ac:dyDescent="0.25">
      <c r="A4798" s="124" t="s">
        <v>4863</v>
      </c>
    </row>
    <row r="4799" spans="1:1" x14ac:dyDescent="0.25">
      <c r="A4799" t="s">
        <v>4864</v>
      </c>
    </row>
    <row r="4800" spans="1:1" x14ac:dyDescent="0.25">
      <c r="A4800" s="125" t="s">
        <v>4865</v>
      </c>
    </row>
    <row r="4801" spans="1:1" x14ac:dyDescent="0.25">
      <c r="A4801" s="125" t="s">
        <v>4866</v>
      </c>
    </row>
    <row r="4802" spans="1:1" x14ac:dyDescent="0.25">
      <c r="A4802" s="125" t="s">
        <v>4867</v>
      </c>
    </row>
    <row r="4803" spans="1:1" x14ac:dyDescent="0.25">
      <c r="A4803" s="124" t="s">
        <v>4868</v>
      </c>
    </row>
    <row r="4804" spans="1:1" x14ac:dyDescent="0.25">
      <c r="A4804" t="s">
        <v>4869</v>
      </c>
    </row>
    <row r="4805" spans="1:1" x14ac:dyDescent="0.25">
      <c r="A4805" s="125" t="s">
        <v>4870</v>
      </c>
    </row>
    <row r="4806" spans="1:1" x14ac:dyDescent="0.25">
      <c r="A4806" s="125" t="s">
        <v>4871</v>
      </c>
    </row>
    <row r="4807" spans="1:1" x14ac:dyDescent="0.25">
      <c r="A4807" s="27" t="s">
        <v>4872</v>
      </c>
    </row>
    <row r="4808" spans="1:1" x14ac:dyDescent="0.25">
      <c r="A4808" s="27" t="s">
        <v>4873</v>
      </c>
    </row>
    <row r="4809" spans="1:1" x14ac:dyDescent="0.25">
      <c r="A4809" s="27" t="s">
        <v>4874</v>
      </c>
    </row>
    <row r="4810" spans="1:1" x14ac:dyDescent="0.25">
      <c r="A4810" t="s">
        <v>4875</v>
      </c>
    </row>
    <row r="4811" spans="1:1" x14ac:dyDescent="0.25">
      <c r="A4811" s="124" t="s">
        <v>4876</v>
      </c>
    </row>
    <row r="4812" spans="1:1" x14ac:dyDescent="0.25">
      <c r="A4812" t="s">
        <v>4877</v>
      </c>
    </row>
    <row r="4813" spans="1:1" x14ac:dyDescent="0.25">
      <c r="A4813" s="125" t="s">
        <v>4878</v>
      </c>
    </row>
    <row r="4814" spans="1:1" x14ac:dyDescent="0.25">
      <c r="A4814" s="124" t="s">
        <v>4879</v>
      </c>
    </row>
    <row r="4815" spans="1:1" x14ac:dyDescent="0.25">
      <c r="A4815" t="s">
        <v>4880</v>
      </c>
    </row>
    <row r="4816" spans="1:1" x14ac:dyDescent="0.25">
      <c r="A4816" s="125" t="s">
        <v>4881</v>
      </c>
    </row>
    <row r="4817" spans="1:1" x14ac:dyDescent="0.25">
      <c r="A4817" s="125" t="s">
        <v>4882</v>
      </c>
    </row>
    <row r="4818" spans="1:1" x14ac:dyDescent="0.25">
      <c r="A4818" s="124" t="s">
        <v>4883</v>
      </c>
    </row>
    <row r="4819" spans="1:1" x14ac:dyDescent="0.25">
      <c r="A4819" s="124" t="s">
        <v>4884</v>
      </c>
    </row>
    <row r="4820" spans="1:1" x14ac:dyDescent="0.25">
      <c r="A4820" t="s">
        <v>4885</v>
      </c>
    </row>
    <row r="4821" spans="1:1" x14ac:dyDescent="0.25">
      <c r="A4821" s="124" t="s">
        <v>4886</v>
      </c>
    </row>
    <row r="4822" spans="1:1" x14ac:dyDescent="0.25">
      <c r="A4822" s="124" t="s">
        <v>4887</v>
      </c>
    </row>
    <row r="4823" spans="1:1" x14ac:dyDescent="0.25">
      <c r="A4823" s="27" t="s">
        <v>4888</v>
      </c>
    </row>
    <row r="4824" spans="1:1" x14ac:dyDescent="0.25">
      <c r="A4824" s="125" t="s">
        <v>4889</v>
      </c>
    </row>
    <row r="4825" spans="1:1" x14ac:dyDescent="0.25">
      <c r="A4825" s="124" t="s">
        <v>4890</v>
      </c>
    </row>
    <row r="4826" spans="1:1" x14ac:dyDescent="0.25">
      <c r="A4826" t="s">
        <v>4891</v>
      </c>
    </row>
    <row r="4827" spans="1:1" x14ac:dyDescent="0.25">
      <c r="A4827" s="125" t="s">
        <v>4892</v>
      </c>
    </row>
    <row r="4828" spans="1:1" x14ac:dyDescent="0.25">
      <c r="A4828" s="125" t="s">
        <v>4893</v>
      </c>
    </row>
    <row r="4829" spans="1:1" x14ac:dyDescent="0.25">
      <c r="A4829" s="27" t="s">
        <v>4894</v>
      </c>
    </row>
    <row r="4830" spans="1:1" x14ac:dyDescent="0.25">
      <c r="A4830" s="27" t="s">
        <v>4895</v>
      </c>
    </row>
    <row r="4831" spans="1:1" x14ac:dyDescent="0.25">
      <c r="A4831" s="27" t="s">
        <v>4896</v>
      </c>
    </row>
    <row r="4832" spans="1:1" x14ac:dyDescent="0.25">
      <c r="A4832" t="s">
        <v>4897</v>
      </c>
    </row>
    <row r="4833" spans="1:1" ht="255" x14ac:dyDescent="0.25">
      <c r="A4833" s="126" t="s">
        <v>4898</v>
      </c>
    </row>
    <row r="4834" spans="1:1" ht="270" x14ac:dyDescent="0.25">
      <c r="A4834" s="126" t="s">
        <v>4899</v>
      </c>
    </row>
    <row r="4835" spans="1:1" x14ac:dyDescent="0.25">
      <c r="A4835" s="124" t="s">
        <v>4900</v>
      </c>
    </row>
    <row r="4836" spans="1:1" x14ac:dyDescent="0.25">
      <c r="A4836" t="s">
        <v>4901</v>
      </c>
    </row>
    <row r="4837" spans="1:1" x14ac:dyDescent="0.25">
      <c r="A4837" s="125" t="s">
        <v>4902</v>
      </c>
    </row>
    <row r="4838" spans="1:1" x14ac:dyDescent="0.25">
      <c r="A4838" s="124" t="s">
        <v>4903</v>
      </c>
    </row>
    <row r="4839" spans="1:1" x14ac:dyDescent="0.25">
      <c r="A4839" t="s">
        <v>4904</v>
      </c>
    </row>
    <row r="4840" spans="1:1" x14ac:dyDescent="0.25">
      <c r="A4840" s="125" t="s">
        <v>4905</v>
      </c>
    </row>
    <row r="4841" spans="1:1" x14ac:dyDescent="0.25">
      <c r="A4841" s="125" t="s">
        <v>4906</v>
      </c>
    </row>
    <row r="4842" spans="1:1" x14ac:dyDescent="0.25">
      <c r="A4842" s="124" t="s">
        <v>4907</v>
      </c>
    </row>
    <row r="4843" spans="1:1" x14ac:dyDescent="0.25">
      <c r="A4843" t="s">
        <v>4908</v>
      </c>
    </row>
    <row r="4844" spans="1:1" x14ac:dyDescent="0.25">
      <c r="A4844" s="125" t="s">
        <v>4909</v>
      </c>
    </row>
    <row r="4845" spans="1:1" x14ac:dyDescent="0.25">
      <c r="A4845" s="124" t="s">
        <v>4910</v>
      </c>
    </row>
    <row r="4846" spans="1:1" x14ac:dyDescent="0.25">
      <c r="A4846" t="s">
        <v>4911</v>
      </c>
    </row>
    <row r="4847" spans="1:1" x14ac:dyDescent="0.25">
      <c r="A4847" s="125" t="s">
        <v>4912</v>
      </c>
    </row>
    <row r="4848" spans="1:1" x14ac:dyDescent="0.25">
      <c r="A4848" s="125" t="s">
        <v>4913</v>
      </c>
    </row>
    <row r="4849" spans="1:1" x14ac:dyDescent="0.25">
      <c r="A4849" t="s">
        <v>4914</v>
      </c>
    </row>
    <row r="4850" spans="1:1" x14ac:dyDescent="0.25">
      <c r="A4850" t="s">
        <v>4915</v>
      </c>
    </row>
    <row r="4851" spans="1:1" x14ac:dyDescent="0.25">
      <c r="A4851" t="s">
        <v>4916</v>
      </c>
    </row>
    <row r="4852" spans="1:1" x14ac:dyDescent="0.25">
      <c r="A4852" t="s">
        <v>4917</v>
      </c>
    </row>
    <row r="4853" spans="1:1" x14ac:dyDescent="0.25">
      <c r="A4853" t="s">
        <v>4918</v>
      </c>
    </row>
    <row r="4854" spans="1:1" x14ac:dyDescent="0.25">
      <c r="A4854" t="s">
        <v>4919</v>
      </c>
    </row>
    <row r="4855" spans="1:1" x14ac:dyDescent="0.25">
      <c r="A4855" t="s">
        <v>4920</v>
      </c>
    </row>
    <row r="4856" spans="1:1" x14ac:dyDescent="0.25">
      <c r="A4856" t="s">
        <v>4921</v>
      </c>
    </row>
    <row r="4857" spans="1:1" x14ac:dyDescent="0.25">
      <c r="A4857" t="s">
        <v>4922</v>
      </c>
    </row>
    <row r="4858" spans="1:1" x14ac:dyDescent="0.25">
      <c r="A4858" t="s">
        <v>4923</v>
      </c>
    </row>
    <row r="4859" spans="1:1" x14ac:dyDescent="0.25">
      <c r="A4859" t="s">
        <v>4924</v>
      </c>
    </row>
    <row r="4860" spans="1:1" x14ac:dyDescent="0.25">
      <c r="A4860" t="s">
        <v>4925</v>
      </c>
    </row>
    <row r="4861" spans="1:1" x14ac:dyDescent="0.25">
      <c r="A4861" t="s">
        <v>4926</v>
      </c>
    </row>
    <row r="4862" spans="1:1" x14ac:dyDescent="0.25">
      <c r="A4862" t="s">
        <v>4927</v>
      </c>
    </row>
    <row r="4863" spans="1:1" x14ac:dyDescent="0.25">
      <c r="A4863" t="s">
        <v>4928</v>
      </c>
    </row>
    <row r="4864" spans="1:1" x14ac:dyDescent="0.25">
      <c r="A4864" t="s">
        <v>4929</v>
      </c>
    </row>
    <row r="4865" spans="1:1" x14ac:dyDescent="0.25">
      <c r="A4865" t="s">
        <v>4930</v>
      </c>
    </row>
    <row r="4866" spans="1:1" x14ac:dyDescent="0.25">
      <c r="A4866" s="124" t="s">
        <v>4931</v>
      </c>
    </row>
    <row r="4867" spans="1:1" x14ac:dyDescent="0.25">
      <c r="A4867" s="124" t="s">
        <v>4932</v>
      </c>
    </row>
    <row r="4868" spans="1:1" x14ac:dyDescent="0.25">
      <c r="A4868" t="s">
        <v>4933</v>
      </c>
    </row>
    <row r="4869" spans="1:1" x14ac:dyDescent="0.25">
      <c r="A4869" s="124" t="s">
        <v>4934</v>
      </c>
    </row>
    <row r="4870" spans="1:1" x14ac:dyDescent="0.25">
      <c r="A4870" s="124" t="s">
        <v>4935</v>
      </c>
    </row>
    <row r="4871" spans="1:1" x14ac:dyDescent="0.25">
      <c r="A4871" s="27" t="s">
        <v>4936</v>
      </c>
    </row>
    <row r="4872" spans="1:1" x14ac:dyDescent="0.25">
      <c r="A4872" s="125" t="s">
        <v>4937</v>
      </c>
    </row>
    <row r="4873" spans="1:1" x14ac:dyDescent="0.25">
      <c r="A4873" s="124" t="s">
        <v>4938</v>
      </c>
    </row>
    <row r="4874" spans="1:1" x14ac:dyDescent="0.25">
      <c r="A4874" t="s">
        <v>4939</v>
      </c>
    </row>
    <row r="4875" spans="1:1" x14ac:dyDescent="0.25">
      <c r="A4875" s="125" t="s">
        <v>4940</v>
      </c>
    </row>
    <row r="4876" spans="1:1" x14ac:dyDescent="0.25">
      <c r="A4876" s="125" t="s">
        <v>4941</v>
      </c>
    </row>
    <row r="4877" spans="1:1" x14ac:dyDescent="0.25">
      <c r="A4877" s="27" t="s">
        <v>4942</v>
      </c>
    </row>
    <row r="4878" spans="1:1" x14ac:dyDescent="0.25">
      <c r="A4878" s="27" t="s">
        <v>4943</v>
      </c>
    </row>
    <row r="4879" spans="1:1" x14ac:dyDescent="0.25">
      <c r="A4879" s="27" t="s">
        <v>4944</v>
      </c>
    </row>
    <row r="4880" spans="1:1" x14ac:dyDescent="0.25">
      <c r="A4880" t="s">
        <v>4945</v>
      </c>
    </row>
    <row r="4881" spans="1:1" ht="255" x14ac:dyDescent="0.25">
      <c r="A4881" s="126" t="s">
        <v>4946</v>
      </c>
    </row>
    <row r="4882" spans="1:1" ht="270" x14ac:dyDescent="0.25">
      <c r="A4882" s="126" t="s">
        <v>4947</v>
      </c>
    </row>
    <row r="4883" spans="1:1" x14ac:dyDescent="0.25">
      <c r="A4883" s="124" t="s">
        <v>4948</v>
      </c>
    </row>
    <row r="4884" spans="1:1" x14ac:dyDescent="0.25">
      <c r="A4884" t="s">
        <v>4949</v>
      </c>
    </row>
    <row r="4885" spans="1:1" x14ac:dyDescent="0.25">
      <c r="A4885" s="125" t="s">
        <v>4950</v>
      </c>
    </row>
    <row r="4886" spans="1:1" x14ac:dyDescent="0.25">
      <c r="A4886" s="124" t="s">
        <v>4951</v>
      </c>
    </row>
    <row r="4887" spans="1:1" x14ac:dyDescent="0.25">
      <c r="A4887" t="s">
        <v>4952</v>
      </c>
    </row>
    <row r="4888" spans="1:1" x14ac:dyDescent="0.25">
      <c r="A4888" s="125" t="s">
        <v>4953</v>
      </c>
    </row>
    <row r="4889" spans="1:1" x14ac:dyDescent="0.25">
      <c r="A4889" s="125" t="s">
        <v>4954</v>
      </c>
    </row>
    <row r="4890" spans="1:1" x14ac:dyDescent="0.25">
      <c r="A4890" s="124" t="s">
        <v>4955</v>
      </c>
    </row>
    <row r="4891" spans="1:1" x14ac:dyDescent="0.25">
      <c r="A4891" t="s">
        <v>4956</v>
      </c>
    </row>
    <row r="4892" spans="1:1" x14ac:dyDescent="0.25">
      <c r="A4892" s="125" t="s">
        <v>4957</v>
      </c>
    </row>
    <row r="4893" spans="1:1" x14ac:dyDescent="0.25">
      <c r="A4893" s="124" t="s">
        <v>4958</v>
      </c>
    </row>
    <row r="4894" spans="1:1" x14ac:dyDescent="0.25">
      <c r="A4894" t="s">
        <v>4959</v>
      </c>
    </row>
    <row r="4895" spans="1:1" x14ac:dyDescent="0.25">
      <c r="A4895" s="125" t="s">
        <v>4960</v>
      </c>
    </row>
    <row r="4896" spans="1:1" x14ac:dyDescent="0.25">
      <c r="A4896" s="125" t="s">
        <v>4961</v>
      </c>
    </row>
    <row r="4897" spans="1:1" x14ac:dyDescent="0.25">
      <c r="A4897" s="124" t="s">
        <v>4962</v>
      </c>
    </row>
    <row r="4898" spans="1:1" x14ac:dyDescent="0.25">
      <c r="A4898" t="s">
        <v>4963</v>
      </c>
    </row>
    <row r="4899" spans="1:1" x14ac:dyDescent="0.25">
      <c r="A4899" s="124" t="s">
        <v>4964</v>
      </c>
    </row>
    <row r="4900" spans="1:1" x14ac:dyDescent="0.25">
      <c r="A4900" s="27" t="s">
        <v>4965</v>
      </c>
    </row>
    <row r="4901" spans="1:1" ht="255" x14ac:dyDescent="0.25">
      <c r="A4901" s="126" t="s">
        <v>4966</v>
      </c>
    </row>
    <row r="4902" spans="1:1" ht="270" x14ac:dyDescent="0.25">
      <c r="A4902" s="126" t="s">
        <v>4967</v>
      </c>
    </row>
    <row r="4903" spans="1:1" x14ac:dyDescent="0.25">
      <c r="A4903" s="124" t="s">
        <v>4968</v>
      </c>
    </row>
    <row r="4904" spans="1:1" x14ac:dyDescent="0.25">
      <c r="A4904" t="s">
        <v>4969</v>
      </c>
    </row>
    <row r="4905" spans="1:1" x14ac:dyDescent="0.25">
      <c r="A4905" s="125" t="s">
        <v>4970</v>
      </c>
    </row>
    <row r="4906" spans="1:1" x14ac:dyDescent="0.25">
      <c r="A4906" s="124" t="s">
        <v>4971</v>
      </c>
    </row>
    <row r="4907" spans="1:1" x14ac:dyDescent="0.25">
      <c r="A4907" t="s">
        <v>4972</v>
      </c>
    </row>
    <row r="4908" spans="1:1" x14ac:dyDescent="0.25">
      <c r="A4908" s="125" t="s">
        <v>4973</v>
      </c>
    </row>
    <row r="4909" spans="1:1" x14ac:dyDescent="0.25">
      <c r="A4909" s="125" t="s">
        <v>4974</v>
      </c>
    </row>
    <row r="4910" spans="1:1" x14ac:dyDescent="0.25">
      <c r="A4910" s="124" t="s">
        <v>4975</v>
      </c>
    </row>
    <row r="4911" spans="1:1" x14ac:dyDescent="0.25">
      <c r="A4911" t="s">
        <v>4976</v>
      </c>
    </row>
    <row r="4912" spans="1:1" x14ac:dyDescent="0.25">
      <c r="A4912" s="125" t="s">
        <v>4977</v>
      </c>
    </row>
    <row r="4913" spans="1:1" x14ac:dyDescent="0.25">
      <c r="A4913" s="124" t="s">
        <v>4978</v>
      </c>
    </row>
    <row r="4914" spans="1:1" x14ac:dyDescent="0.25">
      <c r="A4914" t="s">
        <v>4979</v>
      </c>
    </row>
    <row r="4915" spans="1:1" x14ac:dyDescent="0.25">
      <c r="A4915" s="125" t="s">
        <v>4980</v>
      </c>
    </row>
    <row r="4916" spans="1:1" x14ac:dyDescent="0.25">
      <c r="A4916" s="125" t="s">
        <v>4981</v>
      </c>
    </row>
    <row r="4917" spans="1:1" x14ac:dyDescent="0.25">
      <c r="A4917" t="s">
        <v>4982</v>
      </c>
    </row>
    <row r="4918" spans="1:1" x14ac:dyDescent="0.25">
      <c r="A4918" t="s">
        <v>4983</v>
      </c>
    </row>
    <row r="4919" spans="1:1" x14ac:dyDescent="0.25">
      <c r="A4919" t="s">
        <v>4984</v>
      </c>
    </row>
    <row r="4920" spans="1:1" x14ac:dyDescent="0.25">
      <c r="A4920" s="124" t="s">
        <v>4985</v>
      </c>
    </row>
    <row r="4921" spans="1:1" x14ac:dyDescent="0.25">
      <c r="A4921" s="124" t="s">
        <v>4986</v>
      </c>
    </row>
    <row r="4922" spans="1:1" x14ac:dyDescent="0.25">
      <c r="A4922" t="s">
        <v>4987</v>
      </c>
    </row>
    <row r="4923" spans="1:1" x14ac:dyDescent="0.25">
      <c r="A4923" s="124" t="s">
        <v>4988</v>
      </c>
    </row>
    <row r="4924" spans="1:1" x14ac:dyDescent="0.25">
      <c r="A4924" s="27" t="s">
        <v>4989</v>
      </c>
    </row>
    <row r="4925" spans="1:1" x14ac:dyDescent="0.25">
      <c r="A4925" s="125" t="s">
        <v>4990</v>
      </c>
    </row>
    <row r="4926" spans="1:1" x14ac:dyDescent="0.25">
      <c r="A4926" s="124" t="s">
        <v>4991</v>
      </c>
    </row>
    <row r="4927" spans="1:1" x14ac:dyDescent="0.25">
      <c r="A4927" t="s">
        <v>4992</v>
      </c>
    </row>
    <row r="4928" spans="1:1" x14ac:dyDescent="0.25">
      <c r="A4928" s="125" t="s">
        <v>4993</v>
      </c>
    </row>
    <row r="4929" spans="1:1" x14ac:dyDescent="0.25">
      <c r="A4929" s="125" t="s">
        <v>4994</v>
      </c>
    </row>
    <row r="4930" spans="1:1" x14ac:dyDescent="0.25">
      <c r="A4930" s="27" t="s">
        <v>4995</v>
      </c>
    </row>
    <row r="4931" spans="1:1" x14ac:dyDescent="0.25">
      <c r="A4931" s="27" t="s">
        <v>4996</v>
      </c>
    </row>
    <row r="4932" spans="1:1" x14ac:dyDescent="0.25">
      <c r="A4932" s="27" t="s">
        <v>4997</v>
      </c>
    </row>
    <row r="4933" spans="1:1" x14ac:dyDescent="0.25">
      <c r="A4933" t="s">
        <v>4998</v>
      </c>
    </row>
    <row r="4934" spans="1:1" ht="255" x14ac:dyDescent="0.25">
      <c r="A4934" s="126" t="s">
        <v>4999</v>
      </c>
    </row>
    <row r="4935" spans="1:1" ht="270" x14ac:dyDescent="0.25">
      <c r="A4935" s="126" t="s">
        <v>5000</v>
      </c>
    </row>
    <row r="4936" spans="1:1" x14ac:dyDescent="0.25">
      <c r="A4936" s="124" t="s">
        <v>5001</v>
      </c>
    </row>
    <row r="4937" spans="1:1" x14ac:dyDescent="0.25">
      <c r="A4937" t="s">
        <v>5002</v>
      </c>
    </row>
    <row r="4938" spans="1:1" x14ac:dyDescent="0.25">
      <c r="A4938" s="125" t="s">
        <v>5003</v>
      </c>
    </row>
    <row r="4939" spans="1:1" x14ac:dyDescent="0.25">
      <c r="A4939" s="124" t="s">
        <v>5004</v>
      </c>
    </row>
    <row r="4940" spans="1:1" x14ac:dyDescent="0.25">
      <c r="A4940" t="s">
        <v>5005</v>
      </c>
    </row>
    <row r="4941" spans="1:1" x14ac:dyDescent="0.25">
      <c r="A4941" s="125" t="s">
        <v>5006</v>
      </c>
    </row>
    <row r="4942" spans="1:1" x14ac:dyDescent="0.25">
      <c r="A4942" s="125" t="s">
        <v>5007</v>
      </c>
    </row>
    <row r="4943" spans="1:1" x14ac:dyDescent="0.25">
      <c r="A4943" s="124" t="s">
        <v>5008</v>
      </c>
    </row>
    <row r="4944" spans="1:1" x14ac:dyDescent="0.25">
      <c r="A4944" t="s">
        <v>5009</v>
      </c>
    </row>
    <row r="4945" spans="1:1" x14ac:dyDescent="0.25">
      <c r="A4945" s="125" t="s">
        <v>5010</v>
      </c>
    </row>
    <row r="4946" spans="1:1" x14ac:dyDescent="0.25">
      <c r="A4946" s="124" t="s">
        <v>5011</v>
      </c>
    </row>
    <row r="4947" spans="1:1" x14ac:dyDescent="0.25">
      <c r="A4947" t="s">
        <v>5012</v>
      </c>
    </row>
    <row r="4948" spans="1:1" x14ac:dyDescent="0.25">
      <c r="A4948" s="125" t="s">
        <v>5013</v>
      </c>
    </row>
    <row r="4949" spans="1:1" x14ac:dyDescent="0.25">
      <c r="A4949" s="125" t="s">
        <v>5014</v>
      </c>
    </row>
    <row r="4950" spans="1:1" x14ac:dyDescent="0.25">
      <c r="A4950" t="s">
        <v>5015</v>
      </c>
    </row>
    <row r="4951" spans="1:1" x14ac:dyDescent="0.25">
      <c r="A4951" t="s">
        <v>5016</v>
      </c>
    </row>
    <row r="4952" spans="1:1" x14ac:dyDescent="0.25">
      <c r="A4952" t="s">
        <v>5017</v>
      </c>
    </row>
    <row r="4953" spans="1:1" x14ac:dyDescent="0.25">
      <c r="A4953" s="124" t="s">
        <v>5018</v>
      </c>
    </row>
    <row r="4954" spans="1:1" x14ac:dyDescent="0.25">
      <c r="A4954" s="124" t="s">
        <v>5019</v>
      </c>
    </row>
    <row r="4955" spans="1:1" x14ac:dyDescent="0.25">
      <c r="A4955" t="s">
        <v>5020</v>
      </c>
    </row>
    <row r="4956" spans="1:1" x14ac:dyDescent="0.25">
      <c r="A4956" s="124" t="s">
        <v>5021</v>
      </c>
    </row>
    <row r="4957" spans="1:1" x14ac:dyDescent="0.25">
      <c r="A4957" s="124" t="s">
        <v>5022</v>
      </c>
    </row>
    <row r="4958" spans="1:1" x14ac:dyDescent="0.25">
      <c r="A4958" s="124" t="s">
        <v>5023</v>
      </c>
    </row>
    <row r="4959" spans="1:1" x14ac:dyDescent="0.25">
      <c r="A4959" s="27" t="s">
        <v>5024</v>
      </c>
    </row>
    <row r="4960" spans="1:1" x14ac:dyDescent="0.25">
      <c r="A4960" s="125" t="s">
        <v>5025</v>
      </c>
    </row>
    <row r="4961" spans="1:1" x14ac:dyDescent="0.25">
      <c r="A4961" s="124" t="s">
        <v>5026</v>
      </c>
    </row>
    <row r="4962" spans="1:1" x14ac:dyDescent="0.25">
      <c r="A4962" t="s">
        <v>5027</v>
      </c>
    </row>
    <row r="4963" spans="1:1" x14ac:dyDescent="0.25">
      <c r="A4963" s="125" t="s">
        <v>5028</v>
      </c>
    </row>
    <row r="4964" spans="1:1" x14ac:dyDescent="0.25">
      <c r="A4964" s="125" t="s">
        <v>5029</v>
      </c>
    </row>
    <row r="4965" spans="1:1" x14ac:dyDescent="0.25">
      <c r="A4965" s="27" t="s">
        <v>5030</v>
      </c>
    </row>
    <row r="4966" spans="1:1" x14ac:dyDescent="0.25">
      <c r="A4966" s="27" t="s">
        <v>5031</v>
      </c>
    </row>
    <row r="4967" spans="1:1" x14ac:dyDescent="0.25">
      <c r="A4967" s="27" t="s">
        <v>5032</v>
      </c>
    </row>
    <row r="4968" spans="1:1" x14ac:dyDescent="0.25">
      <c r="A4968" t="s">
        <v>5033</v>
      </c>
    </row>
    <row r="4969" spans="1:1" ht="255" x14ac:dyDescent="0.25">
      <c r="A4969" s="126" t="s">
        <v>5034</v>
      </c>
    </row>
    <row r="4970" spans="1:1" ht="270" x14ac:dyDescent="0.25">
      <c r="A4970" s="126" t="s">
        <v>5035</v>
      </c>
    </row>
    <row r="4971" spans="1:1" x14ac:dyDescent="0.25">
      <c r="A4971" s="124" t="s">
        <v>5036</v>
      </c>
    </row>
    <row r="4972" spans="1:1" x14ac:dyDescent="0.25">
      <c r="A4972" t="s">
        <v>5037</v>
      </c>
    </row>
    <row r="4973" spans="1:1" x14ac:dyDescent="0.25">
      <c r="A4973" s="125" t="s">
        <v>5038</v>
      </c>
    </row>
    <row r="4974" spans="1:1" x14ac:dyDescent="0.25">
      <c r="A4974" s="124" t="s">
        <v>5039</v>
      </c>
    </row>
    <row r="4975" spans="1:1" x14ac:dyDescent="0.25">
      <c r="A4975" t="s">
        <v>5040</v>
      </c>
    </row>
    <row r="4976" spans="1:1" x14ac:dyDescent="0.25">
      <c r="A4976" s="125" t="s">
        <v>5041</v>
      </c>
    </row>
    <row r="4977" spans="1:1" x14ac:dyDescent="0.25">
      <c r="A4977" s="125" t="s">
        <v>5042</v>
      </c>
    </row>
    <row r="4978" spans="1:1" x14ac:dyDescent="0.25">
      <c r="A4978" s="125" t="s">
        <v>5043</v>
      </c>
    </row>
    <row r="4979" spans="1:1" x14ac:dyDescent="0.25">
      <c r="A4979" s="124" t="s">
        <v>5044</v>
      </c>
    </row>
    <row r="4980" spans="1:1" x14ac:dyDescent="0.25">
      <c r="A4980" t="s">
        <v>5045</v>
      </c>
    </row>
    <row r="4981" spans="1:1" x14ac:dyDescent="0.25">
      <c r="A4981" s="125" t="s">
        <v>5046</v>
      </c>
    </row>
    <row r="4982" spans="1:1" x14ac:dyDescent="0.25">
      <c r="A4982" s="125" t="s">
        <v>5047</v>
      </c>
    </row>
    <row r="4983" spans="1:1" x14ac:dyDescent="0.25">
      <c r="A4983" s="27" t="s">
        <v>5048</v>
      </c>
    </row>
    <row r="4984" spans="1:1" x14ac:dyDescent="0.25">
      <c r="A4984" s="27" t="s">
        <v>5049</v>
      </c>
    </row>
    <row r="4985" spans="1:1" x14ac:dyDescent="0.25">
      <c r="A4985" s="27" t="s">
        <v>5050</v>
      </c>
    </row>
    <row r="4986" spans="1:1" x14ac:dyDescent="0.25">
      <c r="A4986" t="s">
        <v>5051</v>
      </c>
    </row>
    <row r="4987" spans="1:1" x14ac:dyDescent="0.25">
      <c r="A4987" s="124" t="s">
        <v>5052</v>
      </c>
    </row>
    <row r="4988" spans="1:1" x14ac:dyDescent="0.25">
      <c r="A4988" t="s">
        <v>5053</v>
      </c>
    </row>
    <row r="4989" spans="1:1" x14ac:dyDescent="0.25">
      <c r="A4989" s="125" t="s">
        <v>5054</v>
      </c>
    </row>
    <row r="4990" spans="1:1" x14ac:dyDescent="0.25">
      <c r="A4990" s="124" t="s">
        <v>5055</v>
      </c>
    </row>
    <row r="4991" spans="1:1" x14ac:dyDescent="0.25">
      <c r="A4991" t="s">
        <v>5056</v>
      </c>
    </row>
    <row r="4992" spans="1:1" x14ac:dyDescent="0.25">
      <c r="A4992" s="125" t="s">
        <v>5057</v>
      </c>
    </row>
    <row r="4993" spans="1:1" x14ac:dyDescent="0.25">
      <c r="A4993" s="125" t="s">
        <v>5058</v>
      </c>
    </row>
    <row r="4994" spans="1:1" x14ac:dyDescent="0.25">
      <c r="A4994" s="124" t="s">
        <v>5059</v>
      </c>
    </row>
    <row r="4995" spans="1:1" x14ac:dyDescent="0.25">
      <c r="A4995" t="s">
        <v>5060</v>
      </c>
    </row>
    <row r="4996" spans="1:1" x14ac:dyDescent="0.25">
      <c r="A4996" s="124" t="s">
        <v>5061</v>
      </c>
    </row>
    <row r="4997" spans="1:1" x14ac:dyDescent="0.25">
      <c r="A4997" s="27" t="s">
        <v>5062</v>
      </c>
    </row>
    <row r="4998" spans="1:1" ht="255" x14ac:dyDescent="0.25">
      <c r="A4998" s="126" t="s">
        <v>5063</v>
      </c>
    </row>
    <row r="4999" spans="1:1" ht="270" x14ac:dyDescent="0.25">
      <c r="A4999" s="126" t="s">
        <v>5064</v>
      </c>
    </row>
    <row r="5000" spans="1:1" x14ac:dyDescent="0.25">
      <c r="A5000" s="124" t="s">
        <v>5065</v>
      </c>
    </row>
    <row r="5001" spans="1:1" x14ac:dyDescent="0.25">
      <c r="A5001" t="s">
        <v>5066</v>
      </c>
    </row>
    <row r="5002" spans="1:1" x14ac:dyDescent="0.25">
      <c r="A5002" s="125" t="s">
        <v>5067</v>
      </c>
    </row>
    <row r="5003" spans="1:1" x14ac:dyDescent="0.25">
      <c r="A5003" s="124" t="s">
        <v>5068</v>
      </c>
    </row>
    <row r="5004" spans="1:1" x14ac:dyDescent="0.25">
      <c r="A5004" t="s">
        <v>5069</v>
      </c>
    </row>
    <row r="5005" spans="1:1" x14ac:dyDescent="0.25">
      <c r="A5005" s="125" t="s">
        <v>5070</v>
      </c>
    </row>
    <row r="5006" spans="1:1" x14ac:dyDescent="0.25">
      <c r="A5006" s="125" t="s">
        <v>5071</v>
      </c>
    </row>
    <row r="5007" spans="1:1" x14ac:dyDescent="0.25">
      <c r="A5007" s="124" t="s">
        <v>5072</v>
      </c>
    </row>
    <row r="5008" spans="1:1" x14ac:dyDescent="0.25">
      <c r="A5008" t="s">
        <v>5073</v>
      </c>
    </row>
    <row r="5009" spans="1:1" x14ac:dyDescent="0.25">
      <c r="A5009" s="125" t="s">
        <v>5074</v>
      </c>
    </row>
    <row r="5010" spans="1:1" x14ac:dyDescent="0.25">
      <c r="A5010" s="124" t="s">
        <v>5075</v>
      </c>
    </row>
    <row r="5011" spans="1:1" x14ac:dyDescent="0.25">
      <c r="A5011" t="s">
        <v>5076</v>
      </c>
    </row>
    <row r="5012" spans="1:1" x14ac:dyDescent="0.25">
      <c r="A5012" s="125" t="s">
        <v>5077</v>
      </c>
    </row>
    <row r="5013" spans="1:1" x14ac:dyDescent="0.25">
      <c r="A5013" s="125" t="s">
        <v>5078</v>
      </c>
    </row>
    <row r="5014" spans="1:1" x14ac:dyDescent="0.25">
      <c r="A5014" t="s">
        <v>5079</v>
      </c>
    </row>
    <row r="5015" spans="1:1" x14ac:dyDescent="0.25">
      <c r="A5015" t="s">
        <v>5080</v>
      </c>
    </row>
    <row r="5016" spans="1:1" x14ac:dyDescent="0.25">
      <c r="A5016" t="s">
        <v>5081</v>
      </c>
    </row>
    <row r="5017" spans="1:1" x14ac:dyDescent="0.25">
      <c r="A5017" t="s">
        <v>5082</v>
      </c>
    </row>
    <row r="5018" spans="1:1" x14ac:dyDescent="0.25">
      <c r="A5018" t="s">
        <v>5083</v>
      </c>
    </row>
    <row r="5019" spans="1:1" x14ac:dyDescent="0.25">
      <c r="A5019" t="s">
        <v>5084</v>
      </c>
    </row>
    <row r="5020" spans="1:1" x14ac:dyDescent="0.25">
      <c r="A5020" t="s">
        <v>5085</v>
      </c>
    </row>
    <row r="5021" spans="1:1" x14ac:dyDescent="0.25">
      <c r="A5021" t="s">
        <v>5086</v>
      </c>
    </row>
    <row r="5022" spans="1:1" x14ac:dyDescent="0.25">
      <c r="A5022" t="s">
        <v>5087</v>
      </c>
    </row>
    <row r="5023" spans="1:1" x14ac:dyDescent="0.25">
      <c r="A5023" t="s">
        <v>5088</v>
      </c>
    </row>
    <row r="5024" spans="1:1" x14ac:dyDescent="0.25">
      <c r="A5024" s="124" t="s">
        <v>5089</v>
      </c>
    </row>
    <row r="5025" spans="1:1" x14ac:dyDescent="0.25">
      <c r="A5025" s="124" t="s">
        <v>5090</v>
      </c>
    </row>
    <row r="5026" spans="1:1" x14ac:dyDescent="0.25">
      <c r="A5026" t="s">
        <v>5091</v>
      </c>
    </row>
    <row r="5027" spans="1:1" x14ac:dyDescent="0.25">
      <c r="A5027" s="124" t="s">
        <v>5092</v>
      </c>
    </row>
    <row r="5028" spans="1:1" x14ac:dyDescent="0.25">
      <c r="A5028" s="124" t="s">
        <v>5093</v>
      </c>
    </row>
    <row r="5029" spans="1:1" x14ac:dyDescent="0.25">
      <c r="A5029" s="124" t="s">
        <v>5094</v>
      </c>
    </row>
    <row r="5030" spans="1:1" x14ac:dyDescent="0.25">
      <c r="A5030" s="27" t="s">
        <v>5095</v>
      </c>
    </row>
    <row r="5031" spans="1:1" x14ac:dyDescent="0.25">
      <c r="A5031" s="125" t="s">
        <v>5096</v>
      </c>
    </row>
    <row r="5032" spans="1:1" x14ac:dyDescent="0.25">
      <c r="A5032" s="124" t="s">
        <v>5097</v>
      </c>
    </row>
    <row r="5033" spans="1:1" x14ac:dyDescent="0.25">
      <c r="A5033" t="s">
        <v>5098</v>
      </c>
    </row>
    <row r="5034" spans="1:1" x14ac:dyDescent="0.25">
      <c r="A5034" s="125" t="s">
        <v>5099</v>
      </c>
    </row>
    <row r="5035" spans="1:1" x14ac:dyDescent="0.25">
      <c r="A5035" s="125" t="s">
        <v>5100</v>
      </c>
    </row>
    <row r="5036" spans="1:1" x14ac:dyDescent="0.25">
      <c r="A5036" s="27" t="s">
        <v>5101</v>
      </c>
    </row>
    <row r="5037" spans="1:1" x14ac:dyDescent="0.25">
      <c r="A5037" s="27" t="s">
        <v>5102</v>
      </c>
    </row>
    <row r="5038" spans="1:1" x14ac:dyDescent="0.25">
      <c r="A5038" s="27" t="s">
        <v>5103</v>
      </c>
    </row>
    <row r="5039" spans="1:1" x14ac:dyDescent="0.25">
      <c r="A5039" t="s">
        <v>5104</v>
      </c>
    </row>
    <row r="5040" spans="1:1" ht="255" x14ac:dyDescent="0.25">
      <c r="A5040" s="126" t="s">
        <v>5105</v>
      </c>
    </row>
    <row r="5041" spans="1:1" ht="270" x14ac:dyDescent="0.25">
      <c r="A5041" s="126" t="s">
        <v>5106</v>
      </c>
    </row>
    <row r="5042" spans="1:1" x14ac:dyDescent="0.25">
      <c r="A5042" s="124" t="s">
        <v>5107</v>
      </c>
    </row>
    <row r="5043" spans="1:1" x14ac:dyDescent="0.25">
      <c r="A5043" t="s">
        <v>5108</v>
      </c>
    </row>
    <row r="5044" spans="1:1" x14ac:dyDescent="0.25">
      <c r="A5044" s="125" t="s">
        <v>5109</v>
      </c>
    </row>
    <row r="5045" spans="1:1" x14ac:dyDescent="0.25">
      <c r="A5045" s="124" t="s">
        <v>5110</v>
      </c>
    </row>
    <row r="5046" spans="1:1" x14ac:dyDescent="0.25">
      <c r="A5046" t="s">
        <v>5111</v>
      </c>
    </row>
    <row r="5047" spans="1:1" x14ac:dyDescent="0.25">
      <c r="A5047" s="125" t="s">
        <v>5112</v>
      </c>
    </row>
    <row r="5048" spans="1:1" x14ac:dyDescent="0.25">
      <c r="A5048" s="125" t="s">
        <v>5113</v>
      </c>
    </row>
    <row r="5049" spans="1:1" x14ac:dyDescent="0.25">
      <c r="A5049" s="125" t="s">
        <v>5114</v>
      </c>
    </row>
    <row r="5050" spans="1:1" x14ac:dyDescent="0.25">
      <c r="A5050" s="124" t="s">
        <v>5115</v>
      </c>
    </row>
    <row r="5051" spans="1:1" x14ac:dyDescent="0.25">
      <c r="A5051" t="s">
        <v>5116</v>
      </c>
    </row>
    <row r="5052" spans="1:1" x14ac:dyDescent="0.25">
      <c r="A5052" s="125" t="s">
        <v>5117</v>
      </c>
    </row>
    <row r="5053" spans="1:1" x14ac:dyDescent="0.25">
      <c r="A5053" s="125" t="s">
        <v>5118</v>
      </c>
    </row>
    <row r="5054" spans="1:1" x14ac:dyDescent="0.25">
      <c r="A5054" s="27" t="s">
        <v>5119</v>
      </c>
    </row>
    <row r="5055" spans="1:1" x14ac:dyDescent="0.25">
      <c r="A5055" s="27" t="s">
        <v>5120</v>
      </c>
    </row>
    <row r="5056" spans="1:1" x14ac:dyDescent="0.25">
      <c r="A5056" s="27" t="s">
        <v>5121</v>
      </c>
    </row>
    <row r="5057" spans="1:1" x14ac:dyDescent="0.25">
      <c r="A5057" t="s">
        <v>5122</v>
      </c>
    </row>
    <row r="5058" spans="1:1" x14ac:dyDescent="0.25">
      <c r="A5058" s="124" t="s">
        <v>5123</v>
      </c>
    </row>
    <row r="5059" spans="1:1" x14ac:dyDescent="0.25">
      <c r="A5059" t="s">
        <v>5124</v>
      </c>
    </row>
    <row r="5060" spans="1:1" x14ac:dyDescent="0.25">
      <c r="A5060" s="125" t="s">
        <v>5125</v>
      </c>
    </row>
    <row r="5061" spans="1:1" x14ac:dyDescent="0.25">
      <c r="A5061" s="124" t="s">
        <v>5126</v>
      </c>
    </row>
    <row r="5062" spans="1:1" x14ac:dyDescent="0.25">
      <c r="A5062" t="s">
        <v>5127</v>
      </c>
    </row>
    <row r="5063" spans="1:1" x14ac:dyDescent="0.25">
      <c r="A5063" s="125" t="s">
        <v>5128</v>
      </c>
    </row>
    <row r="5064" spans="1:1" x14ac:dyDescent="0.25">
      <c r="A5064" s="125" t="s">
        <v>5129</v>
      </c>
    </row>
    <row r="5065" spans="1:1" x14ac:dyDescent="0.25">
      <c r="A5065" s="124" t="s">
        <v>5130</v>
      </c>
    </row>
    <row r="5066" spans="1:1" x14ac:dyDescent="0.25">
      <c r="A5066" s="124" t="s">
        <v>5131</v>
      </c>
    </row>
    <row r="5067" spans="1:1" x14ac:dyDescent="0.25">
      <c r="A5067" t="s">
        <v>5132</v>
      </c>
    </row>
    <row r="5068" spans="1:1" x14ac:dyDescent="0.25">
      <c r="A5068" s="124" t="s">
        <v>5133</v>
      </c>
    </row>
    <row r="5069" spans="1:1" x14ac:dyDescent="0.25">
      <c r="A5069" s="124" t="s">
        <v>5134</v>
      </c>
    </row>
    <row r="5070" spans="1:1" x14ac:dyDescent="0.25">
      <c r="A5070" s="27" t="s">
        <v>5135</v>
      </c>
    </row>
    <row r="5071" spans="1:1" x14ac:dyDescent="0.25">
      <c r="A5071" s="125" t="s">
        <v>5136</v>
      </c>
    </row>
    <row r="5072" spans="1:1" x14ac:dyDescent="0.25">
      <c r="A5072" s="124" t="s">
        <v>5137</v>
      </c>
    </row>
    <row r="5073" spans="1:1" x14ac:dyDescent="0.25">
      <c r="A5073" t="s">
        <v>5138</v>
      </c>
    </row>
    <row r="5074" spans="1:1" x14ac:dyDescent="0.25">
      <c r="A5074" s="125" t="s">
        <v>5139</v>
      </c>
    </row>
    <row r="5075" spans="1:1" x14ac:dyDescent="0.25">
      <c r="A5075" s="125" t="s">
        <v>5140</v>
      </c>
    </row>
    <row r="5076" spans="1:1" x14ac:dyDescent="0.25">
      <c r="A5076" s="27" t="s">
        <v>5141</v>
      </c>
    </row>
    <row r="5077" spans="1:1" x14ac:dyDescent="0.25">
      <c r="A5077" s="27" t="s">
        <v>5142</v>
      </c>
    </row>
    <row r="5078" spans="1:1" x14ac:dyDescent="0.25">
      <c r="A5078" s="27" t="s">
        <v>5143</v>
      </c>
    </row>
    <row r="5079" spans="1:1" x14ac:dyDescent="0.25">
      <c r="A5079" t="s">
        <v>5144</v>
      </c>
    </row>
    <row r="5080" spans="1:1" ht="255" x14ac:dyDescent="0.25">
      <c r="A5080" s="126" t="s">
        <v>5145</v>
      </c>
    </row>
    <row r="5081" spans="1:1" ht="270" x14ac:dyDescent="0.25">
      <c r="A5081" s="126" t="s">
        <v>5146</v>
      </c>
    </row>
    <row r="5082" spans="1:1" x14ac:dyDescent="0.25">
      <c r="A5082" s="124" t="s">
        <v>5147</v>
      </c>
    </row>
    <row r="5083" spans="1:1" x14ac:dyDescent="0.25">
      <c r="A5083" t="s">
        <v>5148</v>
      </c>
    </row>
    <row r="5084" spans="1:1" x14ac:dyDescent="0.25">
      <c r="A5084" s="125" t="s">
        <v>5149</v>
      </c>
    </row>
    <row r="5085" spans="1:1" x14ac:dyDescent="0.25">
      <c r="A5085" s="124" t="s">
        <v>5150</v>
      </c>
    </row>
    <row r="5086" spans="1:1" x14ac:dyDescent="0.25">
      <c r="A5086" t="s">
        <v>5151</v>
      </c>
    </row>
    <row r="5087" spans="1:1" x14ac:dyDescent="0.25">
      <c r="A5087" s="125" t="s">
        <v>5152</v>
      </c>
    </row>
    <row r="5088" spans="1:1" x14ac:dyDescent="0.25">
      <c r="A5088" s="125" t="s">
        <v>5153</v>
      </c>
    </row>
    <row r="5089" spans="1:1" x14ac:dyDescent="0.25">
      <c r="A5089" s="124" t="s">
        <v>5154</v>
      </c>
    </row>
    <row r="5090" spans="1:1" x14ac:dyDescent="0.25">
      <c r="A5090" t="s">
        <v>5155</v>
      </c>
    </row>
    <row r="5091" spans="1:1" x14ac:dyDescent="0.25">
      <c r="A5091" s="125" t="s">
        <v>5156</v>
      </c>
    </row>
    <row r="5092" spans="1:1" x14ac:dyDescent="0.25">
      <c r="A5092" s="124" t="s">
        <v>5157</v>
      </c>
    </row>
    <row r="5093" spans="1:1" x14ac:dyDescent="0.25">
      <c r="A5093" t="s">
        <v>5158</v>
      </c>
    </row>
    <row r="5094" spans="1:1" x14ac:dyDescent="0.25">
      <c r="A5094" s="125" t="s">
        <v>5159</v>
      </c>
    </row>
    <row r="5095" spans="1:1" x14ac:dyDescent="0.25">
      <c r="A5095" s="125" t="s">
        <v>5160</v>
      </c>
    </row>
    <row r="5096" spans="1:1" x14ac:dyDescent="0.25">
      <c r="A5096" s="124" t="s">
        <v>5161</v>
      </c>
    </row>
    <row r="5097" spans="1:1" x14ac:dyDescent="0.25">
      <c r="A5097" s="124" t="s">
        <v>5162</v>
      </c>
    </row>
    <row r="5098" spans="1:1" x14ac:dyDescent="0.25">
      <c r="A5098" t="s">
        <v>5163</v>
      </c>
    </row>
    <row r="5099" spans="1:1" x14ac:dyDescent="0.25">
      <c r="A5099" s="124" t="s">
        <v>5164</v>
      </c>
    </row>
    <row r="5100" spans="1:1" x14ac:dyDescent="0.25">
      <c r="A5100" s="124" t="s">
        <v>5165</v>
      </c>
    </row>
    <row r="5101" spans="1:1" x14ac:dyDescent="0.25">
      <c r="A5101" s="27" t="s">
        <v>5166</v>
      </c>
    </row>
    <row r="5102" spans="1:1" x14ac:dyDescent="0.25">
      <c r="A5102" s="125" t="s">
        <v>5167</v>
      </c>
    </row>
    <row r="5103" spans="1:1" x14ac:dyDescent="0.25">
      <c r="A5103" s="124" t="s">
        <v>5168</v>
      </c>
    </row>
    <row r="5104" spans="1:1" x14ac:dyDescent="0.25">
      <c r="A5104" t="s">
        <v>5169</v>
      </c>
    </row>
    <row r="5105" spans="1:1" x14ac:dyDescent="0.25">
      <c r="A5105" s="125" t="s">
        <v>5170</v>
      </c>
    </row>
    <row r="5106" spans="1:1" x14ac:dyDescent="0.25">
      <c r="A5106" s="125" t="s">
        <v>5171</v>
      </c>
    </row>
    <row r="5107" spans="1:1" x14ac:dyDescent="0.25">
      <c r="A5107" s="27" t="s">
        <v>5172</v>
      </c>
    </row>
    <row r="5108" spans="1:1" x14ac:dyDescent="0.25">
      <c r="A5108" s="27" t="s">
        <v>5173</v>
      </c>
    </row>
    <row r="5109" spans="1:1" x14ac:dyDescent="0.25">
      <c r="A5109" s="27" t="s">
        <v>5174</v>
      </c>
    </row>
    <row r="5110" spans="1:1" x14ac:dyDescent="0.25">
      <c r="A5110" t="s">
        <v>5175</v>
      </c>
    </row>
    <row r="5111" spans="1:1" ht="255" x14ac:dyDescent="0.25">
      <c r="A5111" s="126" t="s">
        <v>5176</v>
      </c>
    </row>
    <row r="5112" spans="1:1" ht="270" x14ac:dyDescent="0.25">
      <c r="A5112" s="126" t="s">
        <v>5177</v>
      </c>
    </row>
    <row r="5113" spans="1:1" x14ac:dyDescent="0.25">
      <c r="A5113" s="124" t="s">
        <v>5178</v>
      </c>
    </row>
    <row r="5114" spans="1:1" x14ac:dyDescent="0.25">
      <c r="A5114" t="s">
        <v>5179</v>
      </c>
    </row>
    <row r="5115" spans="1:1" x14ac:dyDescent="0.25">
      <c r="A5115" s="125" t="s">
        <v>5180</v>
      </c>
    </row>
    <row r="5116" spans="1:1" x14ac:dyDescent="0.25">
      <c r="A5116" s="124" t="s">
        <v>5181</v>
      </c>
    </row>
    <row r="5117" spans="1:1" x14ac:dyDescent="0.25">
      <c r="A5117" t="s">
        <v>5182</v>
      </c>
    </row>
    <row r="5118" spans="1:1" x14ac:dyDescent="0.25">
      <c r="A5118" s="125" t="s">
        <v>5183</v>
      </c>
    </row>
    <row r="5119" spans="1:1" x14ac:dyDescent="0.25">
      <c r="A5119" s="125" t="s">
        <v>5184</v>
      </c>
    </row>
    <row r="5120" spans="1:1" x14ac:dyDescent="0.25">
      <c r="A5120" t="s">
        <v>5185</v>
      </c>
    </row>
    <row r="5121" spans="1:1" x14ac:dyDescent="0.25">
      <c r="A5121" t="s">
        <v>5186</v>
      </c>
    </row>
    <row r="5122" spans="1:1" x14ac:dyDescent="0.25">
      <c r="A5122" t="s">
        <v>5187</v>
      </c>
    </row>
    <row r="5123" spans="1:1" x14ac:dyDescent="0.25">
      <c r="A5123" t="s">
        <v>5188</v>
      </c>
    </row>
    <row r="5124" spans="1:1" x14ac:dyDescent="0.25">
      <c r="A5124" t="s">
        <v>5189</v>
      </c>
    </row>
    <row r="5125" spans="1:1" x14ac:dyDescent="0.25">
      <c r="A5125" t="s">
        <v>5190</v>
      </c>
    </row>
    <row r="5126" spans="1:1" x14ac:dyDescent="0.25">
      <c r="A5126" t="s">
        <v>5191</v>
      </c>
    </row>
    <row r="5127" spans="1:1" x14ac:dyDescent="0.25">
      <c r="A5127" t="s">
        <v>5192</v>
      </c>
    </row>
    <row r="5128" spans="1:1" x14ac:dyDescent="0.25">
      <c r="A5128" t="s">
        <v>5193</v>
      </c>
    </row>
    <row r="5129" spans="1:1" x14ac:dyDescent="0.25">
      <c r="A5129" t="s">
        <v>5194</v>
      </c>
    </row>
    <row r="5130" spans="1:1" x14ac:dyDescent="0.25">
      <c r="A5130" s="124" t="s">
        <v>5195</v>
      </c>
    </row>
    <row r="5131" spans="1:1" x14ac:dyDescent="0.25">
      <c r="A5131" t="s">
        <v>5196</v>
      </c>
    </row>
    <row r="5132" spans="1:1" x14ac:dyDescent="0.25">
      <c r="A5132" s="125" t="s">
        <v>5197</v>
      </c>
    </row>
    <row r="5133" spans="1:1" x14ac:dyDescent="0.25">
      <c r="A5133" s="124" t="s">
        <v>5198</v>
      </c>
    </row>
    <row r="5134" spans="1:1" x14ac:dyDescent="0.25">
      <c r="A5134" t="s">
        <v>5199</v>
      </c>
    </row>
    <row r="5135" spans="1:1" x14ac:dyDescent="0.25">
      <c r="A5135" s="125" t="s">
        <v>5200</v>
      </c>
    </row>
    <row r="5136" spans="1:1" x14ac:dyDescent="0.25">
      <c r="A5136" s="125" t="s">
        <v>5201</v>
      </c>
    </row>
    <row r="5137" spans="1:1" x14ac:dyDescent="0.25">
      <c r="A5137" s="124" t="s">
        <v>5202</v>
      </c>
    </row>
    <row r="5138" spans="1:1" x14ac:dyDescent="0.25">
      <c r="A5138" t="s">
        <v>5203</v>
      </c>
    </row>
    <row r="5139" spans="1:1" x14ac:dyDescent="0.25">
      <c r="A5139" s="124" t="s">
        <v>5204</v>
      </c>
    </row>
    <row r="5140" spans="1:1" x14ac:dyDescent="0.25">
      <c r="A5140" s="27" t="s">
        <v>5205</v>
      </c>
    </row>
    <row r="5141" spans="1:1" x14ac:dyDescent="0.25">
      <c r="A5141" s="124" t="s">
        <v>5206</v>
      </c>
    </row>
    <row r="5142" spans="1:1" x14ac:dyDescent="0.25">
      <c r="A5142" s="124" t="s">
        <v>5207</v>
      </c>
    </row>
    <row r="5143" spans="1:1" x14ac:dyDescent="0.25">
      <c r="A5143" t="s">
        <v>5208</v>
      </c>
    </row>
    <row r="5144" spans="1:1" x14ac:dyDescent="0.25">
      <c r="A5144" s="124" t="s">
        <v>5209</v>
      </c>
    </row>
    <row r="5145" spans="1:1" x14ac:dyDescent="0.25">
      <c r="A5145" s="124" t="s">
        <v>5210</v>
      </c>
    </row>
    <row r="5146" spans="1:1" x14ac:dyDescent="0.25">
      <c r="A5146" s="124" t="s">
        <v>5211</v>
      </c>
    </row>
    <row r="5147" spans="1:1" ht="255" x14ac:dyDescent="0.25">
      <c r="A5147" s="126" t="s">
        <v>5212</v>
      </c>
    </row>
    <row r="5148" spans="1:1" ht="270" x14ac:dyDescent="0.25">
      <c r="A5148" s="126" t="s">
        <v>5213</v>
      </c>
    </row>
    <row r="5149" spans="1:1" x14ac:dyDescent="0.25">
      <c r="A5149" s="124" t="s">
        <v>5214</v>
      </c>
    </row>
    <row r="5150" spans="1:1" x14ac:dyDescent="0.25">
      <c r="A5150" t="s">
        <v>5215</v>
      </c>
    </row>
    <row r="5151" spans="1:1" x14ac:dyDescent="0.25">
      <c r="A5151" s="125" t="s">
        <v>5216</v>
      </c>
    </row>
    <row r="5152" spans="1:1" x14ac:dyDescent="0.25">
      <c r="A5152" s="124" t="s">
        <v>5217</v>
      </c>
    </row>
    <row r="5153" spans="1:1" x14ac:dyDescent="0.25">
      <c r="A5153" t="s">
        <v>5218</v>
      </c>
    </row>
    <row r="5154" spans="1:1" x14ac:dyDescent="0.25">
      <c r="A5154" s="125" t="s">
        <v>5219</v>
      </c>
    </row>
    <row r="5155" spans="1:1" x14ac:dyDescent="0.25">
      <c r="A5155" s="125" t="s">
        <v>5220</v>
      </c>
    </row>
    <row r="5156" spans="1:1" x14ac:dyDescent="0.25">
      <c r="A5156" s="124" t="s">
        <v>5221</v>
      </c>
    </row>
    <row r="5157" spans="1:1" x14ac:dyDescent="0.25">
      <c r="A5157" t="s">
        <v>5222</v>
      </c>
    </row>
    <row r="5158" spans="1:1" x14ac:dyDescent="0.25">
      <c r="A5158" s="125" t="s">
        <v>5223</v>
      </c>
    </row>
    <row r="5159" spans="1:1" x14ac:dyDescent="0.25">
      <c r="A5159" s="124" t="s">
        <v>5224</v>
      </c>
    </row>
    <row r="5160" spans="1:1" x14ac:dyDescent="0.25">
      <c r="A5160" t="s">
        <v>5225</v>
      </c>
    </row>
    <row r="5161" spans="1:1" x14ac:dyDescent="0.25">
      <c r="A5161" s="125" t="s">
        <v>5226</v>
      </c>
    </row>
    <row r="5162" spans="1:1" x14ac:dyDescent="0.25">
      <c r="A5162" s="125" t="s">
        <v>5227</v>
      </c>
    </row>
    <row r="5163" spans="1:1" x14ac:dyDescent="0.25">
      <c r="A5163" s="124" t="s">
        <v>5228</v>
      </c>
    </row>
    <row r="5164" spans="1:1" x14ac:dyDescent="0.25">
      <c r="A5164" t="s">
        <v>5229</v>
      </c>
    </row>
    <row r="5165" spans="1:1" x14ac:dyDescent="0.25">
      <c r="A5165" t="s">
        <v>5230</v>
      </c>
    </row>
    <row r="5166" spans="1:1" x14ac:dyDescent="0.25">
      <c r="A5166" t="s">
        <v>5231</v>
      </c>
    </row>
    <row r="5167" spans="1:1" x14ac:dyDescent="0.25">
      <c r="A5167" t="s">
        <v>5232</v>
      </c>
    </row>
    <row r="5168" spans="1:1" x14ac:dyDescent="0.25">
      <c r="A5168" t="s">
        <v>5233</v>
      </c>
    </row>
    <row r="5169" spans="1:1" x14ac:dyDescent="0.25">
      <c r="A5169" s="124" t="s">
        <v>5234</v>
      </c>
    </row>
    <row r="5170" spans="1:1" x14ac:dyDescent="0.25">
      <c r="A5170" t="s">
        <v>5235</v>
      </c>
    </row>
    <row r="5171" spans="1:1" x14ac:dyDescent="0.25">
      <c r="A5171" t="s">
        <v>5236</v>
      </c>
    </row>
    <row r="5172" spans="1:1" x14ac:dyDescent="0.25">
      <c r="A5172" t="s">
        <v>5237</v>
      </c>
    </row>
    <row r="5173" spans="1:1" x14ac:dyDescent="0.25">
      <c r="A5173" s="124" t="s">
        <v>5238</v>
      </c>
    </row>
    <row r="5174" spans="1:1" x14ac:dyDescent="0.25">
      <c r="A5174" s="27" t="s">
        <v>5239</v>
      </c>
    </row>
    <row r="5175" spans="1:1" x14ac:dyDescent="0.25">
      <c r="A5175" s="125" t="s">
        <v>5240</v>
      </c>
    </row>
    <row r="5176" spans="1:1" x14ac:dyDescent="0.25">
      <c r="A5176" s="124" t="s">
        <v>5241</v>
      </c>
    </row>
    <row r="5177" spans="1:1" x14ac:dyDescent="0.25">
      <c r="A5177" t="s">
        <v>5242</v>
      </c>
    </row>
    <row r="5178" spans="1:1" x14ac:dyDescent="0.25">
      <c r="A5178" s="125" t="s">
        <v>5243</v>
      </c>
    </row>
    <row r="5179" spans="1:1" x14ac:dyDescent="0.25">
      <c r="A5179" s="125" t="s">
        <v>5244</v>
      </c>
    </row>
    <row r="5180" spans="1:1" x14ac:dyDescent="0.25">
      <c r="A5180" s="27" t="s">
        <v>5245</v>
      </c>
    </row>
    <row r="5181" spans="1:1" x14ac:dyDescent="0.25">
      <c r="A5181" s="27" t="s">
        <v>5246</v>
      </c>
    </row>
    <row r="5182" spans="1:1" x14ac:dyDescent="0.25">
      <c r="A5182" s="27" t="s">
        <v>5247</v>
      </c>
    </row>
    <row r="5183" spans="1:1" x14ac:dyDescent="0.25">
      <c r="A5183" t="s">
        <v>5248</v>
      </c>
    </row>
    <row r="5184" spans="1:1" ht="255" x14ac:dyDescent="0.25">
      <c r="A5184" s="126" t="s">
        <v>5249</v>
      </c>
    </row>
    <row r="5185" spans="1:1" ht="270" x14ac:dyDescent="0.25">
      <c r="A5185" s="126" t="s">
        <v>5250</v>
      </c>
    </row>
    <row r="5186" spans="1:1" x14ac:dyDescent="0.25">
      <c r="A5186" s="124" t="s">
        <v>5251</v>
      </c>
    </row>
    <row r="5187" spans="1:1" x14ac:dyDescent="0.25">
      <c r="A5187" t="s">
        <v>5252</v>
      </c>
    </row>
    <row r="5188" spans="1:1" x14ac:dyDescent="0.25">
      <c r="A5188" t="s">
        <v>5253</v>
      </c>
    </row>
    <row r="5189" spans="1:1" x14ac:dyDescent="0.25">
      <c r="A5189" t="s">
        <v>5254</v>
      </c>
    </row>
    <row r="5190" spans="1:1" x14ac:dyDescent="0.25">
      <c r="A5190" t="s">
        <v>5255</v>
      </c>
    </row>
    <row r="5191" spans="1:1" x14ac:dyDescent="0.25">
      <c r="A5191" t="s">
        <v>5256</v>
      </c>
    </row>
    <row r="5192" spans="1:1" x14ac:dyDescent="0.25">
      <c r="A5192" t="s">
        <v>5257</v>
      </c>
    </row>
    <row r="5193" spans="1:1" x14ac:dyDescent="0.25">
      <c r="A5193" t="s">
        <v>5258</v>
      </c>
    </row>
    <row r="5194" spans="1:1" x14ac:dyDescent="0.25">
      <c r="A5194" t="s">
        <v>5259</v>
      </c>
    </row>
    <row r="5195" spans="1:1" x14ac:dyDescent="0.25">
      <c r="A5195" t="s">
        <v>5260</v>
      </c>
    </row>
    <row r="5196" spans="1:1" x14ac:dyDescent="0.25">
      <c r="A5196" t="s">
        <v>5261</v>
      </c>
    </row>
    <row r="5197" spans="1:1" x14ac:dyDescent="0.25">
      <c r="A5197" t="s">
        <v>5262</v>
      </c>
    </row>
    <row r="5198" spans="1:1" x14ac:dyDescent="0.25">
      <c r="A5198" t="s">
        <v>5263</v>
      </c>
    </row>
    <row r="5199" spans="1:1" x14ac:dyDescent="0.25">
      <c r="A5199" s="125" t="s">
        <v>5264</v>
      </c>
    </row>
    <row r="5200" spans="1:1" x14ac:dyDescent="0.25">
      <c r="A5200" s="124" t="s">
        <v>5265</v>
      </c>
    </row>
    <row r="5201" spans="1:1" x14ac:dyDescent="0.25">
      <c r="A5201" t="s">
        <v>5266</v>
      </c>
    </row>
    <row r="5202" spans="1:1" x14ac:dyDescent="0.25">
      <c r="A5202" s="125" t="s">
        <v>5267</v>
      </c>
    </row>
    <row r="5203" spans="1:1" x14ac:dyDescent="0.25">
      <c r="A5203" s="125" t="s">
        <v>5268</v>
      </c>
    </row>
    <row r="5204" spans="1:1" x14ac:dyDescent="0.25">
      <c r="A5204" s="125" t="s">
        <v>5269</v>
      </c>
    </row>
    <row r="5205" spans="1:1" x14ac:dyDescent="0.25">
      <c r="A5205" s="124" t="s">
        <v>5270</v>
      </c>
    </row>
    <row r="5206" spans="1:1" x14ac:dyDescent="0.25">
      <c r="A5206" t="s">
        <v>5271</v>
      </c>
    </row>
    <row r="5207" spans="1:1" x14ac:dyDescent="0.25">
      <c r="A5207" s="125" t="s">
        <v>5272</v>
      </c>
    </row>
    <row r="5208" spans="1:1" x14ac:dyDescent="0.25">
      <c r="A5208" s="125" t="s">
        <v>5273</v>
      </c>
    </row>
    <row r="5209" spans="1:1" x14ac:dyDescent="0.25">
      <c r="A5209" s="27" t="s">
        <v>5274</v>
      </c>
    </row>
    <row r="5210" spans="1:1" x14ac:dyDescent="0.25">
      <c r="A5210" s="27" t="s">
        <v>5275</v>
      </c>
    </row>
    <row r="5211" spans="1:1" x14ac:dyDescent="0.25">
      <c r="A5211" s="27" t="s">
        <v>5276</v>
      </c>
    </row>
    <row r="5212" spans="1:1" x14ac:dyDescent="0.25">
      <c r="A5212" t="s">
        <v>5277</v>
      </c>
    </row>
    <row r="5213" spans="1:1" x14ac:dyDescent="0.25">
      <c r="A5213" s="124" t="s">
        <v>5278</v>
      </c>
    </row>
    <row r="5214" spans="1:1" x14ac:dyDescent="0.25">
      <c r="A5214" t="s">
        <v>5279</v>
      </c>
    </row>
    <row r="5215" spans="1:1" x14ac:dyDescent="0.25">
      <c r="A5215" s="125" t="s">
        <v>5280</v>
      </c>
    </row>
    <row r="5216" spans="1:1" x14ac:dyDescent="0.25">
      <c r="A5216" s="124" t="s">
        <v>5281</v>
      </c>
    </row>
    <row r="5217" spans="1:1" x14ac:dyDescent="0.25">
      <c r="A5217" t="s">
        <v>5282</v>
      </c>
    </row>
    <row r="5218" spans="1:1" x14ac:dyDescent="0.25">
      <c r="A5218" s="125" t="s">
        <v>5283</v>
      </c>
    </row>
    <row r="5219" spans="1:1" x14ac:dyDescent="0.25">
      <c r="A5219" s="125" t="s">
        <v>5284</v>
      </c>
    </row>
    <row r="5220" spans="1:1" x14ac:dyDescent="0.25">
      <c r="A5220" s="124" t="s">
        <v>5285</v>
      </c>
    </row>
    <row r="5221" spans="1:1" x14ac:dyDescent="0.25">
      <c r="A5221" t="s">
        <v>5286</v>
      </c>
    </row>
    <row r="5222" spans="1:1" x14ac:dyDescent="0.25">
      <c r="A5222" s="124" t="s">
        <v>5287</v>
      </c>
    </row>
    <row r="5223" spans="1:1" x14ac:dyDescent="0.25">
      <c r="A5223" s="124" t="s">
        <v>5288</v>
      </c>
    </row>
    <row r="5224" spans="1:1" x14ac:dyDescent="0.25">
      <c r="A5224" s="124" t="s">
        <v>5289</v>
      </c>
    </row>
    <row r="5225" spans="1:1" x14ac:dyDescent="0.25">
      <c r="A5225" s="124" t="s">
        <v>5290</v>
      </c>
    </row>
    <row r="5226" spans="1:1" x14ac:dyDescent="0.25">
      <c r="A5226" s="124" t="s">
        <v>5291</v>
      </c>
    </row>
    <row r="5227" spans="1:1" x14ac:dyDescent="0.25">
      <c r="A5227" s="124" t="s">
        <v>5292</v>
      </c>
    </row>
    <row r="5228" spans="1:1" x14ac:dyDescent="0.25">
      <c r="A5228" s="27" t="s">
        <v>5293</v>
      </c>
    </row>
    <row r="5229" spans="1:1" ht="255" x14ac:dyDescent="0.25">
      <c r="A5229" s="126" t="s">
        <v>5294</v>
      </c>
    </row>
    <row r="5230" spans="1:1" ht="270" x14ac:dyDescent="0.25">
      <c r="A5230" s="126" t="s">
        <v>5295</v>
      </c>
    </row>
    <row r="5231" spans="1:1" x14ac:dyDescent="0.25">
      <c r="A5231" s="124" t="s">
        <v>5296</v>
      </c>
    </row>
    <row r="5232" spans="1:1" x14ac:dyDescent="0.25">
      <c r="A5232" t="s">
        <v>5297</v>
      </c>
    </row>
    <row r="5233" spans="1:1" x14ac:dyDescent="0.25">
      <c r="A5233" s="125" t="s">
        <v>5298</v>
      </c>
    </row>
    <row r="5234" spans="1:1" x14ac:dyDescent="0.25">
      <c r="A5234" s="124" t="s">
        <v>5299</v>
      </c>
    </row>
    <row r="5235" spans="1:1" x14ac:dyDescent="0.25">
      <c r="A5235" t="s">
        <v>5300</v>
      </c>
    </row>
    <row r="5236" spans="1:1" x14ac:dyDescent="0.25">
      <c r="A5236" s="125" t="s">
        <v>5301</v>
      </c>
    </row>
    <row r="5237" spans="1:1" x14ac:dyDescent="0.25">
      <c r="A5237" s="125" t="s">
        <v>5302</v>
      </c>
    </row>
    <row r="5238" spans="1:1" x14ac:dyDescent="0.25">
      <c r="A5238" s="124" t="s">
        <v>5303</v>
      </c>
    </row>
    <row r="5239" spans="1:1" x14ac:dyDescent="0.25">
      <c r="A5239" t="s">
        <v>5304</v>
      </c>
    </row>
    <row r="5240" spans="1:1" x14ac:dyDescent="0.25">
      <c r="A5240" s="125" t="s">
        <v>5305</v>
      </c>
    </row>
    <row r="5241" spans="1:1" x14ac:dyDescent="0.25">
      <c r="A5241" s="124" t="s">
        <v>5306</v>
      </c>
    </row>
    <row r="5242" spans="1:1" x14ac:dyDescent="0.25">
      <c r="A5242" t="s">
        <v>5307</v>
      </c>
    </row>
    <row r="5243" spans="1:1" x14ac:dyDescent="0.25">
      <c r="A5243" s="125" t="s">
        <v>5308</v>
      </c>
    </row>
    <row r="5244" spans="1:1" x14ac:dyDescent="0.25">
      <c r="A5244" s="125" t="s">
        <v>5309</v>
      </c>
    </row>
    <row r="5245" spans="1:1" x14ac:dyDescent="0.25">
      <c r="A5245" s="124" t="s">
        <v>5310</v>
      </c>
    </row>
    <row r="5246" spans="1:1" x14ac:dyDescent="0.25">
      <c r="A5246" t="s">
        <v>5311</v>
      </c>
    </row>
    <row r="5247" spans="1:1" x14ac:dyDescent="0.25">
      <c r="A5247" s="124" t="s">
        <v>5312</v>
      </c>
    </row>
    <row r="5248" spans="1:1" x14ac:dyDescent="0.25">
      <c r="A5248" s="125" t="s">
        <v>5313</v>
      </c>
    </row>
    <row r="5249" spans="1:1" x14ac:dyDescent="0.25">
      <c r="A5249" s="124" t="s">
        <v>5314</v>
      </c>
    </row>
    <row r="5250" spans="1:1" x14ac:dyDescent="0.25">
      <c r="A5250" t="s">
        <v>5315</v>
      </c>
    </row>
    <row r="5251" spans="1:1" x14ac:dyDescent="0.25">
      <c r="A5251" s="125" t="s">
        <v>5316</v>
      </c>
    </row>
    <row r="5252" spans="1:1" x14ac:dyDescent="0.25">
      <c r="A5252" s="125" t="s">
        <v>5317</v>
      </c>
    </row>
    <row r="5253" spans="1:1" x14ac:dyDescent="0.25">
      <c r="A5253" t="s">
        <v>5318</v>
      </c>
    </row>
    <row r="5254" spans="1:1" x14ac:dyDescent="0.25">
      <c r="A5254" t="s">
        <v>5319</v>
      </c>
    </row>
    <row r="5255" spans="1:1" x14ac:dyDescent="0.25">
      <c r="A5255" t="s">
        <v>5320</v>
      </c>
    </row>
    <row r="5256" spans="1:1" x14ac:dyDescent="0.25">
      <c r="A5256" t="s">
        <v>5321</v>
      </c>
    </row>
    <row r="5257" spans="1:1" x14ac:dyDescent="0.25">
      <c r="A5257" t="s">
        <v>5322</v>
      </c>
    </row>
    <row r="5258" spans="1:1" x14ac:dyDescent="0.25">
      <c r="A5258" s="27" t="s">
        <v>5323</v>
      </c>
    </row>
    <row r="5259" spans="1:1" x14ac:dyDescent="0.25">
      <c r="A5259" s="27" t="s">
        <v>5324</v>
      </c>
    </row>
    <row r="5260" spans="1:1" x14ac:dyDescent="0.25">
      <c r="A5260" s="27" t="s">
        <v>5325</v>
      </c>
    </row>
    <row r="5261" spans="1:1" x14ac:dyDescent="0.25">
      <c r="A5261" t="s">
        <v>5326</v>
      </c>
    </row>
    <row r="5262" spans="1:1" x14ac:dyDescent="0.25">
      <c r="A5262" s="27" t="s">
        <v>5327</v>
      </c>
    </row>
    <row r="5263" spans="1:1" ht="255" x14ac:dyDescent="0.25">
      <c r="A5263" s="126" t="s">
        <v>5328</v>
      </c>
    </row>
    <row r="5264" spans="1:1" ht="270" x14ac:dyDescent="0.25">
      <c r="A5264" s="126" t="s">
        <v>5329</v>
      </c>
    </row>
    <row r="5265" spans="1:1" x14ac:dyDescent="0.25">
      <c r="A5265" s="124" t="s">
        <v>5330</v>
      </c>
    </row>
    <row r="5266" spans="1:1" x14ac:dyDescent="0.25">
      <c r="A5266" t="s">
        <v>5331</v>
      </c>
    </row>
    <row r="5267" spans="1:1" x14ac:dyDescent="0.25">
      <c r="A5267" s="125" t="s">
        <v>5332</v>
      </c>
    </row>
    <row r="5268" spans="1:1" x14ac:dyDescent="0.25">
      <c r="A5268" s="124" t="s">
        <v>5333</v>
      </c>
    </row>
    <row r="5269" spans="1:1" x14ac:dyDescent="0.25">
      <c r="A5269" t="s">
        <v>5334</v>
      </c>
    </row>
    <row r="5270" spans="1:1" x14ac:dyDescent="0.25">
      <c r="A5270" s="125" t="s">
        <v>5335</v>
      </c>
    </row>
    <row r="5271" spans="1:1" x14ac:dyDescent="0.25">
      <c r="A5271" s="125" t="s">
        <v>5336</v>
      </c>
    </row>
    <row r="5272" spans="1:1" x14ac:dyDescent="0.25">
      <c r="A5272" s="124" t="s">
        <v>5337</v>
      </c>
    </row>
    <row r="5273" spans="1:1" x14ac:dyDescent="0.25">
      <c r="A5273" t="s">
        <v>5338</v>
      </c>
    </row>
    <row r="5274" spans="1:1" x14ac:dyDescent="0.25">
      <c r="A5274" s="125" t="s">
        <v>5339</v>
      </c>
    </row>
    <row r="5275" spans="1:1" x14ac:dyDescent="0.25">
      <c r="A5275" s="124" t="s">
        <v>5340</v>
      </c>
    </row>
    <row r="5276" spans="1:1" x14ac:dyDescent="0.25">
      <c r="A5276" t="s">
        <v>5341</v>
      </c>
    </row>
    <row r="5277" spans="1:1" x14ac:dyDescent="0.25">
      <c r="A5277" s="125" t="s">
        <v>5342</v>
      </c>
    </row>
    <row r="5278" spans="1:1" x14ac:dyDescent="0.25">
      <c r="A5278" s="125" t="s">
        <v>5343</v>
      </c>
    </row>
    <row r="5279" spans="1:1" x14ac:dyDescent="0.25">
      <c r="A5279" t="s">
        <v>5344</v>
      </c>
    </row>
    <row r="5280" spans="1:1" x14ac:dyDescent="0.25">
      <c r="A5280" t="s">
        <v>5345</v>
      </c>
    </row>
    <row r="5281" spans="1:1" x14ac:dyDescent="0.25">
      <c r="A5281" s="124" t="s">
        <v>5346</v>
      </c>
    </row>
    <row r="5282" spans="1:1" x14ac:dyDescent="0.25">
      <c r="A5282" s="124" t="s">
        <v>5347</v>
      </c>
    </row>
    <row r="5283" spans="1:1" x14ac:dyDescent="0.25">
      <c r="A5283" t="s">
        <v>5348</v>
      </c>
    </row>
    <row r="5284" spans="1:1" x14ac:dyDescent="0.25">
      <c r="A5284" s="124" t="s">
        <v>5349</v>
      </c>
    </row>
    <row r="5285" spans="1:1" x14ac:dyDescent="0.25">
      <c r="A5285" s="27" t="s">
        <v>5350</v>
      </c>
    </row>
    <row r="5286" spans="1:1" x14ac:dyDescent="0.25">
      <c r="A5286" s="125" t="s">
        <v>5351</v>
      </c>
    </row>
    <row r="5287" spans="1:1" x14ac:dyDescent="0.25">
      <c r="A5287" s="124" t="s">
        <v>5352</v>
      </c>
    </row>
    <row r="5288" spans="1:1" x14ac:dyDescent="0.25">
      <c r="A5288" t="s">
        <v>5353</v>
      </c>
    </row>
    <row r="5289" spans="1:1" x14ac:dyDescent="0.25">
      <c r="A5289" s="125" t="s">
        <v>5354</v>
      </c>
    </row>
    <row r="5290" spans="1:1" x14ac:dyDescent="0.25">
      <c r="A5290" s="125" t="s">
        <v>5355</v>
      </c>
    </row>
    <row r="5291" spans="1:1" x14ac:dyDescent="0.25">
      <c r="A5291" s="27" t="s">
        <v>5356</v>
      </c>
    </row>
    <row r="5292" spans="1:1" x14ac:dyDescent="0.25">
      <c r="A5292" s="27" t="s">
        <v>5357</v>
      </c>
    </row>
    <row r="5293" spans="1:1" x14ac:dyDescent="0.25">
      <c r="A5293" s="27" t="s">
        <v>5358</v>
      </c>
    </row>
    <row r="5294" spans="1:1" x14ac:dyDescent="0.25">
      <c r="A5294" t="s">
        <v>5359</v>
      </c>
    </row>
    <row r="5295" spans="1:1" ht="255" x14ac:dyDescent="0.25">
      <c r="A5295" s="126" t="s">
        <v>5360</v>
      </c>
    </row>
    <row r="5296" spans="1:1" ht="270" x14ac:dyDescent="0.25">
      <c r="A5296" s="126" t="s">
        <v>5361</v>
      </c>
    </row>
    <row r="5297" spans="1:1" x14ac:dyDescent="0.25">
      <c r="A5297" s="124" t="s">
        <v>5362</v>
      </c>
    </row>
    <row r="5298" spans="1:1" x14ac:dyDescent="0.25">
      <c r="A5298" t="s">
        <v>5363</v>
      </c>
    </row>
    <row r="5299" spans="1:1" x14ac:dyDescent="0.25">
      <c r="A5299" s="125" t="s">
        <v>5364</v>
      </c>
    </row>
    <row r="5300" spans="1:1" x14ac:dyDescent="0.25">
      <c r="A5300" s="124" t="s">
        <v>5365</v>
      </c>
    </row>
    <row r="5301" spans="1:1" x14ac:dyDescent="0.25">
      <c r="A5301" t="s">
        <v>5366</v>
      </c>
    </row>
    <row r="5302" spans="1:1" x14ac:dyDescent="0.25">
      <c r="A5302" s="125" t="s">
        <v>5367</v>
      </c>
    </row>
    <row r="5303" spans="1:1" x14ac:dyDescent="0.25">
      <c r="A5303" s="125" t="s">
        <v>5368</v>
      </c>
    </row>
    <row r="5304" spans="1:1" x14ac:dyDescent="0.25">
      <c r="A5304" s="124" t="s">
        <v>5369</v>
      </c>
    </row>
    <row r="5305" spans="1:1" x14ac:dyDescent="0.25">
      <c r="A5305" t="s">
        <v>5370</v>
      </c>
    </row>
    <row r="5306" spans="1:1" x14ac:dyDescent="0.25">
      <c r="A5306" s="125" t="s">
        <v>5371</v>
      </c>
    </row>
    <row r="5307" spans="1:1" x14ac:dyDescent="0.25">
      <c r="A5307" s="124" t="s">
        <v>5372</v>
      </c>
    </row>
    <row r="5308" spans="1:1" x14ac:dyDescent="0.25">
      <c r="A5308" t="s">
        <v>5373</v>
      </c>
    </row>
    <row r="5309" spans="1:1" x14ac:dyDescent="0.25">
      <c r="A5309" s="125" t="s">
        <v>5374</v>
      </c>
    </row>
    <row r="5310" spans="1:1" x14ac:dyDescent="0.25">
      <c r="A5310" s="125" t="s">
        <v>5375</v>
      </c>
    </row>
    <row r="5311" spans="1:1" x14ac:dyDescent="0.25">
      <c r="A5311" s="124" t="s">
        <v>5376</v>
      </c>
    </row>
    <row r="5312" spans="1:1" x14ac:dyDescent="0.25">
      <c r="A5312" s="124" t="s">
        <v>5377</v>
      </c>
    </row>
    <row r="5313" spans="1:1" x14ac:dyDescent="0.25">
      <c r="A5313" t="s">
        <v>5378</v>
      </c>
    </row>
    <row r="5314" spans="1:1" x14ac:dyDescent="0.25">
      <c r="A5314" s="124" t="s">
        <v>5379</v>
      </c>
    </row>
    <row r="5315" spans="1:1" x14ac:dyDescent="0.25">
      <c r="A5315" s="27" t="s">
        <v>5380</v>
      </c>
    </row>
    <row r="5316" spans="1:1" x14ac:dyDescent="0.25">
      <c r="A5316" s="125" t="s">
        <v>5381</v>
      </c>
    </row>
    <row r="5317" spans="1:1" x14ac:dyDescent="0.25">
      <c r="A5317" s="124" t="s">
        <v>5382</v>
      </c>
    </row>
    <row r="5318" spans="1:1" x14ac:dyDescent="0.25">
      <c r="A5318" t="s">
        <v>5383</v>
      </c>
    </row>
    <row r="5319" spans="1:1" x14ac:dyDescent="0.25">
      <c r="A5319" s="125" t="s">
        <v>5384</v>
      </c>
    </row>
    <row r="5320" spans="1:1" x14ac:dyDescent="0.25">
      <c r="A5320" s="125" t="s">
        <v>5385</v>
      </c>
    </row>
    <row r="5321" spans="1:1" x14ac:dyDescent="0.25">
      <c r="A5321" s="27" t="s">
        <v>5386</v>
      </c>
    </row>
    <row r="5322" spans="1:1" x14ac:dyDescent="0.25">
      <c r="A5322" s="27" t="s">
        <v>5387</v>
      </c>
    </row>
    <row r="5323" spans="1:1" x14ac:dyDescent="0.25">
      <c r="A5323" s="27" t="s">
        <v>5388</v>
      </c>
    </row>
    <row r="5324" spans="1:1" x14ac:dyDescent="0.25">
      <c r="A5324" t="s">
        <v>5389</v>
      </c>
    </row>
    <row r="5325" spans="1:1" x14ac:dyDescent="0.25">
      <c r="A5325" t="s">
        <v>5390</v>
      </c>
    </row>
    <row r="5326" spans="1:1" x14ac:dyDescent="0.25">
      <c r="A5326" t="s">
        <v>5391</v>
      </c>
    </row>
    <row r="5327" spans="1:1" x14ac:dyDescent="0.25">
      <c r="A5327" t="s">
        <v>5392</v>
      </c>
    </row>
    <row r="5328" spans="1:1" x14ac:dyDescent="0.25">
      <c r="A5328" t="s">
        <v>5393</v>
      </c>
    </row>
    <row r="5329" spans="1:1" x14ac:dyDescent="0.25">
      <c r="A5329" t="s">
        <v>5394</v>
      </c>
    </row>
    <row r="5330" spans="1:1" ht="255" x14ac:dyDescent="0.25">
      <c r="A5330" s="126" t="s">
        <v>5395</v>
      </c>
    </row>
    <row r="5331" spans="1:1" ht="270" x14ac:dyDescent="0.25">
      <c r="A5331" s="126" t="s">
        <v>5396</v>
      </c>
    </row>
    <row r="5332" spans="1:1" x14ac:dyDescent="0.25">
      <c r="A5332" s="124" t="s">
        <v>5397</v>
      </c>
    </row>
    <row r="5333" spans="1:1" x14ac:dyDescent="0.25">
      <c r="A5333" t="s">
        <v>5398</v>
      </c>
    </row>
    <row r="5334" spans="1:1" x14ac:dyDescent="0.25">
      <c r="A5334" s="125" t="s">
        <v>5399</v>
      </c>
    </row>
    <row r="5335" spans="1:1" x14ac:dyDescent="0.25">
      <c r="A5335" s="124" t="s">
        <v>5400</v>
      </c>
    </row>
    <row r="5336" spans="1:1" x14ac:dyDescent="0.25">
      <c r="A5336" t="s">
        <v>5401</v>
      </c>
    </row>
    <row r="5337" spans="1:1" x14ac:dyDescent="0.25">
      <c r="A5337" s="125" t="s">
        <v>5402</v>
      </c>
    </row>
    <row r="5338" spans="1:1" x14ac:dyDescent="0.25">
      <c r="A5338" s="125" t="s">
        <v>5403</v>
      </c>
    </row>
    <row r="5339" spans="1:1" x14ac:dyDescent="0.25">
      <c r="A5339" s="124" t="s">
        <v>5404</v>
      </c>
    </row>
    <row r="5340" spans="1:1" x14ac:dyDescent="0.25">
      <c r="A5340" t="s">
        <v>5405</v>
      </c>
    </row>
    <row r="5341" spans="1:1" x14ac:dyDescent="0.25">
      <c r="A5341" s="125" t="s">
        <v>5406</v>
      </c>
    </row>
    <row r="5342" spans="1:1" x14ac:dyDescent="0.25">
      <c r="A5342" s="124" t="s">
        <v>5407</v>
      </c>
    </row>
    <row r="5343" spans="1:1" x14ac:dyDescent="0.25">
      <c r="A5343" t="s">
        <v>5408</v>
      </c>
    </row>
    <row r="5344" spans="1:1" x14ac:dyDescent="0.25">
      <c r="A5344" s="125" t="s">
        <v>5409</v>
      </c>
    </row>
    <row r="5345" spans="1:1" x14ac:dyDescent="0.25">
      <c r="A5345" s="125" t="s">
        <v>5410</v>
      </c>
    </row>
    <row r="5346" spans="1:1" x14ac:dyDescent="0.25">
      <c r="A5346" s="124" t="s">
        <v>5411</v>
      </c>
    </row>
    <row r="5347" spans="1:1" x14ac:dyDescent="0.25">
      <c r="A5347" s="124" t="s">
        <v>5412</v>
      </c>
    </row>
    <row r="5348" spans="1:1" x14ac:dyDescent="0.25">
      <c r="A5348" t="s">
        <v>5413</v>
      </c>
    </row>
    <row r="5349" spans="1:1" x14ac:dyDescent="0.25">
      <c r="A5349" s="124" t="s">
        <v>5414</v>
      </c>
    </row>
    <row r="5350" spans="1:1" x14ac:dyDescent="0.25">
      <c r="A5350" s="27" t="s">
        <v>5415</v>
      </c>
    </row>
    <row r="5351" spans="1:1" x14ac:dyDescent="0.25">
      <c r="A5351" s="125" t="s">
        <v>5416</v>
      </c>
    </row>
    <row r="5352" spans="1:1" x14ac:dyDescent="0.25">
      <c r="A5352" s="124" t="s">
        <v>5417</v>
      </c>
    </row>
    <row r="5353" spans="1:1" x14ac:dyDescent="0.25">
      <c r="A5353" t="s">
        <v>5418</v>
      </c>
    </row>
    <row r="5354" spans="1:1" x14ac:dyDescent="0.25">
      <c r="A5354" s="125" t="s">
        <v>5419</v>
      </c>
    </row>
    <row r="5355" spans="1:1" x14ac:dyDescent="0.25">
      <c r="A5355" s="125" t="s">
        <v>5420</v>
      </c>
    </row>
    <row r="5356" spans="1:1" x14ac:dyDescent="0.25">
      <c r="A5356" s="27" t="s">
        <v>5421</v>
      </c>
    </row>
    <row r="5357" spans="1:1" x14ac:dyDescent="0.25">
      <c r="A5357" s="27" t="s">
        <v>5422</v>
      </c>
    </row>
    <row r="5358" spans="1:1" x14ac:dyDescent="0.25">
      <c r="A5358" s="27" t="s">
        <v>5423</v>
      </c>
    </row>
    <row r="5359" spans="1:1" x14ac:dyDescent="0.25">
      <c r="A5359" t="s">
        <v>5424</v>
      </c>
    </row>
    <row r="5360" spans="1:1" ht="255" x14ac:dyDescent="0.25">
      <c r="A5360" s="126" t="s">
        <v>5425</v>
      </c>
    </row>
    <row r="5361" spans="1:1" ht="270" x14ac:dyDescent="0.25">
      <c r="A5361" s="126" t="s">
        <v>5426</v>
      </c>
    </row>
    <row r="5362" spans="1:1" x14ac:dyDescent="0.25">
      <c r="A5362" s="124" t="s">
        <v>5427</v>
      </c>
    </row>
    <row r="5363" spans="1:1" x14ac:dyDescent="0.25">
      <c r="A5363" t="s">
        <v>5428</v>
      </c>
    </row>
    <row r="5364" spans="1:1" x14ac:dyDescent="0.25">
      <c r="A5364" s="125" t="s">
        <v>5429</v>
      </c>
    </row>
    <row r="5365" spans="1:1" x14ac:dyDescent="0.25">
      <c r="A5365" s="124" t="s">
        <v>5430</v>
      </c>
    </row>
    <row r="5366" spans="1:1" x14ac:dyDescent="0.25">
      <c r="A5366" t="s">
        <v>5431</v>
      </c>
    </row>
    <row r="5367" spans="1:1" x14ac:dyDescent="0.25">
      <c r="A5367" s="125" t="s">
        <v>5432</v>
      </c>
    </row>
    <row r="5368" spans="1:1" x14ac:dyDescent="0.25">
      <c r="A5368" s="125" t="s">
        <v>5433</v>
      </c>
    </row>
    <row r="5369" spans="1:1" x14ac:dyDescent="0.25">
      <c r="A5369" s="124" t="s">
        <v>5434</v>
      </c>
    </row>
    <row r="5370" spans="1:1" x14ac:dyDescent="0.25">
      <c r="A5370" t="s">
        <v>5435</v>
      </c>
    </row>
    <row r="5371" spans="1:1" x14ac:dyDescent="0.25">
      <c r="A5371" s="125" t="s">
        <v>5436</v>
      </c>
    </row>
    <row r="5372" spans="1:1" x14ac:dyDescent="0.25">
      <c r="A5372" s="124" t="s">
        <v>5437</v>
      </c>
    </row>
    <row r="5373" spans="1:1" x14ac:dyDescent="0.25">
      <c r="A5373" t="s">
        <v>5438</v>
      </c>
    </row>
    <row r="5374" spans="1:1" x14ac:dyDescent="0.25">
      <c r="A5374" s="125" t="s">
        <v>5439</v>
      </c>
    </row>
    <row r="5375" spans="1:1" x14ac:dyDescent="0.25">
      <c r="A5375" s="125" t="s">
        <v>5440</v>
      </c>
    </row>
    <row r="5376" spans="1:1" x14ac:dyDescent="0.25">
      <c r="A5376" t="s">
        <v>5441</v>
      </c>
    </row>
    <row r="5377" spans="1:1" x14ac:dyDescent="0.25">
      <c r="A5377" t="s">
        <v>5442</v>
      </c>
    </row>
    <row r="5378" spans="1:1" x14ac:dyDescent="0.25">
      <c r="A5378" t="s">
        <v>5443</v>
      </c>
    </row>
    <row r="5379" spans="1:1" x14ac:dyDescent="0.25">
      <c r="A5379" t="s">
        <v>5444</v>
      </c>
    </row>
    <row r="5380" spans="1:1" x14ac:dyDescent="0.25">
      <c r="A5380" s="124" t="s">
        <v>5445</v>
      </c>
    </row>
    <row r="5381" spans="1:1" x14ac:dyDescent="0.25">
      <c r="A5381" s="124" t="s">
        <v>5446</v>
      </c>
    </row>
    <row r="5382" spans="1:1" x14ac:dyDescent="0.25">
      <c r="A5382" t="s">
        <v>5447</v>
      </c>
    </row>
    <row r="5383" spans="1:1" x14ac:dyDescent="0.25">
      <c r="A5383" s="124" t="s">
        <v>5448</v>
      </c>
    </row>
    <row r="5384" spans="1:1" x14ac:dyDescent="0.25">
      <c r="A5384" s="27" t="s">
        <v>5449</v>
      </c>
    </row>
    <row r="5385" spans="1:1" x14ac:dyDescent="0.25">
      <c r="A5385" t="s">
        <v>5450</v>
      </c>
    </row>
    <row r="5386" spans="1:1" x14ac:dyDescent="0.25">
      <c r="A5386" t="s">
        <v>5451</v>
      </c>
    </row>
    <row r="5387" spans="1:1" x14ac:dyDescent="0.25">
      <c r="A5387" t="s">
        <v>5452</v>
      </c>
    </row>
    <row r="5388" spans="1:1" x14ac:dyDescent="0.25">
      <c r="A5388" s="125" t="s">
        <v>5453</v>
      </c>
    </row>
    <row r="5389" spans="1:1" x14ac:dyDescent="0.25">
      <c r="A5389" s="124" t="s">
        <v>5454</v>
      </c>
    </row>
    <row r="5390" spans="1:1" x14ac:dyDescent="0.25">
      <c r="A5390" t="s">
        <v>5455</v>
      </c>
    </row>
    <row r="5391" spans="1:1" x14ac:dyDescent="0.25">
      <c r="A5391" s="125" t="s">
        <v>5456</v>
      </c>
    </row>
    <row r="5392" spans="1:1" x14ac:dyDescent="0.25">
      <c r="A5392" s="125" t="s">
        <v>5457</v>
      </c>
    </row>
    <row r="5393" spans="1:1" x14ac:dyDescent="0.25">
      <c r="A5393" s="27" t="s">
        <v>5458</v>
      </c>
    </row>
    <row r="5394" spans="1:1" x14ac:dyDescent="0.25">
      <c r="A5394" s="27" t="s">
        <v>5459</v>
      </c>
    </row>
    <row r="5395" spans="1:1" x14ac:dyDescent="0.25">
      <c r="A5395" s="27" t="s">
        <v>5460</v>
      </c>
    </row>
    <row r="5396" spans="1:1" x14ac:dyDescent="0.25">
      <c r="A5396" t="s">
        <v>5461</v>
      </c>
    </row>
    <row r="5561" spans="1:1" x14ac:dyDescent="0.25">
      <c r="A5561" t="s">
        <v>5462</v>
      </c>
    </row>
    <row r="5562" spans="1:1" x14ac:dyDescent="0.25">
      <c r="A5562" t="s">
        <v>5463</v>
      </c>
    </row>
    <row r="5563" spans="1:1" x14ac:dyDescent="0.25">
      <c r="A5563" t="s">
        <v>5464</v>
      </c>
    </row>
    <row r="5564" spans="1:1" x14ac:dyDescent="0.25">
      <c r="A5564" t="s">
        <v>5465</v>
      </c>
    </row>
    <row r="5565" spans="1:1" x14ac:dyDescent="0.25">
      <c r="A5565" t="s">
        <v>5466</v>
      </c>
    </row>
    <row r="5566" spans="1:1" x14ac:dyDescent="0.25">
      <c r="A5566" t="s">
        <v>5467</v>
      </c>
    </row>
    <row r="5567" spans="1:1" x14ac:dyDescent="0.25">
      <c r="A5567" t="s">
        <v>5468</v>
      </c>
    </row>
    <row r="5568" spans="1:1" x14ac:dyDescent="0.25">
      <c r="A5568" t="s">
        <v>5469</v>
      </c>
    </row>
    <row r="5569" spans="1:1" x14ac:dyDescent="0.25">
      <c r="A5569" s="124" t="s">
        <v>5470</v>
      </c>
    </row>
    <row r="5570" spans="1:1" x14ac:dyDescent="0.25">
      <c r="A5570" s="124" t="s">
        <v>5471</v>
      </c>
    </row>
    <row r="5571" spans="1:1" x14ac:dyDescent="0.25">
      <c r="A5571" t="s">
        <v>5472</v>
      </c>
    </row>
    <row r="5572" spans="1:1" x14ac:dyDescent="0.25">
      <c r="A5572" s="124" t="s">
        <v>5473</v>
      </c>
    </row>
    <row r="5573" spans="1:1" x14ac:dyDescent="0.25">
      <c r="A5573" s="27" t="s">
        <v>5474</v>
      </c>
    </row>
    <row r="5574" spans="1:1" x14ac:dyDescent="0.25">
      <c r="A5574" s="125" t="s">
        <v>5475</v>
      </c>
    </row>
    <row r="5575" spans="1:1" x14ac:dyDescent="0.25">
      <c r="A5575" s="124" t="s">
        <v>5476</v>
      </c>
    </row>
    <row r="5576" spans="1:1" x14ac:dyDescent="0.25">
      <c r="A5576" t="s">
        <v>5477</v>
      </c>
    </row>
    <row r="5577" spans="1:1" x14ac:dyDescent="0.25">
      <c r="A5577" s="125" t="s">
        <v>5478</v>
      </c>
    </row>
    <row r="5578" spans="1:1" x14ac:dyDescent="0.25">
      <c r="A5578" s="125" t="s">
        <v>5479</v>
      </c>
    </row>
    <row r="5579" spans="1:1" x14ac:dyDescent="0.25">
      <c r="A5579" s="27" t="s">
        <v>5480</v>
      </c>
    </row>
    <row r="5580" spans="1:1" x14ac:dyDescent="0.25">
      <c r="A5580" s="27" t="s">
        <v>5481</v>
      </c>
    </row>
    <row r="5581" spans="1:1" x14ac:dyDescent="0.25">
      <c r="A5581" s="27" t="s">
        <v>5482</v>
      </c>
    </row>
    <row r="5582" spans="1:1" x14ac:dyDescent="0.25">
      <c r="A5582" t="s">
        <v>5483</v>
      </c>
    </row>
    <row r="5583" spans="1:1" ht="255" x14ac:dyDescent="0.25">
      <c r="A5583" s="126" t="s">
        <v>5484</v>
      </c>
    </row>
    <row r="5584" spans="1:1" ht="270" x14ac:dyDescent="0.25">
      <c r="A5584" s="126" t="s">
        <v>5485</v>
      </c>
    </row>
    <row r="5585" spans="1:1" x14ac:dyDescent="0.25">
      <c r="A5585" s="124" t="s">
        <v>5486</v>
      </c>
    </row>
    <row r="5586" spans="1:1" x14ac:dyDescent="0.25">
      <c r="A5586" t="s">
        <v>5487</v>
      </c>
    </row>
    <row r="5587" spans="1:1" x14ac:dyDescent="0.25">
      <c r="A5587" s="125" t="s">
        <v>5488</v>
      </c>
    </row>
    <row r="5588" spans="1:1" x14ac:dyDescent="0.25">
      <c r="A5588" s="124" t="s">
        <v>5489</v>
      </c>
    </row>
    <row r="5589" spans="1:1" x14ac:dyDescent="0.25">
      <c r="A5589" t="s">
        <v>5490</v>
      </c>
    </row>
    <row r="5590" spans="1:1" x14ac:dyDescent="0.25">
      <c r="A5590" s="125" t="s">
        <v>5491</v>
      </c>
    </row>
    <row r="5591" spans="1:1" x14ac:dyDescent="0.25">
      <c r="A5591" s="125" t="s">
        <v>5492</v>
      </c>
    </row>
    <row r="5592" spans="1:1" x14ac:dyDescent="0.25">
      <c r="A5592" s="124" t="s">
        <v>5493</v>
      </c>
    </row>
    <row r="5593" spans="1:1" x14ac:dyDescent="0.25">
      <c r="A5593" t="s">
        <v>5494</v>
      </c>
    </row>
    <row r="5594" spans="1:1" x14ac:dyDescent="0.25">
      <c r="A5594" s="125" t="s">
        <v>5495</v>
      </c>
    </row>
    <row r="5595" spans="1:1" x14ac:dyDescent="0.25">
      <c r="A5595" s="124" t="s">
        <v>5496</v>
      </c>
    </row>
    <row r="5596" spans="1:1" x14ac:dyDescent="0.25">
      <c r="A5596" t="s">
        <v>5497</v>
      </c>
    </row>
    <row r="5597" spans="1:1" x14ac:dyDescent="0.25">
      <c r="A5597" s="125" t="s">
        <v>5498</v>
      </c>
    </row>
    <row r="5598" spans="1:1" x14ac:dyDescent="0.25">
      <c r="A5598" s="125" t="s">
        <v>5499</v>
      </c>
    </row>
    <row r="5599" spans="1:1" x14ac:dyDescent="0.25">
      <c r="A5599" s="124" t="s">
        <v>5500</v>
      </c>
    </row>
    <row r="5600" spans="1:1" x14ac:dyDescent="0.25">
      <c r="A5600" s="124" t="s">
        <v>5501</v>
      </c>
    </row>
    <row r="5601" spans="1:1" x14ac:dyDescent="0.25">
      <c r="A5601" t="s">
        <v>5502</v>
      </c>
    </row>
    <row r="5602" spans="1:1" x14ac:dyDescent="0.25">
      <c r="A5602" s="124" t="s">
        <v>5503</v>
      </c>
    </row>
    <row r="5603" spans="1:1" x14ac:dyDescent="0.25">
      <c r="A5603" s="27" t="s">
        <v>5504</v>
      </c>
    </row>
    <row r="5604" spans="1:1" x14ac:dyDescent="0.25">
      <c r="A5604" s="125" t="s">
        <v>5505</v>
      </c>
    </row>
    <row r="5605" spans="1:1" x14ac:dyDescent="0.25">
      <c r="A5605" s="124" t="s">
        <v>5506</v>
      </c>
    </row>
    <row r="5606" spans="1:1" x14ac:dyDescent="0.25">
      <c r="A5606" t="s">
        <v>5507</v>
      </c>
    </row>
    <row r="5607" spans="1:1" x14ac:dyDescent="0.25">
      <c r="A5607" s="125" t="s">
        <v>5508</v>
      </c>
    </row>
    <row r="5608" spans="1:1" x14ac:dyDescent="0.25">
      <c r="A5608" s="125" t="s">
        <v>5509</v>
      </c>
    </row>
    <row r="5609" spans="1:1" x14ac:dyDescent="0.25">
      <c r="A5609" s="27" t="s">
        <v>5510</v>
      </c>
    </row>
    <row r="5610" spans="1:1" x14ac:dyDescent="0.25">
      <c r="A5610" s="27" t="s">
        <v>5511</v>
      </c>
    </row>
    <row r="5611" spans="1:1" x14ac:dyDescent="0.25">
      <c r="A5611" s="27" t="s">
        <v>5512</v>
      </c>
    </row>
    <row r="5612" spans="1:1" x14ac:dyDescent="0.25">
      <c r="A5612" t="s">
        <v>5513</v>
      </c>
    </row>
    <row r="5613" spans="1:1" ht="255" x14ac:dyDescent="0.25">
      <c r="A5613" s="126" t="s">
        <v>5514</v>
      </c>
    </row>
    <row r="5614" spans="1:1" ht="270" x14ac:dyDescent="0.25">
      <c r="A5614" s="126" t="s">
        <v>5515</v>
      </c>
    </row>
    <row r="5615" spans="1:1" x14ac:dyDescent="0.25">
      <c r="A5615" s="124" t="s">
        <v>5516</v>
      </c>
    </row>
    <row r="5616" spans="1:1" x14ac:dyDescent="0.25">
      <c r="A5616" t="s">
        <v>5517</v>
      </c>
    </row>
    <row r="5617" spans="1:1" x14ac:dyDescent="0.25">
      <c r="A5617" s="125" t="s">
        <v>5518</v>
      </c>
    </row>
    <row r="5618" spans="1:1" x14ac:dyDescent="0.25">
      <c r="A5618" s="124" t="s">
        <v>5519</v>
      </c>
    </row>
    <row r="5619" spans="1:1" x14ac:dyDescent="0.25">
      <c r="A5619" t="s">
        <v>5520</v>
      </c>
    </row>
    <row r="5620" spans="1:1" x14ac:dyDescent="0.25">
      <c r="A5620" s="125" t="s">
        <v>5521</v>
      </c>
    </row>
    <row r="5621" spans="1:1" x14ac:dyDescent="0.25">
      <c r="A5621" s="125" t="s">
        <v>5522</v>
      </c>
    </row>
    <row r="5622" spans="1:1" x14ac:dyDescent="0.25">
      <c r="A5622" s="124" t="s">
        <v>5523</v>
      </c>
    </row>
    <row r="5623" spans="1:1" x14ac:dyDescent="0.25">
      <c r="A5623" t="s">
        <v>5524</v>
      </c>
    </row>
    <row r="5624" spans="1:1" x14ac:dyDescent="0.25">
      <c r="A5624" s="125" t="s">
        <v>5525</v>
      </c>
    </row>
    <row r="5625" spans="1:1" x14ac:dyDescent="0.25">
      <c r="A5625" s="124" t="s">
        <v>5526</v>
      </c>
    </row>
    <row r="5626" spans="1:1" x14ac:dyDescent="0.25">
      <c r="A5626" t="s">
        <v>5527</v>
      </c>
    </row>
    <row r="5627" spans="1:1" x14ac:dyDescent="0.25">
      <c r="A5627" s="125" t="s">
        <v>5528</v>
      </c>
    </row>
    <row r="5628" spans="1:1" x14ac:dyDescent="0.25">
      <c r="A5628" s="125" t="s">
        <v>5529</v>
      </c>
    </row>
    <row r="5629" spans="1:1" x14ac:dyDescent="0.25">
      <c r="A5629" t="s">
        <v>5530</v>
      </c>
    </row>
    <row r="5630" spans="1:1" x14ac:dyDescent="0.25">
      <c r="A5630" t="s">
        <v>5531</v>
      </c>
    </row>
    <row r="5631" spans="1:1" x14ac:dyDescent="0.25">
      <c r="A5631" t="s">
        <v>5532</v>
      </c>
    </row>
    <row r="5632" spans="1:1" x14ac:dyDescent="0.25">
      <c r="A5632" t="s">
        <v>5533</v>
      </c>
    </row>
    <row r="5633" spans="1:1" x14ac:dyDescent="0.25">
      <c r="A5633" t="s">
        <v>5534</v>
      </c>
    </row>
    <row r="5634" spans="1:1" x14ac:dyDescent="0.25">
      <c r="A5634" t="s">
        <v>5535</v>
      </c>
    </row>
    <row r="5635" spans="1:1" x14ac:dyDescent="0.25">
      <c r="A5635" t="s">
        <v>5536</v>
      </c>
    </row>
    <row r="5636" spans="1:1" x14ac:dyDescent="0.25">
      <c r="A5636" t="s">
        <v>5537</v>
      </c>
    </row>
    <row r="5637" spans="1:1" x14ac:dyDescent="0.25">
      <c r="A5637" s="124" t="s">
        <v>5538</v>
      </c>
    </row>
    <row r="5638" spans="1:1" x14ac:dyDescent="0.25">
      <c r="A5638" s="124" t="s">
        <v>5539</v>
      </c>
    </row>
    <row r="5639" spans="1:1" x14ac:dyDescent="0.25">
      <c r="A5639" t="s">
        <v>5540</v>
      </c>
    </row>
    <row r="5640" spans="1:1" x14ac:dyDescent="0.25">
      <c r="A5640" s="124" t="s">
        <v>5541</v>
      </c>
    </row>
    <row r="5641" spans="1:1" x14ac:dyDescent="0.25">
      <c r="A5641" s="27" t="s">
        <v>5542</v>
      </c>
    </row>
    <row r="5642" spans="1:1" x14ac:dyDescent="0.25">
      <c r="A5642" s="125" t="s">
        <v>5543</v>
      </c>
    </row>
    <row r="5643" spans="1:1" x14ac:dyDescent="0.25">
      <c r="A5643" s="124" t="s">
        <v>5544</v>
      </c>
    </row>
    <row r="5644" spans="1:1" x14ac:dyDescent="0.25">
      <c r="A5644" t="s">
        <v>5545</v>
      </c>
    </row>
    <row r="5645" spans="1:1" x14ac:dyDescent="0.25">
      <c r="A5645" s="125" t="s">
        <v>5546</v>
      </c>
    </row>
    <row r="5646" spans="1:1" x14ac:dyDescent="0.25">
      <c r="A5646" s="125" t="s">
        <v>5547</v>
      </c>
    </row>
    <row r="5647" spans="1:1" x14ac:dyDescent="0.25">
      <c r="A5647" s="27" t="s">
        <v>5548</v>
      </c>
    </row>
    <row r="5648" spans="1:1" x14ac:dyDescent="0.25">
      <c r="A5648" s="27" t="s">
        <v>5549</v>
      </c>
    </row>
    <row r="5649" spans="1:1" x14ac:dyDescent="0.25">
      <c r="A5649" s="27" t="s">
        <v>5550</v>
      </c>
    </row>
    <row r="5650" spans="1:1" x14ac:dyDescent="0.25">
      <c r="A5650" t="s">
        <v>5551</v>
      </c>
    </row>
    <row r="5651" spans="1:1" ht="255" x14ac:dyDescent="0.25">
      <c r="A5651" s="126" t="s">
        <v>5552</v>
      </c>
    </row>
    <row r="5652" spans="1:1" ht="270" x14ac:dyDescent="0.25">
      <c r="A5652" s="126" t="s">
        <v>5553</v>
      </c>
    </row>
    <row r="5653" spans="1:1" x14ac:dyDescent="0.25">
      <c r="A5653" s="124" t="s">
        <v>5554</v>
      </c>
    </row>
    <row r="5654" spans="1:1" x14ac:dyDescent="0.25">
      <c r="A5654" t="s">
        <v>5555</v>
      </c>
    </row>
    <row r="5655" spans="1:1" x14ac:dyDescent="0.25">
      <c r="A5655" s="125" t="s">
        <v>5556</v>
      </c>
    </row>
    <row r="5656" spans="1:1" x14ac:dyDescent="0.25">
      <c r="A5656" s="124" t="s">
        <v>5557</v>
      </c>
    </row>
    <row r="5657" spans="1:1" x14ac:dyDescent="0.25">
      <c r="A5657" t="s">
        <v>5558</v>
      </c>
    </row>
    <row r="5658" spans="1:1" x14ac:dyDescent="0.25">
      <c r="A5658" s="125" t="s">
        <v>5559</v>
      </c>
    </row>
    <row r="5659" spans="1:1" x14ac:dyDescent="0.25">
      <c r="A5659" s="125" t="s">
        <v>5560</v>
      </c>
    </row>
    <row r="5660" spans="1:1" x14ac:dyDescent="0.25">
      <c r="A5660" s="124" t="s">
        <v>5561</v>
      </c>
    </row>
    <row r="5661" spans="1:1" x14ac:dyDescent="0.25">
      <c r="A5661" t="s">
        <v>5562</v>
      </c>
    </row>
    <row r="5662" spans="1:1" x14ac:dyDescent="0.25">
      <c r="A5662" s="125" t="s">
        <v>5563</v>
      </c>
    </row>
    <row r="5663" spans="1:1" x14ac:dyDescent="0.25">
      <c r="A5663" s="124" t="s">
        <v>5564</v>
      </c>
    </row>
    <row r="5664" spans="1:1" x14ac:dyDescent="0.25">
      <c r="A5664" t="s">
        <v>5565</v>
      </c>
    </row>
    <row r="5665" spans="1:1" x14ac:dyDescent="0.25">
      <c r="A5665" s="125" t="s">
        <v>5566</v>
      </c>
    </row>
    <row r="5666" spans="1:1" x14ac:dyDescent="0.25">
      <c r="A5666" s="125" t="s">
        <v>5567</v>
      </c>
    </row>
    <row r="5667" spans="1:1" x14ac:dyDescent="0.25">
      <c r="A5667" t="s">
        <v>5568</v>
      </c>
    </row>
    <row r="5668" spans="1:1" x14ac:dyDescent="0.25">
      <c r="A5668" t="s">
        <v>5569</v>
      </c>
    </row>
    <row r="5669" spans="1:1" x14ac:dyDescent="0.25">
      <c r="A5669" s="124" t="s">
        <v>5570</v>
      </c>
    </row>
    <row r="5670" spans="1:1" x14ac:dyDescent="0.25">
      <c r="A5670" s="124" t="s">
        <v>5571</v>
      </c>
    </row>
    <row r="5671" spans="1:1" x14ac:dyDescent="0.25">
      <c r="A5671" t="s">
        <v>5572</v>
      </c>
    </row>
    <row r="5672" spans="1:1" x14ac:dyDescent="0.25">
      <c r="A5672" s="124" t="s">
        <v>5573</v>
      </c>
    </row>
    <row r="5673" spans="1:1" x14ac:dyDescent="0.25">
      <c r="A5673" s="27" t="s">
        <v>5574</v>
      </c>
    </row>
    <row r="5674" spans="1:1" x14ac:dyDescent="0.25">
      <c r="A5674" s="125" t="s">
        <v>5575</v>
      </c>
    </row>
    <row r="5675" spans="1:1" x14ac:dyDescent="0.25">
      <c r="A5675" s="124" t="s">
        <v>5576</v>
      </c>
    </row>
    <row r="5676" spans="1:1" x14ac:dyDescent="0.25">
      <c r="A5676" t="s">
        <v>5577</v>
      </c>
    </row>
    <row r="5677" spans="1:1" x14ac:dyDescent="0.25">
      <c r="A5677" s="125" t="s">
        <v>5578</v>
      </c>
    </row>
    <row r="5678" spans="1:1" x14ac:dyDescent="0.25">
      <c r="A5678" s="125" t="s">
        <v>5579</v>
      </c>
    </row>
    <row r="5679" spans="1:1" x14ac:dyDescent="0.25">
      <c r="A5679" s="27" t="s">
        <v>5580</v>
      </c>
    </row>
    <row r="5680" spans="1:1" x14ac:dyDescent="0.25">
      <c r="A5680" s="27" t="s">
        <v>5581</v>
      </c>
    </row>
    <row r="5681" spans="1:1" x14ac:dyDescent="0.25">
      <c r="A5681" s="27" t="s">
        <v>5582</v>
      </c>
    </row>
    <row r="5682" spans="1:1" x14ac:dyDescent="0.25">
      <c r="A5682" t="s">
        <v>5583</v>
      </c>
    </row>
    <row r="5683" spans="1:1" ht="255" x14ac:dyDescent="0.25">
      <c r="A5683" s="126" t="s">
        <v>5584</v>
      </c>
    </row>
    <row r="5684" spans="1:1" ht="270" x14ac:dyDescent="0.25">
      <c r="A5684" s="126" t="s">
        <v>5585</v>
      </c>
    </row>
    <row r="5685" spans="1:1" x14ac:dyDescent="0.25">
      <c r="A5685" s="124" t="s">
        <v>5586</v>
      </c>
    </row>
    <row r="5686" spans="1:1" x14ac:dyDescent="0.25">
      <c r="A5686" t="s">
        <v>5587</v>
      </c>
    </row>
    <row r="5687" spans="1:1" x14ac:dyDescent="0.25">
      <c r="A5687" s="125" t="s">
        <v>5588</v>
      </c>
    </row>
    <row r="5688" spans="1:1" x14ac:dyDescent="0.25">
      <c r="A5688" s="124" t="s">
        <v>5589</v>
      </c>
    </row>
    <row r="5689" spans="1:1" x14ac:dyDescent="0.25">
      <c r="A5689" t="s">
        <v>5590</v>
      </c>
    </row>
    <row r="5690" spans="1:1" x14ac:dyDescent="0.25">
      <c r="A5690" s="125" t="s">
        <v>5591</v>
      </c>
    </row>
    <row r="5691" spans="1:1" x14ac:dyDescent="0.25">
      <c r="A5691" s="125" t="s">
        <v>5592</v>
      </c>
    </row>
    <row r="5692" spans="1:1" x14ac:dyDescent="0.25">
      <c r="A5692" s="124" t="s">
        <v>5593</v>
      </c>
    </row>
    <row r="5693" spans="1:1" x14ac:dyDescent="0.25">
      <c r="A5693" t="s">
        <v>5594</v>
      </c>
    </row>
    <row r="5694" spans="1:1" x14ac:dyDescent="0.25">
      <c r="A5694" s="125" t="s">
        <v>5595</v>
      </c>
    </row>
    <row r="5695" spans="1:1" x14ac:dyDescent="0.25">
      <c r="A5695" s="124" t="s">
        <v>5596</v>
      </c>
    </row>
    <row r="5696" spans="1:1" x14ac:dyDescent="0.25">
      <c r="A5696" t="s">
        <v>5597</v>
      </c>
    </row>
    <row r="5697" spans="1:1" x14ac:dyDescent="0.25">
      <c r="A5697" s="125" t="s">
        <v>5598</v>
      </c>
    </row>
    <row r="5698" spans="1:1" x14ac:dyDescent="0.25">
      <c r="A5698" s="125" t="s">
        <v>5599</v>
      </c>
    </row>
    <row r="5699" spans="1:1" x14ac:dyDescent="0.25">
      <c r="A5699" s="124" t="s">
        <v>5600</v>
      </c>
    </row>
    <row r="5700" spans="1:1" x14ac:dyDescent="0.25">
      <c r="A5700" s="124" t="s">
        <v>5601</v>
      </c>
    </row>
    <row r="5701" spans="1:1" x14ac:dyDescent="0.25">
      <c r="A5701" t="s">
        <v>5602</v>
      </c>
    </row>
    <row r="5702" spans="1:1" x14ac:dyDescent="0.25">
      <c r="A5702" s="124" t="s">
        <v>5603</v>
      </c>
    </row>
    <row r="5703" spans="1:1" x14ac:dyDescent="0.25">
      <c r="A5703" s="124" t="s">
        <v>5604</v>
      </c>
    </row>
    <row r="5704" spans="1:1" x14ac:dyDescent="0.25">
      <c r="A5704" s="124" t="s">
        <v>5605</v>
      </c>
    </row>
    <row r="5705" spans="1:1" x14ac:dyDescent="0.25">
      <c r="A5705" s="124" t="s">
        <v>5606</v>
      </c>
    </row>
    <row r="5706" spans="1:1" x14ac:dyDescent="0.25">
      <c r="A5706" s="124" t="s">
        <v>5607</v>
      </c>
    </row>
    <row r="5707" spans="1:1" x14ac:dyDescent="0.25">
      <c r="A5707" s="27" t="s">
        <v>5608</v>
      </c>
    </row>
    <row r="5708" spans="1:1" x14ac:dyDescent="0.25">
      <c r="A5708" s="125" t="s">
        <v>5609</v>
      </c>
    </row>
    <row r="5709" spans="1:1" x14ac:dyDescent="0.25">
      <c r="A5709" s="124" t="s">
        <v>5610</v>
      </c>
    </row>
    <row r="5710" spans="1:1" x14ac:dyDescent="0.25">
      <c r="A5710" t="s">
        <v>5611</v>
      </c>
    </row>
    <row r="5711" spans="1:1" x14ac:dyDescent="0.25">
      <c r="A5711" s="125" t="s">
        <v>5612</v>
      </c>
    </row>
    <row r="5712" spans="1:1" x14ac:dyDescent="0.25">
      <c r="A5712" s="125" t="s">
        <v>5613</v>
      </c>
    </row>
    <row r="5713" spans="1:1" x14ac:dyDescent="0.25">
      <c r="A5713" s="27" t="s">
        <v>5614</v>
      </c>
    </row>
    <row r="5714" spans="1:1" x14ac:dyDescent="0.25">
      <c r="A5714" s="27" t="s">
        <v>5615</v>
      </c>
    </row>
    <row r="5715" spans="1:1" x14ac:dyDescent="0.25">
      <c r="A5715" s="27" t="s">
        <v>5616</v>
      </c>
    </row>
    <row r="5716" spans="1:1" x14ac:dyDescent="0.25">
      <c r="A5716" t="s">
        <v>5617</v>
      </c>
    </row>
    <row r="5717" spans="1:1" ht="255" x14ac:dyDescent="0.25">
      <c r="A5717" s="126" t="s">
        <v>5618</v>
      </c>
    </row>
    <row r="5718" spans="1:1" ht="270" x14ac:dyDescent="0.25">
      <c r="A5718" s="126" t="s">
        <v>5619</v>
      </c>
    </row>
    <row r="5719" spans="1:1" x14ac:dyDescent="0.25">
      <c r="A5719" s="124" t="s">
        <v>5620</v>
      </c>
    </row>
    <row r="5720" spans="1:1" x14ac:dyDescent="0.25">
      <c r="A5720" t="s">
        <v>5621</v>
      </c>
    </row>
    <row r="5721" spans="1:1" x14ac:dyDescent="0.25">
      <c r="A5721" s="125" t="s">
        <v>5622</v>
      </c>
    </row>
    <row r="5722" spans="1:1" x14ac:dyDescent="0.25">
      <c r="A5722" s="124" t="s">
        <v>5623</v>
      </c>
    </row>
    <row r="5723" spans="1:1" x14ac:dyDescent="0.25">
      <c r="A5723" t="s">
        <v>5624</v>
      </c>
    </row>
    <row r="5724" spans="1:1" x14ac:dyDescent="0.25">
      <c r="A5724" s="125" t="s">
        <v>5625</v>
      </c>
    </row>
    <row r="5725" spans="1:1" x14ac:dyDescent="0.25">
      <c r="A5725" s="125" t="s">
        <v>5626</v>
      </c>
    </row>
    <row r="5726" spans="1:1" x14ac:dyDescent="0.25">
      <c r="A5726" s="125" t="s">
        <v>5627</v>
      </c>
    </row>
    <row r="5727" spans="1:1" x14ac:dyDescent="0.25">
      <c r="A5727" s="124" t="s">
        <v>5628</v>
      </c>
    </row>
    <row r="5728" spans="1:1" x14ac:dyDescent="0.25">
      <c r="A5728" t="s">
        <v>5629</v>
      </c>
    </row>
    <row r="5729" spans="1:1" x14ac:dyDescent="0.25">
      <c r="A5729" s="125" t="s">
        <v>5630</v>
      </c>
    </row>
    <row r="5730" spans="1:1" x14ac:dyDescent="0.25">
      <c r="A5730" s="125" t="s">
        <v>5631</v>
      </c>
    </row>
    <row r="5731" spans="1:1" x14ac:dyDescent="0.25">
      <c r="A5731" s="27" t="s">
        <v>5632</v>
      </c>
    </row>
    <row r="5732" spans="1:1" x14ac:dyDescent="0.25">
      <c r="A5732" s="27" t="s">
        <v>5633</v>
      </c>
    </row>
    <row r="5733" spans="1:1" x14ac:dyDescent="0.25">
      <c r="A5733" s="27" t="s">
        <v>5634</v>
      </c>
    </row>
    <row r="5734" spans="1:1" x14ac:dyDescent="0.25">
      <c r="A5734" t="s">
        <v>5635</v>
      </c>
    </row>
    <row r="5735" spans="1:1" x14ac:dyDescent="0.25">
      <c r="A5735" s="124" t="s">
        <v>5636</v>
      </c>
    </row>
    <row r="5736" spans="1:1" x14ac:dyDescent="0.25">
      <c r="A5736" t="s">
        <v>5637</v>
      </c>
    </row>
    <row r="5737" spans="1:1" x14ac:dyDescent="0.25">
      <c r="A5737" s="125" t="s">
        <v>5638</v>
      </c>
    </row>
    <row r="5738" spans="1:1" x14ac:dyDescent="0.25">
      <c r="A5738" s="124" t="s">
        <v>5639</v>
      </c>
    </row>
    <row r="5739" spans="1:1" x14ac:dyDescent="0.25">
      <c r="A5739" t="s">
        <v>5640</v>
      </c>
    </row>
    <row r="5740" spans="1:1" x14ac:dyDescent="0.25">
      <c r="A5740" s="125" t="s">
        <v>5641</v>
      </c>
    </row>
    <row r="5741" spans="1:1" x14ac:dyDescent="0.25">
      <c r="A5741" s="125" t="s">
        <v>5642</v>
      </c>
    </row>
    <row r="5742" spans="1:1" x14ac:dyDescent="0.25">
      <c r="A5742" t="s">
        <v>5643</v>
      </c>
    </row>
    <row r="5743" spans="1:1" x14ac:dyDescent="0.25">
      <c r="A5743" t="s">
        <v>5644</v>
      </c>
    </row>
    <row r="5744" spans="1:1" x14ac:dyDescent="0.25">
      <c r="A5744" t="s">
        <v>5645</v>
      </c>
    </row>
    <row r="5745" spans="1:1" x14ac:dyDescent="0.25">
      <c r="A5745" t="s">
        <v>5646</v>
      </c>
    </row>
    <row r="5748" spans="1:1" x14ac:dyDescent="0.25">
      <c r="A5748" s="124" t="s">
        <v>5647</v>
      </c>
    </row>
    <row r="5749" spans="1:1" x14ac:dyDescent="0.25">
      <c r="A5749" s="124" t="s">
        <v>5648</v>
      </c>
    </row>
    <row r="5750" spans="1:1" x14ac:dyDescent="0.25">
      <c r="A5750" t="s">
        <v>5649</v>
      </c>
    </row>
    <row r="5751" spans="1:1" x14ac:dyDescent="0.25">
      <c r="A5751" s="124" t="s">
        <v>5650</v>
      </c>
    </row>
    <row r="5752" spans="1:1" x14ac:dyDescent="0.25">
      <c r="A5752" s="124" t="s">
        <v>5651</v>
      </c>
    </row>
    <row r="5753" spans="1:1" x14ac:dyDescent="0.25">
      <c r="A5753" t="s">
        <v>5652</v>
      </c>
    </row>
    <row r="5754" spans="1:1" x14ac:dyDescent="0.25">
      <c r="A5754" t="s">
        <v>5653</v>
      </c>
    </row>
    <row r="5755" spans="1:1" x14ac:dyDescent="0.25">
      <c r="A5755" t="s">
        <v>5654</v>
      </c>
    </row>
    <row r="5756" spans="1:1" x14ac:dyDescent="0.25">
      <c r="A5756" t="s">
        <v>5655</v>
      </c>
    </row>
    <row r="5757" spans="1:1" x14ac:dyDescent="0.25">
      <c r="A5757" t="s">
        <v>5656</v>
      </c>
    </row>
    <row r="5758" spans="1:1" x14ac:dyDescent="0.25">
      <c r="A5758" s="27" t="s">
        <v>5657</v>
      </c>
    </row>
    <row r="5759" spans="1:1" x14ac:dyDescent="0.25">
      <c r="A5759" s="125" t="s">
        <v>5658</v>
      </c>
    </row>
    <row r="5760" spans="1:1" x14ac:dyDescent="0.25">
      <c r="A5760" s="124" t="s">
        <v>5659</v>
      </c>
    </row>
    <row r="5761" spans="1:1" x14ac:dyDescent="0.25">
      <c r="A5761" t="s">
        <v>5660</v>
      </c>
    </row>
    <row r="5762" spans="1:1" x14ac:dyDescent="0.25">
      <c r="A5762" s="125" t="s">
        <v>5661</v>
      </c>
    </row>
    <row r="5763" spans="1:1" x14ac:dyDescent="0.25">
      <c r="A5763" s="125" t="s">
        <v>5662</v>
      </c>
    </row>
    <row r="5764" spans="1:1" x14ac:dyDescent="0.25">
      <c r="A5764" s="27" t="s">
        <v>5663</v>
      </c>
    </row>
    <row r="5765" spans="1:1" x14ac:dyDescent="0.25">
      <c r="A5765" s="27" t="s">
        <v>5664</v>
      </c>
    </row>
    <row r="5766" spans="1:1" x14ac:dyDescent="0.25">
      <c r="A5766" s="27" t="s">
        <v>5665</v>
      </c>
    </row>
    <row r="5767" spans="1:1" x14ac:dyDescent="0.25">
      <c r="A5767" t="s">
        <v>5666</v>
      </c>
    </row>
    <row r="5768" spans="1:1" ht="255" x14ac:dyDescent="0.25">
      <c r="A5768" s="126" t="s">
        <v>5667</v>
      </c>
    </row>
    <row r="5769" spans="1:1" ht="270" x14ac:dyDescent="0.25">
      <c r="A5769" s="126" t="s">
        <v>5668</v>
      </c>
    </row>
    <row r="5770" spans="1:1" x14ac:dyDescent="0.25">
      <c r="A5770" s="124" t="s">
        <v>5669</v>
      </c>
    </row>
    <row r="5771" spans="1:1" x14ac:dyDescent="0.25">
      <c r="A5771" t="s">
        <v>5670</v>
      </c>
    </row>
    <row r="5772" spans="1:1" x14ac:dyDescent="0.25">
      <c r="A5772" s="125" t="s">
        <v>5671</v>
      </c>
    </row>
    <row r="5773" spans="1:1" x14ac:dyDescent="0.25">
      <c r="A5773" s="124" t="s">
        <v>5672</v>
      </c>
    </row>
    <row r="5774" spans="1:1" x14ac:dyDescent="0.25">
      <c r="A5774" t="s">
        <v>5673</v>
      </c>
    </row>
    <row r="5775" spans="1:1" x14ac:dyDescent="0.25">
      <c r="A5775" s="125" t="s">
        <v>5674</v>
      </c>
    </row>
    <row r="5776" spans="1:1" x14ac:dyDescent="0.25">
      <c r="A5776" s="125" t="s">
        <v>5675</v>
      </c>
    </row>
    <row r="5777" spans="1:1" x14ac:dyDescent="0.25">
      <c r="A5777" s="124" t="s">
        <v>5676</v>
      </c>
    </row>
    <row r="5778" spans="1:1" x14ac:dyDescent="0.25">
      <c r="A5778" t="s">
        <v>5677</v>
      </c>
    </row>
    <row r="5779" spans="1:1" x14ac:dyDescent="0.25">
      <c r="A5779" s="125" t="s">
        <v>5678</v>
      </c>
    </row>
    <row r="5780" spans="1:1" x14ac:dyDescent="0.25">
      <c r="A5780" s="124" t="s">
        <v>5679</v>
      </c>
    </row>
    <row r="5781" spans="1:1" x14ac:dyDescent="0.25">
      <c r="A5781" t="s">
        <v>5680</v>
      </c>
    </row>
    <row r="5782" spans="1:1" x14ac:dyDescent="0.25">
      <c r="A5782" s="125" t="s">
        <v>5681</v>
      </c>
    </row>
    <row r="5783" spans="1:1" x14ac:dyDescent="0.25">
      <c r="A5783" s="125" t="s">
        <v>5682</v>
      </c>
    </row>
    <row r="5784" spans="1:1" x14ac:dyDescent="0.25">
      <c r="A5784" s="124" t="s">
        <v>5683</v>
      </c>
    </row>
    <row r="5785" spans="1:1" x14ac:dyDescent="0.25">
      <c r="A5785" t="s">
        <v>5684</v>
      </c>
    </row>
    <row r="5786" spans="1:1" x14ac:dyDescent="0.25">
      <c r="A5786" s="124" t="s">
        <v>5685</v>
      </c>
    </row>
    <row r="5787" spans="1:1" x14ac:dyDescent="0.25">
      <c r="A5787" s="27" t="s">
        <v>5686</v>
      </c>
    </row>
    <row r="5788" spans="1:1" ht="255" x14ac:dyDescent="0.25">
      <c r="A5788" s="126" t="s">
        <v>5687</v>
      </c>
    </row>
    <row r="5789" spans="1:1" ht="270" x14ac:dyDescent="0.25">
      <c r="A5789" s="126" t="s">
        <v>5688</v>
      </c>
    </row>
    <row r="5790" spans="1:1" x14ac:dyDescent="0.25">
      <c r="A5790" s="124" t="s">
        <v>5689</v>
      </c>
    </row>
    <row r="5791" spans="1:1" x14ac:dyDescent="0.25">
      <c r="A5791" t="s">
        <v>5690</v>
      </c>
    </row>
    <row r="5792" spans="1:1" x14ac:dyDescent="0.25">
      <c r="A5792" s="125" t="s">
        <v>5691</v>
      </c>
    </row>
    <row r="5793" spans="1:1" x14ac:dyDescent="0.25">
      <c r="A5793" s="124" t="s">
        <v>5692</v>
      </c>
    </row>
    <row r="5794" spans="1:1" x14ac:dyDescent="0.25">
      <c r="A5794" t="s">
        <v>5693</v>
      </c>
    </row>
    <row r="5795" spans="1:1" x14ac:dyDescent="0.25">
      <c r="A5795" s="125" t="s">
        <v>5694</v>
      </c>
    </row>
    <row r="5796" spans="1:1" x14ac:dyDescent="0.25">
      <c r="A5796" s="125" t="s">
        <v>5695</v>
      </c>
    </row>
    <row r="5797" spans="1:1" x14ac:dyDescent="0.25">
      <c r="A5797" s="124" t="s">
        <v>5696</v>
      </c>
    </row>
    <row r="5798" spans="1:1" x14ac:dyDescent="0.25">
      <c r="A5798" t="s">
        <v>5697</v>
      </c>
    </row>
    <row r="5799" spans="1:1" x14ac:dyDescent="0.25">
      <c r="A5799" s="125" t="s">
        <v>5698</v>
      </c>
    </row>
    <row r="5800" spans="1:1" x14ac:dyDescent="0.25">
      <c r="A5800" s="124" t="s">
        <v>5699</v>
      </c>
    </row>
    <row r="5801" spans="1:1" x14ac:dyDescent="0.25">
      <c r="A5801" t="s">
        <v>5700</v>
      </c>
    </row>
    <row r="5802" spans="1:1" x14ac:dyDescent="0.25">
      <c r="A5802" s="125" t="s">
        <v>5701</v>
      </c>
    </row>
    <row r="5803" spans="1:1" x14ac:dyDescent="0.25">
      <c r="A5803" s="125" t="s">
        <v>5702</v>
      </c>
    </row>
    <row r="5804" spans="1:1" x14ac:dyDescent="0.25">
      <c r="A5804" t="s">
        <v>5703</v>
      </c>
    </row>
    <row r="5805" spans="1:1" x14ac:dyDescent="0.25">
      <c r="A5805" t="s">
        <v>5704</v>
      </c>
    </row>
    <row r="5806" spans="1:1" x14ac:dyDescent="0.25">
      <c r="A5806" t="s">
        <v>5705</v>
      </c>
    </row>
    <row r="5807" spans="1:1" x14ac:dyDescent="0.25">
      <c r="A5807" t="s">
        <v>5706</v>
      </c>
    </row>
    <row r="5808" spans="1:1" x14ac:dyDescent="0.25">
      <c r="A5808" t="s">
        <v>5707</v>
      </c>
    </row>
    <row r="5809" spans="1:1" x14ac:dyDescent="0.25">
      <c r="A5809" s="124" t="s">
        <v>5708</v>
      </c>
    </row>
    <row r="5810" spans="1:1" x14ac:dyDescent="0.25">
      <c r="A5810" s="124" t="s">
        <v>5709</v>
      </c>
    </row>
    <row r="5811" spans="1:1" x14ac:dyDescent="0.25">
      <c r="A5811" t="s">
        <v>5710</v>
      </c>
    </row>
    <row r="5812" spans="1:1" x14ac:dyDescent="0.25">
      <c r="A5812" s="124" t="s">
        <v>5711</v>
      </c>
    </row>
    <row r="5813" spans="1:1" x14ac:dyDescent="0.25">
      <c r="A5813" s="27" t="s">
        <v>5712</v>
      </c>
    </row>
    <row r="5814" spans="1:1" x14ac:dyDescent="0.25">
      <c r="A5814" s="125" t="s">
        <v>5713</v>
      </c>
    </row>
    <row r="5815" spans="1:1" x14ac:dyDescent="0.25">
      <c r="A5815" s="124" t="s">
        <v>5714</v>
      </c>
    </row>
    <row r="5816" spans="1:1" x14ac:dyDescent="0.25">
      <c r="A5816" t="s">
        <v>5715</v>
      </c>
    </row>
    <row r="5817" spans="1:1" x14ac:dyDescent="0.25">
      <c r="A5817" s="125" t="s">
        <v>5716</v>
      </c>
    </row>
    <row r="5818" spans="1:1" x14ac:dyDescent="0.25">
      <c r="A5818" s="125" t="s">
        <v>5717</v>
      </c>
    </row>
    <row r="5819" spans="1:1" x14ac:dyDescent="0.25">
      <c r="A5819" s="27" t="s">
        <v>5718</v>
      </c>
    </row>
    <row r="5820" spans="1:1" x14ac:dyDescent="0.25">
      <c r="A5820" s="27" t="s">
        <v>5719</v>
      </c>
    </row>
    <row r="5821" spans="1:1" x14ac:dyDescent="0.25">
      <c r="A5821" s="27" t="s">
        <v>5720</v>
      </c>
    </row>
    <row r="5822" spans="1:1" x14ac:dyDescent="0.25">
      <c r="A5822" t="s">
        <v>5721</v>
      </c>
    </row>
    <row r="5823" spans="1:1" ht="255" x14ac:dyDescent="0.25">
      <c r="A5823" s="126" t="s">
        <v>5722</v>
      </c>
    </row>
    <row r="5824" spans="1:1" ht="270" x14ac:dyDescent="0.25">
      <c r="A5824" s="126" t="s">
        <v>5723</v>
      </c>
    </row>
    <row r="5825" spans="1:1" x14ac:dyDescent="0.25">
      <c r="A5825" s="124" t="s">
        <v>5724</v>
      </c>
    </row>
    <row r="5826" spans="1:1" x14ac:dyDescent="0.25">
      <c r="A5826" t="s">
        <v>5725</v>
      </c>
    </row>
    <row r="5827" spans="1:1" x14ac:dyDescent="0.25">
      <c r="A5827" s="125" t="s">
        <v>5726</v>
      </c>
    </row>
    <row r="5828" spans="1:1" x14ac:dyDescent="0.25">
      <c r="A5828" s="124" t="s">
        <v>5727</v>
      </c>
    </row>
    <row r="5829" spans="1:1" x14ac:dyDescent="0.25">
      <c r="A5829" t="s">
        <v>5728</v>
      </c>
    </row>
    <row r="5830" spans="1:1" x14ac:dyDescent="0.25">
      <c r="A5830" s="125" t="s">
        <v>5729</v>
      </c>
    </row>
    <row r="5831" spans="1:1" x14ac:dyDescent="0.25">
      <c r="A5831" s="125" t="s">
        <v>5730</v>
      </c>
    </row>
    <row r="5832" spans="1:1" x14ac:dyDescent="0.25">
      <c r="A5832" s="124" t="s">
        <v>5731</v>
      </c>
    </row>
    <row r="5833" spans="1:1" x14ac:dyDescent="0.25">
      <c r="A5833" t="s">
        <v>5732</v>
      </c>
    </row>
    <row r="5834" spans="1:1" x14ac:dyDescent="0.25">
      <c r="A5834" s="125" t="s">
        <v>5733</v>
      </c>
    </row>
    <row r="5835" spans="1:1" x14ac:dyDescent="0.25">
      <c r="A5835" s="124" t="s">
        <v>5734</v>
      </c>
    </row>
    <row r="5836" spans="1:1" x14ac:dyDescent="0.25">
      <c r="A5836" t="s">
        <v>5735</v>
      </c>
    </row>
    <row r="5837" spans="1:1" x14ac:dyDescent="0.25">
      <c r="A5837" s="125" t="s">
        <v>5736</v>
      </c>
    </row>
    <row r="5838" spans="1:1" x14ac:dyDescent="0.25">
      <c r="A5838" s="125" t="s">
        <v>5737</v>
      </c>
    </row>
    <row r="5839" spans="1:1" x14ac:dyDescent="0.25">
      <c r="A5839" t="s">
        <v>5738</v>
      </c>
    </row>
    <row r="5840" spans="1:1" x14ac:dyDescent="0.25">
      <c r="A5840" t="s">
        <v>5739</v>
      </c>
    </row>
    <row r="5841" spans="1:1" x14ac:dyDescent="0.25">
      <c r="A5841" t="s">
        <v>5740</v>
      </c>
    </row>
    <row r="5842" spans="1:1" x14ac:dyDescent="0.25">
      <c r="A5842" t="s">
        <v>5741</v>
      </c>
    </row>
    <row r="5843" spans="1:1" x14ac:dyDescent="0.25">
      <c r="A5843" t="s">
        <v>5742</v>
      </c>
    </row>
    <row r="5844" spans="1:1" x14ac:dyDescent="0.25">
      <c r="A5844" s="124" t="s">
        <v>5743</v>
      </c>
    </row>
    <row r="5845" spans="1:1" x14ac:dyDescent="0.25">
      <c r="A5845" s="124" t="s">
        <v>5744</v>
      </c>
    </row>
    <row r="5846" spans="1:1" x14ac:dyDescent="0.25">
      <c r="A5846" t="s">
        <v>5745</v>
      </c>
    </row>
    <row r="5847" spans="1:1" x14ac:dyDescent="0.25">
      <c r="A5847" s="124" t="s">
        <v>5746</v>
      </c>
    </row>
    <row r="5848" spans="1:1" x14ac:dyDescent="0.25">
      <c r="A5848" s="27" t="s">
        <v>5747</v>
      </c>
    </row>
    <row r="5849" spans="1:1" x14ac:dyDescent="0.25">
      <c r="A5849" s="125" t="s">
        <v>5748</v>
      </c>
    </row>
    <row r="5850" spans="1:1" x14ac:dyDescent="0.25">
      <c r="A5850" s="124" t="s">
        <v>5749</v>
      </c>
    </row>
    <row r="5851" spans="1:1" x14ac:dyDescent="0.25">
      <c r="A5851" t="s">
        <v>5750</v>
      </c>
    </row>
    <row r="5852" spans="1:1" x14ac:dyDescent="0.25">
      <c r="A5852" s="125" t="s">
        <v>5751</v>
      </c>
    </row>
    <row r="5853" spans="1:1" x14ac:dyDescent="0.25">
      <c r="A5853" s="125" t="s">
        <v>5752</v>
      </c>
    </row>
    <row r="5854" spans="1:1" x14ac:dyDescent="0.25">
      <c r="A5854" s="27" t="s">
        <v>5753</v>
      </c>
    </row>
    <row r="5855" spans="1:1" x14ac:dyDescent="0.25">
      <c r="A5855" s="27" t="s">
        <v>5754</v>
      </c>
    </row>
    <row r="5856" spans="1:1" x14ac:dyDescent="0.25">
      <c r="A5856" s="27" t="s">
        <v>5755</v>
      </c>
    </row>
    <row r="5857" spans="1:1" x14ac:dyDescent="0.25">
      <c r="A5857" t="s">
        <v>5756</v>
      </c>
    </row>
    <row r="5858" spans="1:1" ht="255" x14ac:dyDescent="0.25">
      <c r="A5858" s="126" t="s">
        <v>5757</v>
      </c>
    </row>
    <row r="5859" spans="1:1" ht="270" x14ac:dyDescent="0.25">
      <c r="A5859" s="126" t="s">
        <v>5758</v>
      </c>
    </row>
    <row r="5860" spans="1:1" x14ac:dyDescent="0.25">
      <c r="A5860" s="124" t="s">
        <v>5759</v>
      </c>
    </row>
    <row r="5861" spans="1:1" x14ac:dyDescent="0.25">
      <c r="A5861" t="s">
        <v>5760</v>
      </c>
    </row>
    <row r="5862" spans="1:1" x14ac:dyDescent="0.25">
      <c r="A5862" s="125" t="s">
        <v>5761</v>
      </c>
    </row>
    <row r="5863" spans="1:1" x14ac:dyDescent="0.25">
      <c r="A5863" s="124" t="s">
        <v>5762</v>
      </c>
    </row>
    <row r="5864" spans="1:1" x14ac:dyDescent="0.25">
      <c r="A5864" t="s">
        <v>5763</v>
      </c>
    </row>
    <row r="5865" spans="1:1" x14ac:dyDescent="0.25">
      <c r="A5865" s="125" t="s">
        <v>5764</v>
      </c>
    </row>
    <row r="5866" spans="1:1" x14ac:dyDescent="0.25">
      <c r="A5866" s="125" t="s">
        <v>5765</v>
      </c>
    </row>
    <row r="5867" spans="1:1" x14ac:dyDescent="0.25">
      <c r="A5867" s="124" t="s">
        <v>5766</v>
      </c>
    </row>
    <row r="5868" spans="1:1" x14ac:dyDescent="0.25">
      <c r="A5868" t="s">
        <v>5767</v>
      </c>
    </row>
    <row r="5869" spans="1:1" x14ac:dyDescent="0.25">
      <c r="A5869" s="125" t="s">
        <v>5768</v>
      </c>
    </row>
    <row r="5870" spans="1:1" x14ac:dyDescent="0.25">
      <c r="A5870" s="124" t="s">
        <v>5769</v>
      </c>
    </row>
    <row r="5871" spans="1:1" x14ac:dyDescent="0.25">
      <c r="A5871" t="s">
        <v>5770</v>
      </c>
    </row>
    <row r="5872" spans="1:1" x14ac:dyDescent="0.25">
      <c r="A5872" s="125" t="s">
        <v>5771</v>
      </c>
    </row>
    <row r="5873" spans="1:1" x14ac:dyDescent="0.25">
      <c r="A5873" s="125" t="s">
        <v>5772</v>
      </c>
    </row>
    <row r="5874" spans="1:1" x14ac:dyDescent="0.25">
      <c r="A5874" t="s">
        <v>5773</v>
      </c>
    </row>
    <row r="5875" spans="1:1" x14ac:dyDescent="0.25">
      <c r="A5875" t="s">
        <v>5774</v>
      </c>
    </row>
    <row r="5876" spans="1:1" x14ac:dyDescent="0.25">
      <c r="A5876" s="124" t="s">
        <v>5775</v>
      </c>
    </row>
    <row r="5877" spans="1:1" x14ac:dyDescent="0.25">
      <c r="A5877" s="124" t="s">
        <v>5776</v>
      </c>
    </row>
    <row r="5878" spans="1:1" x14ac:dyDescent="0.25">
      <c r="A5878" t="s">
        <v>5777</v>
      </c>
    </row>
    <row r="5879" spans="1:1" x14ac:dyDescent="0.25">
      <c r="A5879" s="124" t="s">
        <v>5778</v>
      </c>
    </row>
    <row r="5880" spans="1:1" x14ac:dyDescent="0.25">
      <c r="A5880" s="27" t="s">
        <v>5779</v>
      </c>
    </row>
    <row r="5881" spans="1:1" x14ac:dyDescent="0.25">
      <c r="A5881" s="125" t="s">
        <v>5780</v>
      </c>
    </row>
    <row r="5882" spans="1:1" x14ac:dyDescent="0.25">
      <c r="A5882" s="124" t="s">
        <v>5781</v>
      </c>
    </row>
    <row r="5883" spans="1:1" x14ac:dyDescent="0.25">
      <c r="A5883" t="s">
        <v>5782</v>
      </c>
    </row>
    <row r="5884" spans="1:1" x14ac:dyDescent="0.25">
      <c r="A5884" s="125" t="s">
        <v>5783</v>
      </c>
    </row>
    <row r="5885" spans="1:1" x14ac:dyDescent="0.25">
      <c r="A5885" s="125" t="s">
        <v>5784</v>
      </c>
    </row>
    <row r="5886" spans="1:1" x14ac:dyDescent="0.25">
      <c r="A5886" s="27" t="s">
        <v>5785</v>
      </c>
    </row>
    <row r="5887" spans="1:1" x14ac:dyDescent="0.25">
      <c r="A5887" s="27" t="s">
        <v>5786</v>
      </c>
    </row>
    <row r="5888" spans="1:1" x14ac:dyDescent="0.25">
      <c r="A5888" s="27" t="s">
        <v>5787</v>
      </c>
    </row>
    <row r="5889" spans="1:1" x14ac:dyDescent="0.25">
      <c r="A5889" t="s">
        <v>5788</v>
      </c>
    </row>
    <row r="5890" spans="1:1" ht="255" x14ac:dyDescent="0.25">
      <c r="A5890" s="126" t="s">
        <v>5789</v>
      </c>
    </row>
    <row r="5891" spans="1:1" ht="270" x14ac:dyDescent="0.25">
      <c r="A5891" s="126" t="s">
        <v>5790</v>
      </c>
    </row>
    <row r="5892" spans="1:1" x14ac:dyDescent="0.25">
      <c r="A5892" s="124" t="s">
        <v>5791</v>
      </c>
    </row>
    <row r="5893" spans="1:1" x14ac:dyDescent="0.25">
      <c r="A5893" t="s">
        <v>5792</v>
      </c>
    </row>
    <row r="5894" spans="1:1" x14ac:dyDescent="0.25">
      <c r="A5894" s="125" t="s">
        <v>5793</v>
      </c>
    </row>
    <row r="5895" spans="1:1" x14ac:dyDescent="0.25">
      <c r="A5895" s="124" t="s">
        <v>5794</v>
      </c>
    </row>
    <row r="5896" spans="1:1" x14ac:dyDescent="0.25">
      <c r="A5896" t="s">
        <v>5795</v>
      </c>
    </row>
    <row r="5897" spans="1:1" x14ac:dyDescent="0.25">
      <c r="A5897" s="125" t="s">
        <v>5796</v>
      </c>
    </row>
    <row r="5898" spans="1:1" x14ac:dyDescent="0.25">
      <c r="A5898" s="125" t="s">
        <v>5797</v>
      </c>
    </row>
    <row r="5899" spans="1:1" x14ac:dyDescent="0.25">
      <c r="A5899" s="124" t="s">
        <v>5798</v>
      </c>
    </row>
    <row r="5900" spans="1:1" x14ac:dyDescent="0.25">
      <c r="A5900" t="s">
        <v>5799</v>
      </c>
    </row>
    <row r="5901" spans="1:1" x14ac:dyDescent="0.25">
      <c r="A5901" s="125" t="s">
        <v>5800</v>
      </c>
    </row>
    <row r="5902" spans="1:1" x14ac:dyDescent="0.25">
      <c r="A5902" s="124" t="s">
        <v>5801</v>
      </c>
    </row>
    <row r="5903" spans="1:1" x14ac:dyDescent="0.25">
      <c r="A5903" t="s">
        <v>5802</v>
      </c>
    </row>
    <row r="5904" spans="1:1" x14ac:dyDescent="0.25">
      <c r="A5904" s="125" t="s">
        <v>5803</v>
      </c>
    </row>
    <row r="5905" spans="1:1" x14ac:dyDescent="0.25">
      <c r="A5905" s="125" t="s">
        <v>5804</v>
      </c>
    </row>
    <row r="5906" spans="1:1" x14ac:dyDescent="0.25">
      <c r="A5906" s="124" t="s">
        <v>5805</v>
      </c>
    </row>
    <row r="5907" spans="1:1" x14ac:dyDescent="0.25">
      <c r="A5907" s="124" t="s">
        <v>5806</v>
      </c>
    </row>
    <row r="5908" spans="1:1" x14ac:dyDescent="0.25">
      <c r="A5908" t="s">
        <v>5807</v>
      </c>
    </row>
    <row r="5909" spans="1:1" x14ac:dyDescent="0.25">
      <c r="A5909" s="124" t="s">
        <v>5808</v>
      </c>
    </row>
    <row r="5910" spans="1:1" x14ac:dyDescent="0.25">
      <c r="A5910" s="124" t="s">
        <v>5809</v>
      </c>
    </row>
    <row r="5911" spans="1:1" x14ac:dyDescent="0.25">
      <c r="A5911" s="124" t="s">
        <v>5810</v>
      </c>
    </row>
    <row r="5912" spans="1:1" x14ac:dyDescent="0.25">
      <c r="A5912" s="27" t="s">
        <v>5811</v>
      </c>
    </row>
    <row r="5913" spans="1:1" x14ac:dyDescent="0.25">
      <c r="A5913" s="125" t="s">
        <v>5812</v>
      </c>
    </row>
    <row r="5914" spans="1:1" x14ac:dyDescent="0.25">
      <c r="A5914" s="124" t="s">
        <v>5813</v>
      </c>
    </row>
    <row r="5915" spans="1:1" x14ac:dyDescent="0.25">
      <c r="A5915" t="s">
        <v>5814</v>
      </c>
    </row>
    <row r="5916" spans="1:1" x14ac:dyDescent="0.25">
      <c r="A5916" s="125" t="s">
        <v>5815</v>
      </c>
    </row>
    <row r="5917" spans="1:1" x14ac:dyDescent="0.25">
      <c r="A5917" s="125" t="s">
        <v>5816</v>
      </c>
    </row>
    <row r="5918" spans="1:1" x14ac:dyDescent="0.25">
      <c r="A5918" s="27" t="s">
        <v>5817</v>
      </c>
    </row>
    <row r="5919" spans="1:1" x14ac:dyDescent="0.25">
      <c r="A5919" s="27" t="s">
        <v>5818</v>
      </c>
    </row>
    <row r="5920" spans="1:1" x14ac:dyDescent="0.25">
      <c r="A5920" s="27" t="s">
        <v>5819</v>
      </c>
    </row>
    <row r="5921" spans="1:1" x14ac:dyDescent="0.25">
      <c r="A5921" t="s">
        <v>5820</v>
      </c>
    </row>
    <row r="5922" spans="1:1" x14ac:dyDescent="0.25">
      <c r="A5922" s="124" t="s">
        <v>5821</v>
      </c>
    </row>
    <row r="5923" spans="1:1" x14ac:dyDescent="0.25">
      <c r="A5923" t="s">
        <v>5822</v>
      </c>
    </row>
    <row r="5924" spans="1:1" x14ac:dyDescent="0.25">
      <c r="A5924" s="124" t="s">
        <v>5823</v>
      </c>
    </row>
    <row r="5925" spans="1:1" ht="255" x14ac:dyDescent="0.25">
      <c r="A5925" s="126" t="s">
        <v>5824</v>
      </c>
    </row>
    <row r="5926" spans="1:1" ht="270" x14ac:dyDescent="0.25">
      <c r="A5926" s="126" t="s">
        <v>5825</v>
      </c>
    </row>
    <row r="5927" spans="1:1" x14ac:dyDescent="0.25">
      <c r="A5927" s="124" t="s">
        <v>5826</v>
      </c>
    </row>
    <row r="5928" spans="1:1" x14ac:dyDescent="0.25">
      <c r="A5928" t="s">
        <v>5827</v>
      </c>
    </row>
    <row r="5929" spans="1:1" x14ac:dyDescent="0.25">
      <c r="A5929" s="125" t="s">
        <v>5828</v>
      </c>
    </row>
    <row r="5930" spans="1:1" x14ac:dyDescent="0.25">
      <c r="A5930" s="124" t="s">
        <v>5829</v>
      </c>
    </row>
    <row r="5931" spans="1:1" x14ac:dyDescent="0.25">
      <c r="A5931" t="s">
        <v>5830</v>
      </c>
    </row>
    <row r="5932" spans="1:1" x14ac:dyDescent="0.25">
      <c r="A5932" s="125" t="s">
        <v>5831</v>
      </c>
    </row>
    <row r="5933" spans="1:1" x14ac:dyDescent="0.25">
      <c r="A5933" s="125" t="s">
        <v>5832</v>
      </c>
    </row>
    <row r="5934" spans="1:1" x14ac:dyDescent="0.25">
      <c r="A5934" s="125" t="s">
        <v>5833</v>
      </c>
    </row>
    <row r="5935" spans="1:1" x14ac:dyDescent="0.25">
      <c r="A5935" s="124" t="s">
        <v>5834</v>
      </c>
    </row>
    <row r="5936" spans="1:1" x14ac:dyDescent="0.25">
      <c r="A5936" t="s">
        <v>5835</v>
      </c>
    </row>
    <row r="5937" spans="1:1" x14ac:dyDescent="0.25">
      <c r="A5937" s="125" t="s">
        <v>5836</v>
      </c>
    </row>
    <row r="5938" spans="1:1" x14ac:dyDescent="0.25">
      <c r="A5938" s="125" t="s">
        <v>5837</v>
      </c>
    </row>
    <row r="5939" spans="1:1" x14ac:dyDescent="0.25">
      <c r="A5939" s="27" t="s">
        <v>5838</v>
      </c>
    </row>
    <row r="5940" spans="1:1" x14ac:dyDescent="0.25">
      <c r="A5940" s="27" t="s">
        <v>5839</v>
      </c>
    </row>
    <row r="5941" spans="1:1" x14ac:dyDescent="0.25">
      <c r="A5941" s="27" t="s">
        <v>5840</v>
      </c>
    </row>
    <row r="5942" spans="1:1" x14ac:dyDescent="0.25">
      <c r="A5942" t="s">
        <v>5841</v>
      </c>
    </row>
    <row r="5943" spans="1:1" x14ac:dyDescent="0.25">
      <c r="A5943" s="124" t="s">
        <v>5842</v>
      </c>
    </row>
    <row r="5944" spans="1:1" x14ac:dyDescent="0.25">
      <c r="A5944" t="s">
        <v>5843</v>
      </c>
    </row>
    <row r="5945" spans="1:1" x14ac:dyDescent="0.25">
      <c r="A5945" s="125" t="s">
        <v>5844</v>
      </c>
    </row>
    <row r="5946" spans="1:1" x14ac:dyDescent="0.25">
      <c r="A5946" s="124" t="s">
        <v>5845</v>
      </c>
    </row>
    <row r="5947" spans="1:1" x14ac:dyDescent="0.25">
      <c r="A5947" t="s">
        <v>5846</v>
      </c>
    </row>
    <row r="5948" spans="1:1" x14ac:dyDescent="0.25">
      <c r="A5948" s="125" t="s">
        <v>5847</v>
      </c>
    </row>
    <row r="5949" spans="1:1" x14ac:dyDescent="0.25">
      <c r="A5949" s="125" t="s">
        <v>5848</v>
      </c>
    </row>
    <row r="5950" spans="1:1" x14ac:dyDescent="0.25">
      <c r="A5950" s="27" t="s">
        <v>5849</v>
      </c>
    </row>
    <row r="5951" spans="1:1" ht="255" x14ac:dyDescent="0.25">
      <c r="A5951" s="126" t="s">
        <v>5850</v>
      </c>
    </row>
    <row r="5952" spans="1:1" ht="270" x14ac:dyDescent="0.25">
      <c r="A5952" s="126" t="s">
        <v>5851</v>
      </c>
    </row>
    <row r="5953" spans="1:1" x14ac:dyDescent="0.25">
      <c r="A5953" s="124" t="s">
        <v>5852</v>
      </c>
    </row>
    <row r="5954" spans="1:1" x14ac:dyDescent="0.25">
      <c r="A5954" t="s">
        <v>5853</v>
      </c>
    </row>
    <row r="5955" spans="1:1" x14ac:dyDescent="0.25">
      <c r="A5955" s="125" t="s">
        <v>5854</v>
      </c>
    </row>
    <row r="5956" spans="1:1" x14ac:dyDescent="0.25">
      <c r="A5956" s="124" t="s">
        <v>5855</v>
      </c>
    </row>
    <row r="5957" spans="1:1" x14ac:dyDescent="0.25">
      <c r="A5957" t="s">
        <v>5856</v>
      </c>
    </row>
    <row r="5958" spans="1:1" x14ac:dyDescent="0.25">
      <c r="A5958" s="125" t="s">
        <v>5857</v>
      </c>
    </row>
    <row r="5959" spans="1:1" x14ac:dyDescent="0.25">
      <c r="A5959" s="125" t="s">
        <v>5858</v>
      </c>
    </row>
    <row r="5960" spans="1:1" x14ac:dyDescent="0.25">
      <c r="A5960" s="124" t="s">
        <v>5859</v>
      </c>
    </row>
    <row r="5961" spans="1:1" x14ac:dyDescent="0.25">
      <c r="A5961" t="s">
        <v>5860</v>
      </c>
    </row>
    <row r="5962" spans="1:1" x14ac:dyDescent="0.25">
      <c r="A5962" s="125" t="s">
        <v>5861</v>
      </c>
    </row>
    <row r="5963" spans="1:1" x14ac:dyDescent="0.25">
      <c r="A5963" s="124" t="s">
        <v>5862</v>
      </c>
    </row>
    <row r="5964" spans="1:1" x14ac:dyDescent="0.25">
      <c r="A5964" t="s">
        <v>5863</v>
      </c>
    </row>
    <row r="5965" spans="1:1" x14ac:dyDescent="0.25">
      <c r="A5965" s="125" t="s">
        <v>5864</v>
      </c>
    </row>
    <row r="5966" spans="1:1" x14ac:dyDescent="0.25">
      <c r="A5966" s="125" t="s">
        <v>5865</v>
      </c>
    </row>
    <row r="5967" spans="1:1" x14ac:dyDescent="0.25">
      <c r="A5967" t="s">
        <v>5866</v>
      </c>
    </row>
    <row r="5968" spans="1:1" x14ac:dyDescent="0.25">
      <c r="A5968" t="s">
        <v>5867</v>
      </c>
    </row>
    <row r="5969" spans="1:1" x14ac:dyDescent="0.25">
      <c r="A5969" t="s">
        <v>5868</v>
      </c>
    </row>
    <row r="5970" spans="1:1" x14ac:dyDescent="0.25">
      <c r="A5970" t="s">
        <v>5869</v>
      </c>
    </row>
    <row r="5971" spans="1:1" x14ac:dyDescent="0.25">
      <c r="A5971" t="s">
        <v>5870</v>
      </c>
    </row>
    <row r="5972" spans="1:1" x14ac:dyDescent="0.25">
      <c r="A5972" t="s">
        <v>5871</v>
      </c>
    </row>
    <row r="5973" spans="1:1" x14ac:dyDescent="0.25">
      <c r="A5973" t="s">
        <v>5872</v>
      </c>
    </row>
    <row r="5974" spans="1:1" x14ac:dyDescent="0.25">
      <c r="A5974" s="124" t="s">
        <v>5873</v>
      </c>
    </row>
    <row r="5975" spans="1:1" x14ac:dyDescent="0.25">
      <c r="A5975" s="124" t="s">
        <v>5874</v>
      </c>
    </row>
    <row r="5976" spans="1:1" x14ac:dyDescent="0.25">
      <c r="A5976" t="s">
        <v>5875</v>
      </c>
    </row>
    <row r="5977" spans="1:1" x14ac:dyDescent="0.25">
      <c r="A5977" s="124" t="s">
        <v>5876</v>
      </c>
    </row>
    <row r="5978" spans="1:1" x14ac:dyDescent="0.25">
      <c r="A5978" s="124" t="s">
        <v>5877</v>
      </c>
    </row>
    <row r="5979" spans="1:1" x14ac:dyDescent="0.25">
      <c r="A5979" s="124" t="s">
        <v>5878</v>
      </c>
    </row>
    <row r="5980" spans="1:1" x14ac:dyDescent="0.25">
      <c r="A5980" s="27" t="s">
        <v>5879</v>
      </c>
    </row>
    <row r="5981" spans="1:1" x14ac:dyDescent="0.25">
      <c r="A5981" s="125" t="s">
        <v>5880</v>
      </c>
    </row>
    <row r="5982" spans="1:1" x14ac:dyDescent="0.25">
      <c r="A5982" s="124" t="s">
        <v>5881</v>
      </c>
    </row>
    <row r="5983" spans="1:1" x14ac:dyDescent="0.25">
      <c r="A5983" t="s">
        <v>5882</v>
      </c>
    </row>
    <row r="5984" spans="1:1" x14ac:dyDescent="0.25">
      <c r="A5984" s="125" t="s">
        <v>5883</v>
      </c>
    </row>
    <row r="5985" spans="1:1" x14ac:dyDescent="0.25">
      <c r="A5985" s="125" t="s">
        <v>5884</v>
      </c>
    </row>
    <row r="5986" spans="1:1" x14ac:dyDescent="0.25">
      <c r="A5986" s="27" t="s">
        <v>5885</v>
      </c>
    </row>
    <row r="5987" spans="1:1" x14ac:dyDescent="0.25">
      <c r="A5987" s="27" t="s">
        <v>5886</v>
      </c>
    </row>
    <row r="5988" spans="1:1" x14ac:dyDescent="0.25">
      <c r="A5988" s="27" t="s">
        <v>5887</v>
      </c>
    </row>
    <row r="5989" spans="1:1" x14ac:dyDescent="0.25">
      <c r="A5989" t="s">
        <v>5888</v>
      </c>
    </row>
    <row r="5990" spans="1:1" ht="255" x14ac:dyDescent="0.25">
      <c r="A5990" s="126" t="s">
        <v>5889</v>
      </c>
    </row>
    <row r="5991" spans="1:1" ht="270" x14ac:dyDescent="0.25">
      <c r="A5991" s="126" t="s">
        <v>5890</v>
      </c>
    </row>
    <row r="5992" spans="1:1" x14ac:dyDescent="0.25">
      <c r="A5992" s="124" t="s">
        <v>5891</v>
      </c>
    </row>
    <row r="5993" spans="1:1" x14ac:dyDescent="0.25">
      <c r="A5993" t="s">
        <v>5892</v>
      </c>
    </row>
    <row r="5994" spans="1:1" x14ac:dyDescent="0.25">
      <c r="A5994" s="125" t="s">
        <v>5893</v>
      </c>
    </row>
    <row r="5995" spans="1:1" x14ac:dyDescent="0.25">
      <c r="A5995" s="124" t="s">
        <v>5894</v>
      </c>
    </row>
    <row r="5996" spans="1:1" x14ac:dyDescent="0.25">
      <c r="A5996" t="s">
        <v>5895</v>
      </c>
    </row>
    <row r="5997" spans="1:1" x14ac:dyDescent="0.25">
      <c r="A5997" s="125" t="s">
        <v>5896</v>
      </c>
    </row>
    <row r="5998" spans="1:1" x14ac:dyDescent="0.25">
      <c r="A5998" s="125" t="s">
        <v>5897</v>
      </c>
    </row>
    <row r="5999" spans="1:1" x14ac:dyDescent="0.25">
      <c r="A5999" s="124" t="s">
        <v>5898</v>
      </c>
    </row>
    <row r="6000" spans="1:1" x14ac:dyDescent="0.25">
      <c r="A6000" t="s">
        <v>5899</v>
      </c>
    </row>
    <row r="6001" spans="1:1" x14ac:dyDescent="0.25">
      <c r="A6001" s="125" t="s">
        <v>5900</v>
      </c>
    </row>
    <row r="6002" spans="1:1" x14ac:dyDescent="0.25">
      <c r="A6002" s="124" t="s">
        <v>5901</v>
      </c>
    </row>
    <row r="6003" spans="1:1" x14ac:dyDescent="0.25">
      <c r="A6003" t="s">
        <v>5902</v>
      </c>
    </row>
    <row r="6004" spans="1:1" x14ac:dyDescent="0.25">
      <c r="A6004" s="125" t="s">
        <v>5903</v>
      </c>
    </row>
    <row r="6005" spans="1:1" x14ac:dyDescent="0.25">
      <c r="A6005" s="125" t="s">
        <v>5904</v>
      </c>
    </row>
    <row r="6006" spans="1:1" x14ac:dyDescent="0.25">
      <c r="A6006" s="125" t="s">
        <v>5905</v>
      </c>
    </row>
    <row r="6007" spans="1:1" x14ac:dyDescent="0.25">
      <c r="A6007" s="124" t="s">
        <v>5906</v>
      </c>
    </row>
    <row r="6008" spans="1:1" x14ac:dyDescent="0.25">
      <c r="A6008" t="s">
        <v>5907</v>
      </c>
    </row>
    <row r="6009" spans="1:1" x14ac:dyDescent="0.25">
      <c r="A6009" s="125" t="s">
        <v>5908</v>
      </c>
    </row>
    <row r="6010" spans="1:1" x14ac:dyDescent="0.25">
      <c r="A6010" s="125" t="s">
        <v>5909</v>
      </c>
    </row>
    <row r="6011" spans="1:1" x14ac:dyDescent="0.25">
      <c r="A6011" s="27" t="s">
        <v>5910</v>
      </c>
    </row>
    <row r="6012" spans="1:1" x14ac:dyDescent="0.25">
      <c r="A6012" s="27" t="s">
        <v>5911</v>
      </c>
    </row>
    <row r="6013" spans="1:1" x14ac:dyDescent="0.25">
      <c r="A6013" s="27" t="s">
        <v>5912</v>
      </c>
    </row>
    <row r="6014" spans="1:1" x14ac:dyDescent="0.25">
      <c r="A6014" t="s">
        <v>5913</v>
      </c>
    </row>
    <row r="6015" spans="1:1" x14ac:dyDescent="0.25">
      <c r="A6015" s="124" t="s">
        <v>5914</v>
      </c>
    </row>
    <row r="6016" spans="1:1" x14ac:dyDescent="0.25">
      <c r="A6016" t="s">
        <v>5915</v>
      </c>
    </row>
    <row r="6017" spans="1:1" x14ac:dyDescent="0.25">
      <c r="A6017" s="124" t="s">
        <v>5916</v>
      </c>
    </row>
    <row r="6018" spans="1:1" x14ac:dyDescent="0.25">
      <c r="A6018" s="27" t="s">
        <v>5917</v>
      </c>
    </row>
    <row r="6019" spans="1:1" x14ac:dyDescent="0.25">
      <c r="A6019" t="s">
        <v>5918</v>
      </c>
    </row>
    <row r="6020" spans="1:1" x14ac:dyDescent="0.25">
      <c r="A6020" t="s">
        <v>5919</v>
      </c>
    </row>
    <row r="6021" spans="1:1" x14ac:dyDescent="0.25">
      <c r="A6021" t="s">
        <v>5920</v>
      </c>
    </row>
    <row r="6022" spans="1:1" x14ac:dyDescent="0.25">
      <c r="A6022" t="s">
        <v>5921</v>
      </c>
    </row>
    <row r="6023" spans="1:1" x14ac:dyDescent="0.25">
      <c r="A6023" t="s">
        <v>5922</v>
      </c>
    </row>
    <row r="6024" spans="1:1" x14ac:dyDescent="0.25">
      <c r="A6024" t="s">
        <v>5923</v>
      </c>
    </row>
    <row r="6025" spans="1:1" x14ac:dyDescent="0.25">
      <c r="A6025" t="s">
        <v>5924</v>
      </c>
    </row>
    <row r="6026" spans="1:1" ht="255" x14ac:dyDescent="0.25">
      <c r="A6026" s="126" t="s">
        <v>5925</v>
      </c>
    </row>
    <row r="6027" spans="1:1" ht="270" x14ac:dyDescent="0.25">
      <c r="A6027" s="126" t="s">
        <v>5926</v>
      </c>
    </row>
    <row r="6028" spans="1:1" x14ac:dyDescent="0.25">
      <c r="A6028" s="124" t="s">
        <v>5927</v>
      </c>
    </row>
    <row r="6029" spans="1:1" x14ac:dyDescent="0.25">
      <c r="A6029" t="s">
        <v>5928</v>
      </c>
    </row>
    <row r="6030" spans="1:1" x14ac:dyDescent="0.25">
      <c r="A6030" s="125" t="s">
        <v>5929</v>
      </c>
    </row>
    <row r="6031" spans="1:1" x14ac:dyDescent="0.25">
      <c r="A6031" s="124" t="s">
        <v>5930</v>
      </c>
    </row>
    <row r="6032" spans="1:1" x14ac:dyDescent="0.25">
      <c r="A6032" t="s">
        <v>5931</v>
      </c>
    </row>
    <row r="6033" spans="1:1" x14ac:dyDescent="0.25">
      <c r="A6033" s="125" t="s">
        <v>5932</v>
      </c>
    </row>
    <row r="6034" spans="1:1" x14ac:dyDescent="0.25">
      <c r="A6034" s="125" t="s">
        <v>5933</v>
      </c>
    </row>
    <row r="6035" spans="1:1" x14ac:dyDescent="0.25">
      <c r="A6035" s="124" t="s">
        <v>5934</v>
      </c>
    </row>
    <row r="6036" spans="1:1" x14ac:dyDescent="0.25">
      <c r="A6036" t="s">
        <v>5935</v>
      </c>
    </row>
    <row r="6037" spans="1:1" x14ac:dyDescent="0.25">
      <c r="A6037" s="125" t="s">
        <v>5936</v>
      </c>
    </row>
    <row r="6038" spans="1:1" x14ac:dyDescent="0.25">
      <c r="A6038" s="124" t="s">
        <v>5937</v>
      </c>
    </row>
    <row r="6039" spans="1:1" x14ac:dyDescent="0.25">
      <c r="A6039" t="s">
        <v>5938</v>
      </c>
    </row>
    <row r="6040" spans="1:1" x14ac:dyDescent="0.25">
      <c r="A6040" s="125" t="s">
        <v>5939</v>
      </c>
    </row>
    <row r="6041" spans="1:1" x14ac:dyDescent="0.25">
      <c r="A6041" s="125" t="s">
        <v>5940</v>
      </c>
    </row>
    <row r="6042" spans="1:1" x14ac:dyDescent="0.25">
      <c r="A6042" s="124" t="s">
        <v>5941</v>
      </c>
    </row>
    <row r="6043" spans="1:1" x14ac:dyDescent="0.25">
      <c r="A6043" s="124" t="s">
        <v>5942</v>
      </c>
    </row>
    <row r="6044" spans="1:1" x14ac:dyDescent="0.25">
      <c r="A6044" t="s">
        <v>5943</v>
      </c>
    </row>
    <row r="6045" spans="1:1" x14ac:dyDescent="0.25">
      <c r="A6045" s="124" t="s">
        <v>5944</v>
      </c>
    </row>
    <row r="6046" spans="1:1" x14ac:dyDescent="0.25">
      <c r="A6046" t="s">
        <v>5945</v>
      </c>
    </row>
    <row r="6047" spans="1:1" x14ac:dyDescent="0.25">
      <c r="A6047" t="s">
        <v>5946</v>
      </c>
    </row>
    <row r="6048" spans="1:1" x14ac:dyDescent="0.25">
      <c r="A6048" t="s">
        <v>5947</v>
      </c>
    </row>
    <row r="6049" spans="1:1" x14ac:dyDescent="0.25">
      <c r="A6049" t="s">
        <v>5948</v>
      </c>
    </row>
    <row r="6050" spans="1:1" x14ac:dyDescent="0.25">
      <c r="A6050" t="s">
        <v>5949</v>
      </c>
    </row>
    <row r="6051" spans="1:1" x14ac:dyDescent="0.25">
      <c r="A6051" s="27" t="s">
        <v>5950</v>
      </c>
    </row>
    <row r="6052" spans="1:1" x14ac:dyDescent="0.25">
      <c r="A6052" s="125" t="s">
        <v>5951</v>
      </c>
    </row>
    <row r="6053" spans="1:1" x14ac:dyDescent="0.25">
      <c r="A6053" s="124" t="s">
        <v>5952</v>
      </c>
    </row>
    <row r="6054" spans="1:1" x14ac:dyDescent="0.25">
      <c r="A6054" t="s">
        <v>5953</v>
      </c>
    </row>
    <row r="6055" spans="1:1" x14ac:dyDescent="0.25">
      <c r="A6055" s="125" t="s">
        <v>5954</v>
      </c>
    </row>
    <row r="6056" spans="1:1" x14ac:dyDescent="0.25">
      <c r="A6056" s="125" t="s">
        <v>5955</v>
      </c>
    </row>
    <row r="6057" spans="1:1" x14ac:dyDescent="0.25">
      <c r="A6057" s="27" t="s">
        <v>5956</v>
      </c>
    </row>
    <row r="6058" spans="1:1" x14ac:dyDescent="0.25">
      <c r="A6058" s="27" t="s">
        <v>5957</v>
      </c>
    </row>
    <row r="6059" spans="1:1" x14ac:dyDescent="0.25">
      <c r="A6059" s="27" t="s">
        <v>5958</v>
      </c>
    </row>
    <row r="6060" spans="1:1" x14ac:dyDescent="0.25">
      <c r="A6060" t="s">
        <v>5959</v>
      </c>
    </row>
    <row r="6061" spans="1:1" ht="255" x14ac:dyDescent="0.25">
      <c r="A6061" s="126" t="s">
        <v>5960</v>
      </c>
    </row>
    <row r="6062" spans="1:1" ht="270" x14ac:dyDescent="0.25">
      <c r="A6062" s="126" t="s">
        <v>5961</v>
      </c>
    </row>
    <row r="6063" spans="1:1" x14ac:dyDescent="0.25">
      <c r="A6063" s="124" t="s">
        <v>5962</v>
      </c>
    </row>
    <row r="6064" spans="1:1" x14ac:dyDescent="0.25">
      <c r="A6064" t="s">
        <v>5963</v>
      </c>
    </row>
    <row r="6065" spans="1:1" x14ac:dyDescent="0.25">
      <c r="A6065" s="125" t="s">
        <v>5964</v>
      </c>
    </row>
    <row r="6066" spans="1:1" x14ac:dyDescent="0.25">
      <c r="A6066" s="124" t="s">
        <v>5965</v>
      </c>
    </row>
    <row r="6067" spans="1:1" x14ac:dyDescent="0.25">
      <c r="A6067" t="s">
        <v>5966</v>
      </c>
    </row>
    <row r="6068" spans="1:1" x14ac:dyDescent="0.25">
      <c r="A6068" s="125" t="s">
        <v>5967</v>
      </c>
    </row>
    <row r="6069" spans="1:1" x14ac:dyDescent="0.25">
      <c r="A6069" s="125" t="s">
        <v>5968</v>
      </c>
    </row>
    <row r="6070" spans="1:1" x14ac:dyDescent="0.25">
      <c r="A6070" s="124" t="s">
        <v>5969</v>
      </c>
    </row>
    <row r="6071" spans="1:1" x14ac:dyDescent="0.25">
      <c r="A6071" s="124" t="s">
        <v>5970</v>
      </c>
    </row>
    <row r="6072" spans="1:1" x14ac:dyDescent="0.25">
      <c r="A6072" t="s">
        <v>5971</v>
      </c>
    </row>
    <row r="6073" spans="1:1" x14ac:dyDescent="0.25">
      <c r="A6073" s="124" t="s">
        <v>5972</v>
      </c>
    </row>
    <row r="6074" spans="1:1" x14ac:dyDescent="0.25">
      <c r="A6074" s="124" t="s">
        <v>5973</v>
      </c>
    </row>
    <row r="6075" spans="1:1" x14ac:dyDescent="0.25">
      <c r="A6075" t="s">
        <v>5974</v>
      </c>
    </row>
    <row r="6076" spans="1:1" x14ac:dyDescent="0.25">
      <c r="A6076" s="125" t="s">
        <v>5975</v>
      </c>
    </row>
    <row r="6077" spans="1:1" x14ac:dyDescent="0.25">
      <c r="A6077" s="124" t="s">
        <v>5976</v>
      </c>
    </row>
    <row r="6078" spans="1:1" x14ac:dyDescent="0.25">
      <c r="A6078" t="s">
        <v>5977</v>
      </c>
    </row>
    <row r="6079" spans="1:1" x14ac:dyDescent="0.25">
      <c r="A6079" s="125" t="s">
        <v>5978</v>
      </c>
    </row>
    <row r="6080" spans="1:1" x14ac:dyDescent="0.25">
      <c r="A6080" s="125" t="s">
        <v>5979</v>
      </c>
    </row>
    <row r="6081" spans="1:1" x14ac:dyDescent="0.25">
      <c r="A6081" t="s">
        <v>5980</v>
      </c>
    </row>
    <row r="6082" spans="1:1" x14ac:dyDescent="0.25">
      <c r="A6082" t="s">
        <v>5981</v>
      </c>
    </row>
    <row r="6083" spans="1:1" x14ac:dyDescent="0.25">
      <c r="A6083" t="s">
        <v>5982</v>
      </c>
    </row>
    <row r="6084" spans="1:1" x14ac:dyDescent="0.25">
      <c r="A6084" t="s">
        <v>5983</v>
      </c>
    </row>
    <row r="6085" spans="1:1" x14ac:dyDescent="0.25">
      <c r="A6085" t="s">
        <v>5984</v>
      </c>
    </row>
    <row r="6086" spans="1:1" x14ac:dyDescent="0.25">
      <c r="A6086" t="s">
        <v>5985</v>
      </c>
    </row>
    <row r="6087" spans="1:1" x14ac:dyDescent="0.25">
      <c r="A6087" t="s">
        <v>5986</v>
      </c>
    </row>
    <row r="6088" spans="1:1" x14ac:dyDescent="0.25">
      <c r="A6088" t="s">
        <v>5987</v>
      </c>
    </row>
    <row r="6089" spans="1:1" x14ac:dyDescent="0.25">
      <c r="A6089" s="27" t="s">
        <v>5988</v>
      </c>
    </row>
    <row r="6090" spans="1:1" x14ac:dyDescent="0.25">
      <c r="A6090" s="125" t="s">
        <v>5989</v>
      </c>
    </row>
    <row r="6091" spans="1:1" x14ac:dyDescent="0.25">
      <c r="A6091" s="124" t="s">
        <v>5990</v>
      </c>
    </row>
    <row r="6092" spans="1:1" x14ac:dyDescent="0.25">
      <c r="A6092" t="s">
        <v>5991</v>
      </c>
    </row>
    <row r="6093" spans="1:1" x14ac:dyDescent="0.25">
      <c r="A6093" s="125" t="s">
        <v>5992</v>
      </c>
    </row>
    <row r="6094" spans="1:1" x14ac:dyDescent="0.25">
      <c r="A6094" s="125" t="s">
        <v>5993</v>
      </c>
    </row>
    <row r="6095" spans="1:1" x14ac:dyDescent="0.25">
      <c r="A6095" s="27" t="s">
        <v>5994</v>
      </c>
    </row>
    <row r="6096" spans="1:1" x14ac:dyDescent="0.25">
      <c r="A6096" s="27" t="s">
        <v>5995</v>
      </c>
    </row>
    <row r="6097" spans="1:1" x14ac:dyDescent="0.25">
      <c r="A6097" s="27" t="s">
        <v>5996</v>
      </c>
    </row>
    <row r="6098" spans="1:1" x14ac:dyDescent="0.25">
      <c r="A6098" t="s">
        <v>5997</v>
      </c>
    </row>
    <row r="6099" spans="1:1" ht="255" x14ac:dyDescent="0.25">
      <c r="A6099" s="126" t="s">
        <v>5998</v>
      </c>
    </row>
    <row r="6100" spans="1:1" ht="270" x14ac:dyDescent="0.25">
      <c r="A6100" s="126" t="s">
        <v>5999</v>
      </c>
    </row>
    <row r="6101" spans="1:1" x14ac:dyDescent="0.25">
      <c r="A6101" s="124" t="s">
        <v>6000</v>
      </c>
    </row>
    <row r="6102" spans="1:1" x14ac:dyDescent="0.25">
      <c r="A6102" t="s">
        <v>6001</v>
      </c>
    </row>
    <row r="6103" spans="1:1" x14ac:dyDescent="0.25">
      <c r="A6103" s="125" t="s">
        <v>6002</v>
      </c>
    </row>
    <row r="6104" spans="1:1" x14ac:dyDescent="0.25">
      <c r="A6104" s="124" t="s">
        <v>6003</v>
      </c>
    </row>
    <row r="6105" spans="1:1" x14ac:dyDescent="0.25">
      <c r="A6105" t="s">
        <v>6004</v>
      </c>
    </row>
    <row r="6106" spans="1:1" x14ac:dyDescent="0.25">
      <c r="A6106" s="125" t="s">
        <v>6005</v>
      </c>
    </row>
    <row r="6107" spans="1:1" x14ac:dyDescent="0.25">
      <c r="A6107" s="125" t="s">
        <v>6006</v>
      </c>
    </row>
    <row r="6108" spans="1:1" x14ac:dyDescent="0.25">
      <c r="A6108" s="124" t="s">
        <v>6007</v>
      </c>
    </row>
    <row r="6109" spans="1:1" x14ac:dyDescent="0.25">
      <c r="A6109" s="124" t="s">
        <v>6008</v>
      </c>
    </row>
    <row r="6110" spans="1:1" x14ac:dyDescent="0.25">
      <c r="A6110" t="s">
        <v>6009</v>
      </c>
    </row>
    <row r="6111" spans="1:1" x14ac:dyDescent="0.25">
      <c r="A6111" s="124" t="s">
        <v>6010</v>
      </c>
    </row>
    <row r="6112" spans="1:1" x14ac:dyDescent="0.25">
      <c r="A6112" s="124" t="s">
        <v>6011</v>
      </c>
    </row>
    <row r="6113" spans="1:1" x14ac:dyDescent="0.25">
      <c r="A6113" s="124" t="s">
        <v>6012</v>
      </c>
    </row>
    <row r="6114" spans="1:1" x14ac:dyDescent="0.25">
      <c r="A6114" s="124" t="s">
        <v>6013</v>
      </c>
    </row>
    <row r="6115" spans="1:1" x14ac:dyDescent="0.25">
      <c r="A6115" t="s">
        <v>6014</v>
      </c>
    </row>
    <row r="6116" spans="1:1" x14ac:dyDescent="0.25">
      <c r="A6116" s="125" t="s">
        <v>6015</v>
      </c>
    </row>
    <row r="6117" spans="1:1" x14ac:dyDescent="0.25">
      <c r="A6117" s="124" t="s">
        <v>6016</v>
      </c>
    </row>
    <row r="6118" spans="1:1" x14ac:dyDescent="0.25">
      <c r="A6118" t="s">
        <v>6017</v>
      </c>
    </row>
    <row r="6119" spans="1:1" x14ac:dyDescent="0.25">
      <c r="A6119" s="125" t="s">
        <v>6018</v>
      </c>
    </row>
    <row r="6120" spans="1:1" x14ac:dyDescent="0.25">
      <c r="A6120" s="125" t="s">
        <v>6019</v>
      </c>
    </row>
    <row r="6121" spans="1:1" x14ac:dyDescent="0.25">
      <c r="A6121" s="124" t="s">
        <v>6020</v>
      </c>
    </row>
    <row r="6122" spans="1:1" x14ac:dyDescent="0.25">
      <c r="A6122" s="124" t="s">
        <v>6021</v>
      </c>
    </row>
    <row r="6123" spans="1:1" x14ac:dyDescent="0.25">
      <c r="A6123" t="s">
        <v>6022</v>
      </c>
    </row>
    <row r="6124" spans="1:1" x14ac:dyDescent="0.25">
      <c r="A6124" t="s">
        <v>6023</v>
      </c>
    </row>
    <row r="6125" spans="1:1" x14ac:dyDescent="0.25">
      <c r="A6125" t="s">
        <v>6024</v>
      </c>
    </row>
    <row r="6126" spans="1:1" x14ac:dyDescent="0.25">
      <c r="A6126" t="s">
        <v>6025</v>
      </c>
    </row>
    <row r="6127" spans="1:1" x14ac:dyDescent="0.25">
      <c r="A6127" t="s">
        <v>6026</v>
      </c>
    </row>
    <row r="6128" spans="1:1" x14ac:dyDescent="0.25">
      <c r="A6128" t="s">
        <v>6027</v>
      </c>
    </row>
    <row r="6129" spans="1:1" x14ac:dyDescent="0.25">
      <c r="A6129" t="s">
        <v>6028</v>
      </c>
    </row>
    <row r="6130" spans="1:1" x14ac:dyDescent="0.25">
      <c r="A6130" t="s">
        <v>6029</v>
      </c>
    </row>
    <row r="6131" spans="1:1" x14ac:dyDescent="0.25">
      <c r="A6131" s="124" t="s">
        <v>6030</v>
      </c>
    </row>
    <row r="6132" spans="1:1" x14ac:dyDescent="0.25">
      <c r="A6132" s="27" t="s">
        <v>6031</v>
      </c>
    </row>
    <row r="6133" spans="1:1" x14ac:dyDescent="0.25">
      <c r="A6133" t="s">
        <v>6032</v>
      </c>
    </row>
    <row r="6134" spans="1:1" x14ac:dyDescent="0.25">
      <c r="A6134" t="s">
        <v>6033</v>
      </c>
    </row>
    <row r="6135" spans="1:1" x14ac:dyDescent="0.25">
      <c r="A6135" t="s">
        <v>6034</v>
      </c>
    </row>
    <row r="6136" spans="1:1" x14ac:dyDescent="0.25">
      <c r="A6136" t="s">
        <v>6035</v>
      </c>
    </row>
    <row r="6137" spans="1:1" x14ac:dyDescent="0.25">
      <c r="A6137" t="s">
        <v>6036</v>
      </c>
    </row>
    <row r="6138" spans="1:1" x14ac:dyDescent="0.25">
      <c r="A6138" t="s">
        <v>6037</v>
      </c>
    </row>
    <row r="6139" spans="1:1" x14ac:dyDescent="0.25">
      <c r="A6139" s="125" t="s">
        <v>6038</v>
      </c>
    </row>
    <row r="6140" spans="1:1" x14ac:dyDescent="0.25">
      <c r="A6140" s="124" t="s">
        <v>6039</v>
      </c>
    </row>
    <row r="6141" spans="1:1" x14ac:dyDescent="0.25">
      <c r="A6141" t="s">
        <v>6040</v>
      </c>
    </row>
    <row r="6142" spans="1:1" x14ac:dyDescent="0.25">
      <c r="A6142" s="125" t="s">
        <v>6041</v>
      </c>
    </row>
    <row r="6143" spans="1:1" x14ac:dyDescent="0.25">
      <c r="A6143" s="125" t="s">
        <v>6042</v>
      </c>
    </row>
    <row r="6144" spans="1:1" x14ac:dyDescent="0.25">
      <c r="A6144" s="27" t="s">
        <v>6043</v>
      </c>
    </row>
    <row r="6145" spans="1:1" x14ac:dyDescent="0.25">
      <c r="A6145" s="27" t="s">
        <v>6044</v>
      </c>
    </row>
    <row r="6146" spans="1:1" x14ac:dyDescent="0.25">
      <c r="A6146" s="27" t="s">
        <v>6045</v>
      </c>
    </row>
    <row r="6147" spans="1:1" x14ac:dyDescent="0.25">
      <c r="A6147" t="s">
        <v>6046</v>
      </c>
    </row>
    <row r="6148" spans="1:1" ht="255" x14ac:dyDescent="0.25">
      <c r="A6148" s="126" t="s">
        <v>6047</v>
      </c>
    </row>
    <row r="6149" spans="1:1" ht="270" x14ac:dyDescent="0.25">
      <c r="A6149" s="126" t="s">
        <v>6048</v>
      </c>
    </row>
    <row r="6150" spans="1:1" x14ac:dyDescent="0.25">
      <c r="A6150" s="124" t="s">
        <v>6049</v>
      </c>
    </row>
    <row r="6151" spans="1:1" x14ac:dyDescent="0.25">
      <c r="A6151" t="s">
        <v>6050</v>
      </c>
    </row>
    <row r="6152" spans="1:1" x14ac:dyDescent="0.25">
      <c r="A6152" s="125" t="s">
        <v>6051</v>
      </c>
    </row>
    <row r="6153" spans="1:1" x14ac:dyDescent="0.25">
      <c r="A6153" s="124" t="s">
        <v>6052</v>
      </c>
    </row>
    <row r="6154" spans="1:1" x14ac:dyDescent="0.25">
      <c r="A6154" t="s">
        <v>6053</v>
      </c>
    </row>
    <row r="6155" spans="1:1" x14ac:dyDescent="0.25">
      <c r="A6155" s="125" t="s">
        <v>6054</v>
      </c>
    </row>
    <row r="6156" spans="1:1" x14ac:dyDescent="0.25">
      <c r="A6156" s="125" t="s">
        <v>6055</v>
      </c>
    </row>
    <row r="6157" spans="1:1" x14ac:dyDescent="0.25">
      <c r="A6157" s="124" t="s">
        <v>6056</v>
      </c>
    </row>
    <row r="6158" spans="1:1" x14ac:dyDescent="0.25">
      <c r="A6158" t="s">
        <v>6057</v>
      </c>
    </row>
    <row r="6159" spans="1:1" x14ac:dyDescent="0.25">
      <c r="A6159" s="125" t="s">
        <v>6058</v>
      </c>
    </row>
    <row r="6160" spans="1:1" x14ac:dyDescent="0.25">
      <c r="A6160" s="124" t="s">
        <v>6059</v>
      </c>
    </row>
    <row r="6161" spans="1:1" x14ac:dyDescent="0.25">
      <c r="A6161" t="s">
        <v>6060</v>
      </c>
    </row>
    <row r="6162" spans="1:1" x14ac:dyDescent="0.25">
      <c r="A6162" s="125" t="s">
        <v>6061</v>
      </c>
    </row>
    <row r="6163" spans="1:1" x14ac:dyDescent="0.25">
      <c r="A6163" s="125" t="s">
        <v>6062</v>
      </c>
    </row>
    <row r="6164" spans="1:1" x14ac:dyDescent="0.25">
      <c r="A6164" s="125" t="s">
        <v>6063</v>
      </c>
    </row>
    <row r="6165" spans="1:1" x14ac:dyDescent="0.25">
      <c r="A6165" s="124" t="s">
        <v>6064</v>
      </c>
    </row>
    <row r="6166" spans="1:1" x14ac:dyDescent="0.25">
      <c r="A6166" t="s">
        <v>6065</v>
      </c>
    </row>
    <row r="6167" spans="1:1" x14ac:dyDescent="0.25">
      <c r="A6167" s="125" t="s">
        <v>6066</v>
      </c>
    </row>
    <row r="6168" spans="1:1" x14ac:dyDescent="0.25">
      <c r="A6168" s="125" t="s">
        <v>6067</v>
      </c>
    </row>
    <row r="6169" spans="1:1" x14ac:dyDescent="0.25">
      <c r="A6169" s="27" t="s">
        <v>6068</v>
      </c>
    </row>
    <row r="6170" spans="1:1" x14ac:dyDescent="0.25">
      <c r="A6170" s="27" t="s">
        <v>6069</v>
      </c>
    </row>
    <row r="6171" spans="1:1" x14ac:dyDescent="0.25">
      <c r="A6171" s="27" t="s">
        <v>6070</v>
      </c>
    </row>
    <row r="6172" spans="1:1" x14ac:dyDescent="0.25">
      <c r="A6172" t="s">
        <v>6071</v>
      </c>
    </row>
    <row r="6173" spans="1:1" x14ac:dyDescent="0.25">
      <c r="A6173" t="s">
        <v>6072</v>
      </c>
    </row>
    <row r="6174" spans="1:1" x14ac:dyDescent="0.25">
      <c r="A6174" t="s">
        <v>6073</v>
      </c>
    </row>
    <row r="6175" spans="1:1" x14ac:dyDescent="0.25">
      <c r="A6175" t="s">
        <v>6074</v>
      </c>
    </row>
    <row r="6176" spans="1:1" x14ac:dyDescent="0.25">
      <c r="A6176" t="s">
        <v>6075</v>
      </c>
    </row>
    <row r="6177" spans="1:1" x14ac:dyDescent="0.25">
      <c r="A6177" s="124" t="s">
        <v>6076</v>
      </c>
    </row>
    <row r="6178" spans="1:1" x14ac:dyDescent="0.25">
      <c r="A6178" t="s">
        <v>6077</v>
      </c>
    </row>
    <row r="6179" spans="1:1" x14ac:dyDescent="0.25">
      <c r="A6179" s="124" t="s">
        <v>6078</v>
      </c>
    </row>
    <row r="6180" spans="1:1" x14ac:dyDescent="0.25">
      <c r="A6180" s="27" t="s">
        <v>6079</v>
      </c>
    </row>
    <row r="6181" spans="1:1" ht="255" x14ac:dyDescent="0.25">
      <c r="A6181" s="126" t="s">
        <v>6080</v>
      </c>
    </row>
    <row r="6182" spans="1:1" ht="270" x14ac:dyDescent="0.25">
      <c r="A6182" s="126" t="s">
        <v>6081</v>
      </c>
    </row>
    <row r="6183" spans="1:1" x14ac:dyDescent="0.25">
      <c r="A6183" s="124" t="s">
        <v>6082</v>
      </c>
    </row>
    <row r="6184" spans="1:1" x14ac:dyDescent="0.25">
      <c r="A6184" t="s">
        <v>6083</v>
      </c>
    </row>
    <row r="6185" spans="1:1" x14ac:dyDescent="0.25">
      <c r="A6185" s="125" t="s">
        <v>6084</v>
      </c>
    </row>
    <row r="6186" spans="1:1" x14ac:dyDescent="0.25">
      <c r="A6186" s="124" t="s">
        <v>6085</v>
      </c>
    </row>
    <row r="6187" spans="1:1" x14ac:dyDescent="0.25">
      <c r="A6187" t="s">
        <v>6086</v>
      </c>
    </row>
    <row r="6188" spans="1:1" x14ac:dyDescent="0.25">
      <c r="A6188" s="125" t="s">
        <v>6087</v>
      </c>
    </row>
    <row r="6189" spans="1:1" x14ac:dyDescent="0.25">
      <c r="A6189" s="125" t="s">
        <v>6088</v>
      </c>
    </row>
    <row r="6190" spans="1:1" x14ac:dyDescent="0.25">
      <c r="A6190" s="124" t="s">
        <v>6089</v>
      </c>
    </row>
    <row r="6191" spans="1:1" x14ac:dyDescent="0.25">
      <c r="A6191" t="s">
        <v>6090</v>
      </c>
    </row>
    <row r="6192" spans="1:1" x14ac:dyDescent="0.25">
      <c r="A6192" s="125" t="s">
        <v>6091</v>
      </c>
    </row>
    <row r="6193" spans="1:1" x14ac:dyDescent="0.25">
      <c r="A6193" s="124" t="s">
        <v>6092</v>
      </c>
    </row>
    <row r="6194" spans="1:1" x14ac:dyDescent="0.25">
      <c r="A6194" t="s">
        <v>6093</v>
      </c>
    </row>
    <row r="6195" spans="1:1" x14ac:dyDescent="0.25">
      <c r="A6195" s="125" t="s">
        <v>6094</v>
      </c>
    </row>
    <row r="6196" spans="1:1" x14ac:dyDescent="0.25">
      <c r="A6196" s="125" t="s">
        <v>6095</v>
      </c>
    </row>
    <row r="6197" spans="1:1" x14ac:dyDescent="0.25">
      <c r="A6197" t="s">
        <v>6096</v>
      </c>
    </row>
    <row r="6198" spans="1:1" x14ac:dyDescent="0.25">
      <c r="A6198" t="s">
        <v>6097</v>
      </c>
    </row>
    <row r="6199" spans="1:1" x14ac:dyDescent="0.25">
      <c r="A6199" t="s">
        <v>6098</v>
      </c>
    </row>
    <row r="6200" spans="1:1" x14ac:dyDescent="0.25">
      <c r="A6200" t="s">
        <v>6099</v>
      </c>
    </row>
    <row r="6201" spans="1:1" x14ac:dyDescent="0.25">
      <c r="A6201" t="s">
        <v>6100</v>
      </c>
    </row>
    <row r="6202" spans="1:1" x14ac:dyDescent="0.25">
      <c r="A6202" t="s">
        <v>6101</v>
      </c>
    </row>
    <row r="6203" spans="1:1" x14ac:dyDescent="0.25">
      <c r="A6203" s="124" t="s">
        <v>6103</v>
      </c>
    </row>
    <row r="6204" spans="1:1" x14ac:dyDescent="0.25">
      <c r="A6204" s="124" t="s">
        <v>6104</v>
      </c>
    </row>
    <row r="6205" spans="1:1" x14ac:dyDescent="0.25">
      <c r="A6205" t="s">
        <v>6105</v>
      </c>
    </row>
    <row r="6206" spans="1:1" x14ac:dyDescent="0.25">
      <c r="A6206" s="124" t="s">
        <v>6106</v>
      </c>
    </row>
    <row r="6207" spans="1:1" x14ac:dyDescent="0.25">
      <c r="A6207" s="124" t="s">
        <v>6107</v>
      </c>
    </row>
    <row r="6208" spans="1:1" x14ac:dyDescent="0.25">
      <c r="A6208" s="124" t="s">
        <v>6108</v>
      </c>
    </row>
    <row r="6209" spans="1:1" x14ac:dyDescent="0.25">
      <c r="A6209" s="27" t="s">
        <v>6109</v>
      </c>
    </row>
    <row r="6210" spans="1:1" x14ac:dyDescent="0.25">
      <c r="A6210" s="125" t="s">
        <v>6110</v>
      </c>
    </row>
    <row r="6211" spans="1:1" x14ac:dyDescent="0.25">
      <c r="A6211" s="124" t="s">
        <v>6111</v>
      </c>
    </row>
    <row r="6212" spans="1:1" x14ac:dyDescent="0.25">
      <c r="A6212" t="s">
        <v>6112</v>
      </c>
    </row>
    <row r="6213" spans="1:1" x14ac:dyDescent="0.25">
      <c r="A6213" s="125" t="s">
        <v>6113</v>
      </c>
    </row>
    <row r="6214" spans="1:1" x14ac:dyDescent="0.25">
      <c r="A6214" s="125" t="s">
        <v>6114</v>
      </c>
    </row>
    <row r="6215" spans="1:1" x14ac:dyDescent="0.25">
      <c r="A6215" s="27" t="s">
        <v>6115</v>
      </c>
    </row>
    <row r="6216" spans="1:1" x14ac:dyDescent="0.25">
      <c r="A6216" s="27" t="s">
        <v>6116</v>
      </c>
    </row>
    <row r="6217" spans="1:1" x14ac:dyDescent="0.25">
      <c r="A6217" s="27" t="s">
        <v>6117</v>
      </c>
    </row>
    <row r="6218" spans="1:1" x14ac:dyDescent="0.25">
      <c r="A6218" t="s">
        <v>6118</v>
      </c>
    </row>
    <row r="6219" spans="1:1" x14ac:dyDescent="0.25">
      <c r="A6219" s="124" t="s">
        <v>6119</v>
      </c>
    </row>
    <row r="6220" spans="1:1" x14ac:dyDescent="0.25">
      <c r="A6220" t="s">
        <v>6120</v>
      </c>
    </row>
    <row r="6221" spans="1:1" x14ac:dyDescent="0.25">
      <c r="A6221" s="124" t="s">
        <v>6121</v>
      </c>
    </row>
    <row r="6222" spans="1:1" ht="255" x14ac:dyDescent="0.25">
      <c r="A6222" s="126" t="s">
        <v>6122</v>
      </c>
    </row>
    <row r="6223" spans="1:1" ht="270" x14ac:dyDescent="0.25">
      <c r="A6223" s="126" t="s">
        <v>6123</v>
      </c>
    </row>
    <row r="6224" spans="1:1" x14ac:dyDescent="0.25">
      <c r="A6224" s="124" t="s">
        <v>6124</v>
      </c>
    </row>
    <row r="6225" spans="1:1" x14ac:dyDescent="0.25">
      <c r="A6225" t="s">
        <v>6125</v>
      </c>
    </row>
    <row r="6226" spans="1:1" x14ac:dyDescent="0.25">
      <c r="A6226" s="125" t="s">
        <v>6126</v>
      </c>
    </row>
    <row r="6227" spans="1:1" x14ac:dyDescent="0.25">
      <c r="A6227" s="124" t="s">
        <v>6127</v>
      </c>
    </row>
    <row r="6228" spans="1:1" x14ac:dyDescent="0.25">
      <c r="A6228" t="s">
        <v>6128</v>
      </c>
    </row>
    <row r="6229" spans="1:1" x14ac:dyDescent="0.25">
      <c r="A6229" s="125" t="s">
        <v>6129</v>
      </c>
    </row>
    <row r="6230" spans="1:1" x14ac:dyDescent="0.25">
      <c r="A6230" s="125" t="s">
        <v>6130</v>
      </c>
    </row>
    <row r="6231" spans="1:1" x14ac:dyDescent="0.25">
      <c r="A6231" s="125" t="s">
        <v>6131</v>
      </c>
    </row>
    <row r="6232" spans="1:1" x14ac:dyDescent="0.25">
      <c r="A6232" s="124" t="s">
        <v>6132</v>
      </c>
    </row>
    <row r="6233" spans="1:1" x14ac:dyDescent="0.25">
      <c r="A6233" t="s">
        <v>6133</v>
      </c>
    </row>
    <row r="6234" spans="1:1" x14ac:dyDescent="0.25">
      <c r="A6234" s="125" t="s">
        <v>6134</v>
      </c>
    </row>
    <row r="6235" spans="1:1" x14ac:dyDescent="0.25">
      <c r="A6235" s="125" t="s">
        <v>6135</v>
      </c>
    </row>
    <row r="6236" spans="1:1" x14ac:dyDescent="0.25">
      <c r="A6236" s="27" t="s">
        <v>6136</v>
      </c>
    </row>
    <row r="6237" spans="1:1" x14ac:dyDescent="0.25">
      <c r="A6237" s="27" t="s">
        <v>6137</v>
      </c>
    </row>
    <row r="6238" spans="1:1" x14ac:dyDescent="0.25">
      <c r="A6238" s="27" t="s">
        <v>6138</v>
      </c>
    </row>
    <row r="6239" spans="1:1" x14ac:dyDescent="0.25">
      <c r="A6239" t="s">
        <v>6139</v>
      </c>
    </row>
    <row r="6240" spans="1:1" x14ac:dyDescent="0.25">
      <c r="A6240" s="124" t="s">
        <v>6140</v>
      </c>
    </row>
    <row r="6241" spans="1:1" x14ac:dyDescent="0.25">
      <c r="A6241" t="s">
        <v>6141</v>
      </c>
    </row>
    <row r="6242" spans="1:1" x14ac:dyDescent="0.25">
      <c r="A6242" s="125" t="s">
        <v>6142</v>
      </c>
    </row>
    <row r="6243" spans="1:1" x14ac:dyDescent="0.25">
      <c r="A6243" s="124" t="s">
        <v>6143</v>
      </c>
    </row>
    <row r="6244" spans="1:1" x14ac:dyDescent="0.25">
      <c r="A6244" t="s">
        <v>6144</v>
      </c>
    </row>
    <row r="6245" spans="1:1" x14ac:dyDescent="0.25">
      <c r="A6245" s="125" t="s">
        <v>6145</v>
      </c>
    </row>
    <row r="6246" spans="1:1" x14ac:dyDescent="0.25">
      <c r="A6246" s="125" t="s">
        <v>6146</v>
      </c>
    </row>
    <row r="6247" spans="1:1" x14ac:dyDescent="0.25">
      <c r="A6247" s="27" t="s">
        <v>6147</v>
      </c>
    </row>
    <row r="6248" spans="1:1" ht="255" x14ac:dyDescent="0.25">
      <c r="A6248" s="126" t="s">
        <v>6148</v>
      </c>
    </row>
    <row r="6249" spans="1:1" ht="270" x14ac:dyDescent="0.25">
      <c r="A6249" s="126" t="s">
        <v>6149</v>
      </c>
    </row>
    <row r="6250" spans="1:1" x14ac:dyDescent="0.25">
      <c r="A6250" s="124" t="s">
        <v>6150</v>
      </c>
    </row>
    <row r="6251" spans="1:1" x14ac:dyDescent="0.25">
      <c r="A6251" t="s">
        <v>6151</v>
      </c>
    </row>
    <row r="6252" spans="1:1" x14ac:dyDescent="0.25">
      <c r="A6252" s="125" t="s">
        <v>6152</v>
      </c>
    </row>
    <row r="6253" spans="1:1" x14ac:dyDescent="0.25">
      <c r="A6253" s="124" t="s">
        <v>6153</v>
      </c>
    </row>
    <row r="6254" spans="1:1" x14ac:dyDescent="0.25">
      <c r="A6254" t="s">
        <v>6154</v>
      </c>
    </row>
    <row r="6255" spans="1:1" x14ac:dyDescent="0.25">
      <c r="A6255" s="125" t="s">
        <v>6155</v>
      </c>
    </row>
    <row r="6256" spans="1:1" x14ac:dyDescent="0.25">
      <c r="A6256" s="125" t="s">
        <v>6156</v>
      </c>
    </row>
    <row r="6257" spans="1:1" x14ac:dyDescent="0.25">
      <c r="A6257" s="124" t="s">
        <v>6157</v>
      </c>
    </row>
    <row r="6258" spans="1:1" x14ac:dyDescent="0.25">
      <c r="A6258" t="s">
        <v>6158</v>
      </c>
    </row>
    <row r="6259" spans="1:1" x14ac:dyDescent="0.25">
      <c r="A6259" s="125" t="s">
        <v>6159</v>
      </c>
    </row>
    <row r="6260" spans="1:1" x14ac:dyDescent="0.25">
      <c r="A6260" s="124" t="s">
        <v>6160</v>
      </c>
    </row>
    <row r="6261" spans="1:1" x14ac:dyDescent="0.25">
      <c r="A6261" t="s">
        <v>6161</v>
      </c>
    </row>
    <row r="6262" spans="1:1" x14ac:dyDescent="0.25">
      <c r="A6262" s="125" t="s">
        <v>6162</v>
      </c>
    </row>
    <row r="6263" spans="1:1" x14ac:dyDescent="0.25">
      <c r="A6263" s="125" t="s">
        <v>6163</v>
      </c>
    </row>
    <row r="6264" spans="1:1" x14ac:dyDescent="0.25">
      <c r="A6264" t="s">
        <v>6164</v>
      </c>
    </row>
    <row r="6265" spans="1:1" x14ac:dyDescent="0.25">
      <c r="A6265" t="s">
        <v>6165</v>
      </c>
    </row>
    <row r="6266" spans="1:1" x14ac:dyDescent="0.25">
      <c r="A6266" t="s">
        <v>6166</v>
      </c>
    </row>
    <row r="6267" spans="1:1" x14ac:dyDescent="0.25">
      <c r="A6267" t="s">
        <v>6167</v>
      </c>
    </row>
    <row r="6268" spans="1:1" x14ac:dyDescent="0.25">
      <c r="A6268" t="s">
        <v>6168</v>
      </c>
    </row>
    <row r="6269" spans="1:1" x14ac:dyDescent="0.25">
      <c r="A6269" t="s">
        <v>6169</v>
      </c>
    </row>
    <row r="6270" spans="1:1" x14ac:dyDescent="0.25">
      <c r="A6270" t="s">
        <v>6170</v>
      </c>
    </row>
    <row r="6271" spans="1:1" x14ac:dyDescent="0.25">
      <c r="A6271" t="s">
        <v>6171</v>
      </c>
    </row>
    <row r="6272" spans="1:1" x14ac:dyDescent="0.25">
      <c r="A6272" s="125" t="s">
        <v>6172</v>
      </c>
    </row>
    <row r="6273" spans="1:1" x14ac:dyDescent="0.25">
      <c r="A6273" s="125" t="s">
        <v>6173</v>
      </c>
    </row>
    <row r="6274" spans="1:1" x14ac:dyDescent="0.25">
      <c r="A6274" s="125" t="s">
        <v>6174</v>
      </c>
    </row>
    <row r="6275" spans="1:1" x14ac:dyDescent="0.25">
      <c r="A6275" s="124" t="s">
        <v>6175</v>
      </c>
    </row>
    <row r="6276" spans="1:1" x14ac:dyDescent="0.25">
      <c r="A6276" s="124" t="s">
        <v>6176</v>
      </c>
    </row>
    <row r="6277" spans="1:1" x14ac:dyDescent="0.25">
      <c r="A6277" s="125" t="s">
        <v>6177</v>
      </c>
    </row>
    <row r="6278" spans="1:1" x14ac:dyDescent="0.25">
      <c r="A6278" s="125" t="s">
        <v>6178</v>
      </c>
    </row>
    <row r="6279" spans="1:1" x14ac:dyDescent="0.25">
      <c r="A6279" s="125" t="s">
        <v>6179</v>
      </c>
    </row>
    <row r="6280" spans="1:1" x14ac:dyDescent="0.25">
      <c r="A6280" s="125" t="s">
        <v>6180</v>
      </c>
    </row>
    <row r="6281" spans="1:1" x14ac:dyDescent="0.25">
      <c r="A6281" s="124" t="s">
        <v>6181</v>
      </c>
    </row>
    <row r="6282" spans="1:1" x14ac:dyDescent="0.25">
      <c r="A6282" s="124" t="s">
        <v>6182</v>
      </c>
    </row>
    <row r="6283" spans="1:1" x14ac:dyDescent="0.25">
      <c r="A6283" s="125" t="s">
        <v>6183</v>
      </c>
    </row>
    <row r="6284" spans="1:1" x14ac:dyDescent="0.25">
      <c r="A6284" s="125" t="s">
        <v>6184</v>
      </c>
    </row>
    <row r="6285" spans="1:1" x14ac:dyDescent="0.25">
      <c r="A6285" s="125" t="s">
        <v>6185</v>
      </c>
    </row>
    <row r="6286" spans="1:1" x14ac:dyDescent="0.25">
      <c r="A6286" s="125" t="s">
        <v>6186</v>
      </c>
    </row>
    <row r="6287" spans="1:1" x14ac:dyDescent="0.25">
      <c r="A6287" s="124" t="s">
        <v>6187</v>
      </c>
    </row>
    <row r="6288" spans="1:1" x14ac:dyDescent="0.25">
      <c r="A6288" s="124" t="s">
        <v>6188</v>
      </c>
    </row>
    <row r="6289" spans="1:1" x14ac:dyDescent="0.25">
      <c r="A6289" s="125" t="s">
        <v>6189</v>
      </c>
    </row>
    <row r="6290" spans="1:1" x14ac:dyDescent="0.25">
      <c r="A6290" s="125" t="s">
        <v>6190</v>
      </c>
    </row>
    <row r="6291" spans="1:1" x14ac:dyDescent="0.25">
      <c r="A6291" s="125" t="s">
        <v>6191</v>
      </c>
    </row>
    <row r="6292" spans="1:1" x14ac:dyDescent="0.25">
      <c r="A6292" s="125" t="s">
        <v>6192</v>
      </c>
    </row>
    <row r="6293" spans="1:1" x14ac:dyDescent="0.25">
      <c r="A6293" s="124" t="s">
        <v>6193</v>
      </c>
    </row>
    <row r="6294" spans="1:1" x14ac:dyDescent="0.25">
      <c r="A6294" s="124" t="s">
        <v>6194</v>
      </c>
    </row>
    <row r="6295" spans="1:1" x14ac:dyDescent="0.25">
      <c r="A6295" s="125" t="s">
        <v>6195</v>
      </c>
    </row>
    <row r="6296" spans="1:1" x14ac:dyDescent="0.25">
      <c r="A6296" s="125" t="s">
        <v>6196</v>
      </c>
    </row>
    <row r="6297" spans="1:1" x14ac:dyDescent="0.25">
      <c r="A6297" s="125" t="s">
        <v>6197</v>
      </c>
    </row>
    <row r="6298" spans="1:1" x14ac:dyDescent="0.25">
      <c r="A6298" s="125" t="s">
        <v>6198</v>
      </c>
    </row>
    <row r="6299" spans="1:1" x14ac:dyDescent="0.25">
      <c r="A6299" s="124" t="s">
        <v>6199</v>
      </c>
    </row>
    <row r="6300" spans="1:1" x14ac:dyDescent="0.25">
      <c r="A6300" s="124" t="s">
        <v>6200</v>
      </c>
    </row>
    <row r="6301" spans="1:1" x14ac:dyDescent="0.25">
      <c r="A6301" s="125" t="s">
        <v>6201</v>
      </c>
    </row>
    <row r="6302" spans="1:1" x14ac:dyDescent="0.25">
      <c r="A6302" s="125" t="s">
        <v>6202</v>
      </c>
    </row>
    <row r="6303" spans="1:1" x14ac:dyDescent="0.25">
      <c r="A6303" s="125" t="s">
        <v>6203</v>
      </c>
    </row>
    <row r="6304" spans="1:1" x14ac:dyDescent="0.25">
      <c r="A6304" s="125" t="s">
        <v>6204</v>
      </c>
    </row>
    <row r="6305" spans="1:1" x14ac:dyDescent="0.25">
      <c r="A6305" s="124" t="s">
        <v>6205</v>
      </c>
    </row>
    <row r="6306" spans="1:1" x14ac:dyDescent="0.25">
      <c r="A6306" s="124" t="s">
        <v>6206</v>
      </c>
    </row>
    <row r="6307" spans="1:1" x14ac:dyDescent="0.25">
      <c r="A6307" s="125" t="s">
        <v>6207</v>
      </c>
    </row>
    <row r="6308" spans="1:1" x14ac:dyDescent="0.25">
      <c r="A6308" s="125" t="s">
        <v>6208</v>
      </c>
    </row>
    <row r="6309" spans="1:1" x14ac:dyDescent="0.25">
      <c r="A6309" s="125" t="s">
        <v>6209</v>
      </c>
    </row>
    <row r="6310" spans="1:1" x14ac:dyDescent="0.25">
      <c r="A6310" s="125" t="s">
        <v>6210</v>
      </c>
    </row>
    <row r="6311" spans="1:1" x14ac:dyDescent="0.25">
      <c r="A6311" s="124" t="s">
        <v>6211</v>
      </c>
    </row>
    <row r="6312" spans="1:1" x14ac:dyDescent="0.25">
      <c r="A6312" s="124" t="s">
        <v>6212</v>
      </c>
    </row>
    <row r="6313" spans="1:1" x14ac:dyDescent="0.25">
      <c r="A6313" s="125" t="s">
        <v>6213</v>
      </c>
    </row>
    <row r="6314" spans="1:1" x14ac:dyDescent="0.25">
      <c r="A6314" s="125" t="s">
        <v>6214</v>
      </c>
    </row>
    <row r="6315" spans="1:1" x14ac:dyDescent="0.25">
      <c r="A6315" s="125" t="s">
        <v>6215</v>
      </c>
    </row>
    <row r="6316" spans="1:1" x14ac:dyDescent="0.25">
      <c r="A6316" s="125" t="s">
        <v>6216</v>
      </c>
    </row>
    <row r="6317" spans="1:1" x14ac:dyDescent="0.25">
      <c r="A6317" s="124" t="s">
        <v>6217</v>
      </c>
    </row>
    <row r="6318" spans="1:1" x14ac:dyDescent="0.25">
      <c r="A6318" s="124" t="s">
        <v>6218</v>
      </c>
    </row>
    <row r="6319" spans="1:1" x14ac:dyDescent="0.25">
      <c r="A6319" s="125" t="s">
        <v>6219</v>
      </c>
    </row>
    <row r="6320" spans="1:1" x14ac:dyDescent="0.25">
      <c r="A6320" t="s">
        <v>6220</v>
      </c>
    </row>
    <row r="6321" spans="1:1" x14ac:dyDescent="0.25">
      <c r="A6321" t="s">
        <v>6221</v>
      </c>
    </row>
    <row r="6322" spans="1:1" x14ac:dyDescent="0.25">
      <c r="A6322" s="125" t="s">
        <v>6222</v>
      </c>
    </row>
    <row r="6323" spans="1:1" x14ac:dyDescent="0.25">
      <c r="A6323" s="125" t="s">
        <v>6223</v>
      </c>
    </row>
    <row r="6324" spans="1:1" x14ac:dyDescent="0.25">
      <c r="A6324" s="125" t="s">
        <v>6224</v>
      </c>
    </row>
    <row r="6325" spans="1:1" x14ac:dyDescent="0.25">
      <c r="A6325" s="124" t="s">
        <v>6225</v>
      </c>
    </row>
    <row r="6326" spans="1:1" x14ac:dyDescent="0.25">
      <c r="A6326" s="124" t="s">
        <v>6226</v>
      </c>
    </row>
    <row r="6327" spans="1:1" x14ac:dyDescent="0.25">
      <c r="A6327" s="125" t="s">
        <v>6227</v>
      </c>
    </row>
    <row r="6328" spans="1:1" x14ac:dyDescent="0.25">
      <c r="A6328" s="125" t="s">
        <v>6228</v>
      </c>
    </row>
    <row r="6329" spans="1:1" x14ac:dyDescent="0.25">
      <c r="A6329" s="125" t="s">
        <v>6229</v>
      </c>
    </row>
    <row r="6330" spans="1:1" x14ac:dyDescent="0.25">
      <c r="A6330" s="125" t="s">
        <v>6230</v>
      </c>
    </row>
    <row r="6331" spans="1:1" x14ac:dyDescent="0.25">
      <c r="A6331" s="124" t="s">
        <v>6231</v>
      </c>
    </row>
    <row r="6332" spans="1:1" x14ac:dyDescent="0.25">
      <c r="A6332" s="124" t="s">
        <v>6232</v>
      </c>
    </row>
    <row r="6333" spans="1:1" x14ac:dyDescent="0.25">
      <c r="A6333" s="125" t="s">
        <v>6233</v>
      </c>
    </row>
    <row r="6334" spans="1:1" x14ac:dyDescent="0.25">
      <c r="A6334" s="125" t="s">
        <v>6234</v>
      </c>
    </row>
    <row r="6335" spans="1:1" x14ac:dyDescent="0.25">
      <c r="A6335" s="125" t="s">
        <v>6235</v>
      </c>
    </row>
    <row r="6336" spans="1:1" x14ac:dyDescent="0.25">
      <c r="A6336" s="125" t="s">
        <v>6236</v>
      </c>
    </row>
    <row r="6337" spans="1:1" x14ac:dyDescent="0.25">
      <c r="A6337" s="124" t="s">
        <v>6237</v>
      </c>
    </row>
    <row r="6338" spans="1:1" x14ac:dyDescent="0.25">
      <c r="A6338" s="124" t="s">
        <v>6238</v>
      </c>
    </row>
    <row r="6339" spans="1:1" x14ac:dyDescent="0.25">
      <c r="A6339" s="125" t="s">
        <v>6239</v>
      </c>
    </row>
    <row r="6340" spans="1:1" x14ac:dyDescent="0.25">
      <c r="A6340" s="125" t="s">
        <v>6240</v>
      </c>
    </row>
    <row r="6341" spans="1:1" x14ac:dyDescent="0.25">
      <c r="A6341" s="125" t="s">
        <v>6241</v>
      </c>
    </row>
    <row r="6342" spans="1:1" x14ac:dyDescent="0.25">
      <c r="A6342" s="125" t="s">
        <v>6242</v>
      </c>
    </row>
    <row r="6343" spans="1:1" x14ac:dyDescent="0.25">
      <c r="A6343" s="124" t="s">
        <v>6243</v>
      </c>
    </row>
    <row r="6344" spans="1:1" x14ac:dyDescent="0.25">
      <c r="A6344" s="124" t="s">
        <v>6244</v>
      </c>
    </row>
    <row r="6345" spans="1:1" x14ac:dyDescent="0.25">
      <c r="A6345" s="125" t="s">
        <v>6245</v>
      </c>
    </row>
    <row r="6346" spans="1:1" x14ac:dyDescent="0.25">
      <c r="A6346" s="125" t="s">
        <v>6246</v>
      </c>
    </row>
    <row r="6347" spans="1:1" x14ac:dyDescent="0.25">
      <c r="A6347" s="125" t="s">
        <v>6247</v>
      </c>
    </row>
    <row r="6348" spans="1:1" x14ac:dyDescent="0.25">
      <c r="A6348" s="125" t="s">
        <v>6248</v>
      </c>
    </row>
    <row r="6349" spans="1:1" x14ac:dyDescent="0.25">
      <c r="A6349" s="124" t="s">
        <v>6249</v>
      </c>
    </row>
    <row r="6350" spans="1:1" x14ac:dyDescent="0.25">
      <c r="A6350" s="124" t="s">
        <v>6250</v>
      </c>
    </row>
    <row r="6351" spans="1:1" x14ac:dyDescent="0.25">
      <c r="A6351" s="125" t="s">
        <v>6251</v>
      </c>
    </row>
    <row r="6352" spans="1:1" x14ac:dyDescent="0.25">
      <c r="A6352" s="124" t="s">
        <v>6252</v>
      </c>
    </row>
    <row r="6353" spans="1:1" x14ac:dyDescent="0.25">
      <c r="A6353" s="124" t="s">
        <v>6253</v>
      </c>
    </row>
    <row r="6354" spans="1:1" x14ac:dyDescent="0.25">
      <c r="A6354" t="s">
        <v>6254</v>
      </c>
    </row>
    <row r="6355" spans="1:1" x14ac:dyDescent="0.25">
      <c r="A6355" s="124" t="s">
        <v>6255</v>
      </c>
    </row>
    <row r="6356" spans="1:1" x14ac:dyDescent="0.25">
      <c r="A6356" s="27" t="s">
        <v>6256</v>
      </c>
    </row>
    <row r="6357" spans="1:1" x14ac:dyDescent="0.25">
      <c r="A6357" s="125" t="s">
        <v>6257</v>
      </c>
    </row>
    <row r="6358" spans="1:1" x14ac:dyDescent="0.25">
      <c r="A6358" s="124" t="s">
        <v>6258</v>
      </c>
    </row>
    <row r="6359" spans="1:1" x14ac:dyDescent="0.25">
      <c r="A6359" t="s">
        <v>6259</v>
      </c>
    </row>
    <row r="6360" spans="1:1" x14ac:dyDescent="0.25">
      <c r="A6360" s="125" t="s">
        <v>6260</v>
      </c>
    </row>
    <row r="6361" spans="1:1" x14ac:dyDescent="0.25">
      <c r="A6361" s="125" t="s">
        <v>6261</v>
      </c>
    </row>
    <row r="6362" spans="1:1" x14ac:dyDescent="0.25">
      <c r="A6362" s="27" t="s">
        <v>6262</v>
      </c>
    </row>
    <row r="6363" spans="1:1" x14ac:dyDescent="0.25">
      <c r="A6363" s="27" t="s">
        <v>6263</v>
      </c>
    </row>
    <row r="6364" spans="1:1" x14ac:dyDescent="0.25">
      <c r="A6364" s="27" t="s">
        <v>6264</v>
      </c>
    </row>
    <row r="6365" spans="1:1" x14ac:dyDescent="0.25">
      <c r="A6365" t="s">
        <v>6265</v>
      </c>
    </row>
    <row r="6366" spans="1:1" ht="255" x14ac:dyDescent="0.25">
      <c r="A6366" s="126" t="s">
        <v>6266</v>
      </c>
    </row>
    <row r="6367" spans="1:1" ht="270" x14ac:dyDescent="0.25">
      <c r="A6367" s="126" t="s">
        <v>6267</v>
      </c>
    </row>
    <row r="6368" spans="1:1" x14ac:dyDescent="0.25">
      <c r="A6368" s="124" t="s">
        <v>6268</v>
      </c>
    </row>
    <row r="6369" spans="1:1" x14ac:dyDescent="0.25">
      <c r="A6369" t="s">
        <v>6269</v>
      </c>
    </row>
    <row r="6370" spans="1:1" x14ac:dyDescent="0.25">
      <c r="A6370" s="125" t="s">
        <v>6270</v>
      </c>
    </row>
    <row r="6371" spans="1:1" x14ac:dyDescent="0.25">
      <c r="A6371" s="124" t="s">
        <v>6271</v>
      </c>
    </row>
    <row r="6372" spans="1:1" x14ac:dyDescent="0.25">
      <c r="A6372" t="s">
        <v>6272</v>
      </c>
    </row>
    <row r="6373" spans="1:1" x14ac:dyDescent="0.25">
      <c r="A6373" s="125" t="s">
        <v>6273</v>
      </c>
    </row>
    <row r="6374" spans="1:1" x14ac:dyDescent="0.25">
      <c r="A6374" s="125" t="s">
        <v>6274</v>
      </c>
    </row>
    <row r="6375" spans="1:1" x14ac:dyDescent="0.25">
      <c r="A6375" s="124" t="s">
        <v>6275</v>
      </c>
    </row>
    <row r="6376" spans="1:1" x14ac:dyDescent="0.25">
      <c r="A6376" t="s">
        <v>6276</v>
      </c>
    </row>
    <row r="6377" spans="1:1" x14ac:dyDescent="0.25">
      <c r="A6377" s="125" t="s">
        <v>6277</v>
      </c>
    </row>
    <row r="6378" spans="1:1" x14ac:dyDescent="0.25">
      <c r="A6378" s="124" t="s">
        <v>6278</v>
      </c>
    </row>
    <row r="6379" spans="1:1" x14ac:dyDescent="0.25">
      <c r="A6379" t="s">
        <v>6279</v>
      </c>
    </row>
    <row r="6380" spans="1:1" x14ac:dyDescent="0.25">
      <c r="A6380" s="125" t="s">
        <v>6280</v>
      </c>
    </row>
    <row r="6381" spans="1:1" x14ac:dyDescent="0.25">
      <c r="A6381" s="125" t="s">
        <v>6281</v>
      </c>
    </row>
    <row r="6382" spans="1:1" x14ac:dyDescent="0.25">
      <c r="A6382" t="s">
        <v>6282</v>
      </c>
    </row>
    <row r="6383" spans="1:1" x14ac:dyDescent="0.25">
      <c r="A6383" t="s">
        <v>6283</v>
      </c>
    </row>
    <row r="6384" spans="1:1" x14ac:dyDescent="0.25">
      <c r="A6384" s="124" t="s">
        <v>6284</v>
      </c>
    </row>
    <row r="6385" spans="1:1" x14ac:dyDescent="0.25">
      <c r="A6385" s="124" t="s">
        <v>6285</v>
      </c>
    </row>
    <row r="6386" spans="1:1" x14ac:dyDescent="0.25">
      <c r="A6386" t="s">
        <v>6286</v>
      </c>
    </row>
    <row r="6387" spans="1:1" x14ac:dyDescent="0.25">
      <c r="A6387" s="124" t="s">
        <v>6287</v>
      </c>
    </row>
    <row r="6388" spans="1:1" x14ac:dyDescent="0.25">
      <c r="A6388" s="27" t="s">
        <v>6288</v>
      </c>
    </row>
    <row r="6389" spans="1:1" x14ac:dyDescent="0.25">
      <c r="A6389" s="125" t="s">
        <v>6289</v>
      </c>
    </row>
    <row r="6390" spans="1:1" x14ac:dyDescent="0.25">
      <c r="A6390" s="124" t="s">
        <v>6290</v>
      </c>
    </row>
    <row r="6391" spans="1:1" x14ac:dyDescent="0.25">
      <c r="A6391" t="s">
        <v>6291</v>
      </c>
    </row>
    <row r="6392" spans="1:1" x14ac:dyDescent="0.25">
      <c r="A6392" s="125" t="s">
        <v>6292</v>
      </c>
    </row>
    <row r="6393" spans="1:1" x14ac:dyDescent="0.25">
      <c r="A6393" s="125" t="s">
        <v>6293</v>
      </c>
    </row>
    <row r="6394" spans="1:1" x14ac:dyDescent="0.25">
      <c r="A6394" s="27" t="s">
        <v>6294</v>
      </c>
    </row>
    <row r="6395" spans="1:1" x14ac:dyDescent="0.25">
      <c r="A6395" s="27" t="s">
        <v>6295</v>
      </c>
    </row>
    <row r="6396" spans="1:1" x14ac:dyDescent="0.25">
      <c r="A6396" s="27" t="s">
        <v>6296</v>
      </c>
    </row>
    <row r="6397" spans="1:1" x14ac:dyDescent="0.25">
      <c r="A6397" t="s">
        <v>6297</v>
      </c>
    </row>
    <row r="6398" spans="1:1" ht="255" x14ac:dyDescent="0.25">
      <c r="A6398" s="126" t="s">
        <v>6298</v>
      </c>
    </row>
    <row r="6399" spans="1:1" ht="270" x14ac:dyDescent="0.25">
      <c r="A6399" s="126" t="s">
        <v>6299</v>
      </c>
    </row>
    <row r="6400" spans="1:1" x14ac:dyDescent="0.25">
      <c r="A6400" s="124" t="s">
        <v>6300</v>
      </c>
    </row>
    <row r="6401" spans="1:1" x14ac:dyDescent="0.25">
      <c r="A6401" t="s">
        <v>6301</v>
      </c>
    </row>
    <row r="6402" spans="1:1" x14ac:dyDescent="0.25">
      <c r="A6402" s="125" t="s">
        <v>6302</v>
      </c>
    </row>
    <row r="6403" spans="1:1" x14ac:dyDescent="0.25">
      <c r="A6403" s="124" t="s">
        <v>6303</v>
      </c>
    </row>
    <row r="6404" spans="1:1" x14ac:dyDescent="0.25">
      <c r="A6404" t="s">
        <v>6304</v>
      </c>
    </row>
    <row r="6405" spans="1:1" x14ac:dyDescent="0.25">
      <c r="A6405" s="125" t="s">
        <v>6305</v>
      </c>
    </row>
    <row r="6406" spans="1:1" x14ac:dyDescent="0.25">
      <c r="A6406" s="125" t="s">
        <v>6306</v>
      </c>
    </row>
    <row r="6407" spans="1:1" x14ac:dyDescent="0.25">
      <c r="A6407" s="124" t="s">
        <v>6307</v>
      </c>
    </row>
    <row r="6408" spans="1:1" x14ac:dyDescent="0.25">
      <c r="A6408" t="s">
        <v>6308</v>
      </c>
    </row>
    <row r="6409" spans="1:1" x14ac:dyDescent="0.25">
      <c r="A6409" s="125" t="s">
        <v>6309</v>
      </c>
    </row>
    <row r="6410" spans="1:1" x14ac:dyDescent="0.25">
      <c r="A6410" s="124" t="s">
        <v>6310</v>
      </c>
    </row>
    <row r="6411" spans="1:1" x14ac:dyDescent="0.25">
      <c r="A6411" t="s">
        <v>6311</v>
      </c>
    </row>
    <row r="6412" spans="1:1" x14ac:dyDescent="0.25">
      <c r="A6412" s="125" t="s">
        <v>6312</v>
      </c>
    </row>
    <row r="6413" spans="1:1" x14ac:dyDescent="0.25">
      <c r="A6413" s="125" t="s">
        <v>6313</v>
      </c>
    </row>
    <row r="6414" spans="1:1" x14ac:dyDescent="0.25">
      <c r="A6414" t="s">
        <v>6314</v>
      </c>
    </row>
    <row r="6415" spans="1:1" x14ac:dyDescent="0.25">
      <c r="A6415" t="s">
        <v>6315</v>
      </c>
    </row>
    <row r="6416" spans="1:1" x14ac:dyDescent="0.25">
      <c r="A6416" t="s">
        <v>6316</v>
      </c>
    </row>
    <row r="6417" spans="1:1" x14ac:dyDescent="0.25">
      <c r="A6417" s="124" t="s">
        <v>6317</v>
      </c>
    </row>
    <row r="6418" spans="1:1" x14ac:dyDescent="0.25">
      <c r="A6418" s="124" t="s">
        <v>6318</v>
      </c>
    </row>
    <row r="6419" spans="1:1" x14ac:dyDescent="0.25">
      <c r="A6419" t="s">
        <v>6319</v>
      </c>
    </row>
    <row r="6420" spans="1:1" x14ac:dyDescent="0.25">
      <c r="A6420" s="124" t="s">
        <v>6320</v>
      </c>
    </row>
    <row r="6421" spans="1:1" x14ac:dyDescent="0.25">
      <c r="A6421" s="27" t="s">
        <v>6321</v>
      </c>
    </row>
    <row r="6422" spans="1:1" x14ac:dyDescent="0.25">
      <c r="A6422" s="125" t="s">
        <v>6322</v>
      </c>
    </row>
    <row r="6423" spans="1:1" x14ac:dyDescent="0.25">
      <c r="A6423" s="124" t="s">
        <v>6323</v>
      </c>
    </row>
    <row r="6424" spans="1:1" x14ac:dyDescent="0.25">
      <c r="A6424" t="s">
        <v>6324</v>
      </c>
    </row>
    <row r="6425" spans="1:1" x14ac:dyDescent="0.25">
      <c r="A6425" s="125" t="s">
        <v>6325</v>
      </c>
    </row>
    <row r="6426" spans="1:1" x14ac:dyDescent="0.25">
      <c r="A6426" s="125" t="s">
        <v>6326</v>
      </c>
    </row>
    <row r="6427" spans="1:1" x14ac:dyDescent="0.25">
      <c r="A6427" s="27" t="s">
        <v>6327</v>
      </c>
    </row>
    <row r="6428" spans="1:1" x14ac:dyDescent="0.25">
      <c r="A6428" s="27" t="s">
        <v>6328</v>
      </c>
    </row>
    <row r="6429" spans="1:1" x14ac:dyDescent="0.25">
      <c r="A6429" s="27" t="s">
        <v>6329</v>
      </c>
    </row>
    <row r="6430" spans="1:1" x14ac:dyDescent="0.25">
      <c r="A6430" t="s">
        <v>6330</v>
      </c>
    </row>
    <row r="6431" spans="1:1" ht="255" x14ac:dyDescent="0.25">
      <c r="A6431" s="126" t="s">
        <v>6331</v>
      </c>
    </row>
    <row r="6432" spans="1:1" ht="270" x14ac:dyDescent="0.25">
      <c r="A6432" s="126" t="s">
        <v>6332</v>
      </c>
    </row>
    <row r="6433" spans="1:1" x14ac:dyDescent="0.25">
      <c r="A6433" s="124" t="s">
        <v>6333</v>
      </c>
    </row>
    <row r="6434" spans="1:1" x14ac:dyDescent="0.25">
      <c r="A6434" t="s">
        <v>6334</v>
      </c>
    </row>
    <row r="6435" spans="1:1" x14ac:dyDescent="0.25">
      <c r="A6435" s="125" t="s">
        <v>6335</v>
      </c>
    </row>
    <row r="6436" spans="1:1" x14ac:dyDescent="0.25">
      <c r="A6436" s="124" t="s">
        <v>6336</v>
      </c>
    </row>
    <row r="6437" spans="1:1" x14ac:dyDescent="0.25">
      <c r="A6437" t="s">
        <v>6337</v>
      </c>
    </row>
    <row r="6438" spans="1:1" x14ac:dyDescent="0.25">
      <c r="A6438" s="125" t="s">
        <v>6338</v>
      </c>
    </row>
    <row r="6439" spans="1:1" x14ac:dyDescent="0.25">
      <c r="A6439" s="125" t="s">
        <v>6339</v>
      </c>
    </row>
    <row r="6440" spans="1:1" x14ac:dyDescent="0.25">
      <c r="A6440" s="124" t="s">
        <v>6340</v>
      </c>
    </row>
    <row r="6441" spans="1:1" x14ac:dyDescent="0.25">
      <c r="A6441" t="s">
        <v>6341</v>
      </c>
    </row>
    <row r="6442" spans="1:1" x14ac:dyDescent="0.25">
      <c r="A6442" s="125" t="s">
        <v>6342</v>
      </c>
    </row>
    <row r="6443" spans="1:1" x14ac:dyDescent="0.25">
      <c r="A6443" s="124" t="s">
        <v>6343</v>
      </c>
    </row>
    <row r="6444" spans="1:1" x14ac:dyDescent="0.25">
      <c r="A6444" t="s">
        <v>6344</v>
      </c>
    </row>
    <row r="6445" spans="1:1" x14ac:dyDescent="0.25">
      <c r="A6445" s="125" t="s">
        <v>6345</v>
      </c>
    </row>
    <row r="6446" spans="1:1" x14ac:dyDescent="0.25">
      <c r="A6446" s="125" t="s">
        <v>6346</v>
      </c>
    </row>
    <row r="6447" spans="1:1" x14ac:dyDescent="0.25">
      <c r="A6447" t="s">
        <v>6347</v>
      </c>
    </row>
    <row r="6448" spans="1:1" x14ac:dyDescent="0.25">
      <c r="A6448" t="s">
        <v>6348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1116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7" t="s">
        <v>57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0" t="s">
        <v>26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21"/>
      <c r="M2" s="122" t="s">
        <v>27</v>
      </c>
      <c r="N2" s="122"/>
      <c r="O2" s="122"/>
      <c r="P2" s="122"/>
      <c r="Q2" s="122"/>
      <c r="R2" s="122" t="s">
        <v>28</v>
      </c>
      <c r="S2" s="122"/>
      <c r="T2" s="122"/>
      <c r="U2" s="122"/>
      <c r="V2" s="122"/>
      <c r="W2" s="122"/>
      <c r="X2" s="122"/>
      <c r="Y2" s="99" t="s">
        <v>41</v>
      </c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23"/>
      <c r="AM2" s="123"/>
      <c r="AN2" s="123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>
        <v>1289</v>
      </c>
      <c r="S4" s="2"/>
      <c r="T4" s="2">
        <v>0</v>
      </c>
      <c r="U4" s="2">
        <v>0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1"/>
      <c r="Q5" s="16"/>
      <c r="R5" s="2">
        <v>1289</v>
      </c>
      <c r="S5" s="2" t="s">
        <v>194</v>
      </c>
      <c r="T5" s="2">
        <v>0</v>
      </c>
      <c r="U5" s="2">
        <v>24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1"/>
      <c r="Q6" s="16"/>
      <c r="R6" s="2">
        <v>1289</v>
      </c>
      <c r="S6" s="2" t="s">
        <v>196</v>
      </c>
      <c r="T6" s="2">
        <v>0</v>
      </c>
      <c r="U6" s="2">
        <v>24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1"/>
      <c r="Q7" s="16"/>
      <c r="R7" s="2">
        <v>1289</v>
      </c>
      <c r="S7" s="2" t="s">
        <v>201</v>
      </c>
      <c r="T7" s="2">
        <v>0</v>
      </c>
      <c r="U7" s="2">
        <v>24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181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1290</v>
      </c>
      <c r="S8" s="2" t="s">
        <v>214</v>
      </c>
      <c r="T8" s="2">
        <v>0</v>
      </c>
      <c r="U8" s="2">
        <v>25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181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1290</v>
      </c>
      <c r="S9" s="2" t="s">
        <v>214</v>
      </c>
      <c r="T9" s="2">
        <v>0</v>
      </c>
      <c r="U9" s="2">
        <v>25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181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1290</v>
      </c>
      <c r="S10" s="2" t="s">
        <v>194</v>
      </c>
      <c r="T10" s="2">
        <v>0</v>
      </c>
      <c r="U10" s="2">
        <v>25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181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1290</v>
      </c>
      <c r="S11" s="2" t="s">
        <v>194</v>
      </c>
      <c r="T11" s="2">
        <v>0</v>
      </c>
      <c r="U11" s="2">
        <v>25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181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1290</v>
      </c>
      <c r="S12" s="2" t="s">
        <v>194</v>
      </c>
      <c r="T12" s="2">
        <v>0</v>
      </c>
      <c r="U12" s="2">
        <v>25</v>
      </c>
      <c r="V12" s="2">
        <v>0</v>
      </c>
      <c r="W12" s="2">
        <v>0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181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1291</v>
      </c>
      <c r="S13" s="2" t="s">
        <v>214</v>
      </c>
      <c r="T13" s="2">
        <v>0</v>
      </c>
      <c r="U13" s="2">
        <v>27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181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1290</v>
      </c>
      <c r="S14" s="2" t="s">
        <v>196</v>
      </c>
      <c r="T14" s="2">
        <v>0</v>
      </c>
      <c r="U14" s="2">
        <v>25</v>
      </c>
      <c r="V14" s="2">
        <v>0</v>
      </c>
      <c r="W14" s="2">
        <v>0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181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1290</v>
      </c>
      <c r="S15" s="2" t="s">
        <v>201</v>
      </c>
      <c r="T15" s="2">
        <v>0</v>
      </c>
      <c r="U15" s="2">
        <v>25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181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1291</v>
      </c>
      <c r="S16" s="2" t="s">
        <v>214</v>
      </c>
      <c r="T16" s="2">
        <v>0</v>
      </c>
      <c r="U16" s="2">
        <v>27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181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1291</v>
      </c>
      <c r="S17" s="2" t="s">
        <v>194</v>
      </c>
      <c r="T17" s="2">
        <v>0</v>
      </c>
      <c r="U17" s="2">
        <v>27</v>
      </c>
      <c r="V17" s="2">
        <v>0</v>
      </c>
      <c r="W17" s="2">
        <v>0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181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1291</v>
      </c>
      <c r="S18" s="2" t="s">
        <v>194</v>
      </c>
      <c r="T18" s="2">
        <v>0</v>
      </c>
      <c r="U18" s="2">
        <v>27</v>
      </c>
      <c r="V18" s="2">
        <v>0</v>
      </c>
      <c r="W18" s="2">
        <v>0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181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1291</v>
      </c>
      <c r="S19" s="2" t="s">
        <v>194</v>
      </c>
      <c r="T19" s="2">
        <v>0</v>
      </c>
      <c r="U19" s="2">
        <v>27</v>
      </c>
      <c r="V19" s="2">
        <v>0</v>
      </c>
      <c r="W19" s="2">
        <v>0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181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1292</v>
      </c>
      <c r="S20" s="2" t="s">
        <v>214</v>
      </c>
      <c r="T20" s="2">
        <v>0</v>
      </c>
      <c r="U20" s="2">
        <v>-26</v>
      </c>
      <c r="V20" s="2">
        <v>0</v>
      </c>
      <c r="W20" s="2">
        <v>0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181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1293</v>
      </c>
      <c r="S21" s="2" t="s">
        <v>214</v>
      </c>
      <c r="T21" s="2">
        <v>0</v>
      </c>
      <c r="U21" s="2">
        <v>25</v>
      </c>
      <c r="V21" s="2">
        <v>0</v>
      </c>
      <c r="W21" s="2">
        <v>0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181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1292</v>
      </c>
      <c r="S22" s="2" t="s">
        <v>214</v>
      </c>
      <c r="T22" s="2">
        <v>0</v>
      </c>
      <c r="U22" s="2">
        <v>-26</v>
      </c>
      <c r="V22" s="2">
        <v>0</v>
      </c>
      <c r="W22" s="2">
        <v>0</v>
      </c>
      <c r="X22" s="2">
        <v>0</v>
      </c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181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1292</v>
      </c>
      <c r="S23" s="2" t="s">
        <v>194</v>
      </c>
      <c r="T23" s="2">
        <v>0</v>
      </c>
      <c r="U23" s="2">
        <v>26</v>
      </c>
      <c r="V23" s="2">
        <v>0</v>
      </c>
      <c r="W23" s="2">
        <v>0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181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1292</v>
      </c>
      <c r="S24" s="2" t="s">
        <v>194</v>
      </c>
      <c r="T24" s="2">
        <v>0</v>
      </c>
      <c r="U24" s="2">
        <v>26</v>
      </c>
      <c r="V24" s="2">
        <v>0</v>
      </c>
      <c r="W24" s="2">
        <v>0</v>
      </c>
      <c r="X24" s="2">
        <v>0</v>
      </c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181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1292</v>
      </c>
      <c r="S25" s="2" t="s">
        <v>194</v>
      </c>
      <c r="T25" s="2">
        <v>0</v>
      </c>
      <c r="U25" s="2">
        <v>26</v>
      </c>
      <c r="V25" s="2">
        <v>0</v>
      </c>
      <c r="W25" s="2">
        <v>0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181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1291</v>
      </c>
      <c r="S26" s="2" t="s">
        <v>196</v>
      </c>
      <c r="T26" s="2">
        <v>0</v>
      </c>
      <c r="U26" s="2">
        <v>27</v>
      </c>
      <c r="V26" s="2">
        <v>0</v>
      </c>
      <c r="W26" s="2">
        <v>0</v>
      </c>
      <c r="X26" s="2">
        <v>0</v>
      </c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181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1291</v>
      </c>
      <c r="S27" s="2" t="s">
        <v>201</v>
      </c>
      <c r="T27" s="2">
        <v>0</v>
      </c>
      <c r="U27" s="2">
        <v>27</v>
      </c>
      <c r="V27" s="2">
        <v>0</v>
      </c>
      <c r="W27" s="2">
        <v>0</v>
      </c>
      <c r="X27" s="2">
        <v>0</v>
      </c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181</v>
      </c>
      <c r="K28" s="2" t="s">
        <v>25</v>
      </c>
      <c r="L28" s="2">
        <v>132757294</v>
      </c>
      <c r="M28" s="16"/>
      <c r="N28" s="16"/>
      <c r="O28" s="16"/>
      <c r="P28" s="21"/>
      <c r="Q28" s="16"/>
      <c r="R28" s="2">
        <v>1294</v>
      </c>
      <c r="S28" s="2" t="s">
        <v>214</v>
      </c>
      <c r="T28" s="2">
        <v>0</v>
      </c>
      <c r="U28" s="2">
        <v>25</v>
      </c>
      <c r="V28" s="2">
        <v>0</v>
      </c>
      <c r="W28" s="2">
        <v>0</v>
      </c>
      <c r="X28" s="2">
        <v>0</v>
      </c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181</v>
      </c>
      <c r="K29" s="2" t="s">
        <v>25</v>
      </c>
      <c r="L29" s="2">
        <v>132757294</v>
      </c>
      <c r="M29" s="16"/>
      <c r="N29" s="16"/>
      <c r="O29" s="16"/>
      <c r="P29" s="21"/>
      <c r="Q29" s="16"/>
      <c r="R29" s="2">
        <v>1293</v>
      </c>
      <c r="S29" s="2" t="s">
        <v>214</v>
      </c>
      <c r="T29" s="2">
        <v>0</v>
      </c>
      <c r="U29" s="2">
        <v>25</v>
      </c>
      <c r="V29" s="2">
        <v>0</v>
      </c>
      <c r="W29" s="2">
        <v>0</v>
      </c>
      <c r="X29" s="2">
        <v>0</v>
      </c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181</v>
      </c>
      <c r="K30" s="2" t="s">
        <v>25</v>
      </c>
      <c r="L30" s="2">
        <v>132757294</v>
      </c>
      <c r="M30" s="16"/>
      <c r="N30" s="16"/>
      <c r="O30" s="16"/>
      <c r="P30" s="21"/>
      <c r="Q30" s="16"/>
      <c r="R30" s="2">
        <v>1293</v>
      </c>
      <c r="S30" s="2" t="s">
        <v>194</v>
      </c>
      <c r="T30" s="2">
        <v>0</v>
      </c>
      <c r="U30" s="2">
        <v>25</v>
      </c>
      <c r="V30" s="2">
        <v>0</v>
      </c>
      <c r="W30" s="2">
        <v>0</v>
      </c>
      <c r="X30" s="2">
        <v>0</v>
      </c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181</v>
      </c>
      <c r="K31" s="2" t="s">
        <v>25</v>
      </c>
      <c r="L31" s="2">
        <v>132757294</v>
      </c>
      <c r="M31" s="16"/>
      <c r="N31" s="16"/>
      <c r="O31" s="16"/>
      <c r="P31" s="21"/>
      <c r="Q31" s="16"/>
      <c r="R31" s="2">
        <v>1292</v>
      </c>
      <c r="S31" s="2" t="s">
        <v>196</v>
      </c>
      <c r="T31" s="2">
        <v>0</v>
      </c>
      <c r="U31" s="2">
        <v>26</v>
      </c>
      <c r="V31" s="2">
        <v>0</v>
      </c>
      <c r="W31" s="2">
        <v>0</v>
      </c>
      <c r="X31" s="2">
        <v>0</v>
      </c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181</v>
      </c>
      <c r="K32" s="2" t="s">
        <v>25</v>
      </c>
      <c r="L32" s="2">
        <v>132757294</v>
      </c>
      <c r="M32" s="16"/>
      <c r="N32" s="16"/>
      <c r="O32" s="16"/>
      <c r="P32" s="21"/>
      <c r="Q32" s="16"/>
      <c r="R32" s="2">
        <v>1292</v>
      </c>
      <c r="S32" s="2" t="s">
        <v>201</v>
      </c>
      <c r="T32" s="2">
        <v>0</v>
      </c>
      <c r="U32" s="2">
        <v>26</v>
      </c>
      <c r="V32" s="2">
        <v>0</v>
      </c>
      <c r="W32" s="2">
        <v>0</v>
      </c>
      <c r="X32" s="2">
        <v>0</v>
      </c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181</v>
      </c>
      <c r="K33" s="2" t="s">
        <v>25</v>
      </c>
      <c r="L33" s="2">
        <v>132757294</v>
      </c>
      <c r="M33" s="16"/>
      <c r="N33" s="16"/>
      <c r="O33" s="16"/>
      <c r="P33" s="21"/>
      <c r="Q33" s="16"/>
      <c r="R33" s="2">
        <v>1293</v>
      </c>
      <c r="S33" s="2" t="s">
        <v>194</v>
      </c>
      <c r="T33" s="2">
        <v>0</v>
      </c>
      <c r="U33" s="2">
        <v>25</v>
      </c>
      <c r="V33" s="2">
        <v>0</v>
      </c>
      <c r="W33" s="2">
        <v>0</v>
      </c>
      <c r="X33" s="2">
        <v>0</v>
      </c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181</v>
      </c>
      <c r="K34" s="2" t="s">
        <v>25</v>
      </c>
      <c r="L34" s="2">
        <v>132757294</v>
      </c>
      <c r="M34" s="16"/>
      <c r="N34" s="16"/>
      <c r="O34" s="16"/>
      <c r="P34" s="21"/>
      <c r="Q34" s="16"/>
      <c r="R34" s="2">
        <v>1293</v>
      </c>
      <c r="S34" s="2" t="s">
        <v>194</v>
      </c>
      <c r="T34" s="2">
        <v>0</v>
      </c>
      <c r="U34" s="2">
        <v>25</v>
      </c>
      <c r="V34" s="2">
        <v>0</v>
      </c>
      <c r="W34" s="2">
        <v>0</v>
      </c>
      <c r="X34" s="2">
        <v>0</v>
      </c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181</v>
      </c>
      <c r="K35" s="2" t="s">
        <v>25</v>
      </c>
      <c r="L35" s="2">
        <v>132757294</v>
      </c>
      <c r="M35" s="16"/>
      <c r="N35" s="16"/>
      <c r="O35" s="16"/>
      <c r="P35" s="21"/>
      <c r="Q35" s="16"/>
      <c r="R35" s="2">
        <v>1293</v>
      </c>
      <c r="S35" s="2" t="s">
        <v>196</v>
      </c>
      <c r="T35" s="2">
        <v>0</v>
      </c>
      <c r="U35" s="2">
        <v>25</v>
      </c>
      <c r="V35" s="2">
        <v>0</v>
      </c>
      <c r="W35" s="2">
        <v>0</v>
      </c>
      <c r="X35" s="2">
        <v>0</v>
      </c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181</v>
      </c>
      <c r="K36" s="2" t="s">
        <v>25</v>
      </c>
      <c r="L36" s="2">
        <v>132757294</v>
      </c>
      <c r="M36" s="16"/>
      <c r="N36" s="16"/>
      <c r="O36" s="16"/>
      <c r="P36" s="21"/>
      <c r="Q36" s="16"/>
      <c r="R36" s="2">
        <v>1293</v>
      </c>
      <c r="S36" s="2" t="s">
        <v>201</v>
      </c>
      <c r="T36" s="2">
        <v>0</v>
      </c>
      <c r="U36" s="2">
        <v>25</v>
      </c>
      <c r="V36" s="2">
        <v>0</v>
      </c>
      <c r="W36" s="2">
        <v>0</v>
      </c>
      <c r="X36" s="2">
        <v>0</v>
      </c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181</v>
      </c>
      <c r="K37" s="2" t="s">
        <v>25</v>
      </c>
      <c r="L37" s="2">
        <v>132757294</v>
      </c>
      <c r="M37" s="16"/>
      <c r="N37" s="16"/>
      <c r="O37" s="16"/>
      <c r="P37" s="21"/>
      <c r="Q37" s="16"/>
      <c r="R37" s="2">
        <v>1294</v>
      </c>
      <c r="S37" s="2" t="s">
        <v>214</v>
      </c>
      <c r="T37" s="2">
        <v>0</v>
      </c>
      <c r="U37" s="2">
        <v>25</v>
      </c>
      <c r="V37" s="2">
        <v>0</v>
      </c>
      <c r="W37" s="2">
        <v>0</v>
      </c>
      <c r="X37" s="2">
        <v>0</v>
      </c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181</v>
      </c>
      <c r="K38" s="2" t="s">
        <v>25</v>
      </c>
      <c r="L38" s="2">
        <v>132757294</v>
      </c>
      <c r="M38" s="16"/>
      <c r="N38" s="16"/>
      <c r="O38" s="16"/>
      <c r="P38" s="21"/>
      <c r="Q38" s="16"/>
      <c r="R38" s="2">
        <v>1294</v>
      </c>
      <c r="S38" s="2" t="s">
        <v>194</v>
      </c>
      <c r="T38" s="2">
        <v>0</v>
      </c>
      <c r="U38" s="2">
        <v>25</v>
      </c>
      <c r="V38" s="2">
        <v>0</v>
      </c>
      <c r="W38" s="2">
        <v>0</v>
      </c>
      <c r="X38" s="2">
        <v>0</v>
      </c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181</v>
      </c>
      <c r="K39" s="2" t="s">
        <v>25</v>
      </c>
      <c r="L39" s="2">
        <v>132757294</v>
      </c>
      <c r="M39" s="16"/>
      <c r="N39" s="16"/>
      <c r="O39" s="16"/>
      <c r="P39" s="21"/>
      <c r="Q39" s="16"/>
      <c r="R39" s="2">
        <v>1294</v>
      </c>
      <c r="S39" s="2" t="s">
        <v>194</v>
      </c>
      <c r="T39" s="2">
        <v>0</v>
      </c>
      <c r="U39" s="2">
        <v>25</v>
      </c>
      <c r="V39" s="2">
        <v>0</v>
      </c>
      <c r="W39" s="2">
        <v>0</v>
      </c>
      <c r="X39" s="2">
        <v>0</v>
      </c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 t="s">
        <v>15</v>
      </c>
      <c r="B40" s="2" t="s">
        <v>24</v>
      </c>
      <c r="C40" s="2">
        <v>20150316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181</v>
      </c>
      <c r="K40" s="2" t="s">
        <v>25</v>
      </c>
      <c r="L40" s="2">
        <v>132757294</v>
      </c>
      <c r="M40" s="16"/>
      <c r="N40" s="16"/>
      <c r="O40" s="16"/>
      <c r="P40" s="21"/>
      <c r="Q40" s="16"/>
      <c r="R40" s="2">
        <v>1294</v>
      </c>
      <c r="S40" s="2" t="s">
        <v>194</v>
      </c>
      <c r="T40" s="2">
        <v>0</v>
      </c>
      <c r="U40" s="2">
        <v>25</v>
      </c>
      <c r="V40" s="2">
        <v>0</v>
      </c>
      <c r="W40" s="2">
        <v>0</v>
      </c>
      <c r="X40" s="2">
        <v>0</v>
      </c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20150316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181</v>
      </c>
      <c r="K41" s="2" t="s">
        <v>25</v>
      </c>
      <c r="L41" s="2">
        <v>132757294</v>
      </c>
      <c r="M41" s="16"/>
      <c r="N41" s="16"/>
      <c r="O41" s="16"/>
      <c r="P41" s="21"/>
      <c r="Q41" s="16"/>
      <c r="R41" s="2">
        <v>1295</v>
      </c>
      <c r="S41" s="2" t="s">
        <v>214</v>
      </c>
      <c r="T41" s="2">
        <v>0</v>
      </c>
      <c r="U41" s="2">
        <v>-24</v>
      </c>
      <c r="V41" s="2">
        <v>0</v>
      </c>
      <c r="W41" s="2">
        <v>0</v>
      </c>
      <c r="X41" s="2">
        <v>0</v>
      </c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 t="s">
        <v>15</v>
      </c>
      <c r="B42" s="2" t="s">
        <v>24</v>
      </c>
      <c r="C42" s="2">
        <v>20150316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181</v>
      </c>
      <c r="K42" s="2" t="s">
        <v>25</v>
      </c>
      <c r="L42" s="2">
        <v>132757294</v>
      </c>
      <c r="M42" s="16"/>
      <c r="N42" s="16"/>
      <c r="O42" s="16"/>
      <c r="P42" s="21"/>
      <c r="Q42" s="16"/>
      <c r="R42" s="2">
        <v>1295</v>
      </c>
      <c r="S42" s="2" t="s">
        <v>214</v>
      </c>
      <c r="T42" s="2">
        <v>0</v>
      </c>
      <c r="U42" s="2">
        <v>-24</v>
      </c>
      <c r="V42" s="2">
        <v>0</v>
      </c>
      <c r="W42" s="2">
        <v>0</v>
      </c>
      <c r="X42" s="2">
        <v>0</v>
      </c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20150316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181</v>
      </c>
      <c r="K43" s="2" t="s">
        <v>25</v>
      </c>
      <c r="L43" s="2">
        <v>132757294</v>
      </c>
      <c r="M43" s="16"/>
      <c r="N43" s="16"/>
      <c r="O43" s="16"/>
      <c r="P43" s="21"/>
      <c r="Q43" s="16"/>
      <c r="R43" s="2">
        <v>1295</v>
      </c>
      <c r="S43" s="2" t="s">
        <v>194</v>
      </c>
      <c r="T43" s="2">
        <v>0</v>
      </c>
      <c r="U43" s="2">
        <v>24</v>
      </c>
      <c r="V43" s="2">
        <v>0</v>
      </c>
      <c r="W43" s="2">
        <v>0</v>
      </c>
      <c r="X43" s="2">
        <v>0</v>
      </c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 t="s">
        <v>15</v>
      </c>
      <c r="B44" s="2" t="s">
        <v>24</v>
      </c>
      <c r="C44" s="2">
        <v>20150316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181</v>
      </c>
      <c r="K44" s="2" t="s">
        <v>25</v>
      </c>
      <c r="L44" s="2">
        <v>132757294</v>
      </c>
      <c r="M44" s="16"/>
      <c r="N44" s="16"/>
      <c r="O44" s="16"/>
      <c r="P44" s="21"/>
      <c r="Q44" s="16"/>
      <c r="R44" s="2">
        <v>1295</v>
      </c>
      <c r="S44" s="2" t="s">
        <v>194</v>
      </c>
      <c r="T44" s="2">
        <v>0</v>
      </c>
      <c r="U44" s="2">
        <v>24</v>
      </c>
      <c r="V44" s="2">
        <v>0</v>
      </c>
      <c r="W44" s="2">
        <v>0</v>
      </c>
      <c r="X44" s="2">
        <v>0</v>
      </c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20150316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181</v>
      </c>
      <c r="K45" s="2" t="s">
        <v>25</v>
      </c>
      <c r="L45" s="2">
        <v>132757294</v>
      </c>
      <c r="M45" s="16"/>
      <c r="N45" s="16"/>
      <c r="O45" s="16"/>
      <c r="P45" s="21"/>
      <c r="Q45" s="16"/>
      <c r="R45" s="2">
        <v>1295</v>
      </c>
      <c r="S45" s="2" t="s">
        <v>194</v>
      </c>
      <c r="T45" s="2">
        <v>0</v>
      </c>
      <c r="U45" s="2">
        <v>24</v>
      </c>
      <c r="V45" s="2">
        <v>0</v>
      </c>
      <c r="W45" s="2">
        <v>0</v>
      </c>
      <c r="X45" s="2">
        <v>0</v>
      </c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 t="s">
        <v>15</v>
      </c>
      <c r="B46" s="2" t="s">
        <v>24</v>
      </c>
      <c r="C46" s="2">
        <v>20150316</v>
      </c>
      <c r="D46" s="15">
        <v>0</v>
      </c>
      <c r="E46" s="2"/>
      <c r="F46" s="2">
        <v>62500</v>
      </c>
      <c r="G46" s="2" t="s">
        <v>17</v>
      </c>
      <c r="H46" s="2"/>
      <c r="I46" s="2" t="s">
        <v>16</v>
      </c>
      <c r="J46" s="2" t="s">
        <v>181</v>
      </c>
      <c r="K46" s="2" t="s">
        <v>25</v>
      </c>
      <c r="L46" s="2">
        <v>132757294</v>
      </c>
      <c r="M46" s="16"/>
      <c r="N46" s="16"/>
      <c r="O46" s="16"/>
      <c r="P46" s="21"/>
      <c r="Q46" s="16"/>
      <c r="R46" s="2">
        <v>1296</v>
      </c>
      <c r="S46" s="2" t="s">
        <v>214</v>
      </c>
      <c r="T46" s="2">
        <v>0</v>
      </c>
      <c r="U46" s="2">
        <v>25</v>
      </c>
      <c r="V46" s="2">
        <v>0</v>
      </c>
      <c r="W46" s="2">
        <v>0</v>
      </c>
      <c r="X46" s="2">
        <v>0</v>
      </c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 t="s">
        <v>15</v>
      </c>
      <c r="B47" s="2" t="s">
        <v>24</v>
      </c>
      <c r="C47" s="2">
        <v>20150316</v>
      </c>
      <c r="D47" s="15">
        <v>0</v>
      </c>
      <c r="E47" s="2"/>
      <c r="F47" s="2">
        <v>62500</v>
      </c>
      <c r="G47" s="2" t="s">
        <v>17</v>
      </c>
      <c r="H47" s="2"/>
      <c r="I47" s="2" t="s">
        <v>16</v>
      </c>
      <c r="J47" s="2" t="s">
        <v>181</v>
      </c>
      <c r="K47" s="2" t="s">
        <v>25</v>
      </c>
      <c r="L47" s="2">
        <v>132757294</v>
      </c>
      <c r="M47" s="16"/>
      <c r="N47" s="16"/>
      <c r="O47" s="16"/>
      <c r="P47" s="21"/>
      <c r="Q47" s="16"/>
      <c r="R47" s="2">
        <v>1294</v>
      </c>
      <c r="S47" s="2" t="s">
        <v>196</v>
      </c>
      <c r="T47" s="2">
        <v>0</v>
      </c>
      <c r="U47" s="2">
        <v>25</v>
      </c>
      <c r="V47" s="2">
        <v>0</v>
      </c>
      <c r="W47" s="2">
        <v>0</v>
      </c>
      <c r="X47" s="2">
        <v>0</v>
      </c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 t="s">
        <v>15</v>
      </c>
      <c r="B48" s="2" t="s">
        <v>24</v>
      </c>
      <c r="C48" s="2">
        <v>20150316</v>
      </c>
      <c r="D48" s="15">
        <v>0</v>
      </c>
      <c r="E48" s="2"/>
      <c r="F48" s="2">
        <v>62500</v>
      </c>
      <c r="G48" s="2" t="s">
        <v>17</v>
      </c>
      <c r="H48" s="2"/>
      <c r="I48" s="2" t="s">
        <v>16</v>
      </c>
      <c r="J48" s="2" t="s">
        <v>181</v>
      </c>
      <c r="K48" s="2" t="s">
        <v>25</v>
      </c>
      <c r="L48" s="2">
        <v>132757294</v>
      </c>
      <c r="M48" s="16"/>
      <c r="N48" s="16"/>
      <c r="O48" s="16"/>
      <c r="P48" s="21"/>
      <c r="Q48" s="16"/>
      <c r="R48" s="2">
        <v>1294</v>
      </c>
      <c r="S48" s="2" t="s">
        <v>201</v>
      </c>
      <c r="T48" s="2">
        <v>0</v>
      </c>
      <c r="U48" s="2">
        <v>25</v>
      </c>
      <c r="V48" s="2">
        <v>0</v>
      </c>
      <c r="W48" s="2">
        <v>0</v>
      </c>
      <c r="X48" s="2">
        <v>0</v>
      </c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 t="s">
        <v>15</v>
      </c>
      <c r="B49" s="2" t="s">
        <v>24</v>
      </c>
      <c r="C49" s="2">
        <v>20150316</v>
      </c>
      <c r="D49" s="15">
        <v>0</v>
      </c>
      <c r="E49" s="2"/>
      <c r="F49" s="2">
        <v>62500</v>
      </c>
      <c r="G49" s="2" t="s">
        <v>17</v>
      </c>
      <c r="H49" s="2"/>
      <c r="I49" s="2" t="s">
        <v>16</v>
      </c>
      <c r="J49" s="2" t="s">
        <v>181</v>
      </c>
      <c r="K49" s="2" t="s">
        <v>25</v>
      </c>
      <c r="L49" s="2">
        <v>132757294</v>
      </c>
      <c r="M49" s="16"/>
      <c r="N49" s="16"/>
      <c r="O49" s="16"/>
      <c r="P49" s="21"/>
      <c r="Q49" s="16"/>
      <c r="R49" s="2">
        <v>1296</v>
      </c>
      <c r="S49" s="2" t="s">
        <v>214</v>
      </c>
      <c r="T49" s="2">
        <v>0</v>
      </c>
      <c r="U49" s="2">
        <v>25</v>
      </c>
      <c r="V49" s="2">
        <v>0</v>
      </c>
      <c r="W49" s="2">
        <v>0</v>
      </c>
      <c r="X49" s="2">
        <v>0</v>
      </c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 t="s">
        <v>15</v>
      </c>
      <c r="B50" s="2" t="s">
        <v>24</v>
      </c>
      <c r="C50" s="2">
        <v>20150316</v>
      </c>
      <c r="D50" s="15">
        <v>0</v>
      </c>
      <c r="E50" s="2"/>
      <c r="F50" s="2">
        <v>62500</v>
      </c>
      <c r="G50" s="2" t="s">
        <v>17</v>
      </c>
      <c r="H50" s="2"/>
      <c r="I50" s="2" t="s">
        <v>16</v>
      </c>
      <c r="J50" s="2" t="s">
        <v>181</v>
      </c>
      <c r="K50" s="2" t="s">
        <v>25</v>
      </c>
      <c r="L50" s="2">
        <v>132757294</v>
      </c>
      <c r="M50" s="16"/>
      <c r="N50" s="16"/>
      <c r="O50" s="16"/>
      <c r="P50" s="21"/>
      <c r="Q50" s="16"/>
      <c r="R50" s="2">
        <v>1296</v>
      </c>
      <c r="S50" s="2" t="s">
        <v>194</v>
      </c>
      <c r="T50" s="2">
        <v>0</v>
      </c>
      <c r="U50" s="2">
        <v>25</v>
      </c>
      <c r="V50" s="2">
        <v>0</v>
      </c>
      <c r="W50" s="2">
        <v>0</v>
      </c>
      <c r="X50" s="2">
        <v>0</v>
      </c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 t="s">
        <v>15</v>
      </c>
      <c r="B51" s="2" t="s">
        <v>24</v>
      </c>
      <c r="C51" s="2">
        <v>20150316</v>
      </c>
      <c r="D51" s="15">
        <v>0</v>
      </c>
      <c r="E51" s="2"/>
      <c r="F51" s="2">
        <v>62500</v>
      </c>
      <c r="G51" s="2" t="s">
        <v>17</v>
      </c>
      <c r="H51" s="2"/>
      <c r="I51" s="2" t="s">
        <v>16</v>
      </c>
      <c r="J51" s="2" t="s">
        <v>181</v>
      </c>
      <c r="K51" s="2" t="s">
        <v>25</v>
      </c>
      <c r="L51" s="2">
        <v>132757294</v>
      </c>
      <c r="M51" s="16"/>
      <c r="N51" s="16"/>
      <c r="O51" s="16"/>
      <c r="P51" s="21"/>
      <c r="Q51" s="16"/>
      <c r="R51" s="2">
        <v>1296</v>
      </c>
      <c r="S51" s="2" t="s">
        <v>194</v>
      </c>
      <c r="T51" s="2">
        <v>0</v>
      </c>
      <c r="U51" s="2">
        <v>25</v>
      </c>
      <c r="V51" s="2">
        <v>0</v>
      </c>
      <c r="W51" s="2">
        <v>0</v>
      </c>
      <c r="X51" s="2">
        <v>0</v>
      </c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 t="s">
        <v>15</v>
      </c>
      <c r="B52" s="2" t="s">
        <v>24</v>
      </c>
      <c r="C52" s="2">
        <v>20150316</v>
      </c>
      <c r="D52" s="15">
        <v>0</v>
      </c>
      <c r="E52" s="2"/>
      <c r="F52" s="2">
        <v>62500</v>
      </c>
      <c r="G52" s="2" t="s">
        <v>17</v>
      </c>
      <c r="H52" s="2"/>
      <c r="I52" s="2" t="s">
        <v>16</v>
      </c>
      <c r="J52" s="2" t="s">
        <v>181</v>
      </c>
      <c r="K52" s="2" t="s">
        <v>25</v>
      </c>
      <c r="L52" s="2">
        <v>132757294</v>
      </c>
      <c r="M52" s="16"/>
      <c r="N52" s="16"/>
      <c r="O52" s="16"/>
      <c r="P52" s="21"/>
      <c r="Q52" s="16"/>
      <c r="R52" s="2">
        <v>1296</v>
      </c>
      <c r="S52" s="2" t="s">
        <v>194</v>
      </c>
      <c r="T52" s="2">
        <v>0</v>
      </c>
      <c r="U52" s="2">
        <v>25</v>
      </c>
      <c r="V52" s="2">
        <v>0</v>
      </c>
      <c r="W52" s="2">
        <v>0</v>
      </c>
      <c r="X52" s="2">
        <v>0</v>
      </c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 t="s">
        <v>15</v>
      </c>
      <c r="B53" s="2" t="s">
        <v>24</v>
      </c>
      <c r="C53" s="2">
        <v>20150316</v>
      </c>
      <c r="D53" s="15">
        <v>0</v>
      </c>
      <c r="E53" s="2"/>
      <c r="F53" s="2">
        <v>62500</v>
      </c>
      <c r="G53" s="2" t="s">
        <v>17</v>
      </c>
      <c r="H53" s="2"/>
      <c r="I53" s="2" t="s">
        <v>16</v>
      </c>
      <c r="J53" s="2" t="s">
        <v>181</v>
      </c>
      <c r="K53" s="2" t="s">
        <v>25</v>
      </c>
      <c r="L53" s="2">
        <v>132757294</v>
      </c>
      <c r="M53" s="16"/>
      <c r="N53" s="16"/>
      <c r="O53" s="16"/>
      <c r="P53" s="21"/>
      <c r="Q53" s="16"/>
      <c r="R53" s="2">
        <v>1297</v>
      </c>
      <c r="S53" s="2" t="s">
        <v>214</v>
      </c>
      <c r="T53" s="2">
        <v>0</v>
      </c>
      <c r="U53" s="2">
        <v>23</v>
      </c>
      <c r="V53" s="2">
        <v>0</v>
      </c>
      <c r="W53" s="2">
        <v>0</v>
      </c>
      <c r="X53" s="2">
        <v>0</v>
      </c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 t="s">
        <v>15</v>
      </c>
      <c r="B54" s="2" t="s">
        <v>24</v>
      </c>
      <c r="C54" s="2">
        <v>20150316</v>
      </c>
      <c r="D54" s="15">
        <v>0</v>
      </c>
      <c r="E54" s="2"/>
      <c r="F54" s="2">
        <v>62500</v>
      </c>
      <c r="G54" s="2" t="s">
        <v>17</v>
      </c>
      <c r="H54" s="2"/>
      <c r="I54" s="2" t="s">
        <v>16</v>
      </c>
      <c r="J54" s="2" t="s">
        <v>181</v>
      </c>
      <c r="K54" s="2" t="s">
        <v>25</v>
      </c>
      <c r="L54" s="2">
        <v>132757294</v>
      </c>
      <c r="M54" s="16"/>
      <c r="N54" s="16"/>
      <c r="O54" s="16"/>
      <c r="P54" s="21"/>
      <c r="Q54" s="16"/>
      <c r="R54" s="2">
        <v>1296</v>
      </c>
      <c r="S54" s="2" t="s">
        <v>196</v>
      </c>
      <c r="T54" s="2">
        <v>0</v>
      </c>
      <c r="U54" s="2">
        <v>25</v>
      </c>
      <c r="V54" s="2">
        <v>0</v>
      </c>
      <c r="W54" s="2">
        <v>0</v>
      </c>
      <c r="X54" s="2">
        <v>0</v>
      </c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 t="s">
        <v>15</v>
      </c>
      <c r="B55" s="2" t="s">
        <v>24</v>
      </c>
      <c r="C55" s="2">
        <v>20150316</v>
      </c>
      <c r="D55" s="15">
        <v>0</v>
      </c>
      <c r="E55" s="2"/>
      <c r="F55" s="2">
        <v>62500</v>
      </c>
      <c r="G55" s="2" t="s">
        <v>17</v>
      </c>
      <c r="H55" s="2"/>
      <c r="I55" s="2" t="s">
        <v>16</v>
      </c>
      <c r="J55" s="2" t="s">
        <v>181</v>
      </c>
      <c r="K55" s="2" t="s">
        <v>25</v>
      </c>
      <c r="L55" s="2">
        <v>132757294</v>
      </c>
      <c r="M55" s="16"/>
      <c r="N55" s="16"/>
      <c r="O55" s="16"/>
      <c r="P55" s="21"/>
      <c r="Q55" s="16"/>
      <c r="R55" s="2">
        <v>1296</v>
      </c>
      <c r="S55" s="2" t="s">
        <v>201</v>
      </c>
      <c r="T55" s="2">
        <v>0</v>
      </c>
      <c r="U55" s="2">
        <v>25</v>
      </c>
      <c r="V55" s="2">
        <v>0</v>
      </c>
      <c r="W55" s="2">
        <v>0</v>
      </c>
      <c r="X55" s="2">
        <v>0</v>
      </c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 t="s">
        <v>15</v>
      </c>
      <c r="B56" s="2" t="s">
        <v>24</v>
      </c>
      <c r="C56" s="2">
        <v>20150316</v>
      </c>
      <c r="D56" s="15">
        <v>0</v>
      </c>
      <c r="E56" s="2"/>
      <c r="F56" s="2">
        <v>62500</v>
      </c>
      <c r="G56" s="2" t="s">
        <v>17</v>
      </c>
      <c r="H56" s="2"/>
      <c r="I56" s="2" t="s">
        <v>16</v>
      </c>
      <c r="J56" s="2" t="s">
        <v>181</v>
      </c>
      <c r="K56" s="2" t="s">
        <v>25</v>
      </c>
      <c r="L56" s="2">
        <v>132757294</v>
      </c>
      <c r="M56" s="16"/>
      <c r="N56" s="16"/>
      <c r="O56" s="16"/>
      <c r="P56" s="21"/>
      <c r="Q56" s="16"/>
      <c r="R56" s="2">
        <v>1297</v>
      </c>
      <c r="S56" s="2" t="s">
        <v>214</v>
      </c>
      <c r="T56" s="2">
        <v>0</v>
      </c>
      <c r="U56" s="2">
        <v>23</v>
      </c>
      <c r="V56" s="2">
        <v>0</v>
      </c>
      <c r="W56" s="2">
        <v>0</v>
      </c>
      <c r="X56" s="2">
        <v>0</v>
      </c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 t="s">
        <v>15</v>
      </c>
      <c r="B57" s="2" t="s">
        <v>24</v>
      </c>
      <c r="C57" s="2">
        <v>20150316</v>
      </c>
      <c r="D57" s="15">
        <v>0</v>
      </c>
      <c r="E57" s="2"/>
      <c r="F57" s="2">
        <v>62500</v>
      </c>
      <c r="G57" s="2" t="s">
        <v>17</v>
      </c>
      <c r="H57" s="2"/>
      <c r="I57" s="2" t="s">
        <v>16</v>
      </c>
      <c r="J57" s="2" t="s">
        <v>181</v>
      </c>
      <c r="K57" s="2" t="s">
        <v>25</v>
      </c>
      <c r="L57" s="2">
        <v>132757294</v>
      </c>
      <c r="M57" s="16"/>
      <c r="N57" s="16"/>
      <c r="O57" s="16"/>
      <c r="P57" s="21"/>
      <c r="Q57" s="16"/>
      <c r="R57" s="2">
        <v>1297</v>
      </c>
      <c r="S57" s="2" t="s">
        <v>194</v>
      </c>
      <c r="T57" s="2">
        <v>0</v>
      </c>
      <c r="U57" s="2">
        <v>23</v>
      </c>
      <c r="V57" s="2">
        <v>0</v>
      </c>
      <c r="W57" s="2">
        <v>0</v>
      </c>
      <c r="X57" s="2">
        <v>0</v>
      </c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 t="s">
        <v>15</v>
      </c>
      <c r="B58" s="2" t="s">
        <v>24</v>
      </c>
      <c r="C58" s="2">
        <v>20150316</v>
      </c>
      <c r="D58" s="15">
        <v>0</v>
      </c>
      <c r="E58" s="2"/>
      <c r="F58" s="2">
        <v>62500</v>
      </c>
      <c r="G58" s="2" t="s">
        <v>17</v>
      </c>
      <c r="H58" s="2"/>
      <c r="I58" s="2" t="s">
        <v>16</v>
      </c>
      <c r="J58" s="2" t="s">
        <v>181</v>
      </c>
      <c r="K58" s="2" t="s">
        <v>25</v>
      </c>
      <c r="L58" s="2">
        <v>132757294</v>
      </c>
      <c r="M58" s="16"/>
      <c r="N58" s="16"/>
      <c r="O58" s="16"/>
      <c r="P58" s="21"/>
      <c r="Q58" s="16"/>
      <c r="R58" s="2">
        <v>1297</v>
      </c>
      <c r="S58" s="2" t="s">
        <v>194</v>
      </c>
      <c r="T58" s="2">
        <v>0</v>
      </c>
      <c r="U58" s="2">
        <v>23</v>
      </c>
      <c r="V58" s="2">
        <v>0</v>
      </c>
      <c r="W58" s="2">
        <v>0</v>
      </c>
      <c r="X58" s="2">
        <v>0</v>
      </c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 t="s">
        <v>15</v>
      </c>
      <c r="B59" s="2" t="s">
        <v>24</v>
      </c>
      <c r="C59" s="2">
        <v>20150316</v>
      </c>
      <c r="D59" s="15">
        <v>0</v>
      </c>
      <c r="E59" s="2"/>
      <c r="F59" s="2">
        <v>62500</v>
      </c>
      <c r="G59" s="2" t="s">
        <v>17</v>
      </c>
      <c r="H59" s="2"/>
      <c r="I59" s="2" t="s">
        <v>16</v>
      </c>
      <c r="J59" s="2" t="s">
        <v>181</v>
      </c>
      <c r="K59" s="2" t="s">
        <v>25</v>
      </c>
      <c r="L59" s="2">
        <v>132757294</v>
      </c>
      <c r="M59" s="16"/>
      <c r="N59" s="16"/>
      <c r="O59" s="16"/>
      <c r="P59" s="21"/>
      <c r="Q59" s="16"/>
      <c r="R59" s="2">
        <v>1297</v>
      </c>
      <c r="S59" s="2" t="s">
        <v>194</v>
      </c>
      <c r="T59" s="2">
        <v>0</v>
      </c>
      <c r="U59" s="2">
        <v>23</v>
      </c>
      <c r="V59" s="2">
        <v>0</v>
      </c>
      <c r="W59" s="2">
        <v>0</v>
      </c>
      <c r="X59" s="2">
        <v>0</v>
      </c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 t="s">
        <v>15</v>
      </c>
      <c r="B60" s="2" t="s">
        <v>24</v>
      </c>
      <c r="C60" s="2">
        <v>20150316</v>
      </c>
      <c r="D60" s="15">
        <v>0</v>
      </c>
      <c r="E60" s="2"/>
      <c r="F60" s="2">
        <v>62500</v>
      </c>
      <c r="G60" s="2" t="s">
        <v>17</v>
      </c>
      <c r="H60" s="2"/>
      <c r="I60" s="2" t="s">
        <v>16</v>
      </c>
      <c r="J60" s="2" t="s">
        <v>181</v>
      </c>
      <c r="K60" s="2" t="s">
        <v>25</v>
      </c>
      <c r="L60" s="2">
        <v>132757294</v>
      </c>
      <c r="M60" s="16"/>
      <c r="N60" s="16"/>
      <c r="O60" s="16"/>
      <c r="P60" s="21"/>
      <c r="Q60" s="16"/>
      <c r="R60" s="2">
        <v>1298</v>
      </c>
      <c r="S60" s="2" t="s">
        <v>214</v>
      </c>
      <c r="T60" s="2">
        <v>0</v>
      </c>
      <c r="U60" s="2">
        <v>-23</v>
      </c>
      <c r="V60" s="2">
        <v>0</v>
      </c>
      <c r="W60" s="2">
        <v>0</v>
      </c>
      <c r="X60" s="2">
        <v>0</v>
      </c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 t="s">
        <v>15</v>
      </c>
      <c r="B61" s="2" t="s">
        <v>24</v>
      </c>
      <c r="C61" s="2">
        <v>20150316</v>
      </c>
      <c r="D61" s="15">
        <v>0</v>
      </c>
      <c r="E61" s="2"/>
      <c r="F61" s="2">
        <v>62500</v>
      </c>
      <c r="G61" s="2" t="s">
        <v>17</v>
      </c>
      <c r="H61" s="2"/>
      <c r="I61" s="2" t="s">
        <v>16</v>
      </c>
      <c r="J61" s="2" t="s">
        <v>181</v>
      </c>
      <c r="K61" s="2" t="s">
        <v>25</v>
      </c>
      <c r="L61" s="2">
        <v>132757294</v>
      </c>
      <c r="M61" s="16"/>
      <c r="N61" s="16"/>
      <c r="O61" s="16"/>
      <c r="P61" s="21"/>
      <c r="Q61" s="16"/>
      <c r="R61" s="2">
        <v>1295</v>
      </c>
      <c r="S61" s="2" t="s">
        <v>196</v>
      </c>
      <c r="T61" s="2">
        <v>0</v>
      </c>
      <c r="U61" s="2">
        <v>24</v>
      </c>
      <c r="V61" s="2">
        <v>0</v>
      </c>
      <c r="W61" s="2">
        <v>0</v>
      </c>
      <c r="X61" s="2">
        <v>0</v>
      </c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 t="s">
        <v>15</v>
      </c>
      <c r="B62" s="2" t="s">
        <v>24</v>
      </c>
      <c r="C62" s="2">
        <v>20150316</v>
      </c>
      <c r="D62" s="15">
        <v>0</v>
      </c>
      <c r="E62" s="2"/>
      <c r="F62" s="2">
        <v>62500</v>
      </c>
      <c r="G62" s="2" t="s">
        <v>17</v>
      </c>
      <c r="H62" s="2"/>
      <c r="I62" s="2" t="s">
        <v>16</v>
      </c>
      <c r="J62" s="2" t="s">
        <v>181</v>
      </c>
      <c r="K62" s="2" t="s">
        <v>25</v>
      </c>
      <c r="L62" s="2">
        <v>132757294</v>
      </c>
      <c r="M62" s="16"/>
      <c r="N62" s="16"/>
      <c r="O62" s="16"/>
      <c r="P62" s="21"/>
      <c r="Q62" s="16"/>
      <c r="R62" s="2">
        <v>1295</v>
      </c>
      <c r="S62" s="2" t="s">
        <v>201</v>
      </c>
      <c r="T62" s="2">
        <v>0</v>
      </c>
      <c r="U62" s="2">
        <v>24</v>
      </c>
      <c r="V62" s="2">
        <v>0</v>
      </c>
      <c r="W62" s="2">
        <v>0</v>
      </c>
      <c r="X62" s="2">
        <v>0</v>
      </c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 t="s">
        <v>15</v>
      </c>
      <c r="B63" s="2" t="s">
        <v>24</v>
      </c>
      <c r="C63" s="2">
        <v>20150316</v>
      </c>
      <c r="D63" s="15">
        <v>0</v>
      </c>
      <c r="E63" s="2"/>
      <c r="F63" s="2">
        <v>62500</v>
      </c>
      <c r="G63" s="2" t="s">
        <v>17</v>
      </c>
      <c r="H63" s="2"/>
      <c r="I63" s="2" t="s">
        <v>16</v>
      </c>
      <c r="J63" s="2" t="s">
        <v>181</v>
      </c>
      <c r="K63" s="2" t="s">
        <v>25</v>
      </c>
      <c r="L63" s="2">
        <v>132757294</v>
      </c>
      <c r="M63" s="16"/>
      <c r="N63" s="16"/>
      <c r="O63" s="16"/>
      <c r="P63" s="21"/>
      <c r="Q63" s="16"/>
      <c r="R63" s="2">
        <v>1298</v>
      </c>
      <c r="S63" s="2" t="s">
        <v>214</v>
      </c>
      <c r="T63" s="2">
        <v>0</v>
      </c>
      <c r="U63" s="2">
        <v>-23</v>
      </c>
      <c r="V63" s="2">
        <v>0</v>
      </c>
      <c r="W63" s="2">
        <v>0</v>
      </c>
      <c r="X63" s="2">
        <v>0</v>
      </c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 t="s">
        <v>15</v>
      </c>
      <c r="B64" s="2" t="s">
        <v>24</v>
      </c>
      <c r="C64" s="2">
        <v>20150316</v>
      </c>
      <c r="D64" s="15">
        <v>0</v>
      </c>
      <c r="E64" s="2"/>
      <c r="F64" s="2">
        <v>62500</v>
      </c>
      <c r="G64" s="2" t="s">
        <v>17</v>
      </c>
      <c r="H64" s="2"/>
      <c r="I64" s="2" t="s">
        <v>16</v>
      </c>
      <c r="J64" s="2" t="s">
        <v>181</v>
      </c>
      <c r="K64" s="2" t="s">
        <v>25</v>
      </c>
      <c r="L64" s="2">
        <v>132757294</v>
      </c>
      <c r="M64" s="16"/>
      <c r="N64" s="16"/>
      <c r="O64" s="16"/>
      <c r="P64" s="21"/>
      <c r="Q64" s="16"/>
      <c r="R64" s="2">
        <v>1298</v>
      </c>
      <c r="S64" s="2" t="s">
        <v>194</v>
      </c>
      <c r="T64" s="2">
        <v>0</v>
      </c>
      <c r="U64" s="2">
        <v>23</v>
      </c>
      <c r="V64" s="2">
        <v>0</v>
      </c>
      <c r="W64" s="2">
        <v>0</v>
      </c>
      <c r="X64" s="2">
        <v>0</v>
      </c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 t="s">
        <v>15</v>
      </c>
      <c r="B65" s="2" t="s">
        <v>24</v>
      </c>
      <c r="C65" s="2">
        <v>20150316</v>
      </c>
      <c r="D65" s="15">
        <v>0</v>
      </c>
      <c r="E65" s="2"/>
      <c r="F65" s="2">
        <v>62500</v>
      </c>
      <c r="G65" s="2" t="s">
        <v>17</v>
      </c>
      <c r="H65" s="2"/>
      <c r="I65" s="2" t="s">
        <v>16</v>
      </c>
      <c r="J65" s="2" t="s">
        <v>181</v>
      </c>
      <c r="K65" s="2" t="s">
        <v>25</v>
      </c>
      <c r="L65" s="2">
        <v>132757294</v>
      </c>
      <c r="M65" s="16"/>
      <c r="N65" s="16"/>
      <c r="O65" s="16"/>
      <c r="P65" s="21"/>
      <c r="Q65" s="16"/>
      <c r="R65" s="2">
        <v>1298</v>
      </c>
      <c r="S65" s="2" t="s">
        <v>194</v>
      </c>
      <c r="T65" s="2">
        <v>0</v>
      </c>
      <c r="U65" s="2">
        <v>23</v>
      </c>
      <c r="V65" s="2">
        <v>0</v>
      </c>
      <c r="W65" s="2">
        <v>0</v>
      </c>
      <c r="X65" s="2">
        <v>0</v>
      </c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 t="s">
        <v>15</v>
      </c>
      <c r="B66" s="2" t="s">
        <v>24</v>
      </c>
      <c r="C66" s="2">
        <v>20150316</v>
      </c>
      <c r="D66" s="15">
        <v>0</v>
      </c>
      <c r="E66" s="2"/>
      <c r="F66" s="2">
        <v>62500</v>
      </c>
      <c r="G66" s="2" t="s">
        <v>17</v>
      </c>
      <c r="H66" s="2"/>
      <c r="I66" s="2" t="s">
        <v>16</v>
      </c>
      <c r="J66" s="2" t="s">
        <v>181</v>
      </c>
      <c r="K66" s="2" t="s">
        <v>25</v>
      </c>
      <c r="L66" s="2">
        <v>132757294</v>
      </c>
      <c r="M66" s="16"/>
      <c r="N66" s="16"/>
      <c r="O66" s="16"/>
      <c r="P66" s="21"/>
      <c r="Q66" s="16"/>
      <c r="R66" s="2">
        <v>1298</v>
      </c>
      <c r="S66" s="2" t="s">
        <v>194</v>
      </c>
      <c r="T66" s="2">
        <v>0</v>
      </c>
      <c r="U66" s="2">
        <v>23</v>
      </c>
      <c r="V66" s="2">
        <v>0</v>
      </c>
      <c r="W66" s="2">
        <v>0</v>
      </c>
      <c r="X66" s="2">
        <v>0</v>
      </c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 t="s">
        <v>15</v>
      </c>
      <c r="B67" s="2" t="s">
        <v>24</v>
      </c>
      <c r="C67" s="2">
        <v>20150316</v>
      </c>
      <c r="D67" s="15">
        <v>0</v>
      </c>
      <c r="E67" s="2"/>
      <c r="F67" s="2">
        <v>62500</v>
      </c>
      <c r="G67" s="2" t="s">
        <v>17</v>
      </c>
      <c r="H67" s="2"/>
      <c r="I67" s="2" t="s">
        <v>16</v>
      </c>
      <c r="J67" s="2" t="s">
        <v>181</v>
      </c>
      <c r="K67" s="2" t="s">
        <v>25</v>
      </c>
      <c r="L67" s="2">
        <v>132757294</v>
      </c>
      <c r="M67" s="16"/>
      <c r="N67" s="16"/>
      <c r="O67" s="16"/>
      <c r="P67" s="21"/>
      <c r="Q67" s="16"/>
      <c r="R67" s="2">
        <v>1299</v>
      </c>
      <c r="S67" s="2" t="s">
        <v>214</v>
      </c>
      <c r="T67" s="2">
        <v>0</v>
      </c>
      <c r="U67" s="2">
        <v>-23</v>
      </c>
      <c r="V67" s="2">
        <v>0</v>
      </c>
      <c r="W67" s="2">
        <v>0</v>
      </c>
      <c r="X67" s="2">
        <v>0</v>
      </c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 t="s">
        <v>15</v>
      </c>
      <c r="B68" s="2" t="s">
        <v>24</v>
      </c>
      <c r="C68" s="2">
        <v>20150316</v>
      </c>
      <c r="D68" s="15">
        <v>0</v>
      </c>
      <c r="E68" s="2"/>
      <c r="F68" s="2">
        <v>62500</v>
      </c>
      <c r="G68" s="2" t="s">
        <v>17</v>
      </c>
      <c r="H68" s="2"/>
      <c r="I68" s="2" t="s">
        <v>16</v>
      </c>
      <c r="J68" s="2" t="s">
        <v>181</v>
      </c>
      <c r="K68" s="2" t="s">
        <v>25</v>
      </c>
      <c r="L68" s="2">
        <v>132757294</v>
      </c>
      <c r="M68" s="16"/>
      <c r="N68" s="16"/>
      <c r="O68" s="16"/>
      <c r="P68" s="21"/>
      <c r="Q68" s="16"/>
      <c r="R68" s="2">
        <v>1298</v>
      </c>
      <c r="S68" s="2" t="s">
        <v>196</v>
      </c>
      <c r="T68" s="2">
        <v>0</v>
      </c>
      <c r="U68" s="2">
        <v>23</v>
      </c>
      <c r="V68" s="2">
        <v>0</v>
      </c>
      <c r="W68" s="2">
        <v>0</v>
      </c>
      <c r="X68" s="2">
        <v>0</v>
      </c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 t="s">
        <v>15</v>
      </c>
      <c r="B69" s="2" t="s">
        <v>24</v>
      </c>
      <c r="C69" s="2">
        <v>20150316</v>
      </c>
      <c r="D69" s="15">
        <v>0</v>
      </c>
      <c r="E69" s="2"/>
      <c r="F69" s="2">
        <v>62500</v>
      </c>
      <c r="G69" s="2" t="s">
        <v>17</v>
      </c>
      <c r="H69" s="2"/>
      <c r="I69" s="2" t="s">
        <v>16</v>
      </c>
      <c r="J69" s="2" t="s">
        <v>181</v>
      </c>
      <c r="K69" s="2" t="s">
        <v>25</v>
      </c>
      <c r="L69" s="2">
        <v>132757294</v>
      </c>
      <c r="M69" s="16"/>
      <c r="N69" s="16"/>
      <c r="O69" s="16"/>
      <c r="P69" s="21"/>
      <c r="Q69" s="16"/>
      <c r="R69" s="2">
        <v>1298</v>
      </c>
      <c r="S69" s="2" t="s">
        <v>201</v>
      </c>
      <c r="T69" s="2">
        <v>0</v>
      </c>
      <c r="U69" s="2">
        <v>23</v>
      </c>
      <c r="V69" s="2">
        <v>0</v>
      </c>
      <c r="W69" s="2">
        <v>0</v>
      </c>
      <c r="X69" s="2">
        <v>0</v>
      </c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 t="s">
        <v>15</v>
      </c>
      <c r="B70" s="2" t="s">
        <v>24</v>
      </c>
      <c r="C70" s="2">
        <v>20150316</v>
      </c>
      <c r="D70" s="15">
        <v>0</v>
      </c>
      <c r="E70" s="2"/>
      <c r="F70" s="2">
        <v>62500</v>
      </c>
      <c r="G70" s="2" t="s">
        <v>17</v>
      </c>
      <c r="H70" s="2"/>
      <c r="I70" s="2" t="s">
        <v>16</v>
      </c>
      <c r="J70" s="2" t="s">
        <v>181</v>
      </c>
      <c r="K70" s="2" t="s">
        <v>25</v>
      </c>
      <c r="L70" s="2">
        <v>132757294</v>
      </c>
      <c r="M70" s="16"/>
      <c r="N70" s="16"/>
      <c r="O70" s="16"/>
      <c r="P70" s="21"/>
      <c r="Q70" s="16"/>
      <c r="R70" s="2">
        <v>1299</v>
      </c>
      <c r="S70" s="2" t="s">
        <v>214</v>
      </c>
      <c r="T70" s="2">
        <v>0</v>
      </c>
      <c r="U70" s="2">
        <v>-23</v>
      </c>
      <c r="V70" s="2">
        <v>0</v>
      </c>
      <c r="W70" s="2">
        <v>0</v>
      </c>
      <c r="X70" s="2">
        <v>0</v>
      </c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 t="s">
        <v>15</v>
      </c>
      <c r="B71" s="2" t="s">
        <v>24</v>
      </c>
      <c r="C71" s="2">
        <v>20150316</v>
      </c>
      <c r="D71" s="15">
        <v>0</v>
      </c>
      <c r="E71" s="2"/>
      <c r="F71" s="2">
        <v>62500</v>
      </c>
      <c r="G71" s="2" t="s">
        <v>17</v>
      </c>
      <c r="H71" s="2"/>
      <c r="I71" s="2" t="s">
        <v>16</v>
      </c>
      <c r="J71" s="2" t="s">
        <v>181</v>
      </c>
      <c r="K71" s="2" t="s">
        <v>25</v>
      </c>
      <c r="L71" s="2">
        <v>132757294</v>
      </c>
      <c r="M71" s="16"/>
      <c r="N71" s="16"/>
      <c r="O71" s="16"/>
      <c r="P71" s="21"/>
      <c r="Q71" s="16"/>
      <c r="R71" s="2">
        <v>1299</v>
      </c>
      <c r="S71" s="2" t="s">
        <v>194</v>
      </c>
      <c r="T71" s="2">
        <v>0</v>
      </c>
      <c r="U71" s="2">
        <v>23</v>
      </c>
      <c r="V71" s="2">
        <v>0</v>
      </c>
      <c r="W71" s="2">
        <v>0</v>
      </c>
      <c r="X71" s="2">
        <v>0</v>
      </c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 t="s">
        <v>15</v>
      </c>
      <c r="B72" s="2" t="s">
        <v>24</v>
      </c>
      <c r="C72" s="2">
        <v>20150316</v>
      </c>
      <c r="D72" s="15">
        <v>0</v>
      </c>
      <c r="E72" s="2"/>
      <c r="F72" s="2">
        <v>62500</v>
      </c>
      <c r="G72" s="2" t="s">
        <v>17</v>
      </c>
      <c r="H72" s="2"/>
      <c r="I72" s="2" t="s">
        <v>16</v>
      </c>
      <c r="J72" s="2" t="s">
        <v>181</v>
      </c>
      <c r="K72" s="2" t="s">
        <v>25</v>
      </c>
      <c r="L72" s="2">
        <v>132757294</v>
      </c>
      <c r="M72" s="16"/>
      <c r="N72" s="16"/>
      <c r="O72" s="16"/>
      <c r="P72" s="21"/>
      <c r="Q72" s="16"/>
      <c r="R72" s="2">
        <v>1299</v>
      </c>
      <c r="S72" s="2" t="s">
        <v>194</v>
      </c>
      <c r="T72" s="2">
        <v>0</v>
      </c>
      <c r="U72" s="2">
        <v>23</v>
      </c>
      <c r="V72" s="2">
        <v>0</v>
      </c>
      <c r="W72" s="2">
        <v>0</v>
      </c>
      <c r="X72" s="2">
        <v>0</v>
      </c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 t="s">
        <v>15</v>
      </c>
      <c r="B73" s="2" t="s">
        <v>24</v>
      </c>
      <c r="C73" s="2">
        <v>20150316</v>
      </c>
      <c r="D73" s="15">
        <v>0</v>
      </c>
      <c r="E73" s="2"/>
      <c r="F73" s="2">
        <v>62500</v>
      </c>
      <c r="G73" s="2" t="s">
        <v>17</v>
      </c>
      <c r="H73" s="2"/>
      <c r="I73" s="2" t="s">
        <v>16</v>
      </c>
      <c r="J73" s="2" t="s">
        <v>181</v>
      </c>
      <c r="K73" s="2" t="s">
        <v>25</v>
      </c>
      <c r="L73" s="2">
        <v>132757294</v>
      </c>
      <c r="M73" s="16"/>
      <c r="N73" s="16"/>
      <c r="O73" s="16"/>
      <c r="P73" s="21"/>
      <c r="Q73" s="16"/>
      <c r="R73" s="2">
        <v>1299</v>
      </c>
      <c r="S73" s="2" t="s">
        <v>194</v>
      </c>
      <c r="T73" s="2">
        <v>0</v>
      </c>
      <c r="U73" s="2">
        <v>23</v>
      </c>
      <c r="V73" s="2">
        <v>0</v>
      </c>
      <c r="W73" s="2">
        <v>0</v>
      </c>
      <c r="X73" s="2">
        <v>0</v>
      </c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 t="s">
        <v>15</v>
      </c>
      <c r="B74" s="2" t="s">
        <v>24</v>
      </c>
      <c r="C74" s="2">
        <v>20150316</v>
      </c>
      <c r="D74" s="15">
        <v>0</v>
      </c>
      <c r="E74" s="2"/>
      <c r="F74" s="2">
        <v>62500</v>
      </c>
      <c r="G74" s="2" t="s">
        <v>17</v>
      </c>
      <c r="H74" s="2"/>
      <c r="I74" s="2" t="s">
        <v>16</v>
      </c>
      <c r="J74" s="2" t="s">
        <v>181</v>
      </c>
      <c r="K74" s="2" t="s">
        <v>25</v>
      </c>
      <c r="L74" s="2">
        <v>132757294</v>
      </c>
      <c r="M74" s="16"/>
      <c r="N74" s="16"/>
      <c r="O74" s="16"/>
      <c r="P74" s="21"/>
      <c r="Q74" s="16"/>
      <c r="R74" s="2">
        <v>1300</v>
      </c>
      <c r="S74" s="2" t="s">
        <v>214</v>
      </c>
      <c r="T74" s="2">
        <v>0</v>
      </c>
      <c r="U74" s="2">
        <v>26</v>
      </c>
      <c r="V74" s="2">
        <v>0</v>
      </c>
      <c r="W74" s="2">
        <v>0</v>
      </c>
      <c r="X74" s="2">
        <v>0</v>
      </c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 t="s">
        <v>15</v>
      </c>
      <c r="B75" s="2" t="s">
        <v>24</v>
      </c>
      <c r="C75" s="2">
        <v>20150316</v>
      </c>
      <c r="D75" s="15">
        <v>0</v>
      </c>
      <c r="E75" s="2"/>
      <c r="F75" s="2">
        <v>62500</v>
      </c>
      <c r="G75" s="2" t="s">
        <v>17</v>
      </c>
      <c r="H75" s="2"/>
      <c r="I75" s="2" t="s">
        <v>16</v>
      </c>
      <c r="J75" s="2" t="s">
        <v>181</v>
      </c>
      <c r="K75" s="2" t="s">
        <v>25</v>
      </c>
      <c r="L75" s="2">
        <v>132757294</v>
      </c>
      <c r="M75" s="16"/>
      <c r="N75" s="16"/>
      <c r="O75" s="16"/>
      <c r="P75" s="21"/>
      <c r="Q75" s="16"/>
      <c r="R75" s="2">
        <v>1297</v>
      </c>
      <c r="S75" s="2" t="s">
        <v>196</v>
      </c>
      <c r="T75" s="2">
        <v>0</v>
      </c>
      <c r="U75" s="2">
        <v>23</v>
      </c>
      <c r="V75" s="2">
        <v>0</v>
      </c>
      <c r="W75" s="2">
        <v>0</v>
      </c>
      <c r="X75" s="2">
        <v>0</v>
      </c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 t="s">
        <v>15</v>
      </c>
      <c r="B76" s="2" t="s">
        <v>24</v>
      </c>
      <c r="C76" s="2">
        <v>20150316</v>
      </c>
      <c r="D76" s="15">
        <v>0</v>
      </c>
      <c r="E76" s="2"/>
      <c r="F76" s="2">
        <v>62500</v>
      </c>
      <c r="G76" s="2" t="s">
        <v>17</v>
      </c>
      <c r="H76" s="2"/>
      <c r="I76" s="2" t="s">
        <v>16</v>
      </c>
      <c r="J76" s="2" t="s">
        <v>181</v>
      </c>
      <c r="K76" s="2" t="s">
        <v>25</v>
      </c>
      <c r="L76" s="2">
        <v>132757294</v>
      </c>
      <c r="M76" s="16"/>
      <c r="N76" s="16"/>
      <c r="O76" s="16"/>
      <c r="P76" s="21"/>
      <c r="Q76" s="16"/>
      <c r="R76" s="2">
        <v>1297</v>
      </c>
      <c r="S76" s="2" t="s">
        <v>201</v>
      </c>
      <c r="T76" s="2">
        <v>0</v>
      </c>
      <c r="U76" s="2">
        <v>23</v>
      </c>
      <c r="V76" s="2">
        <v>0</v>
      </c>
      <c r="W76" s="2">
        <v>0</v>
      </c>
      <c r="X76" s="2">
        <v>0</v>
      </c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 t="s">
        <v>15</v>
      </c>
      <c r="B77" s="2" t="s">
        <v>24</v>
      </c>
      <c r="C77" s="2">
        <v>20150316</v>
      </c>
      <c r="D77" s="15">
        <v>0</v>
      </c>
      <c r="E77" s="2"/>
      <c r="F77" s="2">
        <v>62500</v>
      </c>
      <c r="G77" s="2" t="s">
        <v>17</v>
      </c>
      <c r="H77" s="2"/>
      <c r="I77" s="2" t="s">
        <v>16</v>
      </c>
      <c r="J77" s="2" t="s">
        <v>181</v>
      </c>
      <c r="K77" s="2" t="s">
        <v>25</v>
      </c>
      <c r="L77" s="2">
        <v>132757294</v>
      </c>
      <c r="M77" s="16"/>
      <c r="N77" s="16"/>
      <c r="O77" s="16"/>
      <c r="P77" s="21"/>
      <c r="Q77" s="16"/>
      <c r="R77" s="2">
        <v>1300</v>
      </c>
      <c r="S77" s="2" t="s">
        <v>214</v>
      </c>
      <c r="T77" s="2">
        <v>0</v>
      </c>
      <c r="U77" s="2">
        <v>26</v>
      </c>
      <c r="V77" s="2">
        <v>0</v>
      </c>
      <c r="W77" s="2">
        <v>0</v>
      </c>
      <c r="X77" s="2">
        <v>0</v>
      </c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 t="s">
        <v>15</v>
      </c>
      <c r="B78" s="2" t="s">
        <v>24</v>
      </c>
      <c r="C78" s="2">
        <v>20150316</v>
      </c>
      <c r="D78" s="15">
        <v>0</v>
      </c>
      <c r="E78" s="2"/>
      <c r="F78" s="2">
        <v>62500</v>
      </c>
      <c r="G78" s="2" t="s">
        <v>17</v>
      </c>
      <c r="H78" s="2"/>
      <c r="I78" s="2" t="s">
        <v>16</v>
      </c>
      <c r="J78" s="2" t="s">
        <v>181</v>
      </c>
      <c r="K78" s="2" t="s">
        <v>25</v>
      </c>
      <c r="L78" s="2">
        <v>132757294</v>
      </c>
      <c r="M78" s="16"/>
      <c r="N78" s="16"/>
      <c r="O78" s="16"/>
      <c r="P78" s="21"/>
      <c r="Q78" s="16"/>
      <c r="R78" s="2">
        <v>1300</v>
      </c>
      <c r="S78" s="2" t="s">
        <v>194</v>
      </c>
      <c r="T78" s="2">
        <v>0</v>
      </c>
      <c r="U78" s="2">
        <v>26</v>
      </c>
      <c r="V78" s="2">
        <v>0</v>
      </c>
      <c r="W78" s="2">
        <v>0</v>
      </c>
      <c r="X78" s="2">
        <v>0</v>
      </c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 t="s">
        <v>15</v>
      </c>
      <c r="B79" s="2" t="s">
        <v>24</v>
      </c>
      <c r="C79" s="2">
        <v>20150316</v>
      </c>
      <c r="D79" s="15">
        <v>0</v>
      </c>
      <c r="E79" s="2"/>
      <c r="F79" s="2">
        <v>62500</v>
      </c>
      <c r="G79" s="2" t="s">
        <v>17</v>
      </c>
      <c r="H79" s="2"/>
      <c r="I79" s="2" t="s">
        <v>16</v>
      </c>
      <c r="J79" s="2" t="s">
        <v>181</v>
      </c>
      <c r="K79" s="2" t="s">
        <v>25</v>
      </c>
      <c r="L79" s="2">
        <v>132757294</v>
      </c>
      <c r="M79" s="16"/>
      <c r="N79" s="16"/>
      <c r="O79" s="16"/>
      <c r="P79" s="21"/>
      <c r="Q79" s="16"/>
      <c r="R79" s="2">
        <v>1299</v>
      </c>
      <c r="S79" s="2" t="s">
        <v>196</v>
      </c>
      <c r="T79" s="2">
        <v>0</v>
      </c>
      <c r="U79" s="2">
        <v>23</v>
      </c>
      <c r="V79" s="2">
        <v>0</v>
      </c>
      <c r="W79" s="2">
        <v>0</v>
      </c>
      <c r="X79" s="2">
        <v>0</v>
      </c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 t="s">
        <v>15</v>
      </c>
      <c r="B80" s="2" t="s">
        <v>24</v>
      </c>
      <c r="C80" s="2">
        <v>20150316</v>
      </c>
      <c r="D80" s="15">
        <v>0</v>
      </c>
      <c r="E80" s="2"/>
      <c r="F80" s="2">
        <v>62500</v>
      </c>
      <c r="G80" s="2" t="s">
        <v>17</v>
      </c>
      <c r="H80" s="2"/>
      <c r="I80" s="2" t="s">
        <v>16</v>
      </c>
      <c r="J80" s="2" t="s">
        <v>181</v>
      </c>
      <c r="K80" s="2" t="s">
        <v>25</v>
      </c>
      <c r="L80" s="2">
        <v>132757294</v>
      </c>
      <c r="M80" s="16"/>
      <c r="N80" s="16"/>
      <c r="O80" s="16"/>
      <c r="P80" s="21"/>
      <c r="Q80" s="16"/>
      <c r="R80" s="2">
        <v>1299</v>
      </c>
      <c r="S80" s="2" t="s">
        <v>201</v>
      </c>
      <c r="T80" s="2">
        <v>0</v>
      </c>
      <c r="U80" s="2">
        <v>23</v>
      </c>
      <c r="V80" s="2">
        <v>0</v>
      </c>
      <c r="W80" s="2">
        <v>0</v>
      </c>
      <c r="X80" s="2">
        <v>0</v>
      </c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 t="s">
        <v>15</v>
      </c>
      <c r="B81" s="2" t="s">
        <v>24</v>
      </c>
      <c r="C81" s="2">
        <v>20150316</v>
      </c>
      <c r="D81" s="15">
        <v>0</v>
      </c>
      <c r="E81" s="2"/>
      <c r="F81" s="2">
        <v>62500</v>
      </c>
      <c r="G81" s="2" t="s">
        <v>17</v>
      </c>
      <c r="H81" s="2"/>
      <c r="I81" s="2" t="s">
        <v>16</v>
      </c>
      <c r="J81" s="2" t="s">
        <v>181</v>
      </c>
      <c r="K81" s="2" t="s">
        <v>25</v>
      </c>
      <c r="L81" s="2">
        <v>132757294</v>
      </c>
      <c r="M81" s="16"/>
      <c r="N81" s="16"/>
      <c r="O81" s="16"/>
      <c r="P81" s="21"/>
      <c r="Q81" s="16"/>
      <c r="R81" s="2">
        <v>1300</v>
      </c>
      <c r="S81" s="2" t="s">
        <v>194</v>
      </c>
      <c r="T81" s="2">
        <v>0</v>
      </c>
      <c r="U81" s="2">
        <v>26</v>
      </c>
      <c r="V81" s="2">
        <v>0</v>
      </c>
      <c r="W81" s="2">
        <v>0</v>
      </c>
      <c r="X81" s="2">
        <v>0</v>
      </c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 t="s">
        <v>15</v>
      </c>
      <c r="B82" s="2" t="s">
        <v>24</v>
      </c>
      <c r="C82" s="2">
        <v>20150316</v>
      </c>
      <c r="D82" s="15">
        <v>0</v>
      </c>
      <c r="E82" s="2"/>
      <c r="F82" s="2">
        <v>62500</v>
      </c>
      <c r="G82" s="2" t="s">
        <v>17</v>
      </c>
      <c r="H82" s="2"/>
      <c r="I82" s="2" t="s">
        <v>16</v>
      </c>
      <c r="J82" s="2" t="s">
        <v>181</v>
      </c>
      <c r="K82" s="2" t="s">
        <v>25</v>
      </c>
      <c r="L82" s="2">
        <v>132757294</v>
      </c>
      <c r="M82" s="16"/>
      <c r="N82" s="16"/>
      <c r="O82" s="16"/>
      <c r="P82" s="21"/>
      <c r="Q82" s="16"/>
      <c r="R82" s="2">
        <v>1300</v>
      </c>
      <c r="S82" s="2" t="s">
        <v>194</v>
      </c>
      <c r="T82" s="2">
        <v>0</v>
      </c>
      <c r="U82" s="2">
        <v>26</v>
      </c>
      <c r="V82" s="2">
        <v>0</v>
      </c>
      <c r="W82" s="2">
        <v>0</v>
      </c>
      <c r="X82" s="2">
        <v>0</v>
      </c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 t="s">
        <v>15</v>
      </c>
      <c r="B83" s="2" t="s">
        <v>24</v>
      </c>
      <c r="C83" s="2">
        <v>20150316</v>
      </c>
      <c r="D83" s="15">
        <v>0</v>
      </c>
      <c r="E83" s="2"/>
      <c r="F83" s="2">
        <v>62500</v>
      </c>
      <c r="G83" s="2" t="s">
        <v>17</v>
      </c>
      <c r="H83" s="2"/>
      <c r="I83" s="2" t="s">
        <v>16</v>
      </c>
      <c r="J83" s="2" t="s">
        <v>181</v>
      </c>
      <c r="K83" s="2" t="s">
        <v>25</v>
      </c>
      <c r="L83" s="2">
        <v>132757294</v>
      </c>
      <c r="M83" s="16"/>
      <c r="N83" s="16"/>
      <c r="O83" s="16"/>
      <c r="P83" s="21"/>
      <c r="Q83" s="16"/>
      <c r="R83" s="2">
        <v>1301</v>
      </c>
      <c r="S83" s="2" t="s">
        <v>214</v>
      </c>
      <c r="T83" s="2">
        <v>0</v>
      </c>
      <c r="U83" s="2">
        <v>-26</v>
      </c>
      <c r="V83" s="2">
        <v>0</v>
      </c>
      <c r="W83" s="2">
        <v>0</v>
      </c>
      <c r="X83" s="2">
        <v>0</v>
      </c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 t="s">
        <v>15</v>
      </c>
      <c r="B84" s="2" t="s">
        <v>24</v>
      </c>
      <c r="C84" s="2">
        <v>20150316</v>
      </c>
      <c r="D84" s="15">
        <v>0</v>
      </c>
      <c r="E84" s="2"/>
      <c r="F84" s="2">
        <v>62500</v>
      </c>
      <c r="G84" s="2" t="s">
        <v>17</v>
      </c>
      <c r="H84" s="2"/>
      <c r="I84" s="2" t="s">
        <v>16</v>
      </c>
      <c r="J84" s="2" t="s">
        <v>181</v>
      </c>
      <c r="K84" s="2" t="s">
        <v>25</v>
      </c>
      <c r="L84" s="2">
        <v>132757294</v>
      </c>
      <c r="M84" s="16"/>
      <c r="N84" s="16"/>
      <c r="O84" s="16"/>
      <c r="P84" s="21"/>
      <c r="Q84" s="16"/>
      <c r="R84" s="2">
        <v>1301</v>
      </c>
      <c r="S84" s="2" t="s">
        <v>214</v>
      </c>
      <c r="T84" s="2">
        <v>0</v>
      </c>
      <c r="U84" s="2">
        <v>-26</v>
      </c>
      <c r="V84" s="2">
        <v>0</v>
      </c>
      <c r="W84" s="2">
        <v>0</v>
      </c>
      <c r="X84" s="2">
        <v>0</v>
      </c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 t="s">
        <v>15</v>
      </c>
      <c r="B85" s="2" t="s">
        <v>24</v>
      </c>
      <c r="C85" s="2">
        <v>20150316</v>
      </c>
      <c r="D85" s="15">
        <v>0</v>
      </c>
      <c r="E85" s="2"/>
      <c r="F85" s="2">
        <v>62500</v>
      </c>
      <c r="G85" s="2" t="s">
        <v>17</v>
      </c>
      <c r="H85" s="2"/>
      <c r="I85" s="2" t="s">
        <v>16</v>
      </c>
      <c r="J85" s="2" t="s">
        <v>181</v>
      </c>
      <c r="K85" s="2" t="s">
        <v>25</v>
      </c>
      <c r="L85" s="2">
        <v>132757294</v>
      </c>
      <c r="M85" s="16"/>
      <c r="N85" s="16"/>
      <c r="O85" s="16"/>
      <c r="P85" s="21"/>
      <c r="Q85" s="16"/>
      <c r="R85" s="2">
        <v>1301</v>
      </c>
      <c r="S85" s="2" t="s">
        <v>194</v>
      </c>
      <c r="T85" s="2">
        <v>0</v>
      </c>
      <c r="U85" s="2">
        <v>26</v>
      </c>
      <c r="V85" s="2">
        <v>0</v>
      </c>
      <c r="W85" s="2">
        <v>0</v>
      </c>
      <c r="X85" s="2">
        <v>0</v>
      </c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 t="s">
        <v>15</v>
      </c>
      <c r="B86" s="2" t="s">
        <v>24</v>
      </c>
      <c r="C86" s="2">
        <v>20150316</v>
      </c>
      <c r="D86" s="15">
        <v>0</v>
      </c>
      <c r="E86" s="2"/>
      <c r="F86" s="2">
        <v>62500</v>
      </c>
      <c r="G86" s="2" t="s">
        <v>17</v>
      </c>
      <c r="H86" s="2"/>
      <c r="I86" s="2" t="s">
        <v>16</v>
      </c>
      <c r="J86" s="2" t="s">
        <v>181</v>
      </c>
      <c r="K86" s="2" t="s">
        <v>25</v>
      </c>
      <c r="L86" s="2">
        <v>132757294</v>
      </c>
      <c r="M86" s="16"/>
      <c r="N86" s="16"/>
      <c r="O86" s="16"/>
      <c r="P86" s="21"/>
      <c r="Q86" s="16"/>
      <c r="R86" s="2">
        <v>1301</v>
      </c>
      <c r="S86" s="2" t="s">
        <v>194</v>
      </c>
      <c r="T86" s="2">
        <v>0</v>
      </c>
      <c r="U86" s="2">
        <v>26</v>
      </c>
      <c r="V86" s="2">
        <v>0</v>
      </c>
      <c r="W86" s="2">
        <v>0</v>
      </c>
      <c r="X86" s="2">
        <v>0</v>
      </c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 t="s">
        <v>15</v>
      </c>
      <c r="B87" s="2" t="s">
        <v>24</v>
      </c>
      <c r="C87" s="2">
        <v>20150316</v>
      </c>
      <c r="D87" s="15">
        <v>0</v>
      </c>
      <c r="E87" s="2"/>
      <c r="F87" s="2">
        <v>62500</v>
      </c>
      <c r="G87" s="2" t="s">
        <v>17</v>
      </c>
      <c r="H87" s="2"/>
      <c r="I87" s="2" t="s">
        <v>16</v>
      </c>
      <c r="J87" s="2" t="s">
        <v>181</v>
      </c>
      <c r="K87" s="2" t="s">
        <v>25</v>
      </c>
      <c r="L87" s="2">
        <v>132757294</v>
      </c>
      <c r="M87" s="16"/>
      <c r="N87" s="16"/>
      <c r="O87" s="16"/>
      <c r="P87" s="21"/>
      <c r="Q87" s="16"/>
      <c r="R87" s="2">
        <v>1301</v>
      </c>
      <c r="S87" s="2" t="s">
        <v>194</v>
      </c>
      <c r="T87" s="2">
        <v>0</v>
      </c>
      <c r="U87" s="2">
        <v>26</v>
      </c>
      <c r="V87" s="2">
        <v>0</v>
      </c>
      <c r="W87" s="2">
        <v>0</v>
      </c>
      <c r="X87" s="2">
        <v>0</v>
      </c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 t="s">
        <v>15</v>
      </c>
      <c r="B88" s="2" t="s">
        <v>24</v>
      </c>
      <c r="C88" s="2">
        <v>20150316</v>
      </c>
      <c r="D88" s="15">
        <v>0</v>
      </c>
      <c r="E88" s="2"/>
      <c r="F88" s="2">
        <v>62500</v>
      </c>
      <c r="G88" s="2" t="s">
        <v>17</v>
      </c>
      <c r="H88" s="2"/>
      <c r="I88" s="2" t="s">
        <v>16</v>
      </c>
      <c r="J88" s="2" t="s">
        <v>181</v>
      </c>
      <c r="K88" s="2" t="s">
        <v>25</v>
      </c>
      <c r="L88" s="2">
        <v>132757294</v>
      </c>
      <c r="M88" s="16"/>
      <c r="N88" s="16"/>
      <c r="O88" s="16"/>
      <c r="P88" s="21"/>
      <c r="Q88" s="16"/>
      <c r="R88" s="2">
        <v>1302</v>
      </c>
      <c r="S88" s="2" t="s">
        <v>214</v>
      </c>
      <c r="T88" s="2">
        <v>0</v>
      </c>
      <c r="U88" s="2">
        <v>26</v>
      </c>
      <c r="V88" s="2">
        <v>0</v>
      </c>
      <c r="W88" s="2">
        <v>0</v>
      </c>
      <c r="X88" s="2">
        <v>0</v>
      </c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 t="s">
        <v>15</v>
      </c>
      <c r="B89" s="2" t="s">
        <v>24</v>
      </c>
      <c r="C89" s="2">
        <v>20150316</v>
      </c>
      <c r="D89" s="15">
        <v>0</v>
      </c>
      <c r="E89" s="2"/>
      <c r="F89" s="2">
        <v>62500</v>
      </c>
      <c r="G89" s="2" t="s">
        <v>17</v>
      </c>
      <c r="H89" s="2"/>
      <c r="I89" s="2" t="s">
        <v>16</v>
      </c>
      <c r="J89" s="2" t="s">
        <v>181</v>
      </c>
      <c r="K89" s="2" t="s">
        <v>25</v>
      </c>
      <c r="L89" s="2">
        <v>132757294</v>
      </c>
      <c r="M89" s="16"/>
      <c r="N89" s="16"/>
      <c r="O89" s="16"/>
      <c r="P89" s="21"/>
      <c r="Q89" s="16"/>
      <c r="R89" s="2">
        <v>1300</v>
      </c>
      <c r="S89" s="2" t="s">
        <v>196</v>
      </c>
      <c r="T89" s="2">
        <v>0</v>
      </c>
      <c r="U89" s="2">
        <v>26</v>
      </c>
      <c r="V89" s="2">
        <v>0</v>
      </c>
      <c r="W89" s="2">
        <v>0</v>
      </c>
      <c r="X89" s="2">
        <v>0</v>
      </c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 t="s">
        <v>15</v>
      </c>
      <c r="B90" s="2" t="s">
        <v>24</v>
      </c>
      <c r="C90" s="2">
        <v>20150316</v>
      </c>
      <c r="D90" s="15">
        <v>0</v>
      </c>
      <c r="E90" s="2"/>
      <c r="F90" s="2">
        <v>62500</v>
      </c>
      <c r="G90" s="2" t="s">
        <v>17</v>
      </c>
      <c r="H90" s="2"/>
      <c r="I90" s="2" t="s">
        <v>16</v>
      </c>
      <c r="J90" s="2" t="s">
        <v>181</v>
      </c>
      <c r="K90" s="2" t="s">
        <v>25</v>
      </c>
      <c r="L90" s="2">
        <v>132757294</v>
      </c>
      <c r="M90" s="16"/>
      <c r="N90" s="16"/>
      <c r="O90" s="16"/>
      <c r="P90" s="21"/>
      <c r="Q90" s="16"/>
      <c r="R90" s="2">
        <v>1300</v>
      </c>
      <c r="S90" s="2" t="s">
        <v>201</v>
      </c>
      <c r="T90" s="2">
        <v>0</v>
      </c>
      <c r="U90" s="2">
        <v>26</v>
      </c>
      <c r="V90" s="2">
        <v>0</v>
      </c>
      <c r="W90" s="2">
        <v>0</v>
      </c>
      <c r="X90" s="2">
        <v>0</v>
      </c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 t="s">
        <v>15</v>
      </c>
      <c r="B91" s="2" t="s">
        <v>24</v>
      </c>
      <c r="C91" s="2">
        <v>20150316</v>
      </c>
      <c r="D91" s="15">
        <v>0</v>
      </c>
      <c r="E91" s="2"/>
      <c r="F91" s="2">
        <v>62500</v>
      </c>
      <c r="G91" s="2" t="s">
        <v>17</v>
      </c>
      <c r="H91" s="2"/>
      <c r="I91" s="2" t="s">
        <v>16</v>
      </c>
      <c r="J91" s="2" t="s">
        <v>181</v>
      </c>
      <c r="K91" s="2" t="s">
        <v>25</v>
      </c>
      <c r="L91" s="2">
        <v>132757294</v>
      </c>
      <c r="M91" s="16"/>
      <c r="N91" s="16"/>
      <c r="O91" s="16"/>
      <c r="P91" s="21"/>
      <c r="Q91" s="16"/>
      <c r="R91" s="2">
        <v>1302</v>
      </c>
      <c r="S91" s="2" t="s">
        <v>214</v>
      </c>
      <c r="T91" s="2">
        <v>0</v>
      </c>
      <c r="U91" s="2">
        <v>26</v>
      </c>
      <c r="V91" s="2">
        <v>0</v>
      </c>
      <c r="W91" s="2">
        <v>0</v>
      </c>
      <c r="X91" s="2">
        <v>0</v>
      </c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 t="s">
        <v>15</v>
      </c>
      <c r="B92" s="2" t="s">
        <v>24</v>
      </c>
      <c r="C92" s="2">
        <v>20150316</v>
      </c>
      <c r="D92" s="15">
        <v>0</v>
      </c>
      <c r="E92" s="2"/>
      <c r="F92" s="2">
        <v>62500</v>
      </c>
      <c r="G92" s="2" t="s">
        <v>17</v>
      </c>
      <c r="H92" s="2"/>
      <c r="I92" s="2" t="s">
        <v>16</v>
      </c>
      <c r="J92" s="2" t="s">
        <v>181</v>
      </c>
      <c r="K92" s="2" t="s">
        <v>25</v>
      </c>
      <c r="L92" s="2">
        <v>132757294</v>
      </c>
      <c r="M92" s="16"/>
      <c r="N92" s="16"/>
      <c r="O92" s="16"/>
      <c r="P92" s="21"/>
      <c r="Q92" s="16"/>
      <c r="R92" s="2">
        <v>1302</v>
      </c>
      <c r="S92" s="2" t="s">
        <v>194</v>
      </c>
      <c r="T92" s="2">
        <v>0</v>
      </c>
      <c r="U92" s="2">
        <v>26</v>
      </c>
      <c r="V92" s="2">
        <v>0</v>
      </c>
      <c r="W92" s="2">
        <v>0</v>
      </c>
      <c r="X92" s="2">
        <v>0</v>
      </c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 t="s">
        <v>15</v>
      </c>
      <c r="B93" s="2" t="s">
        <v>24</v>
      </c>
      <c r="C93" s="2">
        <v>20150316</v>
      </c>
      <c r="D93" s="15">
        <v>0</v>
      </c>
      <c r="E93" s="2"/>
      <c r="F93" s="2">
        <v>62500</v>
      </c>
      <c r="G93" s="2" t="s">
        <v>17</v>
      </c>
      <c r="H93" s="2"/>
      <c r="I93" s="2" t="s">
        <v>16</v>
      </c>
      <c r="J93" s="2" t="s">
        <v>181</v>
      </c>
      <c r="K93" s="2" t="s">
        <v>25</v>
      </c>
      <c r="L93" s="2">
        <v>132757294</v>
      </c>
      <c r="M93" s="16"/>
      <c r="N93" s="16"/>
      <c r="O93" s="16"/>
      <c r="P93" s="21"/>
      <c r="Q93" s="16"/>
      <c r="R93" s="2">
        <v>1302</v>
      </c>
      <c r="S93" s="2" t="s">
        <v>194</v>
      </c>
      <c r="T93" s="2">
        <v>0</v>
      </c>
      <c r="U93" s="2">
        <v>26</v>
      </c>
      <c r="V93" s="2">
        <v>0</v>
      </c>
      <c r="W93" s="2">
        <v>0</v>
      </c>
      <c r="X93" s="2">
        <v>0</v>
      </c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 t="s">
        <v>15</v>
      </c>
      <c r="B94" s="2" t="s">
        <v>24</v>
      </c>
      <c r="C94" s="2">
        <v>20150316</v>
      </c>
      <c r="D94" s="15">
        <v>0</v>
      </c>
      <c r="E94" s="2"/>
      <c r="F94" s="2">
        <v>62500</v>
      </c>
      <c r="G94" s="2" t="s">
        <v>17</v>
      </c>
      <c r="H94" s="2"/>
      <c r="I94" s="2" t="s">
        <v>16</v>
      </c>
      <c r="J94" s="2" t="s">
        <v>181</v>
      </c>
      <c r="K94" s="2" t="s">
        <v>25</v>
      </c>
      <c r="L94" s="2">
        <v>132757294</v>
      </c>
      <c r="M94" s="16"/>
      <c r="N94" s="16"/>
      <c r="O94" s="16"/>
      <c r="P94" s="21"/>
      <c r="Q94" s="16"/>
      <c r="R94" s="2">
        <v>1302</v>
      </c>
      <c r="S94" s="2" t="s">
        <v>194</v>
      </c>
      <c r="T94" s="2">
        <v>0</v>
      </c>
      <c r="U94" s="2">
        <v>26</v>
      </c>
      <c r="V94" s="2">
        <v>0</v>
      </c>
      <c r="W94" s="2">
        <v>0</v>
      </c>
      <c r="X94" s="2">
        <v>0</v>
      </c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  <row r="95" spans="1:40" x14ac:dyDescent="0.25">
      <c r="A95" t="s">
        <v>15</v>
      </c>
      <c r="B95" t="s">
        <v>24</v>
      </c>
      <c r="C95">
        <v>20150316</v>
      </c>
      <c r="D95">
        <v>0</v>
      </c>
      <c r="F95">
        <v>62500</v>
      </c>
      <c r="G95" t="s">
        <v>17</v>
      </c>
      <c r="I95" t="s">
        <v>16</v>
      </c>
      <c r="J95" t="s">
        <v>181</v>
      </c>
      <c r="K95" t="s">
        <v>25</v>
      </c>
      <c r="L95">
        <v>132757294</v>
      </c>
      <c r="R95">
        <v>1303</v>
      </c>
      <c r="S95" t="s">
        <v>214</v>
      </c>
      <c r="T95">
        <v>0</v>
      </c>
      <c r="U95">
        <v>24</v>
      </c>
      <c r="V95">
        <v>0</v>
      </c>
      <c r="W95">
        <v>0</v>
      </c>
      <c r="X95">
        <v>0</v>
      </c>
    </row>
    <row r="96" spans="1:40" x14ac:dyDescent="0.25">
      <c r="A96" t="s">
        <v>15</v>
      </c>
      <c r="B96" t="s">
        <v>24</v>
      </c>
      <c r="C96">
        <v>20150316</v>
      </c>
      <c r="D96">
        <v>0</v>
      </c>
      <c r="F96">
        <v>62500</v>
      </c>
      <c r="G96" t="s">
        <v>17</v>
      </c>
      <c r="I96" t="s">
        <v>16</v>
      </c>
      <c r="J96" t="s">
        <v>181</v>
      </c>
      <c r="K96" t="s">
        <v>25</v>
      </c>
      <c r="L96">
        <v>132757294</v>
      </c>
      <c r="R96">
        <v>1302</v>
      </c>
      <c r="S96" t="s">
        <v>196</v>
      </c>
      <c r="T96">
        <v>0</v>
      </c>
      <c r="U96">
        <v>26</v>
      </c>
      <c r="V96">
        <v>0</v>
      </c>
      <c r="W96">
        <v>0</v>
      </c>
      <c r="X96">
        <v>0</v>
      </c>
    </row>
    <row r="97" spans="1:24" x14ac:dyDescent="0.25">
      <c r="A97" t="s">
        <v>15</v>
      </c>
      <c r="B97" t="s">
        <v>24</v>
      </c>
      <c r="C97">
        <v>20150316</v>
      </c>
      <c r="D97">
        <v>0</v>
      </c>
      <c r="F97">
        <v>62500</v>
      </c>
      <c r="G97" t="s">
        <v>17</v>
      </c>
      <c r="I97" t="s">
        <v>16</v>
      </c>
      <c r="J97" t="s">
        <v>181</v>
      </c>
      <c r="K97" t="s">
        <v>25</v>
      </c>
      <c r="L97">
        <v>132757294</v>
      </c>
      <c r="R97">
        <v>1302</v>
      </c>
      <c r="S97" t="s">
        <v>201</v>
      </c>
      <c r="T97">
        <v>0</v>
      </c>
      <c r="U97">
        <v>26</v>
      </c>
      <c r="V97">
        <v>0</v>
      </c>
      <c r="W97">
        <v>0</v>
      </c>
      <c r="X97">
        <v>0</v>
      </c>
    </row>
    <row r="98" spans="1:24" x14ac:dyDescent="0.25">
      <c r="A98" t="s">
        <v>15</v>
      </c>
      <c r="B98" t="s">
        <v>24</v>
      </c>
      <c r="C98">
        <v>20150316</v>
      </c>
      <c r="D98">
        <v>0</v>
      </c>
      <c r="F98">
        <v>62500</v>
      </c>
      <c r="G98" t="s">
        <v>17</v>
      </c>
      <c r="I98" t="s">
        <v>16</v>
      </c>
      <c r="J98" t="s">
        <v>181</v>
      </c>
      <c r="K98" t="s">
        <v>25</v>
      </c>
      <c r="L98">
        <v>132757294</v>
      </c>
      <c r="R98">
        <v>1303</v>
      </c>
      <c r="S98" t="s">
        <v>214</v>
      </c>
      <c r="T98">
        <v>0</v>
      </c>
      <c r="U98">
        <v>24</v>
      </c>
      <c r="V98">
        <v>0</v>
      </c>
      <c r="W98">
        <v>0</v>
      </c>
      <c r="X98">
        <v>0</v>
      </c>
    </row>
    <row r="99" spans="1:24" x14ac:dyDescent="0.25">
      <c r="A99" t="s">
        <v>15</v>
      </c>
      <c r="B99" t="s">
        <v>24</v>
      </c>
      <c r="C99">
        <v>20150316</v>
      </c>
      <c r="D99">
        <v>0</v>
      </c>
      <c r="F99">
        <v>62500</v>
      </c>
      <c r="G99" t="s">
        <v>17</v>
      </c>
      <c r="I99" t="s">
        <v>16</v>
      </c>
      <c r="J99" t="s">
        <v>181</v>
      </c>
      <c r="K99" t="s">
        <v>25</v>
      </c>
      <c r="L99">
        <v>132757294</v>
      </c>
      <c r="R99">
        <v>1303</v>
      </c>
      <c r="S99" t="s">
        <v>194</v>
      </c>
      <c r="T99">
        <v>0</v>
      </c>
      <c r="U99">
        <v>24</v>
      </c>
      <c r="V99">
        <v>0</v>
      </c>
      <c r="W99">
        <v>0</v>
      </c>
      <c r="X99">
        <v>0</v>
      </c>
    </row>
    <row r="100" spans="1:24" x14ac:dyDescent="0.25">
      <c r="A100" t="s">
        <v>15</v>
      </c>
      <c r="B100" t="s">
        <v>24</v>
      </c>
      <c r="C100">
        <v>20150316</v>
      </c>
      <c r="D100">
        <v>0</v>
      </c>
      <c r="F100">
        <v>62500</v>
      </c>
      <c r="G100" t="s">
        <v>17</v>
      </c>
      <c r="I100" t="s">
        <v>16</v>
      </c>
      <c r="J100" t="s">
        <v>181</v>
      </c>
      <c r="K100" t="s">
        <v>25</v>
      </c>
      <c r="L100">
        <v>132757294</v>
      </c>
      <c r="R100">
        <v>1301</v>
      </c>
      <c r="S100" t="s">
        <v>196</v>
      </c>
      <c r="T100">
        <v>0</v>
      </c>
      <c r="U100">
        <v>26</v>
      </c>
      <c r="V100">
        <v>0</v>
      </c>
      <c r="W100">
        <v>0</v>
      </c>
      <c r="X100">
        <v>0</v>
      </c>
    </row>
    <row r="101" spans="1:24" x14ac:dyDescent="0.25">
      <c r="A101" t="s">
        <v>15</v>
      </c>
      <c r="B101" t="s">
        <v>24</v>
      </c>
      <c r="C101">
        <v>20150316</v>
      </c>
      <c r="D101">
        <v>0</v>
      </c>
      <c r="F101">
        <v>62500</v>
      </c>
      <c r="G101" t="s">
        <v>17</v>
      </c>
      <c r="I101" t="s">
        <v>16</v>
      </c>
      <c r="J101" t="s">
        <v>181</v>
      </c>
      <c r="K101" t="s">
        <v>25</v>
      </c>
      <c r="L101">
        <v>132757294</v>
      </c>
      <c r="R101">
        <v>1301</v>
      </c>
      <c r="S101" t="s">
        <v>201</v>
      </c>
      <c r="T101">
        <v>0</v>
      </c>
      <c r="U101">
        <v>26</v>
      </c>
      <c r="V101">
        <v>0</v>
      </c>
      <c r="W101">
        <v>0</v>
      </c>
      <c r="X101">
        <v>0</v>
      </c>
    </row>
    <row r="102" spans="1:24" x14ac:dyDescent="0.25">
      <c r="A102" t="s">
        <v>15</v>
      </c>
      <c r="B102" t="s">
        <v>24</v>
      </c>
      <c r="C102">
        <v>20150316</v>
      </c>
      <c r="D102">
        <v>0</v>
      </c>
      <c r="F102">
        <v>62500</v>
      </c>
      <c r="G102" t="s">
        <v>17</v>
      </c>
      <c r="I102" t="s">
        <v>16</v>
      </c>
      <c r="J102" t="s">
        <v>181</v>
      </c>
      <c r="K102" t="s">
        <v>25</v>
      </c>
      <c r="L102">
        <v>132757294</v>
      </c>
      <c r="R102">
        <v>1303</v>
      </c>
      <c r="S102" t="s">
        <v>194</v>
      </c>
      <c r="T102">
        <v>0</v>
      </c>
      <c r="U102">
        <v>24</v>
      </c>
      <c r="V102">
        <v>0</v>
      </c>
      <c r="W102">
        <v>0</v>
      </c>
      <c r="X102">
        <v>0</v>
      </c>
    </row>
    <row r="103" spans="1:24" x14ac:dyDescent="0.25">
      <c r="A103" t="s">
        <v>15</v>
      </c>
      <c r="B103" t="s">
        <v>24</v>
      </c>
      <c r="C103">
        <v>20150316</v>
      </c>
      <c r="D103">
        <v>0</v>
      </c>
      <c r="F103">
        <v>62500</v>
      </c>
      <c r="G103" t="s">
        <v>17</v>
      </c>
      <c r="I103" t="s">
        <v>16</v>
      </c>
      <c r="J103" t="s">
        <v>181</v>
      </c>
      <c r="K103" t="s">
        <v>25</v>
      </c>
      <c r="L103">
        <v>132757294</v>
      </c>
      <c r="R103">
        <v>1303</v>
      </c>
      <c r="S103" t="s">
        <v>194</v>
      </c>
      <c r="T103">
        <v>0</v>
      </c>
      <c r="U103">
        <v>24</v>
      </c>
      <c r="V103">
        <v>0</v>
      </c>
      <c r="W103">
        <v>0</v>
      </c>
      <c r="X103">
        <v>0</v>
      </c>
    </row>
    <row r="104" spans="1:24" x14ac:dyDescent="0.25">
      <c r="A104" t="s">
        <v>15</v>
      </c>
      <c r="B104" t="s">
        <v>24</v>
      </c>
      <c r="C104">
        <v>20150316</v>
      </c>
      <c r="D104">
        <v>0</v>
      </c>
      <c r="F104">
        <v>62500</v>
      </c>
      <c r="G104" t="s">
        <v>17</v>
      </c>
      <c r="I104" t="s">
        <v>16</v>
      </c>
      <c r="J104" t="s">
        <v>181</v>
      </c>
      <c r="K104" t="s">
        <v>25</v>
      </c>
      <c r="L104">
        <v>132757294</v>
      </c>
      <c r="R104">
        <v>1304</v>
      </c>
      <c r="S104" t="s">
        <v>214</v>
      </c>
      <c r="T104">
        <v>0</v>
      </c>
      <c r="U104">
        <v>-24</v>
      </c>
      <c r="V104">
        <v>0</v>
      </c>
      <c r="W104">
        <v>0</v>
      </c>
      <c r="X104">
        <v>0</v>
      </c>
    </row>
    <row r="105" spans="1:24" x14ac:dyDescent="0.25">
      <c r="A105" t="s">
        <v>15</v>
      </c>
      <c r="B105" t="s">
        <v>24</v>
      </c>
      <c r="C105">
        <v>20150316</v>
      </c>
      <c r="D105">
        <v>0</v>
      </c>
      <c r="F105">
        <v>62500</v>
      </c>
      <c r="G105" t="s">
        <v>17</v>
      </c>
      <c r="I105" t="s">
        <v>16</v>
      </c>
      <c r="J105" t="s">
        <v>181</v>
      </c>
      <c r="K105" t="s">
        <v>25</v>
      </c>
      <c r="L105">
        <v>132757294</v>
      </c>
      <c r="R105">
        <v>1304</v>
      </c>
      <c r="S105" t="s">
        <v>214</v>
      </c>
      <c r="T105">
        <v>0</v>
      </c>
      <c r="U105">
        <v>-24</v>
      </c>
      <c r="V105">
        <v>0</v>
      </c>
      <c r="W105">
        <v>0</v>
      </c>
      <c r="X105">
        <v>0</v>
      </c>
    </row>
    <row r="106" spans="1:24" x14ac:dyDescent="0.25">
      <c r="A106" t="s">
        <v>15</v>
      </c>
      <c r="B106" t="s">
        <v>24</v>
      </c>
      <c r="C106">
        <v>20150316</v>
      </c>
      <c r="D106">
        <v>0</v>
      </c>
      <c r="F106">
        <v>62500</v>
      </c>
      <c r="G106" t="s">
        <v>17</v>
      </c>
      <c r="I106" t="s">
        <v>16</v>
      </c>
      <c r="J106" t="s">
        <v>181</v>
      </c>
      <c r="K106" t="s">
        <v>25</v>
      </c>
      <c r="L106">
        <v>132757294</v>
      </c>
      <c r="R106">
        <v>1304</v>
      </c>
      <c r="S106" t="s">
        <v>194</v>
      </c>
      <c r="T106">
        <v>0</v>
      </c>
      <c r="U106">
        <v>24</v>
      </c>
      <c r="V106">
        <v>0</v>
      </c>
      <c r="W106">
        <v>0</v>
      </c>
      <c r="X106">
        <v>0</v>
      </c>
    </row>
    <row r="107" spans="1:24" x14ac:dyDescent="0.25">
      <c r="A107" t="s">
        <v>15</v>
      </c>
      <c r="B107" t="s">
        <v>24</v>
      </c>
      <c r="C107">
        <v>20150316</v>
      </c>
      <c r="D107">
        <v>0</v>
      </c>
      <c r="F107">
        <v>62500</v>
      </c>
      <c r="G107" t="s">
        <v>17</v>
      </c>
      <c r="I107" t="s">
        <v>16</v>
      </c>
      <c r="J107" t="s">
        <v>181</v>
      </c>
      <c r="K107" t="s">
        <v>25</v>
      </c>
      <c r="L107">
        <v>132757294</v>
      </c>
      <c r="R107">
        <v>1304</v>
      </c>
      <c r="S107" t="s">
        <v>194</v>
      </c>
      <c r="T107">
        <v>0</v>
      </c>
      <c r="U107">
        <v>24</v>
      </c>
      <c r="V107">
        <v>0</v>
      </c>
      <c r="W107">
        <v>0</v>
      </c>
      <c r="X107">
        <v>0</v>
      </c>
    </row>
    <row r="108" spans="1:24" x14ac:dyDescent="0.25">
      <c r="A108" t="s">
        <v>15</v>
      </c>
      <c r="B108" t="s">
        <v>24</v>
      </c>
      <c r="C108">
        <v>20150316</v>
      </c>
      <c r="D108">
        <v>0</v>
      </c>
      <c r="F108">
        <v>62500</v>
      </c>
      <c r="G108" t="s">
        <v>17</v>
      </c>
      <c r="I108" t="s">
        <v>16</v>
      </c>
      <c r="J108" t="s">
        <v>181</v>
      </c>
      <c r="K108" t="s">
        <v>25</v>
      </c>
      <c r="L108">
        <v>132757294</v>
      </c>
      <c r="R108">
        <v>1304</v>
      </c>
      <c r="S108" t="s">
        <v>194</v>
      </c>
      <c r="T108">
        <v>0</v>
      </c>
      <c r="U108">
        <v>24</v>
      </c>
      <c r="V108">
        <v>0</v>
      </c>
      <c r="W108">
        <v>0</v>
      </c>
      <c r="X108">
        <v>0</v>
      </c>
    </row>
    <row r="109" spans="1:24" x14ac:dyDescent="0.25">
      <c r="A109" t="s">
        <v>15</v>
      </c>
      <c r="B109" t="s">
        <v>24</v>
      </c>
      <c r="C109">
        <v>20150316</v>
      </c>
      <c r="D109">
        <v>0</v>
      </c>
      <c r="F109">
        <v>62500</v>
      </c>
      <c r="G109" t="s">
        <v>17</v>
      </c>
      <c r="I109" t="s">
        <v>16</v>
      </c>
      <c r="J109" t="s">
        <v>181</v>
      </c>
      <c r="K109" t="s">
        <v>25</v>
      </c>
      <c r="L109">
        <v>132757294</v>
      </c>
      <c r="R109">
        <v>1305</v>
      </c>
      <c r="S109" t="s">
        <v>214</v>
      </c>
      <c r="T109">
        <v>0</v>
      </c>
      <c r="U109">
        <v>-24</v>
      </c>
      <c r="V109">
        <v>0</v>
      </c>
      <c r="W109">
        <v>0</v>
      </c>
      <c r="X109">
        <v>0</v>
      </c>
    </row>
    <row r="110" spans="1:24" x14ac:dyDescent="0.25">
      <c r="A110" t="s">
        <v>15</v>
      </c>
      <c r="B110" t="s">
        <v>24</v>
      </c>
      <c r="C110">
        <v>20150316</v>
      </c>
      <c r="D110">
        <v>0</v>
      </c>
      <c r="F110">
        <v>62500</v>
      </c>
      <c r="G110" t="s">
        <v>17</v>
      </c>
      <c r="I110" t="s">
        <v>16</v>
      </c>
      <c r="J110" t="s">
        <v>181</v>
      </c>
      <c r="K110" t="s">
        <v>25</v>
      </c>
      <c r="L110">
        <v>132757294</v>
      </c>
      <c r="R110">
        <v>1304</v>
      </c>
      <c r="S110" t="s">
        <v>196</v>
      </c>
      <c r="T110">
        <v>0</v>
      </c>
      <c r="U110">
        <v>24</v>
      </c>
      <c r="V110">
        <v>0</v>
      </c>
      <c r="W110">
        <v>0</v>
      </c>
      <c r="X110">
        <v>0</v>
      </c>
    </row>
    <row r="111" spans="1:24" x14ac:dyDescent="0.25">
      <c r="A111" t="s">
        <v>15</v>
      </c>
      <c r="B111" t="s">
        <v>24</v>
      </c>
      <c r="C111">
        <v>20150316</v>
      </c>
      <c r="D111">
        <v>0</v>
      </c>
      <c r="F111">
        <v>62500</v>
      </c>
      <c r="G111" t="s">
        <v>17</v>
      </c>
      <c r="I111" t="s">
        <v>16</v>
      </c>
      <c r="J111" t="s">
        <v>181</v>
      </c>
      <c r="K111" t="s">
        <v>25</v>
      </c>
      <c r="L111">
        <v>132757294</v>
      </c>
      <c r="R111">
        <v>1304</v>
      </c>
      <c r="S111" t="s">
        <v>201</v>
      </c>
      <c r="T111">
        <v>0</v>
      </c>
      <c r="U111">
        <v>24</v>
      </c>
      <c r="V111">
        <v>0</v>
      </c>
      <c r="W111">
        <v>0</v>
      </c>
      <c r="X111">
        <v>0</v>
      </c>
    </row>
    <row r="112" spans="1:24" x14ac:dyDescent="0.25">
      <c r="A112" t="s">
        <v>15</v>
      </c>
      <c r="B112" t="s">
        <v>24</v>
      </c>
      <c r="C112">
        <v>20150316</v>
      </c>
      <c r="D112">
        <v>0</v>
      </c>
      <c r="F112">
        <v>62500</v>
      </c>
      <c r="G112" t="s">
        <v>17</v>
      </c>
      <c r="I112" t="s">
        <v>16</v>
      </c>
      <c r="J112" t="s">
        <v>181</v>
      </c>
      <c r="K112" t="s">
        <v>25</v>
      </c>
      <c r="L112">
        <v>132757294</v>
      </c>
      <c r="R112">
        <v>1305</v>
      </c>
      <c r="S112" t="s">
        <v>214</v>
      </c>
      <c r="T112">
        <v>0</v>
      </c>
      <c r="U112">
        <v>-24</v>
      </c>
      <c r="V112">
        <v>0</v>
      </c>
      <c r="W112">
        <v>0</v>
      </c>
      <c r="X112">
        <v>0</v>
      </c>
    </row>
    <row r="113" spans="1:24" x14ac:dyDescent="0.25">
      <c r="A113" t="s">
        <v>15</v>
      </c>
      <c r="B113" t="s">
        <v>24</v>
      </c>
      <c r="C113">
        <v>20150316</v>
      </c>
      <c r="D113">
        <v>0</v>
      </c>
      <c r="F113">
        <v>62500</v>
      </c>
      <c r="G113" t="s">
        <v>17</v>
      </c>
      <c r="I113" t="s">
        <v>16</v>
      </c>
      <c r="J113" t="s">
        <v>181</v>
      </c>
      <c r="K113" t="s">
        <v>25</v>
      </c>
      <c r="L113">
        <v>132757294</v>
      </c>
      <c r="R113">
        <v>1305</v>
      </c>
      <c r="S113" t="s">
        <v>194</v>
      </c>
      <c r="T113">
        <v>0</v>
      </c>
      <c r="U113">
        <v>24</v>
      </c>
      <c r="V113">
        <v>0</v>
      </c>
      <c r="W113">
        <v>0</v>
      </c>
      <c r="X113">
        <v>0</v>
      </c>
    </row>
    <row r="114" spans="1:24" x14ac:dyDescent="0.25">
      <c r="A114" t="s">
        <v>15</v>
      </c>
      <c r="B114" t="s">
        <v>24</v>
      </c>
      <c r="C114">
        <v>20150316</v>
      </c>
      <c r="D114">
        <v>0</v>
      </c>
      <c r="F114">
        <v>62500</v>
      </c>
      <c r="G114" t="s">
        <v>17</v>
      </c>
      <c r="I114" t="s">
        <v>16</v>
      </c>
      <c r="J114" t="s">
        <v>181</v>
      </c>
      <c r="K114" t="s">
        <v>25</v>
      </c>
      <c r="L114">
        <v>132757294</v>
      </c>
      <c r="R114">
        <v>1305</v>
      </c>
      <c r="S114" t="s">
        <v>194</v>
      </c>
      <c r="T114">
        <v>0</v>
      </c>
      <c r="U114">
        <v>24</v>
      </c>
      <c r="V114">
        <v>0</v>
      </c>
      <c r="W114">
        <v>0</v>
      </c>
      <c r="X114">
        <v>0</v>
      </c>
    </row>
    <row r="115" spans="1:24" x14ac:dyDescent="0.25">
      <c r="A115" t="s">
        <v>15</v>
      </c>
      <c r="B115" t="s">
        <v>24</v>
      </c>
      <c r="C115">
        <v>20150316</v>
      </c>
      <c r="D115">
        <v>0</v>
      </c>
      <c r="F115">
        <v>62500</v>
      </c>
      <c r="G115" t="s">
        <v>17</v>
      </c>
      <c r="I115" t="s">
        <v>16</v>
      </c>
      <c r="J115" t="s">
        <v>181</v>
      </c>
      <c r="K115" t="s">
        <v>25</v>
      </c>
      <c r="L115">
        <v>132757294</v>
      </c>
      <c r="R115">
        <v>1305</v>
      </c>
      <c r="S115" t="s">
        <v>194</v>
      </c>
      <c r="T115">
        <v>0</v>
      </c>
      <c r="U115">
        <v>24</v>
      </c>
      <c r="V115">
        <v>0</v>
      </c>
      <c r="W115">
        <v>0</v>
      </c>
      <c r="X115">
        <v>0</v>
      </c>
    </row>
    <row r="116" spans="1:24" x14ac:dyDescent="0.25">
      <c r="A116" t="s">
        <v>15</v>
      </c>
      <c r="B116" t="s">
        <v>24</v>
      </c>
      <c r="C116">
        <v>20150316</v>
      </c>
      <c r="D116">
        <v>0</v>
      </c>
      <c r="F116">
        <v>62500</v>
      </c>
      <c r="G116" t="s">
        <v>17</v>
      </c>
      <c r="I116" t="s">
        <v>16</v>
      </c>
      <c r="J116" t="s">
        <v>181</v>
      </c>
      <c r="K116" t="s">
        <v>25</v>
      </c>
      <c r="L116">
        <v>132757294</v>
      </c>
      <c r="R116">
        <v>1306</v>
      </c>
      <c r="S116" t="s">
        <v>214</v>
      </c>
      <c r="T116">
        <v>0</v>
      </c>
      <c r="U116">
        <v>-24</v>
      </c>
      <c r="V116">
        <v>0</v>
      </c>
      <c r="W116">
        <v>0</v>
      </c>
      <c r="X116">
        <v>0</v>
      </c>
    </row>
    <row r="117" spans="1:24" x14ac:dyDescent="0.25">
      <c r="A117" t="s">
        <v>15</v>
      </c>
      <c r="B117" t="s">
        <v>24</v>
      </c>
      <c r="C117">
        <v>20150316</v>
      </c>
      <c r="D117">
        <v>0</v>
      </c>
      <c r="F117">
        <v>62500</v>
      </c>
      <c r="G117" t="s">
        <v>17</v>
      </c>
      <c r="I117" t="s">
        <v>16</v>
      </c>
      <c r="J117" t="s">
        <v>181</v>
      </c>
      <c r="K117" t="s">
        <v>25</v>
      </c>
      <c r="L117">
        <v>132757294</v>
      </c>
      <c r="R117">
        <v>1305</v>
      </c>
      <c r="S117" t="s">
        <v>196</v>
      </c>
      <c r="T117">
        <v>0</v>
      </c>
      <c r="U117">
        <v>24</v>
      </c>
      <c r="V117">
        <v>0</v>
      </c>
      <c r="W117">
        <v>0</v>
      </c>
      <c r="X117">
        <v>0</v>
      </c>
    </row>
    <row r="118" spans="1:24" x14ac:dyDescent="0.25">
      <c r="A118" t="s">
        <v>15</v>
      </c>
      <c r="B118" t="s">
        <v>24</v>
      </c>
      <c r="C118">
        <v>20150316</v>
      </c>
      <c r="D118">
        <v>0</v>
      </c>
      <c r="F118">
        <v>62500</v>
      </c>
      <c r="G118" t="s">
        <v>17</v>
      </c>
      <c r="I118" t="s">
        <v>16</v>
      </c>
      <c r="J118" t="s">
        <v>181</v>
      </c>
      <c r="K118" t="s">
        <v>25</v>
      </c>
      <c r="L118">
        <v>132757294</v>
      </c>
      <c r="R118">
        <v>1305</v>
      </c>
      <c r="S118" t="s">
        <v>201</v>
      </c>
      <c r="T118">
        <v>0</v>
      </c>
      <c r="U118">
        <v>24</v>
      </c>
      <c r="V118">
        <v>0</v>
      </c>
      <c r="W118">
        <v>0</v>
      </c>
      <c r="X118">
        <v>0</v>
      </c>
    </row>
    <row r="119" spans="1:24" x14ac:dyDescent="0.25">
      <c r="A119" t="s">
        <v>15</v>
      </c>
      <c r="B119" t="s">
        <v>24</v>
      </c>
      <c r="C119">
        <v>20150316</v>
      </c>
      <c r="D119">
        <v>0</v>
      </c>
      <c r="F119">
        <v>62500</v>
      </c>
      <c r="G119" t="s">
        <v>17</v>
      </c>
      <c r="I119" t="s">
        <v>16</v>
      </c>
      <c r="J119" t="s">
        <v>181</v>
      </c>
      <c r="K119" t="s">
        <v>25</v>
      </c>
      <c r="L119">
        <v>132757294</v>
      </c>
      <c r="R119">
        <v>1306</v>
      </c>
      <c r="S119" t="s">
        <v>214</v>
      </c>
      <c r="T119">
        <v>0</v>
      </c>
      <c r="U119">
        <v>-24</v>
      </c>
      <c r="V119">
        <v>0</v>
      </c>
      <c r="W119">
        <v>0</v>
      </c>
      <c r="X119">
        <v>0</v>
      </c>
    </row>
    <row r="120" spans="1:24" x14ac:dyDescent="0.25">
      <c r="A120" t="s">
        <v>15</v>
      </c>
      <c r="B120" t="s">
        <v>24</v>
      </c>
      <c r="C120">
        <v>20150316</v>
      </c>
      <c r="D120">
        <v>0</v>
      </c>
      <c r="F120">
        <v>62500</v>
      </c>
      <c r="G120" t="s">
        <v>17</v>
      </c>
      <c r="I120" t="s">
        <v>16</v>
      </c>
      <c r="J120" t="s">
        <v>181</v>
      </c>
      <c r="K120" t="s">
        <v>25</v>
      </c>
      <c r="L120">
        <v>132757294</v>
      </c>
      <c r="R120">
        <v>1306</v>
      </c>
      <c r="S120" t="s">
        <v>194</v>
      </c>
      <c r="T120">
        <v>0</v>
      </c>
      <c r="U120">
        <v>24</v>
      </c>
      <c r="V120">
        <v>0</v>
      </c>
      <c r="W120">
        <v>0</v>
      </c>
      <c r="X120">
        <v>0</v>
      </c>
    </row>
    <row r="121" spans="1:24" x14ac:dyDescent="0.25">
      <c r="A121" t="s">
        <v>15</v>
      </c>
      <c r="B121" t="s">
        <v>24</v>
      </c>
      <c r="C121">
        <v>20150316</v>
      </c>
      <c r="D121">
        <v>0</v>
      </c>
      <c r="F121">
        <v>62500</v>
      </c>
      <c r="G121" t="s">
        <v>17</v>
      </c>
      <c r="I121" t="s">
        <v>16</v>
      </c>
      <c r="J121" t="s">
        <v>181</v>
      </c>
      <c r="K121" t="s">
        <v>25</v>
      </c>
      <c r="L121">
        <v>132757294</v>
      </c>
      <c r="R121">
        <v>1306</v>
      </c>
      <c r="S121" t="s">
        <v>194</v>
      </c>
      <c r="T121">
        <v>0</v>
      </c>
      <c r="U121">
        <v>24</v>
      </c>
      <c r="V121">
        <v>0</v>
      </c>
      <c r="W121">
        <v>0</v>
      </c>
      <c r="X121">
        <v>0</v>
      </c>
    </row>
    <row r="122" spans="1:24" x14ac:dyDescent="0.25">
      <c r="A122" t="s">
        <v>15</v>
      </c>
      <c r="B122" t="s">
        <v>24</v>
      </c>
      <c r="C122">
        <v>20150316</v>
      </c>
      <c r="D122">
        <v>0</v>
      </c>
      <c r="F122">
        <v>62500</v>
      </c>
      <c r="G122" t="s">
        <v>17</v>
      </c>
      <c r="I122" t="s">
        <v>16</v>
      </c>
      <c r="J122" t="s">
        <v>181</v>
      </c>
      <c r="K122" t="s">
        <v>25</v>
      </c>
      <c r="L122">
        <v>132757294</v>
      </c>
      <c r="R122">
        <v>1306</v>
      </c>
      <c r="S122" t="s">
        <v>194</v>
      </c>
      <c r="T122">
        <v>0</v>
      </c>
      <c r="U122">
        <v>24</v>
      </c>
      <c r="V122">
        <v>0</v>
      </c>
      <c r="W122">
        <v>0</v>
      </c>
      <c r="X122">
        <v>0</v>
      </c>
    </row>
    <row r="123" spans="1:24" x14ac:dyDescent="0.25">
      <c r="A123" t="s">
        <v>15</v>
      </c>
      <c r="B123" t="s">
        <v>24</v>
      </c>
      <c r="C123">
        <v>20150316</v>
      </c>
      <c r="D123">
        <v>0</v>
      </c>
      <c r="F123">
        <v>62500</v>
      </c>
      <c r="G123" t="s">
        <v>17</v>
      </c>
      <c r="I123" t="s">
        <v>16</v>
      </c>
      <c r="J123" t="s">
        <v>181</v>
      </c>
      <c r="K123" t="s">
        <v>25</v>
      </c>
      <c r="L123">
        <v>132757294</v>
      </c>
      <c r="R123">
        <v>1307</v>
      </c>
      <c r="S123" t="s">
        <v>214</v>
      </c>
      <c r="T123">
        <v>0</v>
      </c>
      <c r="U123">
        <v>24</v>
      </c>
      <c r="V123">
        <v>0</v>
      </c>
      <c r="W123">
        <v>0</v>
      </c>
      <c r="X123">
        <v>0</v>
      </c>
    </row>
    <row r="124" spans="1:24" x14ac:dyDescent="0.25">
      <c r="A124" t="s">
        <v>15</v>
      </c>
      <c r="B124" t="s">
        <v>24</v>
      </c>
      <c r="C124">
        <v>20150316</v>
      </c>
      <c r="D124">
        <v>0</v>
      </c>
      <c r="F124">
        <v>62500</v>
      </c>
      <c r="G124" t="s">
        <v>17</v>
      </c>
      <c r="I124" t="s">
        <v>16</v>
      </c>
      <c r="J124" t="s">
        <v>181</v>
      </c>
      <c r="K124" t="s">
        <v>25</v>
      </c>
      <c r="L124">
        <v>132757294</v>
      </c>
      <c r="R124">
        <v>1303</v>
      </c>
      <c r="S124" t="s">
        <v>196</v>
      </c>
      <c r="T124">
        <v>0</v>
      </c>
      <c r="U124">
        <v>24</v>
      </c>
      <c r="V124">
        <v>0</v>
      </c>
      <c r="W124">
        <v>0</v>
      </c>
      <c r="X124">
        <v>0</v>
      </c>
    </row>
    <row r="125" spans="1:24" x14ac:dyDescent="0.25">
      <c r="A125" t="s">
        <v>15</v>
      </c>
      <c r="B125" t="s">
        <v>24</v>
      </c>
      <c r="C125">
        <v>20150316</v>
      </c>
      <c r="D125">
        <v>0</v>
      </c>
      <c r="F125">
        <v>62500</v>
      </c>
      <c r="G125" t="s">
        <v>17</v>
      </c>
      <c r="I125" t="s">
        <v>16</v>
      </c>
      <c r="J125" t="s">
        <v>181</v>
      </c>
      <c r="K125" t="s">
        <v>25</v>
      </c>
      <c r="L125">
        <v>132757294</v>
      </c>
      <c r="R125">
        <v>1303</v>
      </c>
      <c r="S125" t="s">
        <v>201</v>
      </c>
      <c r="T125">
        <v>0</v>
      </c>
      <c r="U125">
        <v>24</v>
      </c>
      <c r="V125">
        <v>0</v>
      </c>
      <c r="W125">
        <v>0</v>
      </c>
      <c r="X125">
        <v>0</v>
      </c>
    </row>
    <row r="126" spans="1:24" x14ac:dyDescent="0.25">
      <c r="A126" t="s">
        <v>15</v>
      </c>
      <c r="B126" t="s">
        <v>24</v>
      </c>
      <c r="C126">
        <v>20150316</v>
      </c>
      <c r="D126">
        <v>0</v>
      </c>
      <c r="F126">
        <v>62500</v>
      </c>
      <c r="G126" t="s">
        <v>17</v>
      </c>
      <c r="I126" t="s">
        <v>16</v>
      </c>
      <c r="J126" t="s">
        <v>181</v>
      </c>
      <c r="K126" t="s">
        <v>25</v>
      </c>
      <c r="L126">
        <v>132757294</v>
      </c>
      <c r="R126">
        <v>1307</v>
      </c>
      <c r="S126" t="s">
        <v>214</v>
      </c>
      <c r="T126">
        <v>0</v>
      </c>
      <c r="U126">
        <v>24</v>
      </c>
      <c r="V126">
        <v>0</v>
      </c>
      <c r="W126">
        <v>0</v>
      </c>
      <c r="X126">
        <v>0</v>
      </c>
    </row>
    <row r="127" spans="1:24" x14ac:dyDescent="0.25">
      <c r="A127" t="s">
        <v>15</v>
      </c>
      <c r="B127" t="s">
        <v>24</v>
      </c>
      <c r="C127">
        <v>20150316</v>
      </c>
      <c r="D127">
        <v>0</v>
      </c>
      <c r="F127">
        <v>62500</v>
      </c>
      <c r="G127" t="s">
        <v>17</v>
      </c>
      <c r="I127" t="s">
        <v>16</v>
      </c>
      <c r="J127" t="s">
        <v>181</v>
      </c>
      <c r="K127" t="s">
        <v>25</v>
      </c>
      <c r="L127">
        <v>132757294</v>
      </c>
      <c r="R127">
        <v>1307</v>
      </c>
      <c r="S127" t="s">
        <v>194</v>
      </c>
      <c r="T127">
        <v>0</v>
      </c>
      <c r="U127">
        <v>24</v>
      </c>
      <c r="V127">
        <v>0</v>
      </c>
      <c r="W127">
        <v>0</v>
      </c>
      <c r="X127">
        <v>0</v>
      </c>
    </row>
    <row r="128" spans="1:24" x14ac:dyDescent="0.25">
      <c r="A128" t="s">
        <v>15</v>
      </c>
      <c r="B128" t="s">
        <v>24</v>
      </c>
      <c r="C128">
        <v>20150316</v>
      </c>
      <c r="D128">
        <v>0</v>
      </c>
      <c r="F128">
        <v>62500</v>
      </c>
      <c r="G128" t="s">
        <v>17</v>
      </c>
      <c r="I128" t="s">
        <v>16</v>
      </c>
      <c r="J128" t="s">
        <v>181</v>
      </c>
      <c r="K128" t="s">
        <v>25</v>
      </c>
      <c r="L128">
        <v>132757294</v>
      </c>
      <c r="R128">
        <v>1307</v>
      </c>
      <c r="S128" t="s">
        <v>194</v>
      </c>
      <c r="T128">
        <v>0</v>
      </c>
      <c r="U128">
        <v>24</v>
      </c>
      <c r="V128">
        <v>0</v>
      </c>
      <c r="W128">
        <v>0</v>
      </c>
      <c r="X128">
        <v>0</v>
      </c>
    </row>
    <row r="129" spans="1:24" x14ac:dyDescent="0.25">
      <c r="A129" t="s">
        <v>15</v>
      </c>
      <c r="B129" t="s">
        <v>24</v>
      </c>
      <c r="C129">
        <v>20150316</v>
      </c>
      <c r="D129">
        <v>0</v>
      </c>
      <c r="F129">
        <v>62500</v>
      </c>
      <c r="G129" t="s">
        <v>17</v>
      </c>
      <c r="I129" t="s">
        <v>16</v>
      </c>
      <c r="J129" t="s">
        <v>181</v>
      </c>
      <c r="K129" t="s">
        <v>25</v>
      </c>
      <c r="L129">
        <v>132757294</v>
      </c>
      <c r="R129">
        <v>1307</v>
      </c>
      <c r="S129" t="s">
        <v>194</v>
      </c>
      <c r="T129">
        <v>0</v>
      </c>
      <c r="U129">
        <v>24</v>
      </c>
      <c r="V129">
        <v>0</v>
      </c>
      <c r="W129">
        <v>0</v>
      </c>
      <c r="X129">
        <v>0</v>
      </c>
    </row>
    <row r="130" spans="1:24" x14ac:dyDescent="0.25">
      <c r="A130" t="s">
        <v>15</v>
      </c>
      <c r="B130" t="s">
        <v>24</v>
      </c>
      <c r="C130">
        <v>20150316</v>
      </c>
      <c r="D130">
        <v>0</v>
      </c>
      <c r="F130">
        <v>62500</v>
      </c>
      <c r="G130" t="s">
        <v>17</v>
      </c>
      <c r="I130" t="s">
        <v>16</v>
      </c>
      <c r="J130" t="s">
        <v>181</v>
      </c>
      <c r="K130" t="s">
        <v>25</v>
      </c>
      <c r="L130">
        <v>132757294</v>
      </c>
      <c r="R130">
        <v>1308</v>
      </c>
      <c r="S130" t="s">
        <v>214</v>
      </c>
      <c r="T130">
        <v>0</v>
      </c>
      <c r="U130">
        <v>27</v>
      </c>
      <c r="V130">
        <v>0</v>
      </c>
      <c r="W130">
        <v>0</v>
      </c>
      <c r="X130">
        <v>0</v>
      </c>
    </row>
    <row r="131" spans="1:24" x14ac:dyDescent="0.25">
      <c r="A131" t="s">
        <v>15</v>
      </c>
      <c r="B131" t="s">
        <v>24</v>
      </c>
      <c r="C131">
        <v>20150316</v>
      </c>
      <c r="D131">
        <v>0</v>
      </c>
      <c r="F131">
        <v>62500</v>
      </c>
      <c r="G131" t="s">
        <v>17</v>
      </c>
      <c r="I131" t="s">
        <v>16</v>
      </c>
      <c r="J131" t="s">
        <v>181</v>
      </c>
      <c r="K131" t="s">
        <v>25</v>
      </c>
      <c r="L131">
        <v>132757294</v>
      </c>
      <c r="R131">
        <v>1307</v>
      </c>
      <c r="S131" t="s">
        <v>196</v>
      </c>
      <c r="T131">
        <v>0</v>
      </c>
      <c r="U131">
        <v>24</v>
      </c>
      <c r="V131">
        <v>0</v>
      </c>
      <c r="W131">
        <v>0</v>
      </c>
      <c r="X131">
        <v>0</v>
      </c>
    </row>
    <row r="132" spans="1:24" x14ac:dyDescent="0.25">
      <c r="A132" t="s">
        <v>15</v>
      </c>
      <c r="B132" t="s">
        <v>24</v>
      </c>
      <c r="C132">
        <v>20150316</v>
      </c>
      <c r="D132">
        <v>0</v>
      </c>
      <c r="F132">
        <v>62500</v>
      </c>
      <c r="G132" t="s">
        <v>17</v>
      </c>
      <c r="I132" t="s">
        <v>16</v>
      </c>
      <c r="J132" t="s">
        <v>181</v>
      </c>
      <c r="K132" t="s">
        <v>25</v>
      </c>
      <c r="L132">
        <v>132757294</v>
      </c>
      <c r="R132">
        <v>1307</v>
      </c>
      <c r="S132" t="s">
        <v>201</v>
      </c>
      <c r="T132">
        <v>0</v>
      </c>
      <c r="U132">
        <v>24</v>
      </c>
      <c r="V132">
        <v>0</v>
      </c>
      <c r="W132">
        <v>0</v>
      </c>
      <c r="X132">
        <v>0</v>
      </c>
    </row>
    <row r="133" spans="1:24" x14ac:dyDescent="0.25">
      <c r="A133" t="s">
        <v>15</v>
      </c>
      <c r="B133" t="s">
        <v>24</v>
      </c>
      <c r="C133">
        <v>20150316</v>
      </c>
      <c r="D133">
        <v>0</v>
      </c>
      <c r="F133">
        <v>62500</v>
      </c>
      <c r="G133" t="s">
        <v>17</v>
      </c>
      <c r="I133" t="s">
        <v>16</v>
      </c>
      <c r="J133" t="s">
        <v>181</v>
      </c>
      <c r="K133" t="s">
        <v>25</v>
      </c>
      <c r="L133">
        <v>132757294</v>
      </c>
      <c r="R133">
        <v>1309</v>
      </c>
      <c r="S133" t="s">
        <v>214</v>
      </c>
      <c r="T133">
        <v>0</v>
      </c>
      <c r="U133">
        <v>24</v>
      </c>
      <c r="V133">
        <v>0</v>
      </c>
      <c r="W133">
        <v>0</v>
      </c>
      <c r="X133">
        <v>0</v>
      </c>
    </row>
    <row r="134" spans="1:24" x14ac:dyDescent="0.25">
      <c r="A134" t="s">
        <v>15</v>
      </c>
      <c r="B134" t="s">
        <v>24</v>
      </c>
      <c r="C134">
        <v>20150316</v>
      </c>
      <c r="D134">
        <v>0</v>
      </c>
      <c r="F134">
        <v>62500</v>
      </c>
      <c r="G134" t="s">
        <v>17</v>
      </c>
      <c r="I134" t="s">
        <v>16</v>
      </c>
      <c r="J134" t="s">
        <v>181</v>
      </c>
      <c r="K134" t="s">
        <v>25</v>
      </c>
      <c r="L134">
        <v>132757294</v>
      </c>
      <c r="R134">
        <v>1308</v>
      </c>
      <c r="S134" t="s">
        <v>214</v>
      </c>
      <c r="T134">
        <v>0</v>
      </c>
      <c r="U134">
        <v>27</v>
      </c>
      <c r="V134">
        <v>0</v>
      </c>
      <c r="W134">
        <v>0</v>
      </c>
      <c r="X134">
        <v>0</v>
      </c>
    </row>
    <row r="135" spans="1:24" x14ac:dyDescent="0.25">
      <c r="A135" t="s">
        <v>15</v>
      </c>
      <c r="B135" t="s">
        <v>24</v>
      </c>
      <c r="C135">
        <v>20150316</v>
      </c>
      <c r="D135">
        <v>0</v>
      </c>
      <c r="F135">
        <v>62500</v>
      </c>
      <c r="G135" t="s">
        <v>17</v>
      </c>
      <c r="I135" t="s">
        <v>16</v>
      </c>
      <c r="J135" t="s">
        <v>181</v>
      </c>
      <c r="K135" t="s">
        <v>25</v>
      </c>
      <c r="L135">
        <v>132757294</v>
      </c>
      <c r="R135">
        <v>1308</v>
      </c>
      <c r="S135" t="s">
        <v>194</v>
      </c>
      <c r="T135">
        <v>0</v>
      </c>
      <c r="U135">
        <v>27</v>
      </c>
      <c r="V135">
        <v>0</v>
      </c>
      <c r="W135">
        <v>0</v>
      </c>
      <c r="X135">
        <v>0</v>
      </c>
    </row>
    <row r="136" spans="1:24" x14ac:dyDescent="0.25">
      <c r="A136" t="s">
        <v>15</v>
      </c>
      <c r="B136" t="s">
        <v>24</v>
      </c>
      <c r="C136">
        <v>20150316</v>
      </c>
      <c r="D136">
        <v>0</v>
      </c>
      <c r="F136">
        <v>62500</v>
      </c>
      <c r="G136" t="s">
        <v>17</v>
      </c>
      <c r="I136" t="s">
        <v>16</v>
      </c>
      <c r="J136" t="s">
        <v>181</v>
      </c>
      <c r="K136" t="s">
        <v>25</v>
      </c>
      <c r="L136">
        <v>132757294</v>
      </c>
      <c r="R136">
        <v>1306</v>
      </c>
      <c r="S136" t="s">
        <v>196</v>
      </c>
      <c r="T136">
        <v>0</v>
      </c>
      <c r="U136">
        <v>24</v>
      </c>
      <c r="V136">
        <v>0</v>
      </c>
      <c r="W136">
        <v>0</v>
      </c>
      <c r="X136">
        <v>0</v>
      </c>
    </row>
    <row r="137" spans="1:24" x14ac:dyDescent="0.25">
      <c r="A137" t="s">
        <v>15</v>
      </c>
      <c r="B137" t="s">
        <v>24</v>
      </c>
      <c r="C137">
        <v>20150316</v>
      </c>
      <c r="D137">
        <v>0</v>
      </c>
      <c r="F137">
        <v>62500</v>
      </c>
      <c r="G137" t="s">
        <v>17</v>
      </c>
      <c r="I137" t="s">
        <v>16</v>
      </c>
      <c r="J137" t="s">
        <v>181</v>
      </c>
      <c r="K137" t="s">
        <v>25</v>
      </c>
      <c r="L137">
        <v>132757294</v>
      </c>
      <c r="R137">
        <v>1306</v>
      </c>
      <c r="S137" t="s">
        <v>201</v>
      </c>
      <c r="T137">
        <v>0</v>
      </c>
      <c r="U137">
        <v>24</v>
      </c>
      <c r="V137">
        <v>0</v>
      </c>
      <c r="W137">
        <v>0</v>
      </c>
      <c r="X137">
        <v>0</v>
      </c>
    </row>
    <row r="138" spans="1:24" x14ac:dyDescent="0.25">
      <c r="A138" t="s">
        <v>15</v>
      </c>
      <c r="B138" t="s">
        <v>24</v>
      </c>
      <c r="C138">
        <v>20150316</v>
      </c>
      <c r="D138">
        <v>0</v>
      </c>
      <c r="F138">
        <v>62500</v>
      </c>
      <c r="G138" t="s">
        <v>17</v>
      </c>
      <c r="I138" t="s">
        <v>16</v>
      </c>
      <c r="J138" t="s">
        <v>181</v>
      </c>
      <c r="K138" t="s">
        <v>25</v>
      </c>
      <c r="L138">
        <v>132757294</v>
      </c>
      <c r="R138">
        <v>1308</v>
      </c>
      <c r="S138" t="s">
        <v>194</v>
      </c>
      <c r="T138">
        <v>0</v>
      </c>
      <c r="U138">
        <v>27</v>
      </c>
      <c r="V138">
        <v>0</v>
      </c>
      <c r="W138">
        <v>0</v>
      </c>
      <c r="X138">
        <v>0</v>
      </c>
    </row>
    <row r="139" spans="1:24" x14ac:dyDescent="0.25">
      <c r="A139" t="s">
        <v>15</v>
      </c>
      <c r="B139" t="s">
        <v>24</v>
      </c>
      <c r="C139">
        <v>20150316</v>
      </c>
      <c r="D139">
        <v>0</v>
      </c>
      <c r="F139">
        <v>62500</v>
      </c>
      <c r="G139" t="s">
        <v>17</v>
      </c>
      <c r="I139" t="s">
        <v>16</v>
      </c>
      <c r="J139" t="s">
        <v>181</v>
      </c>
      <c r="K139" t="s">
        <v>25</v>
      </c>
      <c r="L139">
        <v>132757294</v>
      </c>
      <c r="R139">
        <v>1308</v>
      </c>
      <c r="S139" t="s">
        <v>194</v>
      </c>
      <c r="T139">
        <v>0</v>
      </c>
      <c r="U139">
        <v>27</v>
      </c>
      <c r="V139">
        <v>0</v>
      </c>
      <c r="W139">
        <v>0</v>
      </c>
      <c r="X139">
        <v>0</v>
      </c>
    </row>
    <row r="140" spans="1:24" x14ac:dyDescent="0.25">
      <c r="A140" t="s">
        <v>15</v>
      </c>
      <c r="B140" t="s">
        <v>24</v>
      </c>
      <c r="C140">
        <v>20150316</v>
      </c>
      <c r="D140">
        <v>0</v>
      </c>
      <c r="F140">
        <v>62500</v>
      </c>
      <c r="G140" t="s">
        <v>17</v>
      </c>
      <c r="I140" t="s">
        <v>16</v>
      </c>
      <c r="J140" t="s">
        <v>181</v>
      </c>
      <c r="K140" t="s">
        <v>25</v>
      </c>
      <c r="L140">
        <v>132757294</v>
      </c>
      <c r="R140">
        <v>1308</v>
      </c>
      <c r="S140" t="s">
        <v>196</v>
      </c>
      <c r="T140">
        <v>0</v>
      </c>
      <c r="U140">
        <v>27</v>
      </c>
      <c r="V140">
        <v>0</v>
      </c>
      <c r="W140">
        <v>0</v>
      </c>
      <c r="X140">
        <v>0</v>
      </c>
    </row>
    <row r="141" spans="1:24" x14ac:dyDescent="0.25">
      <c r="A141" t="s">
        <v>15</v>
      </c>
      <c r="B141" t="s">
        <v>24</v>
      </c>
      <c r="C141">
        <v>20150316</v>
      </c>
      <c r="D141">
        <v>0</v>
      </c>
      <c r="F141">
        <v>62500</v>
      </c>
      <c r="G141" t="s">
        <v>17</v>
      </c>
      <c r="I141" t="s">
        <v>16</v>
      </c>
      <c r="J141" t="s">
        <v>181</v>
      </c>
      <c r="K141" t="s">
        <v>25</v>
      </c>
      <c r="L141">
        <v>132757294</v>
      </c>
      <c r="R141">
        <v>1308</v>
      </c>
      <c r="S141" t="s">
        <v>201</v>
      </c>
      <c r="T141">
        <v>0</v>
      </c>
      <c r="U141">
        <v>27</v>
      </c>
      <c r="V141">
        <v>0</v>
      </c>
      <c r="W141">
        <v>0</v>
      </c>
      <c r="X141">
        <v>0</v>
      </c>
    </row>
    <row r="142" spans="1:24" x14ac:dyDescent="0.25">
      <c r="A142" t="s">
        <v>15</v>
      </c>
      <c r="B142" t="s">
        <v>24</v>
      </c>
      <c r="C142">
        <v>20150316</v>
      </c>
      <c r="D142">
        <v>0</v>
      </c>
      <c r="F142">
        <v>62500</v>
      </c>
      <c r="G142" t="s">
        <v>17</v>
      </c>
      <c r="I142" t="s">
        <v>16</v>
      </c>
      <c r="J142" t="s">
        <v>181</v>
      </c>
      <c r="K142" t="s">
        <v>25</v>
      </c>
      <c r="L142">
        <v>132757294</v>
      </c>
      <c r="R142">
        <v>1309</v>
      </c>
      <c r="S142" t="s">
        <v>214</v>
      </c>
      <c r="T142">
        <v>0</v>
      </c>
      <c r="U142">
        <v>24</v>
      </c>
      <c r="V142">
        <v>0</v>
      </c>
      <c r="W142">
        <v>0</v>
      </c>
      <c r="X142">
        <v>0</v>
      </c>
    </row>
    <row r="143" spans="1:24" x14ac:dyDescent="0.25">
      <c r="A143" t="s">
        <v>15</v>
      </c>
      <c r="B143" t="s">
        <v>24</v>
      </c>
      <c r="C143">
        <v>20150316</v>
      </c>
      <c r="D143">
        <v>0</v>
      </c>
      <c r="F143">
        <v>62500</v>
      </c>
      <c r="G143" t="s">
        <v>17</v>
      </c>
      <c r="I143" t="s">
        <v>16</v>
      </c>
      <c r="J143" t="s">
        <v>181</v>
      </c>
      <c r="K143" t="s">
        <v>25</v>
      </c>
      <c r="L143">
        <v>132757294</v>
      </c>
      <c r="R143">
        <v>1309</v>
      </c>
      <c r="S143" t="s">
        <v>194</v>
      </c>
      <c r="T143">
        <v>0</v>
      </c>
      <c r="U143">
        <v>24</v>
      </c>
      <c r="V143">
        <v>0</v>
      </c>
      <c r="W143">
        <v>0</v>
      </c>
      <c r="X143">
        <v>0</v>
      </c>
    </row>
    <row r="144" spans="1:24" x14ac:dyDescent="0.25">
      <c r="A144" t="s">
        <v>15</v>
      </c>
      <c r="B144" t="s">
        <v>24</v>
      </c>
      <c r="C144">
        <v>20150316</v>
      </c>
      <c r="D144">
        <v>0</v>
      </c>
      <c r="F144">
        <v>62500</v>
      </c>
      <c r="G144" t="s">
        <v>17</v>
      </c>
      <c r="I144" t="s">
        <v>16</v>
      </c>
      <c r="J144" t="s">
        <v>181</v>
      </c>
      <c r="K144" t="s">
        <v>25</v>
      </c>
      <c r="L144">
        <v>132757294</v>
      </c>
      <c r="R144">
        <v>1309</v>
      </c>
      <c r="S144" t="s">
        <v>194</v>
      </c>
      <c r="T144">
        <v>0</v>
      </c>
      <c r="U144">
        <v>24</v>
      </c>
      <c r="V144">
        <v>0</v>
      </c>
      <c r="W144">
        <v>0</v>
      </c>
      <c r="X144">
        <v>0</v>
      </c>
    </row>
    <row r="145" spans="1:24" x14ac:dyDescent="0.25">
      <c r="A145" t="s">
        <v>15</v>
      </c>
      <c r="B145" t="s">
        <v>24</v>
      </c>
      <c r="C145">
        <v>20150316</v>
      </c>
      <c r="D145">
        <v>0</v>
      </c>
      <c r="F145">
        <v>62500</v>
      </c>
      <c r="G145" t="s">
        <v>17</v>
      </c>
      <c r="I145" t="s">
        <v>16</v>
      </c>
      <c r="J145" t="s">
        <v>181</v>
      </c>
      <c r="K145" t="s">
        <v>25</v>
      </c>
      <c r="L145">
        <v>132757294</v>
      </c>
      <c r="R145">
        <v>1309</v>
      </c>
      <c r="S145" t="s">
        <v>194</v>
      </c>
      <c r="T145">
        <v>0</v>
      </c>
      <c r="U145">
        <v>24</v>
      </c>
      <c r="V145">
        <v>0</v>
      </c>
      <c r="W145">
        <v>0</v>
      </c>
      <c r="X145">
        <v>0</v>
      </c>
    </row>
    <row r="146" spans="1:24" x14ac:dyDescent="0.25">
      <c r="A146" t="s">
        <v>15</v>
      </c>
      <c r="B146" t="s">
        <v>24</v>
      </c>
      <c r="C146">
        <v>20150316</v>
      </c>
      <c r="D146">
        <v>0</v>
      </c>
      <c r="F146">
        <v>62500</v>
      </c>
      <c r="G146" t="s">
        <v>17</v>
      </c>
      <c r="I146" t="s">
        <v>16</v>
      </c>
      <c r="J146" t="s">
        <v>181</v>
      </c>
      <c r="K146" t="s">
        <v>25</v>
      </c>
      <c r="L146">
        <v>132757294</v>
      </c>
      <c r="R146">
        <v>1310</v>
      </c>
      <c r="S146" t="s">
        <v>214</v>
      </c>
      <c r="T146">
        <v>0</v>
      </c>
      <c r="U146">
        <v>26</v>
      </c>
      <c r="V146">
        <v>0</v>
      </c>
      <c r="W146">
        <v>0</v>
      </c>
      <c r="X146">
        <v>0</v>
      </c>
    </row>
    <row r="147" spans="1:24" x14ac:dyDescent="0.25">
      <c r="A147" t="s">
        <v>15</v>
      </c>
      <c r="B147" t="s">
        <v>24</v>
      </c>
      <c r="C147">
        <v>20150316</v>
      </c>
      <c r="D147">
        <v>0</v>
      </c>
      <c r="F147">
        <v>62500</v>
      </c>
      <c r="G147" t="s">
        <v>17</v>
      </c>
      <c r="I147" t="s">
        <v>16</v>
      </c>
      <c r="J147" t="s">
        <v>181</v>
      </c>
      <c r="K147" t="s">
        <v>25</v>
      </c>
      <c r="L147">
        <v>132757294</v>
      </c>
      <c r="R147">
        <v>1309</v>
      </c>
      <c r="S147" t="s">
        <v>196</v>
      </c>
      <c r="T147">
        <v>0</v>
      </c>
      <c r="U147">
        <v>24</v>
      </c>
      <c r="V147">
        <v>0</v>
      </c>
      <c r="W147">
        <v>0</v>
      </c>
      <c r="X147">
        <v>0</v>
      </c>
    </row>
    <row r="148" spans="1:24" x14ac:dyDescent="0.25">
      <c r="A148" t="s">
        <v>15</v>
      </c>
      <c r="B148" t="s">
        <v>24</v>
      </c>
      <c r="C148">
        <v>20150316</v>
      </c>
      <c r="D148">
        <v>0</v>
      </c>
      <c r="F148">
        <v>62500</v>
      </c>
      <c r="G148" t="s">
        <v>17</v>
      </c>
      <c r="I148" t="s">
        <v>16</v>
      </c>
      <c r="J148" t="s">
        <v>181</v>
      </c>
      <c r="K148" t="s">
        <v>25</v>
      </c>
      <c r="L148">
        <v>132757294</v>
      </c>
      <c r="R148">
        <v>1309</v>
      </c>
      <c r="S148" t="s">
        <v>201</v>
      </c>
      <c r="T148">
        <v>0</v>
      </c>
      <c r="U148">
        <v>24</v>
      </c>
      <c r="V148">
        <v>0</v>
      </c>
      <c r="W148">
        <v>0</v>
      </c>
      <c r="X148">
        <v>0</v>
      </c>
    </row>
    <row r="149" spans="1:24" x14ac:dyDescent="0.25">
      <c r="A149" t="s">
        <v>15</v>
      </c>
      <c r="B149" t="s">
        <v>24</v>
      </c>
      <c r="C149">
        <v>20150316</v>
      </c>
      <c r="D149">
        <v>0</v>
      </c>
      <c r="F149">
        <v>62500</v>
      </c>
      <c r="G149" t="s">
        <v>17</v>
      </c>
      <c r="I149" t="s">
        <v>16</v>
      </c>
      <c r="J149" t="s">
        <v>181</v>
      </c>
      <c r="K149" t="s">
        <v>25</v>
      </c>
      <c r="L149">
        <v>132757294</v>
      </c>
      <c r="R149">
        <v>1310</v>
      </c>
      <c r="S149" t="s">
        <v>214</v>
      </c>
      <c r="T149">
        <v>0</v>
      </c>
      <c r="U149">
        <v>26</v>
      </c>
      <c r="V149">
        <v>0</v>
      </c>
      <c r="W149">
        <v>0</v>
      </c>
      <c r="X149">
        <v>0</v>
      </c>
    </row>
    <row r="150" spans="1:24" x14ac:dyDescent="0.25">
      <c r="A150" t="s">
        <v>15</v>
      </c>
      <c r="B150" t="s">
        <v>24</v>
      </c>
      <c r="C150">
        <v>20150316</v>
      </c>
      <c r="D150">
        <v>0</v>
      </c>
      <c r="F150">
        <v>62500</v>
      </c>
      <c r="G150" t="s">
        <v>17</v>
      </c>
      <c r="I150" t="s">
        <v>16</v>
      </c>
      <c r="J150" t="s">
        <v>181</v>
      </c>
      <c r="K150" t="s">
        <v>25</v>
      </c>
      <c r="L150">
        <v>132757294</v>
      </c>
      <c r="R150">
        <v>1310</v>
      </c>
      <c r="S150" t="s">
        <v>194</v>
      </c>
      <c r="T150">
        <v>0</v>
      </c>
      <c r="U150">
        <v>26</v>
      </c>
      <c r="V150">
        <v>0</v>
      </c>
      <c r="W150">
        <v>0</v>
      </c>
      <c r="X150">
        <v>0</v>
      </c>
    </row>
    <row r="151" spans="1:24" x14ac:dyDescent="0.25">
      <c r="A151" t="s">
        <v>15</v>
      </c>
      <c r="B151" t="s">
        <v>24</v>
      </c>
      <c r="C151">
        <v>20150316</v>
      </c>
      <c r="D151">
        <v>0</v>
      </c>
      <c r="F151">
        <v>62500</v>
      </c>
      <c r="G151" t="s">
        <v>17</v>
      </c>
      <c r="I151" t="s">
        <v>16</v>
      </c>
      <c r="J151" t="s">
        <v>181</v>
      </c>
      <c r="K151" t="s">
        <v>25</v>
      </c>
      <c r="L151">
        <v>132757294</v>
      </c>
      <c r="R151">
        <v>1310</v>
      </c>
      <c r="S151" t="s">
        <v>194</v>
      </c>
      <c r="T151">
        <v>0</v>
      </c>
      <c r="U151">
        <v>26</v>
      </c>
      <c r="V151">
        <v>0</v>
      </c>
      <c r="W151">
        <v>0</v>
      </c>
      <c r="X151">
        <v>0</v>
      </c>
    </row>
    <row r="152" spans="1:24" x14ac:dyDescent="0.25">
      <c r="A152" t="s">
        <v>15</v>
      </c>
      <c r="B152" t="s">
        <v>24</v>
      </c>
      <c r="C152">
        <v>20150316</v>
      </c>
      <c r="D152">
        <v>0</v>
      </c>
      <c r="F152">
        <v>62500</v>
      </c>
      <c r="G152" t="s">
        <v>17</v>
      </c>
      <c r="I152" t="s">
        <v>16</v>
      </c>
      <c r="J152" t="s">
        <v>181</v>
      </c>
      <c r="K152" t="s">
        <v>25</v>
      </c>
      <c r="L152">
        <v>132757294</v>
      </c>
      <c r="R152">
        <v>1310</v>
      </c>
      <c r="S152" t="s">
        <v>194</v>
      </c>
      <c r="T152">
        <v>0</v>
      </c>
      <c r="U152">
        <v>26</v>
      </c>
      <c r="V152">
        <v>0</v>
      </c>
      <c r="W152">
        <v>0</v>
      </c>
      <c r="X152">
        <v>0</v>
      </c>
    </row>
    <row r="153" spans="1:24" x14ac:dyDescent="0.25">
      <c r="A153" t="s">
        <v>15</v>
      </c>
      <c r="B153" t="s">
        <v>24</v>
      </c>
      <c r="C153">
        <v>20150316</v>
      </c>
      <c r="D153">
        <v>0</v>
      </c>
      <c r="F153">
        <v>62500</v>
      </c>
      <c r="G153" t="s">
        <v>17</v>
      </c>
      <c r="I153" t="s">
        <v>16</v>
      </c>
      <c r="J153" t="s">
        <v>181</v>
      </c>
      <c r="K153" t="s">
        <v>25</v>
      </c>
      <c r="L153">
        <v>132757294</v>
      </c>
      <c r="R153">
        <v>1311</v>
      </c>
      <c r="S153" t="s">
        <v>214</v>
      </c>
      <c r="T153">
        <v>0</v>
      </c>
      <c r="U153">
        <v>-26</v>
      </c>
      <c r="V153">
        <v>0</v>
      </c>
      <c r="W153">
        <v>0</v>
      </c>
      <c r="X153">
        <v>0</v>
      </c>
    </row>
    <row r="154" spans="1:24" x14ac:dyDescent="0.25">
      <c r="A154" t="s">
        <v>15</v>
      </c>
      <c r="B154" t="s">
        <v>24</v>
      </c>
      <c r="C154">
        <v>20150316</v>
      </c>
      <c r="D154">
        <v>0</v>
      </c>
      <c r="F154">
        <v>62500</v>
      </c>
      <c r="G154" t="s">
        <v>17</v>
      </c>
      <c r="I154" t="s">
        <v>16</v>
      </c>
      <c r="J154" t="s">
        <v>181</v>
      </c>
      <c r="K154" t="s">
        <v>25</v>
      </c>
      <c r="L154">
        <v>132757294</v>
      </c>
      <c r="R154">
        <v>1311</v>
      </c>
      <c r="S154" t="s">
        <v>214</v>
      </c>
      <c r="T154">
        <v>0</v>
      </c>
      <c r="U154">
        <v>-26</v>
      </c>
      <c r="V154">
        <v>0</v>
      </c>
      <c r="W154">
        <v>0</v>
      </c>
      <c r="X154">
        <v>0</v>
      </c>
    </row>
    <row r="155" spans="1:24" x14ac:dyDescent="0.25">
      <c r="A155" t="s">
        <v>15</v>
      </c>
      <c r="B155" t="s">
        <v>24</v>
      </c>
      <c r="C155">
        <v>20150316</v>
      </c>
      <c r="D155">
        <v>0</v>
      </c>
      <c r="F155">
        <v>62500</v>
      </c>
      <c r="G155" t="s">
        <v>17</v>
      </c>
      <c r="I155" t="s">
        <v>16</v>
      </c>
      <c r="J155" t="s">
        <v>181</v>
      </c>
      <c r="K155" t="s">
        <v>25</v>
      </c>
      <c r="L155">
        <v>132757294</v>
      </c>
      <c r="R155">
        <v>1311</v>
      </c>
      <c r="S155" t="s">
        <v>194</v>
      </c>
      <c r="T155">
        <v>0</v>
      </c>
      <c r="U155">
        <v>26</v>
      </c>
      <c r="V155">
        <v>0</v>
      </c>
      <c r="W155">
        <v>0</v>
      </c>
      <c r="X155">
        <v>0</v>
      </c>
    </row>
    <row r="156" spans="1:24" x14ac:dyDescent="0.25">
      <c r="A156" t="s">
        <v>15</v>
      </c>
      <c r="B156" t="s">
        <v>24</v>
      </c>
      <c r="C156">
        <v>20150316</v>
      </c>
      <c r="D156">
        <v>0</v>
      </c>
      <c r="F156">
        <v>62500</v>
      </c>
      <c r="G156" t="s">
        <v>17</v>
      </c>
      <c r="I156" t="s">
        <v>16</v>
      </c>
      <c r="J156" t="s">
        <v>181</v>
      </c>
      <c r="K156" t="s">
        <v>25</v>
      </c>
      <c r="L156">
        <v>132757294</v>
      </c>
      <c r="R156">
        <v>1311</v>
      </c>
      <c r="S156" t="s">
        <v>194</v>
      </c>
      <c r="T156">
        <v>0</v>
      </c>
      <c r="U156">
        <v>26</v>
      </c>
      <c r="V156">
        <v>0</v>
      </c>
      <c r="W156">
        <v>0</v>
      </c>
      <c r="X156">
        <v>0</v>
      </c>
    </row>
    <row r="157" spans="1:24" x14ac:dyDescent="0.25">
      <c r="A157" t="s">
        <v>15</v>
      </c>
      <c r="B157" t="s">
        <v>24</v>
      </c>
      <c r="C157">
        <v>20150316</v>
      </c>
      <c r="D157">
        <v>0</v>
      </c>
      <c r="F157">
        <v>62500</v>
      </c>
      <c r="G157" t="s">
        <v>17</v>
      </c>
      <c r="I157" t="s">
        <v>16</v>
      </c>
      <c r="J157" t="s">
        <v>181</v>
      </c>
      <c r="K157" t="s">
        <v>25</v>
      </c>
      <c r="L157">
        <v>132757294</v>
      </c>
      <c r="R157">
        <v>1311</v>
      </c>
      <c r="S157" t="s">
        <v>194</v>
      </c>
      <c r="T157">
        <v>0</v>
      </c>
      <c r="U157">
        <v>26</v>
      </c>
      <c r="V157">
        <v>0</v>
      </c>
      <c r="W157">
        <v>0</v>
      </c>
      <c r="X157">
        <v>0</v>
      </c>
    </row>
    <row r="158" spans="1:24" x14ac:dyDescent="0.25">
      <c r="A158" t="s">
        <v>15</v>
      </c>
      <c r="B158" t="s">
        <v>24</v>
      </c>
      <c r="C158">
        <v>20150316</v>
      </c>
      <c r="D158">
        <v>0</v>
      </c>
      <c r="F158">
        <v>62500</v>
      </c>
      <c r="G158" t="s">
        <v>17</v>
      </c>
      <c r="I158" t="s">
        <v>16</v>
      </c>
      <c r="J158" t="s">
        <v>181</v>
      </c>
      <c r="K158" t="s">
        <v>25</v>
      </c>
      <c r="L158">
        <v>132757294</v>
      </c>
      <c r="R158">
        <v>1312</v>
      </c>
      <c r="S158" t="s">
        <v>214</v>
      </c>
      <c r="T158">
        <v>0</v>
      </c>
      <c r="U158">
        <v>25</v>
      </c>
      <c r="V158">
        <v>0</v>
      </c>
      <c r="W158">
        <v>0</v>
      </c>
      <c r="X158">
        <v>0</v>
      </c>
    </row>
    <row r="159" spans="1:24" x14ac:dyDescent="0.25">
      <c r="A159" t="s">
        <v>15</v>
      </c>
      <c r="B159" t="s">
        <v>24</v>
      </c>
      <c r="C159">
        <v>20150316</v>
      </c>
      <c r="D159">
        <v>0</v>
      </c>
      <c r="F159">
        <v>62500</v>
      </c>
      <c r="G159" t="s">
        <v>17</v>
      </c>
      <c r="I159" t="s">
        <v>16</v>
      </c>
      <c r="J159" t="s">
        <v>181</v>
      </c>
      <c r="K159" t="s">
        <v>25</v>
      </c>
      <c r="L159">
        <v>132757294</v>
      </c>
      <c r="R159">
        <v>1310</v>
      </c>
      <c r="S159" t="s">
        <v>196</v>
      </c>
      <c r="T159">
        <v>0</v>
      </c>
      <c r="U159">
        <v>26</v>
      </c>
      <c r="V159">
        <v>0</v>
      </c>
      <c r="W159">
        <v>0</v>
      </c>
      <c r="X159">
        <v>0</v>
      </c>
    </row>
    <row r="160" spans="1:24" x14ac:dyDescent="0.25">
      <c r="A160" t="s">
        <v>15</v>
      </c>
      <c r="B160" t="s">
        <v>24</v>
      </c>
      <c r="C160">
        <v>20150316</v>
      </c>
      <c r="D160">
        <v>0</v>
      </c>
      <c r="F160">
        <v>62500</v>
      </c>
      <c r="G160" t="s">
        <v>17</v>
      </c>
      <c r="I160" t="s">
        <v>16</v>
      </c>
      <c r="J160" t="s">
        <v>181</v>
      </c>
      <c r="K160" t="s">
        <v>25</v>
      </c>
      <c r="L160">
        <v>132757294</v>
      </c>
      <c r="R160">
        <v>1310</v>
      </c>
      <c r="S160" t="s">
        <v>201</v>
      </c>
      <c r="T160">
        <v>0</v>
      </c>
      <c r="U160">
        <v>26</v>
      </c>
      <c r="V160">
        <v>0</v>
      </c>
      <c r="W160">
        <v>0</v>
      </c>
      <c r="X160">
        <v>0</v>
      </c>
    </row>
    <row r="161" spans="1:24" x14ac:dyDescent="0.25">
      <c r="A161" t="s">
        <v>15</v>
      </c>
      <c r="B161" t="s">
        <v>24</v>
      </c>
      <c r="C161">
        <v>20150316</v>
      </c>
      <c r="D161">
        <v>0</v>
      </c>
      <c r="F161">
        <v>62500</v>
      </c>
      <c r="G161" t="s">
        <v>17</v>
      </c>
      <c r="I161" t="s">
        <v>16</v>
      </c>
      <c r="J161" t="s">
        <v>181</v>
      </c>
      <c r="K161" t="s">
        <v>25</v>
      </c>
      <c r="L161">
        <v>132757294</v>
      </c>
      <c r="R161">
        <v>1312</v>
      </c>
      <c r="S161" t="s">
        <v>214</v>
      </c>
      <c r="T161">
        <v>0</v>
      </c>
      <c r="U161">
        <v>25</v>
      </c>
      <c r="V161">
        <v>0</v>
      </c>
      <c r="W161">
        <v>0</v>
      </c>
      <c r="X161">
        <v>0</v>
      </c>
    </row>
    <row r="162" spans="1:24" x14ac:dyDescent="0.25">
      <c r="A162" t="s">
        <v>15</v>
      </c>
      <c r="B162" t="s">
        <v>24</v>
      </c>
      <c r="C162">
        <v>20150316</v>
      </c>
      <c r="D162">
        <v>0</v>
      </c>
      <c r="F162">
        <v>62500</v>
      </c>
      <c r="G162" t="s">
        <v>17</v>
      </c>
      <c r="I162" t="s">
        <v>16</v>
      </c>
      <c r="J162" t="s">
        <v>181</v>
      </c>
      <c r="K162" t="s">
        <v>25</v>
      </c>
      <c r="L162">
        <v>132757294</v>
      </c>
      <c r="R162">
        <v>1312</v>
      </c>
      <c r="S162" t="s">
        <v>194</v>
      </c>
      <c r="T162">
        <v>0</v>
      </c>
      <c r="U162">
        <v>25</v>
      </c>
      <c r="V162">
        <v>0</v>
      </c>
      <c r="W162">
        <v>0</v>
      </c>
      <c r="X162">
        <v>0</v>
      </c>
    </row>
    <row r="163" spans="1:24" x14ac:dyDescent="0.25">
      <c r="A163" t="s">
        <v>15</v>
      </c>
      <c r="B163" t="s">
        <v>24</v>
      </c>
      <c r="C163">
        <v>20150316</v>
      </c>
      <c r="D163">
        <v>0</v>
      </c>
      <c r="F163">
        <v>62500</v>
      </c>
      <c r="G163" t="s">
        <v>17</v>
      </c>
      <c r="I163" t="s">
        <v>16</v>
      </c>
      <c r="J163" t="s">
        <v>181</v>
      </c>
      <c r="K163" t="s">
        <v>25</v>
      </c>
      <c r="L163">
        <v>132757294</v>
      </c>
      <c r="R163">
        <v>1312</v>
      </c>
      <c r="S163" t="s">
        <v>194</v>
      </c>
      <c r="T163">
        <v>0</v>
      </c>
      <c r="U163">
        <v>25</v>
      </c>
      <c r="V163">
        <v>0</v>
      </c>
      <c r="W163">
        <v>0</v>
      </c>
      <c r="X163">
        <v>0</v>
      </c>
    </row>
    <row r="164" spans="1:24" x14ac:dyDescent="0.25">
      <c r="A164" t="s">
        <v>15</v>
      </c>
      <c r="B164" t="s">
        <v>24</v>
      </c>
      <c r="C164">
        <v>20150316</v>
      </c>
      <c r="D164">
        <v>0</v>
      </c>
      <c r="F164">
        <v>62500</v>
      </c>
      <c r="G164" t="s">
        <v>17</v>
      </c>
      <c r="I164" t="s">
        <v>16</v>
      </c>
      <c r="J164" t="s">
        <v>181</v>
      </c>
      <c r="K164" t="s">
        <v>25</v>
      </c>
      <c r="L164">
        <v>132757294</v>
      </c>
      <c r="R164">
        <v>1312</v>
      </c>
      <c r="S164" t="s">
        <v>194</v>
      </c>
      <c r="T164">
        <v>0</v>
      </c>
      <c r="U164">
        <v>25</v>
      </c>
      <c r="V164">
        <v>0</v>
      </c>
      <c r="W164">
        <v>0</v>
      </c>
      <c r="X164">
        <v>0</v>
      </c>
    </row>
    <row r="165" spans="1:24" x14ac:dyDescent="0.25">
      <c r="A165" t="s">
        <v>15</v>
      </c>
      <c r="B165" t="s">
        <v>24</v>
      </c>
      <c r="C165">
        <v>20150316</v>
      </c>
      <c r="D165">
        <v>0</v>
      </c>
      <c r="F165">
        <v>62500</v>
      </c>
      <c r="G165" t="s">
        <v>17</v>
      </c>
      <c r="I165" t="s">
        <v>16</v>
      </c>
      <c r="J165" t="s">
        <v>181</v>
      </c>
      <c r="K165" t="s">
        <v>25</v>
      </c>
      <c r="L165">
        <v>132757294</v>
      </c>
      <c r="R165">
        <v>1313</v>
      </c>
      <c r="S165" t="s">
        <v>214</v>
      </c>
      <c r="T165">
        <v>0</v>
      </c>
      <c r="U165">
        <v>26</v>
      </c>
      <c r="V165">
        <v>0</v>
      </c>
      <c r="W165">
        <v>0</v>
      </c>
      <c r="X165">
        <v>0</v>
      </c>
    </row>
    <row r="166" spans="1:24" x14ac:dyDescent="0.25">
      <c r="A166" t="s">
        <v>15</v>
      </c>
      <c r="B166" t="s">
        <v>24</v>
      </c>
      <c r="C166">
        <v>20150316</v>
      </c>
      <c r="D166">
        <v>0</v>
      </c>
      <c r="F166">
        <v>62500</v>
      </c>
      <c r="G166" t="s">
        <v>17</v>
      </c>
      <c r="I166" t="s">
        <v>16</v>
      </c>
      <c r="J166" t="s">
        <v>181</v>
      </c>
      <c r="K166" t="s">
        <v>25</v>
      </c>
      <c r="L166">
        <v>132757294</v>
      </c>
      <c r="R166">
        <v>1312</v>
      </c>
      <c r="S166" t="s">
        <v>196</v>
      </c>
      <c r="T166">
        <v>0</v>
      </c>
      <c r="U166">
        <v>25</v>
      </c>
      <c r="V166">
        <v>0</v>
      </c>
      <c r="W166">
        <v>0</v>
      </c>
      <c r="X166">
        <v>0</v>
      </c>
    </row>
    <row r="167" spans="1:24" x14ac:dyDescent="0.25">
      <c r="A167" t="s">
        <v>15</v>
      </c>
      <c r="B167" t="s">
        <v>24</v>
      </c>
      <c r="C167">
        <v>20150316</v>
      </c>
      <c r="D167">
        <v>0</v>
      </c>
      <c r="F167">
        <v>62500</v>
      </c>
      <c r="G167" t="s">
        <v>17</v>
      </c>
      <c r="I167" t="s">
        <v>16</v>
      </c>
      <c r="J167" t="s">
        <v>181</v>
      </c>
      <c r="K167" t="s">
        <v>25</v>
      </c>
      <c r="L167">
        <v>132757294</v>
      </c>
      <c r="R167">
        <v>1312</v>
      </c>
      <c r="S167" t="s">
        <v>201</v>
      </c>
      <c r="T167">
        <v>0</v>
      </c>
      <c r="U167">
        <v>25</v>
      </c>
      <c r="V167">
        <v>0</v>
      </c>
      <c r="W167">
        <v>0</v>
      </c>
      <c r="X167">
        <v>0</v>
      </c>
    </row>
    <row r="168" spans="1:24" x14ac:dyDescent="0.25">
      <c r="A168" t="s">
        <v>15</v>
      </c>
      <c r="B168" t="s">
        <v>24</v>
      </c>
      <c r="C168">
        <v>20150316</v>
      </c>
      <c r="D168">
        <v>0</v>
      </c>
      <c r="F168">
        <v>62500</v>
      </c>
      <c r="G168" t="s">
        <v>17</v>
      </c>
      <c r="I168" t="s">
        <v>16</v>
      </c>
      <c r="J168" t="s">
        <v>181</v>
      </c>
      <c r="K168" t="s">
        <v>25</v>
      </c>
      <c r="L168">
        <v>132757294</v>
      </c>
      <c r="R168">
        <v>1313</v>
      </c>
      <c r="S168" t="s">
        <v>214</v>
      </c>
      <c r="T168">
        <v>0</v>
      </c>
      <c r="U168">
        <v>26</v>
      </c>
      <c r="V168">
        <v>0</v>
      </c>
      <c r="W168">
        <v>0</v>
      </c>
      <c r="X168">
        <v>0</v>
      </c>
    </row>
    <row r="169" spans="1:24" x14ac:dyDescent="0.25">
      <c r="A169" t="s">
        <v>15</v>
      </c>
      <c r="B169" t="s">
        <v>24</v>
      </c>
      <c r="C169">
        <v>20150316</v>
      </c>
      <c r="D169">
        <v>0</v>
      </c>
      <c r="F169">
        <v>62500</v>
      </c>
      <c r="G169" t="s">
        <v>17</v>
      </c>
      <c r="I169" t="s">
        <v>16</v>
      </c>
      <c r="J169" t="s">
        <v>181</v>
      </c>
      <c r="K169" t="s">
        <v>25</v>
      </c>
      <c r="L169">
        <v>132757294</v>
      </c>
      <c r="R169">
        <v>1313</v>
      </c>
      <c r="S169" t="s">
        <v>194</v>
      </c>
      <c r="T169">
        <v>0</v>
      </c>
      <c r="U169">
        <v>26</v>
      </c>
      <c r="V169">
        <v>0</v>
      </c>
      <c r="W169">
        <v>0</v>
      </c>
      <c r="X169">
        <v>0</v>
      </c>
    </row>
    <row r="170" spans="1:24" x14ac:dyDescent="0.25">
      <c r="A170" t="s">
        <v>15</v>
      </c>
      <c r="B170" t="s">
        <v>24</v>
      </c>
      <c r="C170">
        <v>20150316</v>
      </c>
      <c r="D170">
        <v>0</v>
      </c>
      <c r="F170">
        <v>62500</v>
      </c>
      <c r="G170" t="s">
        <v>17</v>
      </c>
      <c r="I170" t="s">
        <v>16</v>
      </c>
      <c r="J170" t="s">
        <v>181</v>
      </c>
      <c r="K170" t="s">
        <v>25</v>
      </c>
      <c r="L170">
        <v>132757294</v>
      </c>
      <c r="R170">
        <v>1313</v>
      </c>
      <c r="S170" t="s">
        <v>194</v>
      </c>
      <c r="T170">
        <v>0</v>
      </c>
      <c r="U170">
        <v>26</v>
      </c>
      <c r="V170">
        <v>0</v>
      </c>
      <c r="W170">
        <v>0</v>
      </c>
      <c r="X170">
        <v>0</v>
      </c>
    </row>
    <row r="171" spans="1:24" x14ac:dyDescent="0.25">
      <c r="A171" t="s">
        <v>15</v>
      </c>
      <c r="B171" t="s">
        <v>24</v>
      </c>
      <c r="C171">
        <v>20150316</v>
      </c>
      <c r="D171">
        <v>0</v>
      </c>
      <c r="F171">
        <v>62500</v>
      </c>
      <c r="G171" t="s">
        <v>17</v>
      </c>
      <c r="I171" t="s">
        <v>16</v>
      </c>
      <c r="J171" t="s">
        <v>181</v>
      </c>
      <c r="K171" t="s">
        <v>25</v>
      </c>
      <c r="L171">
        <v>132757294</v>
      </c>
      <c r="R171">
        <v>1313</v>
      </c>
      <c r="S171" t="s">
        <v>194</v>
      </c>
      <c r="T171">
        <v>0</v>
      </c>
      <c r="U171">
        <v>26</v>
      </c>
      <c r="V171">
        <v>0</v>
      </c>
      <c r="W171">
        <v>0</v>
      </c>
      <c r="X171">
        <v>0</v>
      </c>
    </row>
    <row r="172" spans="1:24" x14ac:dyDescent="0.25">
      <c r="A172" t="s">
        <v>15</v>
      </c>
      <c r="B172" t="s">
        <v>24</v>
      </c>
      <c r="C172">
        <v>20150316</v>
      </c>
      <c r="D172">
        <v>0</v>
      </c>
      <c r="F172">
        <v>62500</v>
      </c>
      <c r="G172" t="s">
        <v>17</v>
      </c>
      <c r="I172" t="s">
        <v>16</v>
      </c>
      <c r="J172" t="s">
        <v>181</v>
      </c>
      <c r="K172" t="s">
        <v>25</v>
      </c>
      <c r="L172">
        <v>132757294</v>
      </c>
      <c r="R172">
        <v>1314</v>
      </c>
      <c r="S172" t="s">
        <v>214</v>
      </c>
      <c r="T172">
        <v>0</v>
      </c>
      <c r="U172">
        <v>25</v>
      </c>
      <c r="V172">
        <v>0</v>
      </c>
      <c r="W172">
        <v>0</v>
      </c>
      <c r="X172">
        <v>0</v>
      </c>
    </row>
    <row r="173" spans="1:24" x14ac:dyDescent="0.25">
      <c r="A173" t="s">
        <v>15</v>
      </c>
      <c r="B173" t="s">
        <v>24</v>
      </c>
      <c r="C173">
        <v>20150316</v>
      </c>
      <c r="D173">
        <v>0</v>
      </c>
      <c r="F173">
        <v>62500</v>
      </c>
      <c r="G173" t="s">
        <v>17</v>
      </c>
      <c r="I173" t="s">
        <v>16</v>
      </c>
      <c r="J173" t="s">
        <v>181</v>
      </c>
      <c r="K173" t="s">
        <v>25</v>
      </c>
      <c r="L173">
        <v>132757294</v>
      </c>
      <c r="R173">
        <v>1313</v>
      </c>
      <c r="S173" t="s">
        <v>196</v>
      </c>
      <c r="T173">
        <v>0</v>
      </c>
      <c r="U173">
        <v>26</v>
      </c>
      <c r="V173">
        <v>0</v>
      </c>
      <c r="W173">
        <v>0</v>
      </c>
      <c r="X173">
        <v>0</v>
      </c>
    </row>
    <row r="174" spans="1:24" x14ac:dyDescent="0.25">
      <c r="A174" t="s">
        <v>15</v>
      </c>
      <c r="B174" t="s">
        <v>24</v>
      </c>
      <c r="C174">
        <v>20150316</v>
      </c>
      <c r="D174">
        <v>0</v>
      </c>
      <c r="F174">
        <v>62500</v>
      </c>
      <c r="G174" t="s">
        <v>17</v>
      </c>
      <c r="I174" t="s">
        <v>16</v>
      </c>
      <c r="J174" t="s">
        <v>181</v>
      </c>
      <c r="K174" t="s">
        <v>25</v>
      </c>
      <c r="L174">
        <v>132757294</v>
      </c>
      <c r="R174">
        <v>1313</v>
      </c>
      <c r="S174" t="s">
        <v>201</v>
      </c>
      <c r="T174">
        <v>0</v>
      </c>
      <c r="U174">
        <v>26</v>
      </c>
      <c r="V174">
        <v>0</v>
      </c>
      <c r="W174">
        <v>0</v>
      </c>
      <c r="X174">
        <v>0</v>
      </c>
    </row>
    <row r="175" spans="1:24" x14ac:dyDescent="0.25">
      <c r="A175" t="s">
        <v>15</v>
      </c>
      <c r="B175" t="s">
        <v>24</v>
      </c>
      <c r="C175">
        <v>20150316</v>
      </c>
      <c r="D175">
        <v>0</v>
      </c>
      <c r="F175">
        <v>62500</v>
      </c>
      <c r="G175" t="s">
        <v>17</v>
      </c>
      <c r="I175" t="s">
        <v>16</v>
      </c>
      <c r="J175" t="s">
        <v>181</v>
      </c>
      <c r="K175" t="s">
        <v>25</v>
      </c>
      <c r="L175">
        <v>132757294</v>
      </c>
      <c r="R175">
        <v>1314</v>
      </c>
      <c r="S175" t="s">
        <v>214</v>
      </c>
      <c r="T175">
        <v>0</v>
      </c>
      <c r="U175">
        <v>25</v>
      </c>
      <c r="V175">
        <v>0</v>
      </c>
      <c r="W175">
        <v>0</v>
      </c>
      <c r="X175">
        <v>0</v>
      </c>
    </row>
    <row r="176" spans="1:24" x14ac:dyDescent="0.25">
      <c r="A176" t="s">
        <v>15</v>
      </c>
      <c r="B176" t="s">
        <v>24</v>
      </c>
      <c r="C176">
        <v>20150316</v>
      </c>
      <c r="D176">
        <v>0</v>
      </c>
      <c r="F176">
        <v>62500</v>
      </c>
      <c r="G176" t="s">
        <v>17</v>
      </c>
      <c r="I176" t="s">
        <v>16</v>
      </c>
      <c r="J176" t="s">
        <v>181</v>
      </c>
      <c r="K176" t="s">
        <v>25</v>
      </c>
      <c r="L176">
        <v>132757294</v>
      </c>
      <c r="R176">
        <v>1314</v>
      </c>
      <c r="S176" t="s">
        <v>194</v>
      </c>
      <c r="T176">
        <v>0</v>
      </c>
      <c r="U176">
        <v>25</v>
      </c>
      <c r="V176">
        <v>0</v>
      </c>
      <c r="W176">
        <v>0</v>
      </c>
      <c r="X176">
        <v>0</v>
      </c>
    </row>
    <row r="177" spans="1:24" x14ac:dyDescent="0.25">
      <c r="A177" t="s">
        <v>15</v>
      </c>
      <c r="B177" t="s">
        <v>24</v>
      </c>
      <c r="C177">
        <v>20150316</v>
      </c>
      <c r="D177">
        <v>0</v>
      </c>
      <c r="F177">
        <v>62500</v>
      </c>
      <c r="G177" t="s">
        <v>17</v>
      </c>
      <c r="I177" t="s">
        <v>16</v>
      </c>
      <c r="J177" t="s">
        <v>181</v>
      </c>
      <c r="K177" t="s">
        <v>25</v>
      </c>
      <c r="L177">
        <v>132757294</v>
      </c>
      <c r="R177">
        <v>1314</v>
      </c>
      <c r="S177" t="s">
        <v>194</v>
      </c>
      <c r="T177">
        <v>0</v>
      </c>
      <c r="U177">
        <v>25</v>
      </c>
      <c r="V177">
        <v>0</v>
      </c>
      <c r="W177">
        <v>0</v>
      </c>
      <c r="X177">
        <v>0</v>
      </c>
    </row>
    <row r="178" spans="1:24" x14ac:dyDescent="0.25">
      <c r="A178" t="s">
        <v>15</v>
      </c>
      <c r="B178" t="s">
        <v>24</v>
      </c>
      <c r="C178">
        <v>20150316</v>
      </c>
      <c r="D178">
        <v>0</v>
      </c>
      <c r="F178">
        <v>62500</v>
      </c>
      <c r="G178" t="s">
        <v>17</v>
      </c>
      <c r="I178" t="s">
        <v>16</v>
      </c>
      <c r="J178" t="s">
        <v>181</v>
      </c>
      <c r="K178" t="s">
        <v>25</v>
      </c>
      <c r="L178">
        <v>132757294</v>
      </c>
      <c r="R178">
        <v>1314</v>
      </c>
      <c r="S178" t="s">
        <v>194</v>
      </c>
      <c r="T178">
        <v>0</v>
      </c>
      <c r="U178">
        <v>25</v>
      </c>
      <c r="V178">
        <v>0</v>
      </c>
      <c r="W178">
        <v>0</v>
      </c>
      <c r="X178">
        <v>0</v>
      </c>
    </row>
    <row r="179" spans="1:24" x14ac:dyDescent="0.25">
      <c r="A179" t="s">
        <v>15</v>
      </c>
      <c r="B179" t="s">
        <v>24</v>
      </c>
      <c r="C179">
        <v>20150316</v>
      </c>
      <c r="D179">
        <v>0</v>
      </c>
      <c r="F179">
        <v>62500</v>
      </c>
      <c r="G179" t="s">
        <v>17</v>
      </c>
      <c r="I179" t="s">
        <v>16</v>
      </c>
      <c r="J179" t="s">
        <v>181</v>
      </c>
      <c r="K179" t="s">
        <v>25</v>
      </c>
      <c r="L179">
        <v>132757294</v>
      </c>
      <c r="R179">
        <v>1315</v>
      </c>
      <c r="S179" t="s">
        <v>214</v>
      </c>
      <c r="T179">
        <v>0</v>
      </c>
      <c r="U179">
        <v>25</v>
      </c>
      <c r="V179">
        <v>0</v>
      </c>
      <c r="W179">
        <v>0</v>
      </c>
      <c r="X179">
        <v>0</v>
      </c>
    </row>
    <row r="180" spans="1:24" x14ac:dyDescent="0.25">
      <c r="A180" t="s">
        <v>15</v>
      </c>
      <c r="B180" t="s">
        <v>24</v>
      </c>
      <c r="C180">
        <v>20150316</v>
      </c>
      <c r="D180">
        <v>0</v>
      </c>
      <c r="F180">
        <v>62500</v>
      </c>
      <c r="G180" t="s">
        <v>17</v>
      </c>
      <c r="I180" t="s">
        <v>16</v>
      </c>
      <c r="J180" t="s">
        <v>181</v>
      </c>
      <c r="K180" t="s">
        <v>25</v>
      </c>
      <c r="L180">
        <v>132757294</v>
      </c>
      <c r="R180">
        <v>1314</v>
      </c>
      <c r="S180" t="s">
        <v>196</v>
      </c>
      <c r="T180">
        <v>0</v>
      </c>
      <c r="U180">
        <v>25</v>
      </c>
      <c r="V180">
        <v>0</v>
      </c>
      <c r="W180">
        <v>0</v>
      </c>
      <c r="X180">
        <v>0</v>
      </c>
    </row>
    <row r="181" spans="1:24" x14ac:dyDescent="0.25">
      <c r="A181" t="s">
        <v>15</v>
      </c>
      <c r="B181" t="s">
        <v>24</v>
      </c>
      <c r="C181">
        <v>20150316</v>
      </c>
      <c r="D181">
        <v>0</v>
      </c>
      <c r="F181">
        <v>62500</v>
      </c>
      <c r="G181" t="s">
        <v>17</v>
      </c>
      <c r="I181" t="s">
        <v>16</v>
      </c>
      <c r="J181" t="s">
        <v>181</v>
      </c>
      <c r="K181" t="s">
        <v>25</v>
      </c>
      <c r="L181">
        <v>132757294</v>
      </c>
      <c r="R181">
        <v>1314</v>
      </c>
      <c r="S181" t="s">
        <v>201</v>
      </c>
      <c r="T181">
        <v>0</v>
      </c>
      <c r="U181">
        <v>25</v>
      </c>
      <c r="V181">
        <v>0</v>
      </c>
      <c r="W181">
        <v>0</v>
      </c>
      <c r="X181">
        <v>0</v>
      </c>
    </row>
    <row r="182" spans="1:24" x14ac:dyDescent="0.25">
      <c r="A182" t="s">
        <v>15</v>
      </c>
      <c r="B182" t="s">
        <v>24</v>
      </c>
      <c r="C182">
        <v>20150316</v>
      </c>
      <c r="D182">
        <v>0</v>
      </c>
      <c r="F182">
        <v>62500</v>
      </c>
      <c r="G182" t="s">
        <v>17</v>
      </c>
      <c r="I182" t="s">
        <v>16</v>
      </c>
      <c r="J182" t="s">
        <v>181</v>
      </c>
      <c r="K182" t="s">
        <v>25</v>
      </c>
      <c r="L182">
        <v>132757294</v>
      </c>
      <c r="R182">
        <v>1315</v>
      </c>
      <c r="S182" t="s">
        <v>214</v>
      </c>
      <c r="T182">
        <v>0</v>
      </c>
      <c r="U182">
        <v>25</v>
      </c>
      <c r="V182">
        <v>0</v>
      </c>
      <c r="W182">
        <v>0</v>
      </c>
      <c r="X182">
        <v>0</v>
      </c>
    </row>
    <row r="183" spans="1:24" x14ac:dyDescent="0.25">
      <c r="A183" t="s">
        <v>15</v>
      </c>
      <c r="B183" t="s">
        <v>24</v>
      </c>
      <c r="C183">
        <v>20150316</v>
      </c>
      <c r="D183">
        <v>0</v>
      </c>
      <c r="F183">
        <v>62500</v>
      </c>
      <c r="G183" t="s">
        <v>17</v>
      </c>
      <c r="I183" t="s">
        <v>16</v>
      </c>
      <c r="J183" t="s">
        <v>181</v>
      </c>
      <c r="K183" t="s">
        <v>25</v>
      </c>
      <c r="L183">
        <v>132757294</v>
      </c>
      <c r="R183">
        <v>1315</v>
      </c>
      <c r="S183" t="s">
        <v>215</v>
      </c>
      <c r="T183">
        <v>0</v>
      </c>
      <c r="U183">
        <v>25</v>
      </c>
      <c r="V183">
        <v>0</v>
      </c>
      <c r="W183">
        <v>0</v>
      </c>
      <c r="X183">
        <v>0</v>
      </c>
    </row>
    <row r="184" spans="1:24" x14ac:dyDescent="0.25">
      <c r="A184" t="s">
        <v>15</v>
      </c>
      <c r="B184" t="s">
        <v>24</v>
      </c>
      <c r="C184">
        <v>20150316</v>
      </c>
      <c r="D184">
        <v>0</v>
      </c>
      <c r="F184">
        <v>62500</v>
      </c>
      <c r="G184" t="s">
        <v>17</v>
      </c>
      <c r="I184" t="s">
        <v>16</v>
      </c>
      <c r="J184" t="s">
        <v>181</v>
      </c>
      <c r="K184" t="s">
        <v>25</v>
      </c>
      <c r="L184">
        <v>132757294</v>
      </c>
      <c r="R184">
        <v>1315</v>
      </c>
      <c r="S184" t="s">
        <v>215</v>
      </c>
      <c r="T184">
        <v>0</v>
      </c>
      <c r="U184">
        <v>25</v>
      </c>
      <c r="V184">
        <v>0</v>
      </c>
      <c r="W184">
        <v>0</v>
      </c>
      <c r="X184">
        <v>0</v>
      </c>
    </row>
    <row r="185" spans="1:24" x14ac:dyDescent="0.25">
      <c r="A185" t="s">
        <v>15</v>
      </c>
      <c r="B185" t="s">
        <v>24</v>
      </c>
      <c r="C185">
        <v>20150316</v>
      </c>
      <c r="D185">
        <v>0</v>
      </c>
      <c r="F185">
        <v>62500</v>
      </c>
      <c r="G185" t="s">
        <v>17</v>
      </c>
      <c r="I185" t="s">
        <v>16</v>
      </c>
      <c r="J185" t="s">
        <v>181</v>
      </c>
      <c r="K185" t="s">
        <v>25</v>
      </c>
      <c r="L185">
        <v>132757294</v>
      </c>
      <c r="R185">
        <v>1315</v>
      </c>
      <c r="S185" t="s">
        <v>215</v>
      </c>
      <c r="T185">
        <v>0</v>
      </c>
      <c r="U185">
        <v>25</v>
      </c>
      <c r="V185">
        <v>0</v>
      </c>
      <c r="W185">
        <v>0</v>
      </c>
      <c r="X185">
        <v>0</v>
      </c>
    </row>
    <row r="186" spans="1:24" x14ac:dyDescent="0.25">
      <c r="A186" t="s">
        <v>15</v>
      </c>
      <c r="B186" t="s">
        <v>24</v>
      </c>
      <c r="C186">
        <v>20150316</v>
      </c>
      <c r="D186">
        <v>0</v>
      </c>
      <c r="F186">
        <v>62500</v>
      </c>
      <c r="G186" t="s">
        <v>17</v>
      </c>
      <c r="I186" t="s">
        <v>16</v>
      </c>
      <c r="J186" t="s">
        <v>181</v>
      </c>
      <c r="K186" t="s">
        <v>25</v>
      </c>
      <c r="L186">
        <v>132757294</v>
      </c>
      <c r="R186">
        <v>1311</v>
      </c>
      <c r="S186" t="s">
        <v>196</v>
      </c>
      <c r="T186">
        <v>0</v>
      </c>
      <c r="U186">
        <v>26</v>
      </c>
      <c r="V186">
        <v>0</v>
      </c>
      <c r="W186">
        <v>0</v>
      </c>
      <c r="X186">
        <v>0</v>
      </c>
    </row>
    <row r="187" spans="1:24" x14ac:dyDescent="0.25">
      <c r="A187" t="s">
        <v>15</v>
      </c>
      <c r="B187" t="s">
        <v>24</v>
      </c>
      <c r="C187">
        <v>20150316</v>
      </c>
      <c r="D187">
        <v>0</v>
      </c>
      <c r="F187">
        <v>62500</v>
      </c>
      <c r="G187" t="s">
        <v>17</v>
      </c>
      <c r="I187" t="s">
        <v>16</v>
      </c>
      <c r="J187" t="s">
        <v>181</v>
      </c>
      <c r="K187" t="s">
        <v>25</v>
      </c>
      <c r="L187">
        <v>132757294</v>
      </c>
      <c r="R187">
        <v>1311</v>
      </c>
      <c r="S187" t="s">
        <v>201</v>
      </c>
      <c r="T187">
        <v>0</v>
      </c>
      <c r="U187">
        <v>26</v>
      </c>
      <c r="V187">
        <v>0</v>
      </c>
      <c r="W187">
        <v>0</v>
      </c>
      <c r="X187">
        <v>0</v>
      </c>
    </row>
    <row r="188" spans="1:24" x14ac:dyDescent="0.25">
      <c r="A188" t="s">
        <v>15</v>
      </c>
      <c r="B188" t="s">
        <v>24</v>
      </c>
      <c r="C188">
        <v>20150316</v>
      </c>
      <c r="D188">
        <v>0</v>
      </c>
      <c r="F188">
        <v>62500</v>
      </c>
      <c r="G188" t="s">
        <v>17</v>
      </c>
      <c r="I188" t="s">
        <v>16</v>
      </c>
      <c r="J188" t="s">
        <v>181</v>
      </c>
      <c r="K188" t="s">
        <v>25</v>
      </c>
      <c r="L188">
        <v>132757294</v>
      </c>
      <c r="R188">
        <v>1315</v>
      </c>
      <c r="S188" t="s">
        <v>196</v>
      </c>
      <c r="T188">
        <v>0</v>
      </c>
      <c r="U188">
        <v>25</v>
      </c>
      <c r="V188">
        <v>0</v>
      </c>
      <c r="W188">
        <v>0</v>
      </c>
      <c r="X188">
        <v>0</v>
      </c>
    </row>
    <row r="189" spans="1:24" x14ac:dyDescent="0.25">
      <c r="A189" t="s">
        <v>15</v>
      </c>
      <c r="B189" t="s">
        <v>24</v>
      </c>
      <c r="C189">
        <v>20150316</v>
      </c>
      <c r="D189">
        <v>0</v>
      </c>
      <c r="F189">
        <v>62500</v>
      </c>
      <c r="G189" t="s">
        <v>17</v>
      </c>
      <c r="I189" t="s">
        <v>16</v>
      </c>
      <c r="J189" t="s">
        <v>181</v>
      </c>
      <c r="K189" t="s">
        <v>25</v>
      </c>
      <c r="L189">
        <v>132757294</v>
      </c>
      <c r="R189">
        <v>1315</v>
      </c>
      <c r="S189" t="s">
        <v>201</v>
      </c>
      <c r="T189">
        <v>0</v>
      </c>
      <c r="U189">
        <v>25</v>
      </c>
      <c r="V189">
        <v>0</v>
      </c>
      <c r="W189">
        <v>0</v>
      </c>
      <c r="X189">
        <v>0</v>
      </c>
    </row>
    <row r="190" spans="1:24" x14ac:dyDescent="0.25">
      <c r="A190" t="s">
        <v>15</v>
      </c>
      <c r="B190" t="s">
        <v>24</v>
      </c>
      <c r="C190">
        <v>20150316</v>
      </c>
      <c r="D190">
        <v>0</v>
      </c>
      <c r="F190">
        <v>62500</v>
      </c>
      <c r="G190" t="s">
        <v>17</v>
      </c>
      <c r="I190" t="s">
        <v>16</v>
      </c>
      <c r="J190" t="s">
        <v>181</v>
      </c>
      <c r="K190" t="s">
        <v>25</v>
      </c>
      <c r="L190">
        <v>132757294</v>
      </c>
      <c r="R190">
        <v>1316</v>
      </c>
      <c r="S190" t="s">
        <v>214</v>
      </c>
      <c r="T190">
        <v>0</v>
      </c>
      <c r="U190">
        <v>26</v>
      </c>
      <c r="V190">
        <v>0</v>
      </c>
      <c r="W190">
        <v>0</v>
      </c>
      <c r="X190">
        <v>0</v>
      </c>
    </row>
    <row r="191" spans="1:24" x14ac:dyDescent="0.25">
      <c r="A191" t="s">
        <v>15</v>
      </c>
      <c r="B191" t="s">
        <v>24</v>
      </c>
      <c r="C191">
        <v>20150316</v>
      </c>
      <c r="D191">
        <v>0</v>
      </c>
      <c r="F191">
        <v>62500</v>
      </c>
      <c r="G191" t="s">
        <v>17</v>
      </c>
      <c r="I191" t="s">
        <v>16</v>
      </c>
      <c r="J191" t="s">
        <v>181</v>
      </c>
      <c r="K191" t="s">
        <v>25</v>
      </c>
      <c r="L191">
        <v>132757294</v>
      </c>
      <c r="R191">
        <v>1316</v>
      </c>
      <c r="S191" t="s">
        <v>214</v>
      </c>
      <c r="T191">
        <v>0</v>
      </c>
      <c r="U191">
        <v>26</v>
      </c>
      <c r="V191">
        <v>0</v>
      </c>
      <c r="W191">
        <v>0</v>
      </c>
      <c r="X191">
        <v>0</v>
      </c>
    </row>
    <row r="192" spans="1:24" x14ac:dyDescent="0.25">
      <c r="A192" t="s">
        <v>15</v>
      </c>
      <c r="B192" t="s">
        <v>24</v>
      </c>
      <c r="C192">
        <v>20150316</v>
      </c>
      <c r="D192">
        <v>0</v>
      </c>
      <c r="F192">
        <v>62500</v>
      </c>
      <c r="G192" t="s">
        <v>17</v>
      </c>
      <c r="I192" t="s">
        <v>16</v>
      </c>
      <c r="J192" t="s">
        <v>181</v>
      </c>
      <c r="K192" t="s">
        <v>25</v>
      </c>
      <c r="L192">
        <v>132757294</v>
      </c>
      <c r="R192">
        <v>1316</v>
      </c>
      <c r="S192" t="s">
        <v>194</v>
      </c>
      <c r="T192">
        <v>0</v>
      </c>
      <c r="U192">
        <v>26</v>
      </c>
      <c r="V192">
        <v>0</v>
      </c>
      <c r="W192">
        <v>0</v>
      </c>
      <c r="X192">
        <v>0</v>
      </c>
    </row>
    <row r="193" spans="1:24" x14ac:dyDescent="0.25">
      <c r="A193" t="s">
        <v>15</v>
      </c>
      <c r="B193" t="s">
        <v>24</v>
      </c>
      <c r="C193">
        <v>20150316</v>
      </c>
      <c r="D193">
        <v>0</v>
      </c>
      <c r="F193">
        <v>62500</v>
      </c>
      <c r="G193" t="s">
        <v>17</v>
      </c>
      <c r="I193" t="s">
        <v>16</v>
      </c>
      <c r="J193" t="s">
        <v>181</v>
      </c>
      <c r="K193" t="s">
        <v>25</v>
      </c>
      <c r="L193">
        <v>132757294</v>
      </c>
      <c r="R193">
        <v>1316</v>
      </c>
      <c r="S193" t="s">
        <v>194</v>
      </c>
      <c r="T193">
        <v>0</v>
      </c>
      <c r="U193">
        <v>26</v>
      </c>
      <c r="V193">
        <v>0</v>
      </c>
      <c r="W193">
        <v>0</v>
      </c>
      <c r="X193">
        <v>0</v>
      </c>
    </row>
    <row r="194" spans="1:24" x14ac:dyDescent="0.25">
      <c r="A194" t="s">
        <v>15</v>
      </c>
      <c r="B194" t="s">
        <v>24</v>
      </c>
      <c r="C194">
        <v>20150316</v>
      </c>
      <c r="D194">
        <v>0</v>
      </c>
      <c r="F194">
        <v>62500</v>
      </c>
      <c r="G194" t="s">
        <v>17</v>
      </c>
      <c r="I194" t="s">
        <v>16</v>
      </c>
      <c r="J194" t="s">
        <v>181</v>
      </c>
      <c r="K194" t="s">
        <v>25</v>
      </c>
      <c r="L194">
        <v>132757294</v>
      </c>
      <c r="R194">
        <v>1316</v>
      </c>
      <c r="S194" t="s">
        <v>194</v>
      </c>
      <c r="T194">
        <v>0</v>
      </c>
      <c r="U194">
        <v>26</v>
      </c>
      <c r="V194">
        <v>0</v>
      </c>
      <c r="W194">
        <v>0</v>
      </c>
      <c r="X194">
        <v>0</v>
      </c>
    </row>
    <row r="195" spans="1:24" x14ac:dyDescent="0.25">
      <c r="A195" t="s">
        <v>15</v>
      </c>
      <c r="B195" t="s">
        <v>24</v>
      </c>
      <c r="C195">
        <v>20150316</v>
      </c>
      <c r="D195">
        <v>0</v>
      </c>
      <c r="F195">
        <v>62500</v>
      </c>
      <c r="G195" t="s">
        <v>17</v>
      </c>
      <c r="I195" t="s">
        <v>16</v>
      </c>
      <c r="J195" t="s">
        <v>181</v>
      </c>
      <c r="K195" t="s">
        <v>25</v>
      </c>
      <c r="L195">
        <v>132757294</v>
      </c>
      <c r="R195">
        <v>1317</v>
      </c>
      <c r="S195" t="s">
        <v>214</v>
      </c>
      <c r="T195">
        <v>0</v>
      </c>
      <c r="U195">
        <v>-26</v>
      </c>
      <c r="V195">
        <v>0</v>
      </c>
      <c r="W195">
        <v>0</v>
      </c>
      <c r="X195">
        <v>0</v>
      </c>
    </row>
    <row r="196" spans="1:24" x14ac:dyDescent="0.25">
      <c r="A196" t="s">
        <v>15</v>
      </c>
      <c r="B196" t="s">
        <v>24</v>
      </c>
      <c r="C196">
        <v>20150316</v>
      </c>
      <c r="D196">
        <v>0</v>
      </c>
      <c r="F196">
        <v>62500</v>
      </c>
      <c r="G196" t="s">
        <v>17</v>
      </c>
      <c r="I196" t="s">
        <v>16</v>
      </c>
      <c r="J196" t="s">
        <v>181</v>
      </c>
      <c r="K196" t="s">
        <v>25</v>
      </c>
      <c r="L196">
        <v>132757294</v>
      </c>
      <c r="R196">
        <v>1317</v>
      </c>
      <c r="S196" t="s">
        <v>214</v>
      </c>
      <c r="T196">
        <v>0</v>
      </c>
      <c r="U196">
        <v>-26</v>
      </c>
      <c r="V196">
        <v>0</v>
      </c>
      <c r="W196">
        <v>0</v>
      </c>
      <c r="X196">
        <v>0</v>
      </c>
    </row>
    <row r="197" spans="1:24" x14ac:dyDescent="0.25">
      <c r="A197" t="s">
        <v>15</v>
      </c>
      <c r="B197" t="s">
        <v>24</v>
      </c>
      <c r="C197">
        <v>20150316</v>
      </c>
      <c r="D197">
        <v>0</v>
      </c>
      <c r="F197">
        <v>62500</v>
      </c>
      <c r="G197" t="s">
        <v>17</v>
      </c>
      <c r="I197" t="s">
        <v>16</v>
      </c>
      <c r="J197" t="s">
        <v>181</v>
      </c>
      <c r="K197" t="s">
        <v>25</v>
      </c>
      <c r="L197">
        <v>132757294</v>
      </c>
      <c r="R197">
        <v>1317</v>
      </c>
      <c r="S197" t="s">
        <v>194</v>
      </c>
      <c r="T197">
        <v>0</v>
      </c>
      <c r="U197">
        <v>26</v>
      </c>
      <c r="V197">
        <v>0</v>
      </c>
      <c r="W197">
        <v>0</v>
      </c>
      <c r="X197">
        <v>0</v>
      </c>
    </row>
    <row r="198" spans="1:24" x14ac:dyDescent="0.25">
      <c r="A198" t="s">
        <v>15</v>
      </c>
      <c r="B198" t="s">
        <v>24</v>
      </c>
      <c r="C198">
        <v>20150316</v>
      </c>
      <c r="D198">
        <v>0</v>
      </c>
      <c r="F198">
        <v>62500</v>
      </c>
      <c r="G198" t="s">
        <v>17</v>
      </c>
      <c r="I198" t="s">
        <v>16</v>
      </c>
      <c r="J198" t="s">
        <v>181</v>
      </c>
      <c r="K198" t="s">
        <v>25</v>
      </c>
      <c r="L198">
        <v>132757294</v>
      </c>
      <c r="R198">
        <v>1317</v>
      </c>
      <c r="S198" t="s">
        <v>194</v>
      </c>
      <c r="T198">
        <v>0</v>
      </c>
      <c r="U198">
        <v>26</v>
      </c>
      <c r="V198">
        <v>0</v>
      </c>
      <c r="W198">
        <v>0</v>
      </c>
      <c r="X198">
        <v>0</v>
      </c>
    </row>
    <row r="199" spans="1:24" x14ac:dyDescent="0.25">
      <c r="A199" t="s">
        <v>15</v>
      </c>
      <c r="B199" t="s">
        <v>24</v>
      </c>
      <c r="C199">
        <v>20150316</v>
      </c>
      <c r="D199">
        <v>0</v>
      </c>
      <c r="F199">
        <v>62500</v>
      </c>
      <c r="G199" t="s">
        <v>17</v>
      </c>
      <c r="I199" t="s">
        <v>16</v>
      </c>
      <c r="J199" t="s">
        <v>181</v>
      </c>
      <c r="K199" t="s">
        <v>25</v>
      </c>
      <c r="L199">
        <v>132757294</v>
      </c>
      <c r="R199">
        <v>1317</v>
      </c>
      <c r="S199" t="s">
        <v>194</v>
      </c>
      <c r="T199">
        <v>0</v>
      </c>
      <c r="U199">
        <v>26</v>
      </c>
      <c r="V199">
        <v>0</v>
      </c>
      <c r="W199">
        <v>0</v>
      </c>
      <c r="X199">
        <v>0</v>
      </c>
    </row>
    <row r="200" spans="1:24" x14ac:dyDescent="0.25">
      <c r="A200" t="s">
        <v>15</v>
      </c>
      <c r="B200" t="s">
        <v>24</v>
      </c>
      <c r="C200">
        <v>20150316</v>
      </c>
      <c r="D200">
        <v>0</v>
      </c>
      <c r="F200">
        <v>62500</v>
      </c>
      <c r="G200" t="s">
        <v>17</v>
      </c>
      <c r="I200" t="s">
        <v>16</v>
      </c>
      <c r="J200" t="s">
        <v>181</v>
      </c>
      <c r="K200" t="s">
        <v>25</v>
      </c>
      <c r="L200">
        <v>132757294</v>
      </c>
      <c r="R200">
        <v>1318</v>
      </c>
      <c r="S200" t="s">
        <v>214</v>
      </c>
      <c r="T200">
        <v>0</v>
      </c>
      <c r="U200">
        <v>28</v>
      </c>
      <c r="V200">
        <v>0</v>
      </c>
      <c r="W200">
        <v>0</v>
      </c>
      <c r="X200">
        <v>0</v>
      </c>
    </row>
    <row r="201" spans="1:24" x14ac:dyDescent="0.25">
      <c r="A201" t="s">
        <v>15</v>
      </c>
      <c r="B201" t="s">
        <v>24</v>
      </c>
      <c r="C201">
        <v>20150316</v>
      </c>
      <c r="D201">
        <v>0</v>
      </c>
      <c r="F201">
        <v>62500</v>
      </c>
      <c r="G201" t="s">
        <v>17</v>
      </c>
      <c r="I201" t="s">
        <v>16</v>
      </c>
      <c r="J201" t="s">
        <v>181</v>
      </c>
      <c r="K201" t="s">
        <v>25</v>
      </c>
      <c r="L201">
        <v>132757294</v>
      </c>
      <c r="R201">
        <v>1316</v>
      </c>
      <c r="S201" t="s">
        <v>196</v>
      </c>
      <c r="T201">
        <v>0</v>
      </c>
      <c r="U201">
        <v>26</v>
      </c>
      <c r="V201">
        <v>0</v>
      </c>
      <c r="W201">
        <v>0</v>
      </c>
      <c r="X201">
        <v>0</v>
      </c>
    </row>
    <row r="202" spans="1:24" x14ac:dyDescent="0.25">
      <c r="A202" t="s">
        <v>15</v>
      </c>
      <c r="B202" t="s">
        <v>24</v>
      </c>
      <c r="C202">
        <v>20150316</v>
      </c>
      <c r="D202">
        <v>0</v>
      </c>
      <c r="F202">
        <v>62500</v>
      </c>
      <c r="G202" t="s">
        <v>17</v>
      </c>
      <c r="I202" t="s">
        <v>16</v>
      </c>
      <c r="J202" t="s">
        <v>181</v>
      </c>
      <c r="K202" t="s">
        <v>25</v>
      </c>
      <c r="L202">
        <v>132757294</v>
      </c>
      <c r="R202">
        <v>1316</v>
      </c>
      <c r="S202" t="s">
        <v>201</v>
      </c>
      <c r="T202">
        <v>0</v>
      </c>
      <c r="U202">
        <v>26</v>
      </c>
      <c r="V202">
        <v>0</v>
      </c>
      <c r="W202">
        <v>0</v>
      </c>
      <c r="X202">
        <v>0</v>
      </c>
    </row>
    <row r="203" spans="1:24" x14ac:dyDescent="0.25">
      <c r="A203" t="s">
        <v>15</v>
      </c>
      <c r="B203" t="s">
        <v>24</v>
      </c>
      <c r="C203">
        <v>20150316</v>
      </c>
      <c r="D203">
        <v>0</v>
      </c>
      <c r="F203">
        <v>62500</v>
      </c>
      <c r="G203" t="s">
        <v>17</v>
      </c>
      <c r="I203" t="s">
        <v>16</v>
      </c>
      <c r="J203" t="s">
        <v>181</v>
      </c>
      <c r="K203" t="s">
        <v>25</v>
      </c>
      <c r="L203">
        <v>132757294</v>
      </c>
      <c r="R203">
        <v>1318</v>
      </c>
      <c r="S203" t="s">
        <v>214</v>
      </c>
      <c r="T203">
        <v>0</v>
      </c>
      <c r="U203">
        <v>28</v>
      </c>
      <c r="V203">
        <v>0</v>
      </c>
      <c r="W203">
        <v>0</v>
      </c>
      <c r="X203">
        <v>0</v>
      </c>
    </row>
    <row r="204" spans="1:24" x14ac:dyDescent="0.25">
      <c r="A204" t="s">
        <v>15</v>
      </c>
      <c r="B204" t="s">
        <v>24</v>
      </c>
      <c r="C204">
        <v>20150316</v>
      </c>
      <c r="D204">
        <v>0</v>
      </c>
      <c r="F204">
        <v>62500</v>
      </c>
      <c r="G204" t="s">
        <v>17</v>
      </c>
      <c r="I204" t="s">
        <v>16</v>
      </c>
      <c r="J204" t="s">
        <v>181</v>
      </c>
      <c r="K204" t="s">
        <v>25</v>
      </c>
      <c r="L204">
        <v>132757294</v>
      </c>
      <c r="R204">
        <v>1318</v>
      </c>
      <c r="S204" t="s">
        <v>194</v>
      </c>
      <c r="T204">
        <v>0</v>
      </c>
      <c r="U204">
        <v>28</v>
      </c>
      <c r="V204">
        <v>0</v>
      </c>
      <c r="W204">
        <v>0</v>
      </c>
      <c r="X204">
        <v>0</v>
      </c>
    </row>
    <row r="205" spans="1:24" x14ac:dyDescent="0.25">
      <c r="A205" t="s">
        <v>15</v>
      </c>
      <c r="B205" t="s">
        <v>24</v>
      </c>
      <c r="C205">
        <v>20150316</v>
      </c>
      <c r="D205">
        <v>0</v>
      </c>
      <c r="F205">
        <v>62500</v>
      </c>
      <c r="G205" t="s">
        <v>17</v>
      </c>
      <c r="I205" t="s">
        <v>16</v>
      </c>
      <c r="J205" t="s">
        <v>181</v>
      </c>
      <c r="K205" t="s">
        <v>25</v>
      </c>
      <c r="L205">
        <v>132757294</v>
      </c>
      <c r="R205">
        <v>1317</v>
      </c>
      <c r="S205" t="s">
        <v>196</v>
      </c>
      <c r="T205">
        <v>0</v>
      </c>
      <c r="U205">
        <v>26</v>
      </c>
      <c r="V205">
        <v>0</v>
      </c>
      <c r="W205">
        <v>0</v>
      </c>
      <c r="X205">
        <v>0</v>
      </c>
    </row>
    <row r="206" spans="1:24" x14ac:dyDescent="0.25">
      <c r="A206" t="s">
        <v>15</v>
      </c>
      <c r="B206" t="s">
        <v>24</v>
      </c>
      <c r="C206">
        <v>20150316</v>
      </c>
      <c r="D206">
        <v>0</v>
      </c>
      <c r="F206">
        <v>62500</v>
      </c>
      <c r="G206" t="s">
        <v>17</v>
      </c>
      <c r="I206" t="s">
        <v>16</v>
      </c>
      <c r="J206" t="s">
        <v>181</v>
      </c>
      <c r="K206" t="s">
        <v>25</v>
      </c>
      <c r="L206">
        <v>132757294</v>
      </c>
      <c r="R206">
        <v>1317</v>
      </c>
      <c r="S206" t="s">
        <v>201</v>
      </c>
      <c r="T206">
        <v>0</v>
      </c>
      <c r="U206">
        <v>26</v>
      </c>
      <c r="V206">
        <v>0</v>
      </c>
      <c r="W206">
        <v>0</v>
      </c>
      <c r="X206">
        <v>0</v>
      </c>
    </row>
    <row r="207" spans="1:24" x14ac:dyDescent="0.25">
      <c r="A207" t="s">
        <v>15</v>
      </c>
      <c r="B207" t="s">
        <v>24</v>
      </c>
      <c r="C207">
        <v>20150316</v>
      </c>
      <c r="D207">
        <v>0</v>
      </c>
      <c r="F207">
        <v>62500</v>
      </c>
      <c r="G207" t="s">
        <v>17</v>
      </c>
      <c r="I207" t="s">
        <v>16</v>
      </c>
      <c r="J207" t="s">
        <v>181</v>
      </c>
      <c r="K207" t="s">
        <v>25</v>
      </c>
      <c r="L207">
        <v>132757294</v>
      </c>
      <c r="R207">
        <v>1318</v>
      </c>
      <c r="S207" t="s">
        <v>194</v>
      </c>
      <c r="T207">
        <v>0</v>
      </c>
      <c r="U207">
        <v>28</v>
      </c>
      <c r="V207">
        <v>0</v>
      </c>
      <c r="W207">
        <v>0</v>
      </c>
      <c r="X207">
        <v>0</v>
      </c>
    </row>
    <row r="208" spans="1:24" x14ac:dyDescent="0.25">
      <c r="A208" t="s">
        <v>15</v>
      </c>
      <c r="B208" t="s">
        <v>24</v>
      </c>
      <c r="C208">
        <v>20150316</v>
      </c>
      <c r="D208">
        <v>0</v>
      </c>
      <c r="F208">
        <v>62500</v>
      </c>
      <c r="G208" t="s">
        <v>17</v>
      </c>
      <c r="I208" t="s">
        <v>16</v>
      </c>
      <c r="J208" t="s">
        <v>181</v>
      </c>
      <c r="K208" t="s">
        <v>25</v>
      </c>
      <c r="L208">
        <v>132757294</v>
      </c>
      <c r="R208">
        <v>1318</v>
      </c>
      <c r="S208" t="s">
        <v>194</v>
      </c>
      <c r="T208">
        <v>0</v>
      </c>
      <c r="U208">
        <v>28</v>
      </c>
      <c r="V208">
        <v>0</v>
      </c>
      <c r="W208">
        <v>0</v>
      </c>
      <c r="X208">
        <v>0</v>
      </c>
    </row>
    <row r="209" spans="1:24" x14ac:dyDescent="0.25">
      <c r="A209" t="s">
        <v>15</v>
      </c>
      <c r="B209" t="s">
        <v>24</v>
      </c>
      <c r="C209">
        <v>20150316</v>
      </c>
      <c r="D209">
        <v>0</v>
      </c>
      <c r="F209">
        <v>62500</v>
      </c>
      <c r="G209" t="s">
        <v>17</v>
      </c>
      <c r="I209" t="s">
        <v>16</v>
      </c>
      <c r="J209" t="s">
        <v>181</v>
      </c>
      <c r="K209" t="s">
        <v>25</v>
      </c>
      <c r="L209">
        <v>132757294</v>
      </c>
      <c r="R209">
        <v>1319</v>
      </c>
      <c r="S209" t="s">
        <v>214</v>
      </c>
      <c r="T209">
        <v>0</v>
      </c>
      <c r="U209">
        <v>-28</v>
      </c>
      <c r="V209">
        <v>0</v>
      </c>
      <c r="W209">
        <v>0</v>
      </c>
      <c r="X209">
        <v>0</v>
      </c>
    </row>
    <row r="210" spans="1:24" x14ac:dyDescent="0.25">
      <c r="A210" t="s">
        <v>15</v>
      </c>
      <c r="B210" t="s">
        <v>24</v>
      </c>
      <c r="C210">
        <v>20150316</v>
      </c>
      <c r="D210">
        <v>0</v>
      </c>
      <c r="F210">
        <v>62500</v>
      </c>
      <c r="G210" t="s">
        <v>17</v>
      </c>
      <c r="I210" t="s">
        <v>16</v>
      </c>
      <c r="J210" t="s">
        <v>181</v>
      </c>
      <c r="K210" t="s">
        <v>25</v>
      </c>
      <c r="L210">
        <v>132757294</v>
      </c>
      <c r="R210">
        <v>1319</v>
      </c>
      <c r="S210" t="s">
        <v>214</v>
      </c>
      <c r="T210">
        <v>0</v>
      </c>
      <c r="U210">
        <v>-28</v>
      </c>
      <c r="V210">
        <v>0</v>
      </c>
      <c r="W210">
        <v>0</v>
      </c>
      <c r="X210">
        <v>0</v>
      </c>
    </row>
    <row r="211" spans="1:24" x14ac:dyDescent="0.25">
      <c r="A211" t="s">
        <v>15</v>
      </c>
      <c r="B211" t="s">
        <v>24</v>
      </c>
      <c r="C211">
        <v>20150316</v>
      </c>
      <c r="D211">
        <v>0</v>
      </c>
      <c r="F211">
        <v>62500</v>
      </c>
      <c r="G211" t="s">
        <v>17</v>
      </c>
      <c r="I211" t="s">
        <v>16</v>
      </c>
      <c r="J211" t="s">
        <v>181</v>
      </c>
      <c r="K211" t="s">
        <v>25</v>
      </c>
      <c r="L211">
        <v>132757294</v>
      </c>
      <c r="R211">
        <v>1319</v>
      </c>
      <c r="S211" t="s">
        <v>194</v>
      </c>
      <c r="T211">
        <v>0</v>
      </c>
      <c r="U211">
        <v>28</v>
      </c>
      <c r="V211">
        <v>0</v>
      </c>
      <c r="W211">
        <v>0</v>
      </c>
      <c r="X211">
        <v>0</v>
      </c>
    </row>
    <row r="212" spans="1:24" x14ac:dyDescent="0.25">
      <c r="A212" t="s">
        <v>15</v>
      </c>
      <c r="B212" t="s">
        <v>24</v>
      </c>
      <c r="C212">
        <v>20150316</v>
      </c>
      <c r="D212">
        <v>0</v>
      </c>
      <c r="F212">
        <v>62500</v>
      </c>
      <c r="G212" t="s">
        <v>17</v>
      </c>
      <c r="I212" t="s">
        <v>16</v>
      </c>
      <c r="J212" t="s">
        <v>181</v>
      </c>
      <c r="K212" t="s">
        <v>25</v>
      </c>
      <c r="L212">
        <v>132757294</v>
      </c>
      <c r="R212">
        <v>1319</v>
      </c>
      <c r="S212" t="s">
        <v>194</v>
      </c>
      <c r="T212">
        <v>0</v>
      </c>
      <c r="U212">
        <v>28</v>
      </c>
      <c r="V212">
        <v>0</v>
      </c>
      <c r="W212">
        <v>0</v>
      </c>
      <c r="X212">
        <v>0</v>
      </c>
    </row>
    <row r="213" spans="1:24" x14ac:dyDescent="0.25">
      <c r="A213" t="s">
        <v>15</v>
      </c>
      <c r="B213" t="s">
        <v>24</v>
      </c>
      <c r="C213">
        <v>20150316</v>
      </c>
      <c r="D213">
        <v>0</v>
      </c>
      <c r="F213">
        <v>62500</v>
      </c>
      <c r="G213" t="s">
        <v>17</v>
      </c>
      <c r="I213" t="s">
        <v>16</v>
      </c>
      <c r="J213" t="s">
        <v>181</v>
      </c>
      <c r="K213" t="s">
        <v>25</v>
      </c>
      <c r="L213">
        <v>132757294</v>
      </c>
      <c r="R213">
        <v>1319</v>
      </c>
      <c r="S213" t="s">
        <v>194</v>
      </c>
      <c r="T213">
        <v>0</v>
      </c>
      <c r="U213">
        <v>28</v>
      </c>
      <c r="V213">
        <v>0</v>
      </c>
      <c r="W213">
        <v>0</v>
      </c>
      <c r="X213">
        <v>0</v>
      </c>
    </row>
    <row r="214" spans="1:24" x14ac:dyDescent="0.25">
      <c r="A214" t="s">
        <v>15</v>
      </c>
      <c r="B214" t="s">
        <v>24</v>
      </c>
      <c r="C214">
        <v>20150316</v>
      </c>
      <c r="D214">
        <v>0</v>
      </c>
      <c r="F214">
        <v>62500</v>
      </c>
      <c r="G214" t="s">
        <v>17</v>
      </c>
      <c r="I214" t="s">
        <v>16</v>
      </c>
      <c r="J214" t="s">
        <v>181</v>
      </c>
      <c r="K214" t="s">
        <v>25</v>
      </c>
      <c r="L214">
        <v>132757294</v>
      </c>
      <c r="R214">
        <v>1320</v>
      </c>
      <c r="S214" t="s">
        <v>214</v>
      </c>
      <c r="T214">
        <v>0</v>
      </c>
      <c r="U214">
        <v>25</v>
      </c>
      <c r="V214">
        <v>0</v>
      </c>
      <c r="W214">
        <v>0</v>
      </c>
      <c r="X214">
        <v>0</v>
      </c>
    </row>
    <row r="215" spans="1:24" x14ac:dyDescent="0.25">
      <c r="A215" t="s">
        <v>15</v>
      </c>
      <c r="B215" t="s">
        <v>24</v>
      </c>
      <c r="C215">
        <v>20150316</v>
      </c>
      <c r="D215">
        <v>0</v>
      </c>
      <c r="F215">
        <v>62500</v>
      </c>
      <c r="G215" t="s">
        <v>17</v>
      </c>
      <c r="I215" t="s">
        <v>16</v>
      </c>
      <c r="J215" t="s">
        <v>181</v>
      </c>
      <c r="K215" t="s">
        <v>25</v>
      </c>
      <c r="L215">
        <v>132757294</v>
      </c>
      <c r="R215">
        <v>1318</v>
      </c>
      <c r="S215" t="s">
        <v>196</v>
      </c>
      <c r="T215">
        <v>0</v>
      </c>
      <c r="U215">
        <v>28</v>
      </c>
      <c r="V215">
        <v>0</v>
      </c>
      <c r="W215">
        <v>0</v>
      </c>
      <c r="X215">
        <v>0</v>
      </c>
    </row>
    <row r="216" spans="1:24" x14ac:dyDescent="0.25">
      <c r="A216" t="s">
        <v>15</v>
      </c>
      <c r="B216" t="s">
        <v>24</v>
      </c>
      <c r="C216">
        <v>20150316</v>
      </c>
      <c r="D216">
        <v>0</v>
      </c>
      <c r="F216">
        <v>62500</v>
      </c>
      <c r="G216" t="s">
        <v>17</v>
      </c>
      <c r="I216" t="s">
        <v>16</v>
      </c>
      <c r="J216" t="s">
        <v>181</v>
      </c>
      <c r="K216" t="s">
        <v>25</v>
      </c>
      <c r="L216">
        <v>132757294</v>
      </c>
      <c r="R216">
        <v>1318</v>
      </c>
      <c r="S216" t="s">
        <v>201</v>
      </c>
      <c r="T216">
        <v>0</v>
      </c>
      <c r="U216">
        <v>28</v>
      </c>
      <c r="V216">
        <v>0</v>
      </c>
      <c r="W216">
        <v>0</v>
      </c>
      <c r="X216">
        <v>0</v>
      </c>
    </row>
    <row r="217" spans="1:24" x14ac:dyDescent="0.25">
      <c r="A217" t="s">
        <v>15</v>
      </c>
      <c r="B217" t="s">
        <v>24</v>
      </c>
      <c r="C217">
        <v>20150316</v>
      </c>
      <c r="D217">
        <v>0</v>
      </c>
      <c r="F217">
        <v>62500</v>
      </c>
      <c r="G217" t="s">
        <v>17</v>
      </c>
      <c r="I217" t="s">
        <v>16</v>
      </c>
      <c r="J217" t="s">
        <v>181</v>
      </c>
      <c r="K217" t="s">
        <v>25</v>
      </c>
      <c r="L217">
        <v>132757294</v>
      </c>
      <c r="R217">
        <v>1320</v>
      </c>
      <c r="S217" t="s">
        <v>214</v>
      </c>
      <c r="T217">
        <v>0</v>
      </c>
      <c r="U217">
        <v>25</v>
      </c>
      <c r="V217">
        <v>0</v>
      </c>
      <c r="W217">
        <v>0</v>
      </c>
      <c r="X217">
        <v>0</v>
      </c>
    </row>
    <row r="218" spans="1:24" x14ac:dyDescent="0.25">
      <c r="A218" t="s">
        <v>15</v>
      </c>
      <c r="B218" t="s">
        <v>24</v>
      </c>
      <c r="C218">
        <v>20150316</v>
      </c>
      <c r="D218">
        <v>0</v>
      </c>
      <c r="F218">
        <v>62500</v>
      </c>
      <c r="G218" t="s">
        <v>17</v>
      </c>
      <c r="I218" t="s">
        <v>16</v>
      </c>
      <c r="J218" t="s">
        <v>181</v>
      </c>
      <c r="K218" t="s">
        <v>25</v>
      </c>
      <c r="L218">
        <v>132757294</v>
      </c>
      <c r="R218">
        <v>1320</v>
      </c>
      <c r="S218" t="s">
        <v>194</v>
      </c>
      <c r="T218">
        <v>0</v>
      </c>
      <c r="U218">
        <v>25</v>
      </c>
      <c r="V218">
        <v>0</v>
      </c>
      <c r="W218">
        <v>0</v>
      </c>
      <c r="X218">
        <v>0</v>
      </c>
    </row>
    <row r="219" spans="1:24" x14ac:dyDescent="0.25">
      <c r="A219" t="s">
        <v>15</v>
      </c>
      <c r="B219" t="s">
        <v>24</v>
      </c>
      <c r="C219">
        <v>20150316</v>
      </c>
      <c r="D219">
        <v>0</v>
      </c>
      <c r="F219">
        <v>62500</v>
      </c>
      <c r="G219" t="s">
        <v>17</v>
      </c>
      <c r="I219" t="s">
        <v>16</v>
      </c>
      <c r="J219" t="s">
        <v>181</v>
      </c>
      <c r="K219" t="s">
        <v>25</v>
      </c>
      <c r="L219">
        <v>132757294</v>
      </c>
      <c r="R219">
        <v>1319</v>
      </c>
      <c r="S219" t="s">
        <v>196</v>
      </c>
      <c r="T219">
        <v>0</v>
      </c>
      <c r="U219">
        <v>28</v>
      </c>
      <c r="V219">
        <v>0</v>
      </c>
      <c r="W219">
        <v>0</v>
      </c>
      <c r="X219">
        <v>0</v>
      </c>
    </row>
    <row r="220" spans="1:24" x14ac:dyDescent="0.25">
      <c r="A220" t="s">
        <v>15</v>
      </c>
      <c r="B220" t="s">
        <v>24</v>
      </c>
      <c r="C220">
        <v>20150316</v>
      </c>
      <c r="D220">
        <v>0</v>
      </c>
      <c r="F220">
        <v>62500</v>
      </c>
      <c r="G220" t="s">
        <v>17</v>
      </c>
      <c r="I220" t="s">
        <v>16</v>
      </c>
      <c r="J220" t="s">
        <v>181</v>
      </c>
      <c r="K220" t="s">
        <v>25</v>
      </c>
      <c r="L220">
        <v>132757294</v>
      </c>
      <c r="R220">
        <v>1319</v>
      </c>
      <c r="S220" t="s">
        <v>201</v>
      </c>
      <c r="T220">
        <v>0</v>
      </c>
      <c r="U220">
        <v>28</v>
      </c>
      <c r="V220">
        <v>0</v>
      </c>
      <c r="W220">
        <v>0</v>
      </c>
      <c r="X220">
        <v>0</v>
      </c>
    </row>
    <row r="221" spans="1:24" x14ac:dyDescent="0.25">
      <c r="A221" t="s">
        <v>15</v>
      </c>
      <c r="B221" t="s">
        <v>24</v>
      </c>
      <c r="C221">
        <v>20150316</v>
      </c>
      <c r="D221">
        <v>0</v>
      </c>
      <c r="F221">
        <v>62500</v>
      </c>
      <c r="G221" t="s">
        <v>17</v>
      </c>
      <c r="I221" t="s">
        <v>16</v>
      </c>
      <c r="J221" t="s">
        <v>181</v>
      </c>
      <c r="K221" t="s">
        <v>25</v>
      </c>
      <c r="L221">
        <v>132757294</v>
      </c>
      <c r="R221">
        <v>1320</v>
      </c>
      <c r="S221" t="s">
        <v>194</v>
      </c>
      <c r="T221">
        <v>0</v>
      </c>
      <c r="U221">
        <v>25</v>
      </c>
      <c r="V221">
        <v>0</v>
      </c>
      <c r="W221">
        <v>0</v>
      </c>
      <c r="X221">
        <v>0</v>
      </c>
    </row>
    <row r="222" spans="1:24" x14ac:dyDescent="0.25">
      <c r="A222" t="s">
        <v>15</v>
      </c>
      <c r="B222" t="s">
        <v>24</v>
      </c>
      <c r="C222">
        <v>20150316</v>
      </c>
      <c r="D222">
        <v>0</v>
      </c>
      <c r="F222">
        <v>62500</v>
      </c>
      <c r="G222" t="s">
        <v>17</v>
      </c>
      <c r="I222" t="s">
        <v>16</v>
      </c>
      <c r="J222" t="s">
        <v>181</v>
      </c>
      <c r="K222" t="s">
        <v>25</v>
      </c>
      <c r="L222">
        <v>132757294</v>
      </c>
      <c r="R222">
        <v>1320</v>
      </c>
      <c r="S222" t="s">
        <v>194</v>
      </c>
      <c r="T222">
        <v>0</v>
      </c>
      <c r="U222">
        <v>25</v>
      </c>
      <c r="V222">
        <v>0</v>
      </c>
      <c r="W222">
        <v>0</v>
      </c>
      <c r="X222">
        <v>0</v>
      </c>
    </row>
    <row r="223" spans="1:24" x14ac:dyDescent="0.25">
      <c r="A223" t="s">
        <v>15</v>
      </c>
      <c r="B223" t="s">
        <v>24</v>
      </c>
      <c r="C223">
        <v>20150316</v>
      </c>
      <c r="D223">
        <v>0</v>
      </c>
      <c r="F223">
        <v>62500</v>
      </c>
      <c r="G223" t="s">
        <v>17</v>
      </c>
      <c r="I223" t="s">
        <v>16</v>
      </c>
      <c r="J223" t="s">
        <v>181</v>
      </c>
      <c r="K223" t="s">
        <v>25</v>
      </c>
      <c r="L223">
        <v>132757294</v>
      </c>
      <c r="R223">
        <v>1321</v>
      </c>
      <c r="S223" t="s">
        <v>214</v>
      </c>
      <c r="T223">
        <v>0</v>
      </c>
      <c r="U223">
        <v>26</v>
      </c>
      <c r="V223">
        <v>0</v>
      </c>
      <c r="W223">
        <v>0</v>
      </c>
      <c r="X223">
        <v>0</v>
      </c>
    </row>
    <row r="224" spans="1:24" x14ac:dyDescent="0.25">
      <c r="A224" t="s">
        <v>15</v>
      </c>
      <c r="B224" t="s">
        <v>24</v>
      </c>
      <c r="C224">
        <v>20150316</v>
      </c>
      <c r="D224">
        <v>0</v>
      </c>
      <c r="F224">
        <v>62500</v>
      </c>
      <c r="G224" t="s">
        <v>17</v>
      </c>
      <c r="I224" t="s">
        <v>16</v>
      </c>
      <c r="J224" t="s">
        <v>181</v>
      </c>
      <c r="K224" t="s">
        <v>25</v>
      </c>
      <c r="L224">
        <v>132757294</v>
      </c>
      <c r="R224">
        <v>1320</v>
      </c>
      <c r="S224" t="s">
        <v>196</v>
      </c>
      <c r="T224">
        <v>0</v>
      </c>
      <c r="U224">
        <v>25</v>
      </c>
      <c r="V224">
        <v>0</v>
      </c>
      <c r="W224">
        <v>0</v>
      </c>
      <c r="X224">
        <v>0</v>
      </c>
    </row>
    <row r="225" spans="1:24" x14ac:dyDescent="0.25">
      <c r="A225" t="s">
        <v>15</v>
      </c>
      <c r="B225" t="s">
        <v>24</v>
      </c>
      <c r="C225">
        <v>20150316</v>
      </c>
      <c r="D225">
        <v>0</v>
      </c>
      <c r="F225">
        <v>62500</v>
      </c>
      <c r="G225" t="s">
        <v>17</v>
      </c>
      <c r="I225" t="s">
        <v>16</v>
      </c>
      <c r="J225" t="s">
        <v>181</v>
      </c>
      <c r="K225" t="s">
        <v>25</v>
      </c>
      <c r="L225">
        <v>132757294</v>
      </c>
      <c r="R225">
        <v>1320</v>
      </c>
      <c r="S225" t="s">
        <v>201</v>
      </c>
      <c r="T225">
        <v>0</v>
      </c>
      <c r="U225">
        <v>25</v>
      </c>
      <c r="V225">
        <v>0</v>
      </c>
      <c r="W225">
        <v>0</v>
      </c>
      <c r="X225">
        <v>0</v>
      </c>
    </row>
    <row r="226" spans="1:24" x14ac:dyDescent="0.25">
      <c r="A226" t="s">
        <v>15</v>
      </c>
      <c r="B226" t="s">
        <v>24</v>
      </c>
      <c r="C226">
        <v>20150316</v>
      </c>
      <c r="D226">
        <v>0</v>
      </c>
      <c r="F226">
        <v>62500</v>
      </c>
      <c r="G226" t="s">
        <v>17</v>
      </c>
      <c r="I226" t="s">
        <v>16</v>
      </c>
      <c r="J226" t="s">
        <v>181</v>
      </c>
      <c r="K226" t="s">
        <v>25</v>
      </c>
      <c r="L226">
        <v>132757294</v>
      </c>
      <c r="R226">
        <v>1321</v>
      </c>
      <c r="S226" t="s">
        <v>214</v>
      </c>
      <c r="T226">
        <v>0</v>
      </c>
      <c r="U226">
        <v>26</v>
      </c>
      <c r="V226">
        <v>0</v>
      </c>
      <c r="W226">
        <v>0</v>
      </c>
      <c r="X226">
        <v>0</v>
      </c>
    </row>
    <row r="227" spans="1:24" x14ac:dyDescent="0.25">
      <c r="A227" t="s">
        <v>15</v>
      </c>
      <c r="B227" t="s">
        <v>24</v>
      </c>
      <c r="C227">
        <v>20150316</v>
      </c>
      <c r="D227">
        <v>0</v>
      </c>
      <c r="F227">
        <v>62500</v>
      </c>
      <c r="G227" t="s">
        <v>17</v>
      </c>
      <c r="I227" t="s">
        <v>16</v>
      </c>
      <c r="J227" t="s">
        <v>181</v>
      </c>
      <c r="K227" t="s">
        <v>25</v>
      </c>
      <c r="L227">
        <v>132757294</v>
      </c>
      <c r="R227">
        <v>1321</v>
      </c>
      <c r="S227" t="s">
        <v>194</v>
      </c>
      <c r="T227">
        <v>0</v>
      </c>
      <c r="U227">
        <v>26</v>
      </c>
      <c r="V227">
        <v>0</v>
      </c>
      <c r="W227">
        <v>0</v>
      </c>
      <c r="X227">
        <v>0</v>
      </c>
    </row>
    <row r="228" spans="1:24" x14ac:dyDescent="0.25">
      <c r="A228" t="s">
        <v>15</v>
      </c>
      <c r="B228" t="s">
        <v>24</v>
      </c>
      <c r="C228">
        <v>20150316</v>
      </c>
      <c r="D228">
        <v>0</v>
      </c>
      <c r="F228">
        <v>62500</v>
      </c>
      <c r="G228" t="s">
        <v>17</v>
      </c>
      <c r="I228" t="s">
        <v>16</v>
      </c>
      <c r="J228" t="s">
        <v>181</v>
      </c>
      <c r="K228" t="s">
        <v>25</v>
      </c>
      <c r="L228">
        <v>132757294</v>
      </c>
      <c r="R228">
        <v>1321</v>
      </c>
      <c r="S228" t="s">
        <v>194</v>
      </c>
      <c r="T228">
        <v>0</v>
      </c>
      <c r="U228">
        <v>26</v>
      </c>
      <c r="V228">
        <v>0</v>
      </c>
      <c r="W228">
        <v>0</v>
      </c>
      <c r="X228">
        <v>0</v>
      </c>
    </row>
    <row r="229" spans="1:24" x14ac:dyDescent="0.25">
      <c r="A229" t="s">
        <v>15</v>
      </c>
      <c r="B229" t="s">
        <v>24</v>
      </c>
      <c r="C229">
        <v>20150316</v>
      </c>
      <c r="D229">
        <v>0</v>
      </c>
      <c r="F229">
        <v>62500</v>
      </c>
      <c r="G229" t="s">
        <v>17</v>
      </c>
      <c r="I229" t="s">
        <v>16</v>
      </c>
      <c r="J229" t="s">
        <v>181</v>
      </c>
      <c r="K229" t="s">
        <v>25</v>
      </c>
      <c r="L229">
        <v>132757294</v>
      </c>
      <c r="R229">
        <v>1321</v>
      </c>
      <c r="S229" t="s">
        <v>194</v>
      </c>
      <c r="T229">
        <v>0</v>
      </c>
      <c r="U229">
        <v>26</v>
      </c>
      <c r="V229">
        <v>0</v>
      </c>
      <c r="W229">
        <v>0</v>
      </c>
      <c r="X229">
        <v>0</v>
      </c>
    </row>
    <row r="230" spans="1:24" x14ac:dyDescent="0.25">
      <c r="A230" t="s">
        <v>15</v>
      </c>
      <c r="B230" t="s">
        <v>24</v>
      </c>
      <c r="C230">
        <v>20150316</v>
      </c>
      <c r="D230">
        <v>0</v>
      </c>
      <c r="F230">
        <v>62500</v>
      </c>
      <c r="G230" t="s">
        <v>17</v>
      </c>
      <c r="I230" t="s">
        <v>16</v>
      </c>
      <c r="J230" t="s">
        <v>181</v>
      </c>
      <c r="K230" t="s">
        <v>25</v>
      </c>
      <c r="L230">
        <v>132757294</v>
      </c>
      <c r="R230">
        <v>1322</v>
      </c>
      <c r="S230" t="s">
        <v>214</v>
      </c>
      <c r="T230">
        <v>0</v>
      </c>
      <c r="U230">
        <v>24</v>
      </c>
      <c r="V230">
        <v>0</v>
      </c>
      <c r="W230">
        <v>0</v>
      </c>
      <c r="X230">
        <v>0</v>
      </c>
    </row>
    <row r="231" spans="1:24" x14ac:dyDescent="0.25">
      <c r="A231" t="s">
        <v>15</v>
      </c>
      <c r="B231" t="s">
        <v>24</v>
      </c>
      <c r="C231">
        <v>20150316</v>
      </c>
      <c r="D231">
        <v>0</v>
      </c>
      <c r="F231">
        <v>62500</v>
      </c>
      <c r="G231" t="s">
        <v>17</v>
      </c>
      <c r="I231" t="s">
        <v>16</v>
      </c>
      <c r="J231" t="s">
        <v>181</v>
      </c>
      <c r="K231" t="s">
        <v>25</v>
      </c>
      <c r="L231">
        <v>132757294</v>
      </c>
      <c r="R231">
        <v>1321</v>
      </c>
      <c r="S231" t="s">
        <v>196</v>
      </c>
      <c r="T231">
        <v>0</v>
      </c>
      <c r="U231">
        <v>26</v>
      </c>
      <c r="V231">
        <v>0</v>
      </c>
      <c r="W231">
        <v>0</v>
      </c>
      <c r="X231">
        <v>0</v>
      </c>
    </row>
    <row r="232" spans="1:24" x14ac:dyDescent="0.25">
      <c r="A232" t="s">
        <v>15</v>
      </c>
      <c r="B232" t="s">
        <v>24</v>
      </c>
      <c r="C232">
        <v>20150316</v>
      </c>
      <c r="D232">
        <v>0</v>
      </c>
      <c r="F232">
        <v>62500</v>
      </c>
      <c r="G232" t="s">
        <v>17</v>
      </c>
      <c r="I232" t="s">
        <v>16</v>
      </c>
      <c r="J232" t="s">
        <v>181</v>
      </c>
      <c r="K232" t="s">
        <v>25</v>
      </c>
      <c r="L232">
        <v>132757294</v>
      </c>
      <c r="R232">
        <v>1321</v>
      </c>
      <c r="S232" t="s">
        <v>201</v>
      </c>
      <c r="T232">
        <v>0</v>
      </c>
      <c r="U232">
        <v>26</v>
      </c>
      <c r="V232">
        <v>0</v>
      </c>
      <c r="W232">
        <v>0</v>
      </c>
      <c r="X232">
        <v>0</v>
      </c>
    </row>
    <row r="233" spans="1:24" x14ac:dyDescent="0.25">
      <c r="A233" t="s">
        <v>15</v>
      </c>
      <c r="B233" t="s">
        <v>24</v>
      </c>
      <c r="C233">
        <v>20150316</v>
      </c>
      <c r="D233">
        <v>0</v>
      </c>
      <c r="F233">
        <v>62500</v>
      </c>
      <c r="G233" t="s">
        <v>17</v>
      </c>
      <c r="I233" t="s">
        <v>16</v>
      </c>
      <c r="J233" t="s">
        <v>181</v>
      </c>
      <c r="K233" t="s">
        <v>25</v>
      </c>
      <c r="L233">
        <v>132757294</v>
      </c>
      <c r="R233">
        <v>1322</v>
      </c>
      <c r="S233" t="s">
        <v>214</v>
      </c>
      <c r="T233">
        <v>0</v>
      </c>
      <c r="U233">
        <v>24</v>
      </c>
      <c r="V233">
        <v>0</v>
      </c>
      <c r="W233">
        <v>0</v>
      </c>
      <c r="X233">
        <v>0</v>
      </c>
    </row>
    <row r="234" spans="1:24" x14ac:dyDescent="0.25">
      <c r="A234" t="s">
        <v>15</v>
      </c>
      <c r="B234" t="s">
        <v>24</v>
      </c>
      <c r="C234">
        <v>20150316</v>
      </c>
      <c r="D234">
        <v>0</v>
      </c>
      <c r="F234">
        <v>62500</v>
      </c>
      <c r="G234" t="s">
        <v>17</v>
      </c>
      <c r="I234" t="s">
        <v>16</v>
      </c>
      <c r="J234" t="s">
        <v>181</v>
      </c>
      <c r="K234" t="s">
        <v>25</v>
      </c>
      <c r="L234">
        <v>132757294</v>
      </c>
      <c r="R234">
        <v>1322</v>
      </c>
      <c r="S234" t="s">
        <v>194</v>
      </c>
      <c r="T234">
        <v>0</v>
      </c>
      <c r="U234">
        <v>24</v>
      </c>
      <c r="V234">
        <v>0</v>
      </c>
      <c r="W234">
        <v>0</v>
      </c>
      <c r="X234">
        <v>0</v>
      </c>
    </row>
    <row r="235" spans="1:24" x14ac:dyDescent="0.25">
      <c r="A235" t="s">
        <v>15</v>
      </c>
      <c r="B235" t="s">
        <v>24</v>
      </c>
      <c r="C235">
        <v>20150316</v>
      </c>
      <c r="D235">
        <v>0</v>
      </c>
      <c r="F235">
        <v>62500</v>
      </c>
      <c r="G235" t="s">
        <v>17</v>
      </c>
      <c r="I235" t="s">
        <v>16</v>
      </c>
      <c r="J235" t="s">
        <v>181</v>
      </c>
      <c r="K235" t="s">
        <v>25</v>
      </c>
      <c r="L235">
        <v>132757294</v>
      </c>
      <c r="R235">
        <v>1322</v>
      </c>
      <c r="S235" t="s">
        <v>194</v>
      </c>
      <c r="T235">
        <v>0</v>
      </c>
      <c r="U235">
        <v>24</v>
      </c>
      <c r="V235">
        <v>0</v>
      </c>
      <c r="W235">
        <v>0</v>
      </c>
      <c r="X235">
        <v>0</v>
      </c>
    </row>
    <row r="236" spans="1:24" x14ac:dyDescent="0.25">
      <c r="A236" t="s">
        <v>15</v>
      </c>
      <c r="B236" t="s">
        <v>24</v>
      </c>
      <c r="C236">
        <v>20150316</v>
      </c>
      <c r="D236">
        <v>0</v>
      </c>
      <c r="F236">
        <v>62500</v>
      </c>
      <c r="G236" t="s">
        <v>17</v>
      </c>
      <c r="I236" t="s">
        <v>16</v>
      </c>
      <c r="J236" t="s">
        <v>181</v>
      </c>
      <c r="K236" t="s">
        <v>25</v>
      </c>
      <c r="L236">
        <v>132757294</v>
      </c>
      <c r="R236">
        <v>1322</v>
      </c>
      <c r="S236" t="s">
        <v>194</v>
      </c>
      <c r="T236">
        <v>0</v>
      </c>
      <c r="U236">
        <v>24</v>
      </c>
      <c r="V236">
        <v>0</v>
      </c>
      <c r="W236">
        <v>0</v>
      </c>
      <c r="X236">
        <v>0</v>
      </c>
    </row>
    <row r="237" spans="1:24" x14ac:dyDescent="0.25">
      <c r="A237" t="s">
        <v>15</v>
      </c>
      <c r="B237" t="s">
        <v>24</v>
      </c>
      <c r="C237">
        <v>20150316</v>
      </c>
      <c r="D237">
        <v>0</v>
      </c>
      <c r="F237">
        <v>62500</v>
      </c>
      <c r="G237" t="s">
        <v>17</v>
      </c>
      <c r="I237" t="s">
        <v>16</v>
      </c>
      <c r="J237" t="s">
        <v>181</v>
      </c>
      <c r="K237" t="s">
        <v>25</v>
      </c>
      <c r="L237">
        <v>132757294</v>
      </c>
      <c r="R237">
        <v>1323</v>
      </c>
      <c r="S237" t="s">
        <v>214</v>
      </c>
      <c r="T237">
        <v>0</v>
      </c>
      <c r="U237">
        <v>-24</v>
      </c>
      <c r="V237">
        <v>0</v>
      </c>
      <c r="W237">
        <v>0</v>
      </c>
      <c r="X237">
        <v>0</v>
      </c>
    </row>
    <row r="238" spans="1:24" x14ac:dyDescent="0.25">
      <c r="A238" t="s">
        <v>15</v>
      </c>
      <c r="B238" t="s">
        <v>24</v>
      </c>
      <c r="C238">
        <v>20150316</v>
      </c>
      <c r="D238">
        <v>0</v>
      </c>
      <c r="F238">
        <v>62500</v>
      </c>
      <c r="G238" t="s">
        <v>17</v>
      </c>
      <c r="I238" t="s">
        <v>16</v>
      </c>
      <c r="J238" t="s">
        <v>181</v>
      </c>
      <c r="K238" t="s">
        <v>25</v>
      </c>
      <c r="L238">
        <v>132757294</v>
      </c>
      <c r="R238">
        <v>1323</v>
      </c>
      <c r="S238" t="s">
        <v>214</v>
      </c>
      <c r="T238">
        <v>0</v>
      </c>
      <c r="U238">
        <v>-24</v>
      </c>
      <c r="V238">
        <v>0</v>
      </c>
      <c r="W238">
        <v>0</v>
      </c>
      <c r="X238">
        <v>0</v>
      </c>
    </row>
    <row r="239" spans="1:24" x14ac:dyDescent="0.25">
      <c r="A239" t="s">
        <v>15</v>
      </c>
      <c r="B239" t="s">
        <v>24</v>
      </c>
      <c r="C239">
        <v>20150316</v>
      </c>
      <c r="D239">
        <v>0</v>
      </c>
      <c r="F239">
        <v>62500</v>
      </c>
      <c r="G239" t="s">
        <v>17</v>
      </c>
      <c r="I239" t="s">
        <v>16</v>
      </c>
      <c r="J239" t="s">
        <v>181</v>
      </c>
      <c r="K239" t="s">
        <v>25</v>
      </c>
      <c r="L239">
        <v>132757294</v>
      </c>
      <c r="R239">
        <v>1323</v>
      </c>
      <c r="S239" t="s">
        <v>194</v>
      </c>
      <c r="T239">
        <v>0</v>
      </c>
      <c r="U239">
        <v>24</v>
      </c>
      <c r="V239">
        <v>0</v>
      </c>
      <c r="W239">
        <v>0</v>
      </c>
      <c r="X239">
        <v>0</v>
      </c>
    </row>
    <row r="240" spans="1:24" x14ac:dyDescent="0.25">
      <c r="A240" t="s">
        <v>15</v>
      </c>
      <c r="B240" t="s">
        <v>24</v>
      </c>
      <c r="C240">
        <v>20150316</v>
      </c>
      <c r="D240">
        <v>0</v>
      </c>
      <c r="F240">
        <v>62500</v>
      </c>
      <c r="G240" t="s">
        <v>17</v>
      </c>
      <c r="I240" t="s">
        <v>16</v>
      </c>
      <c r="J240" t="s">
        <v>181</v>
      </c>
      <c r="K240" t="s">
        <v>25</v>
      </c>
      <c r="L240">
        <v>132757294</v>
      </c>
      <c r="R240">
        <v>1323</v>
      </c>
      <c r="S240" t="s">
        <v>194</v>
      </c>
      <c r="T240">
        <v>0</v>
      </c>
      <c r="U240">
        <v>24</v>
      </c>
      <c r="V240">
        <v>0</v>
      </c>
      <c r="W240">
        <v>0</v>
      </c>
      <c r="X240">
        <v>0</v>
      </c>
    </row>
    <row r="241" spans="1:24" x14ac:dyDescent="0.25">
      <c r="A241" t="s">
        <v>15</v>
      </c>
      <c r="B241" t="s">
        <v>24</v>
      </c>
      <c r="C241">
        <v>20150316</v>
      </c>
      <c r="D241">
        <v>0</v>
      </c>
      <c r="F241">
        <v>62500</v>
      </c>
      <c r="G241" t="s">
        <v>17</v>
      </c>
      <c r="I241" t="s">
        <v>16</v>
      </c>
      <c r="J241" t="s">
        <v>181</v>
      </c>
      <c r="K241" t="s">
        <v>25</v>
      </c>
      <c r="L241">
        <v>132757294</v>
      </c>
      <c r="R241">
        <v>1323</v>
      </c>
      <c r="S241" t="s">
        <v>194</v>
      </c>
      <c r="T241">
        <v>0</v>
      </c>
      <c r="U241">
        <v>24</v>
      </c>
      <c r="V241">
        <v>0</v>
      </c>
      <c r="W241">
        <v>0</v>
      </c>
      <c r="X241">
        <v>0</v>
      </c>
    </row>
    <row r="242" spans="1:24" x14ac:dyDescent="0.25">
      <c r="A242" t="s">
        <v>15</v>
      </c>
      <c r="B242" t="s">
        <v>24</v>
      </c>
      <c r="C242">
        <v>20150316</v>
      </c>
      <c r="D242">
        <v>0</v>
      </c>
      <c r="F242">
        <v>62500</v>
      </c>
      <c r="G242" t="s">
        <v>17</v>
      </c>
      <c r="I242" t="s">
        <v>16</v>
      </c>
      <c r="J242" t="s">
        <v>181</v>
      </c>
      <c r="K242" t="s">
        <v>25</v>
      </c>
      <c r="L242">
        <v>132757294</v>
      </c>
      <c r="R242">
        <v>1324</v>
      </c>
      <c r="S242" t="s">
        <v>214</v>
      </c>
      <c r="T242">
        <v>0</v>
      </c>
      <c r="U242">
        <v>-25</v>
      </c>
      <c r="V242">
        <v>0</v>
      </c>
      <c r="W242">
        <v>0</v>
      </c>
      <c r="X242">
        <v>0</v>
      </c>
    </row>
    <row r="243" spans="1:24" x14ac:dyDescent="0.25">
      <c r="A243" t="s">
        <v>15</v>
      </c>
      <c r="B243" t="s">
        <v>24</v>
      </c>
      <c r="C243">
        <v>20150316</v>
      </c>
      <c r="D243">
        <v>0</v>
      </c>
      <c r="F243">
        <v>62500</v>
      </c>
      <c r="G243" t="s">
        <v>17</v>
      </c>
      <c r="I243" t="s">
        <v>16</v>
      </c>
      <c r="J243" t="s">
        <v>181</v>
      </c>
      <c r="K243" t="s">
        <v>25</v>
      </c>
      <c r="L243">
        <v>132757294</v>
      </c>
      <c r="R243">
        <v>1323</v>
      </c>
      <c r="S243" t="s">
        <v>196</v>
      </c>
      <c r="T243">
        <v>0</v>
      </c>
      <c r="U243">
        <v>24</v>
      </c>
      <c r="V243">
        <v>0</v>
      </c>
      <c r="W243">
        <v>0</v>
      </c>
      <c r="X243">
        <v>0</v>
      </c>
    </row>
    <row r="244" spans="1:24" x14ac:dyDescent="0.25">
      <c r="A244" t="s">
        <v>15</v>
      </c>
      <c r="B244" t="s">
        <v>24</v>
      </c>
      <c r="C244">
        <v>20150316</v>
      </c>
      <c r="D244">
        <v>0</v>
      </c>
      <c r="F244">
        <v>62500</v>
      </c>
      <c r="G244" t="s">
        <v>17</v>
      </c>
      <c r="I244" t="s">
        <v>16</v>
      </c>
      <c r="J244" t="s">
        <v>181</v>
      </c>
      <c r="K244" t="s">
        <v>25</v>
      </c>
      <c r="L244">
        <v>132757294</v>
      </c>
      <c r="R244">
        <v>1323</v>
      </c>
      <c r="S244" t="s">
        <v>201</v>
      </c>
      <c r="T244">
        <v>0</v>
      </c>
      <c r="U244">
        <v>24</v>
      </c>
      <c r="V244">
        <v>0</v>
      </c>
      <c r="W244">
        <v>0</v>
      </c>
      <c r="X244">
        <v>0</v>
      </c>
    </row>
    <row r="245" spans="1:24" x14ac:dyDescent="0.25">
      <c r="A245" t="s">
        <v>15</v>
      </c>
      <c r="B245" t="s">
        <v>24</v>
      </c>
      <c r="C245">
        <v>20150316</v>
      </c>
      <c r="D245">
        <v>0</v>
      </c>
      <c r="F245">
        <v>62500</v>
      </c>
      <c r="G245" t="s">
        <v>17</v>
      </c>
      <c r="I245" t="s">
        <v>16</v>
      </c>
      <c r="J245" t="s">
        <v>181</v>
      </c>
      <c r="K245" t="s">
        <v>25</v>
      </c>
      <c r="L245">
        <v>132757294</v>
      </c>
      <c r="R245">
        <v>1324</v>
      </c>
      <c r="S245" t="s">
        <v>214</v>
      </c>
      <c r="T245">
        <v>0</v>
      </c>
      <c r="U245">
        <v>-25</v>
      </c>
      <c r="V245">
        <v>0</v>
      </c>
      <c r="W245">
        <v>0</v>
      </c>
      <c r="X245">
        <v>0</v>
      </c>
    </row>
    <row r="246" spans="1:24" x14ac:dyDescent="0.25">
      <c r="A246" t="s">
        <v>15</v>
      </c>
      <c r="B246" t="s">
        <v>24</v>
      </c>
      <c r="C246">
        <v>20150316</v>
      </c>
      <c r="D246">
        <v>0</v>
      </c>
      <c r="F246">
        <v>62500</v>
      </c>
      <c r="G246" t="s">
        <v>17</v>
      </c>
      <c r="I246" t="s">
        <v>16</v>
      </c>
      <c r="J246" t="s">
        <v>181</v>
      </c>
      <c r="K246" t="s">
        <v>25</v>
      </c>
      <c r="L246">
        <v>132757294</v>
      </c>
      <c r="R246">
        <v>1324</v>
      </c>
      <c r="S246" t="s">
        <v>194</v>
      </c>
      <c r="T246">
        <v>0</v>
      </c>
      <c r="U246">
        <v>25</v>
      </c>
      <c r="V246">
        <v>0</v>
      </c>
      <c r="W246">
        <v>0</v>
      </c>
      <c r="X246">
        <v>0</v>
      </c>
    </row>
    <row r="247" spans="1:24" x14ac:dyDescent="0.25">
      <c r="A247" t="s">
        <v>15</v>
      </c>
      <c r="B247" t="s">
        <v>24</v>
      </c>
      <c r="C247">
        <v>20150316</v>
      </c>
      <c r="D247">
        <v>0</v>
      </c>
      <c r="F247">
        <v>62500</v>
      </c>
      <c r="G247" t="s">
        <v>17</v>
      </c>
      <c r="I247" t="s">
        <v>16</v>
      </c>
      <c r="J247" t="s">
        <v>181</v>
      </c>
      <c r="K247" t="s">
        <v>25</v>
      </c>
      <c r="L247">
        <v>132757294</v>
      </c>
      <c r="R247">
        <v>1324</v>
      </c>
      <c r="S247" t="s">
        <v>194</v>
      </c>
      <c r="T247">
        <v>0</v>
      </c>
      <c r="U247">
        <v>25</v>
      </c>
      <c r="V247">
        <v>0</v>
      </c>
      <c r="W247">
        <v>0</v>
      </c>
      <c r="X247">
        <v>0</v>
      </c>
    </row>
    <row r="248" spans="1:24" x14ac:dyDescent="0.25">
      <c r="A248" t="s">
        <v>15</v>
      </c>
      <c r="B248" t="s">
        <v>24</v>
      </c>
      <c r="C248">
        <v>20150316</v>
      </c>
      <c r="D248">
        <v>0</v>
      </c>
      <c r="F248">
        <v>62500</v>
      </c>
      <c r="G248" t="s">
        <v>17</v>
      </c>
      <c r="I248" t="s">
        <v>16</v>
      </c>
      <c r="J248" t="s">
        <v>181</v>
      </c>
      <c r="K248" t="s">
        <v>25</v>
      </c>
      <c r="L248">
        <v>132757294</v>
      </c>
      <c r="R248">
        <v>1324</v>
      </c>
      <c r="S248" t="s">
        <v>194</v>
      </c>
      <c r="T248">
        <v>0</v>
      </c>
      <c r="U248">
        <v>25</v>
      </c>
      <c r="V248">
        <v>0</v>
      </c>
      <c r="W248">
        <v>0</v>
      </c>
      <c r="X248">
        <v>0</v>
      </c>
    </row>
    <row r="249" spans="1:24" x14ac:dyDescent="0.25">
      <c r="A249" t="s">
        <v>15</v>
      </c>
      <c r="B249" t="s">
        <v>24</v>
      </c>
      <c r="C249">
        <v>20150316</v>
      </c>
      <c r="D249">
        <v>0</v>
      </c>
      <c r="F249">
        <v>62500</v>
      </c>
      <c r="G249" t="s">
        <v>17</v>
      </c>
      <c r="I249" t="s">
        <v>16</v>
      </c>
      <c r="J249" t="s">
        <v>181</v>
      </c>
      <c r="K249" t="s">
        <v>25</v>
      </c>
      <c r="L249">
        <v>132757294</v>
      </c>
      <c r="R249">
        <v>1325</v>
      </c>
      <c r="S249" t="s">
        <v>214</v>
      </c>
      <c r="T249">
        <v>0</v>
      </c>
      <c r="U249">
        <v>25</v>
      </c>
      <c r="V249">
        <v>0</v>
      </c>
      <c r="W249">
        <v>0</v>
      </c>
      <c r="X249">
        <v>0</v>
      </c>
    </row>
    <row r="250" spans="1:24" x14ac:dyDescent="0.25">
      <c r="A250" t="s">
        <v>15</v>
      </c>
      <c r="B250" t="s">
        <v>24</v>
      </c>
      <c r="C250">
        <v>20150316</v>
      </c>
      <c r="D250">
        <v>0</v>
      </c>
      <c r="F250">
        <v>62500</v>
      </c>
      <c r="G250" t="s">
        <v>17</v>
      </c>
      <c r="I250" t="s">
        <v>16</v>
      </c>
      <c r="J250" t="s">
        <v>181</v>
      </c>
      <c r="K250" t="s">
        <v>25</v>
      </c>
      <c r="L250">
        <v>132757294</v>
      </c>
      <c r="R250">
        <v>1322</v>
      </c>
      <c r="S250" t="s">
        <v>196</v>
      </c>
      <c r="T250">
        <v>0</v>
      </c>
      <c r="U250">
        <v>24</v>
      </c>
      <c r="V250">
        <v>0</v>
      </c>
      <c r="W250">
        <v>0</v>
      </c>
      <c r="X250">
        <v>0</v>
      </c>
    </row>
    <row r="251" spans="1:24" x14ac:dyDescent="0.25">
      <c r="A251" t="s">
        <v>15</v>
      </c>
      <c r="B251" t="s">
        <v>24</v>
      </c>
      <c r="C251">
        <v>20150316</v>
      </c>
      <c r="D251">
        <v>0</v>
      </c>
      <c r="F251">
        <v>62500</v>
      </c>
      <c r="G251" t="s">
        <v>17</v>
      </c>
      <c r="I251" t="s">
        <v>16</v>
      </c>
      <c r="J251" t="s">
        <v>181</v>
      </c>
      <c r="K251" t="s">
        <v>25</v>
      </c>
      <c r="L251">
        <v>132757294</v>
      </c>
      <c r="R251">
        <v>1322</v>
      </c>
      <c r="S251" t="s">
        <v>201</v>
      </c>
      <c r="T251">
        <v>0</v>
      </c>
      <c r="U251">
        <v>24</v>
      </c>
      <c r="V251">
        <v>0</v>
      </c>
      <c r="W251">
        <v>0</v>
      </c>
      <c r="X251">
        <v>0</v>
      </c>
    </row>
    <row r="252" spans="1:24" x14ac:dyDescent="0.25">
      <c r="A252" t="s">
        <v>15</v>
      </c>
      <c r="B252" t="s">
        <v>24</v>
      </c>
      <c r="C252">
        <v>20150316</v>
      </c>
      <c r="D252">
        <v>0</v>
      </c>
      <c r="F252">
        <v>62500</v>
      </c>
      <c r="G252" t="s">
        <v>17</v>
      </c>
      <c r="I252" t="s">
        <v>16</v>
      </c>
      <c r="J252" t="s">
        <v>181</v>
      </c>
      <c r="K252" t="s">
        <v>25</v>
      </c>
      <c r="L252">
        <v>132757294</v>
      </c>
      <c r="R252">
        <v>1325</v>
      </c>
      <c r="S252" t="s">
        <v>214</v>
      </c>
      <c r="T252">
        <v>0</v>
      </c>
      <c r="U252">
        <v>25</v>
      </c>
      <c r="V252">
        <v>0</v>
      </c>
      <c r="W252">
        <v>0</v>
      </c>
      <c r="X252">
        <v>0</v>
      </c>
    </row>
    <row r="253" spans="1:24" x14ac:dyDescent="0.25">
      <c r="A253" t="s">
        <v>15</v>
      </c>
      <c r="B253" t="s">
        <v>24</v>
      </c>
      <c r="C253">
        <v>20150316</v>
      </c>
      <c r="D253">
        <v>0</v>
      </c>
      <c r="F253">
        <v>62500</v>
      </c>
      <c r="G253" t="s">
        <v>17</v>
      </c>
      <c r="I253" t="s">
        <v>16</v>
      </c>
      <c r="J253" t="s">
        <v>181</v>
      </c>
      <c r="K253" t="s">
        <v>25</v>
      </c>
      <c r="L253">
        <v>132757294</v>
      </c>
      <c r="R253">
        <v>1325</v>
      </c>
      <c r="S253" t="s">
        <v>194</v>
      </c>
      <c r="T253">
        <v>0</v>
      </c>
      <c r="U253">
        <v>25</v>
      </c>
      <c r="V253">
        <v>0</v>
      </c>
      <c r="W253">
        <v>0</v>
      </c>
      <c r="X253">
        <v>0</v>
      </c>
    </row>
    <row r="254" spans="1:24" x14ac:dyDescent="0.25">
      <c r="A254" t="s">
        <v>15</v>
      </c>
      <c r="B254" t="s">
        <v>24</v>
      </c>
      <c r="C254">
        <v>20150316</v>
      </c>
      <c r="D254">
        <v>0</v>
      </c>
      <c r="F254">
        <v>62500</v>
      </c>
      <c r="G254" t="s">
        <v>17</v>
      </c>
      <c r="I254" t="s">
        <v>16</v>
      </c>
      <c r="J254" t="s">
        <v>181</v>
      </c>
      <c r="K254" t="s">
        <v>25</v>
      </c>
      <c r="L254">
        <v>132757294</v>
      </c>
      <c r="R254">
        <v>1324</v>
      </c>
      <c r="S254" t="s">
        <v>196</v>
      </c>
      <c r="T254">
        <v>0</v>
      </c>
      <c r="U254">
        <v>25</v>
      </c>
      <c r="V254">
        <v>0</v>
      </c>
      <c r="W254">
        <v>0</v>
      </c>
      <c r="X254">
        <v>0</v>
      </c>
    </row>
    <row r="255" spans="1:24" x14ac:dyDescent="0.25">
      <c r="A255" t="s">
        <v>15</v>
      </c>
      <c r="B255" t="s">
        <v>24</v>
      </c>
      <c r="C255">
        <v>20150316</v>
      </c>
      <c r="D255">
        <v>0</v>
      </c>
      <c r="F255">
        <v>62500</v>
      </c>
      <c r="G255" t="s">
        <v>17</v>
      </c>
      <c r="I255" t="s">
        <v>16</v>
      </c>
      <c r="J255" t="s">
        <v>181</v>
      </c>
      <c r="K255" t="s">
        <v>25</v>
      </c>
      <c r="L255">
        <v>132757294</v>
      </c>
      <c r="R255">
        <v>1324</v>
      </c>
      <c r="S255" t="s">
        <v>201</v>
      </c>
      <c r="T255">
        <v>0</v>
      </c>
      <c r="U255">
        <v>25</v>
      </c>
      <c r="V255">
        <v>0</v>
      </c>
      <c r="W255">
        <v>0</v>
      </c>
      <c r="X255">
        <v>0</v>
      </c>
    </row>
    <row r="256" spans="1:24" x14ac:dyDescent="0.25">
      <c r="A256" t="s">
        <v>15</v>
      </c>
      <c r="B256" t="s">
        <v>24</v>
      </c>
      <c r="C256">
        <v>20150316</v>
      </c>
      <c r="D256">
        <v>0</v>
      </c>
      <c r="F256">
        <v>62500</v>
      </c>
      <c r="G256" t="s">
        <v>17</v>
      </c>
      <c r="I256" t="s">
        <v>16</v>
      </c>
      <c r="J256" t="s">
        <v>181</v>
      </c>
      <c r="K256" t="s">
        <v>25</v>
      </c>
      <c r="L256">
        <v>132757294</v>
      </c>
      <c r="R256">
        <v>1325</v>
      </c>
      <c r="S256" t="s">
        <v>194</v>
      </c>
      <c r="T256">
        <v>0</v>
      </c>
      <c r="U256">
        <v>25</v>
      </c>
      <c r="V256">
        <v>0</v>
      </c>
      <c r="W256">
        <v>0</v>
      </c>
      <c r="X256">
        <v>0</v>
      </c>
    </row>
    <row r="257" spans="1:24" x14ac:dyDescent="0.25">
      <c r="A257" t="s">
        <v>15</v>
      </c>
      <c r="B257" t="s">
        <v>24</v>
      </c>
      <c r="C257">
        <v>20150316</v>
      </c>
      <c r="D257">
        <v>0</v>
      </c>
      <c r="F257">
        <v>62500</v>
      </c>
      <c r="G257" t="s">
        <v>17</v>
      </c>
      <c r="I257" t="s">
        <v>16</v>
      </c>
      <c r="J257" t="s">
        <v>181</v>
      </c>
      <c r="K257" t="s">
        <v>25</v>
      </c>
      <c r="L257">
        <v>132757294</v>
      </c>
      <c r="R257">
        <v>1325</v>
      </c>
      <c r="S257" t="s">
        <v>194</v>
      </c>
      <c r="T257">
        <v>0</v>
      </c>
      <c r="U257">
        <v>25</v>
      </c>
      <c r="V257">
        <v>0</v>
      </c>
      <c r="W257">
        <v>0</v>
      </c>
      <c r="X257">
        <v>0</v>
      </c>
    </row>
    <row r="258" spans="1:24" x14ac:dyDescent="0.25">
      <c r="A258" t="s">
        <v>15</v>
      </c>
      <c r="B258" t="s">
        <v>24</v>
      </c>
      <c r="C258">
        <v>20150316</v>
      </c>
      <c r="D258">
        <v>0</v>
      </c>
      <c r="F258">
        <v>62500</v>
      </c>
      <c r="G258" t="s">
        <v>17</v>
      </c>
      <c r="I258" t="s">
        <v>16</v>
      </c>
      <c r="J258" t="s">
        <v>181</v>
      </c>
      <c r="K258" t="s">
        <v>25</v>
      </c>
      <c r="L258">
        <v>132757294</v>
      </c>
      <c r="R258">
        <v>1326</v>
      </c>
      <c r="S258" t="s">
        <v>214</v>
      </c>
      <c r="T258">
        <v>0</v>
      </c>
      <c r="U258">
        <v>-25</v>
      </c>
      <c r="V258">
        <v>0</v>
      </c>
      <c r="W258">
        <v>0</v>
      </c>
      <c r="X258">
        <v>0</v>
      </c>
    </row>
    <row r="259" spans="1:24" x14ac:dyDescent="0.25">
      <c r="A259" t="s">
        <v>15</v>
      </c>
      <c r="B259" t="s">
        <v>24</v>
      </c>
      <c r="C259">
        <v>20150316</v>
      </c>
      <c r="D259">
        <v>0</v>
      </c>
      <c r="F259">
        <v>62500</v>
      </c>
      <c r="G259" t="s">
        <v>17</v>
      </c>
      <c r="I259" t="s">
        <v>16</v>
      </c>
      <c r="J259" t="s">
        <v>181</v>
      </c>
      <c r="K259" t="s">
        <v>25</v>
      </c>
      <c r="L259">
        <v>132757294</v>
      </c>
      <c r="R259">
        <v>1326</v>
      </c>
      <c r="S259" t="s">
        <v>214</v>
      </c>
      <c r="T259">
        <v>0</v>
      </c>
      <c r="U259">
        <v>-25</v>
      </c>
      <c r="V259">
        <v>0</v>
      </c>
      <c r="W259">
        <v>0</v>
      </c>
      <c r="X259">
        <v>0</v>
      </c>
    </row>
    <row r="260" spans="1:24" x14ac:dyDescent="0.25">
      <c r="A260" t="s">
        <v>15</v>
      </c>
      <c r="B260" t="s">
        <v>24</v>
      </c>
      <c r="C260">
        <v>20150316</v>
      </c>
      <c r="D260">
        <v>0</v>
      </c>
      <c r="F260">
        <v>62500</v>
      </c>
      <c r="G260" t="s">
        <v>17</v>
      </c>
      <c r="I260" t="s">
        <v>16</v>
      </c>
      <c r="J260" t="s">
        <v>181</v>
      </c>
      <c r="K260" t="s">
        <v>25</v>
      </c>
      <c r="L260">
        <v>132757294</v>
      </c>
      <c r="R260">
        <v>1326</v>
      </c>
      <c r="S260" t="s">
        <v>194</v>
      </c>
      <c r="T260">
        <v>0</v>
      </c>
      <c r="U260">
        <v>25</v>
      </c>
      <c r="V260">
        <v>0</v>
      </c>
      <c r="W260">
        <v>0</v>
      </c>
      <c r="X260">
        <v>0</v>
      </c>
    </row>
    <row r="261" spans="1:24" x14ac:dyDescent="0.25">
      <c r="A261" t="s">
        <v>15</v>
      </c>
      <c r="B261" t="s">
        <v>24</v>
      </c>
      <c r="C261">
        <v>20150316</v>
      </c>
      <c r="D261">
        <v>0</v>
      </c>
      <c r="F261">
        <v>62500</v>
      </c>
      <c r="G261" t="s">
        <v>17</v>
      </c>
      <c r="I261" t="s">
        <v>16</v>
      </c>
      <c r="J261" t="s">
        <v>181</v>
      </c>
      <c r="K261" t="s">
        <v>25</v>
      </c>
      <c r="L261">
        <v>132757294</v>
      </c>
      <c r="R261">
        <v>1327</v>
      </c>
      <c r="S261" t="s">
        <v>214</v>
      </c>
      <c r="T261">
        <v>0</v>
      </c>
      <c r="U261">
        <v>25</v>
      </c>
      <c r="V261">
        <v>0</v>
      </c>
      <c r="W261">
        <v>0</v>
      </c>
      <c r="X261">
        <v>0</v>
      </c>
    </row>
    <row r="262" spans="1:24" x14ac:dyDescent="0.25">
      <c r="A262" t="s">
        <v>15</v>
      </c>
      <c r="B262" t="s">
        <v>24</v>
      </c>
      <c r="C262">
        <v>20150316</v>
      </c>
      <c r="D262">
        <v>0</v>
      </c>
      <c r="F262">
        <v>62500</v>
      </c>
      <c r="G262" t="s">
        <v>17</v>
      </c>
      <c r="I262" t="s">
        <v>16</v>
      </c>
      <c r="J262" t="s">
        <v>181</v>
      </c>
      <c r="K262" t="s">
        <v>25</v>
      </c>
      <c r="L262">
        <v>132757294</v>
      </c>
      <c r="R262">
        <v>1326</v>
      </c>
      <c r="S262" t="s">
        <v>194</v>
      </c>
      <c r="T262">
        <v>0</v>
      </c>
      <c r="U262">
        <v>25</v>
      </c>
      <c r="V262">
        <v>0</v>
      </c>
      <c r="W262">
        <v>0</v>
      </c>
      <c r="X262">
        <v>0</v>
      </c>
    </row>
    <row r="263" spans="1:24" x14ac:dyDescent="0.25">
      <c r="A263" t="s">
        <v>15</v>
      </c>
      <c r="B263" t="s">
        <v>24</v>
      </c>
      <c r="C263">
        <v>20150316</v>
      </c>
      <c r="D263">
        <v>0</v>
      </c>
      <c r="F263">
        <v>62500</v>
      </c>
      <c r="G263" t="s">
        <v>17</v>
      </c>
      <c r="I263" t="s">
        <v>16</v>
      </c>
      <c r="J263" t="s">
        <v>181</v>
      </c>
      <c r="K263" t="s">
        <v>25</v>
      </c>
      <c r="L263">
        <v>132757294</v>
      </c>
      <c r="R263">
        <v>1326</v>
      </c>
      <c r="S263" t="s">
        <v>194</v>
      </c>
      <c r="T263">
        <v>0</v>
      </c>
      <c r="U263">
        <v>25</v>
      </c>
      <c r="V263">
        <v>0</v>
      </c>
      <c r="W263">
        <v>0</v>
      </c>
      <c r="X263">
        <v>0</v>
      </c>
    </row>
    <row r="264" spans="1:24" x14ac:dyDescent="0.25">
      <c r="A264" t="s">
        <v>15</v>
      </c>
      <c r="B264" t="s">
        <v>24</v>
      </c>
      <c r="C264">
        <v>20150316</v>
      </c>
      <c r="D264">
        <v>0</v>
      </c>
      <c r="F264">
        <v>62500</v>
      </c>
      <c r="G264" t="s">
        <v>17</v>
      </c>
      <c r="I264" t="s">
        <v>16</v>
      </c>
      <c r="J264" t="s">
        <v>181</v>
      </c>
      <c r="K264" t="s">
        <v>25</v>
      </c>
      <c r="L264">
        <v>132757294</v>
      </c>
      <c r="R264">
        <v>1325</v>
      </c>
      <c r="S264" t="s">
        <v>196</v>
      </c>
      <c r="T264">
        <v>0</v>
      </c>
      <c r="U264">
        <v>25</v>
      </c>
      <c r="V264">
        <v>0</v>
      </c>
      <c r="W264">
        <v>0</v>
      </c>
      <c r="X264">
        <v>0</v>
      </c>
    </row>
    <row r="265" spans="1:24" x14ac:dyDescent="0.25">
      <c r="A265" t="s">
        <v>15</v>
      </c>
      <c r="B265" t="s">
        <v>24</v>
      </c>
      <c r="C265">
        <v>20150316</v>
      </c>
      <c r="D265">
        <v>0</v>
      </c>
      <c r="F265">
        <v>62500</v>
      </c>
      <c r="G265" t="s">
        <v>17</v>
      </c>
      <c r="I265" t="s">
        <v>16</v>
      </c>
      <c r="J265" t="s">
        <v>181</v>
      </c>
      <c r="K265" t="s">
        <v>25</v>
      </c>
      <c r="L265">
        <v>132757294</v>
      </c>
      <c r="R265">
        <v>1325</v>
      </c>
      <c r="S265" t="s">
        <v>201</v>
      </c>
      <c r="T265">
        <v>0</v>
      </c>
      <c r="U265">
        <v>25</v>
      </c>
      <c r="V265">
        <v>0</v>
      </c>
      <c r="W265">
        <v>0</v>
      </c>
      <c r="X265">
        <v>0</v>
      </c>
    </row>
    <row r="266" spans="1:24" x14ac:dyDescent="0.25">
      <c r="A266" t="s">
        <v>15</v>
      </c>
      <c r="B266" t="s">
        <v>24</v>
      </c>
      <c r="C266">
        <v>20150316</v>
      </c>
      <c r="D266">
        <v>0</v>
      </c>
      <c r="F266">
        <v>62500</v>
      </c>
      <c r="G266" t="s">
        <v>17</v>
      </c>
      <c r="I266" t="s">
        <v>16</v>
      </c>
      <c r="J266" t="s">
        <v>181</v>
      </c>
      <c r="K266" t="s">
        <v>25</v>
      </c>
      <c r="L266">
        <v>132757294</v>
      </c>
      <c r="R266">
        <v>1327</v>
      </c>
      <c r="S266" t="s">
        <v>214</v>
      </c>
      <c r="T266">
        <v>0</v>
      </c>
      <c r="U266">
        <v>25</v>
      </c>
      <c r="V266">
        <v>0</v>
      </c>
      <c r="W266">
        <v>0</v>
      </c>
      <c r="X266">
        <v>0</v>
      </c>
    </row>
    <row r="267" spans="1:24" x14ac:dyDescent="0.25">
      <c r="A267" t="s">
        <v>15</v>
      </c>
      <c r="B267" t="s">
        <v>24</v>
      </c>
      <c r="C267">
        <v>20150316</v>
      </c>
      <c r="D267">
        <v>0</v>
      </c>
      <c r="F267">
        <v>62500</v>
      </c>
      <c r="G267" t="s">
        <v>17</v>
      </c>
      <c r="I267" t="s">
        <v>16</v>
      </c>
      <c r="J267" t="s">
        <v>181</v>
      </c>
      <c r="K267" t="s">
        <v>25</v>
      </c>
      <c r="L267">
        <v>132757294</v>
      </c>
      <c r="R267">
        <v>1327</v>
      </c>
      <c r="S267" t="s">
        <v>194</v>
      </c>
      <c r="T267">
        <v>0</v>
      </c>
      <c r="U267">
        <v>25</v>
      </c>
      <c r="V267">
        <v>0</v>
      </c>
      <c r="W267">
        <v>0</v>
      </c>
      <c r="X267">
        <v>0</v>
      </c>
    </row>
    <row r="268" spans="1:24" x14ac:dyDescent="0.25">
      <c r="A268" t="s">
        <v>15</v>
      </c>
      <c r="B268" t="s">
        <v>24</v>
      </c>
      <c r="C268">
        <v>20150316</v>
      </c>
      <c r="D268">
        <v>0</v>
      </c>
      <c r="F268">
        <v>62500</v>
      </c>
      <c r="G268" t="s">
        <v>17</v>
      </c>
      <c r="I268" t="s">
        <v>16</v>
      </c>
      <c r="J268" t="s">
        <v>181</v>
      </c>
      <c r="K268" t="s">
        <v>25</v>
      </c>
      <c r="L268">
        <v>132757294</v>
      </c>
      <c r="R268">
        <v>1326</v>
      </c>
      <c r="S268" t="s">
        <v>196</v>
      </c>
      <c r="T268">
        <v>0</v>
      </c>
      <c r="U268">
        <v>25</v>
      </c>
      <c r="V268">
        <v>0</v>
      </c>
      <c r="W268">
        <v>0</v>
      </c>
      <c r="X268">
        <v>0</v>
      </c>
    </row>
    <row r="269" spans="1:24" x14ac:dyDescent="0.25">
      <c r="A269" t="s">
        <v>15</v>
      </c>
      <c r="B269" t="s">
        <v>24</v>
      </c>
      <c r="C269">
        <v>20150316</v>
      </c>
      <c r="D269">
        <v>0</v>
      </c>
      <c r="F269">
        <v>62500</v>
      </c>
      <c r="G269" t="s">
        <v>17</v>
      </c>
      <c r="I269" t="s">
        <v>16</v>
      </c>
      <c r="J269" t="s">
        <v>181</v>
      </c>
      <c r="K269" t="s">
        <v>25</v>
      </c>
      <c r="L269">
        <v>132757294</v>
      </c>
      <c r="R269">
        <v>1326</v>
      </c>
      <c r="S269" t="s">
        <v>201</v>
      </c>
      <c r="T269">
        <v>0</v>
      </c>
      <c r="U269">
        <v>25</v>
      </c>
      <c r="V269">
        <v>0</v>
      </c>
      <c r="W269">
        <v>0</v>
      </c>
      <c r="X269">
        <v>0</v>
      </c>
    </row>
    <row r="270" spans="1:24" x14ac:dyDescent="0.25">
      <c r="A270" t="s">
        <v>15</v>
      </c>
      <c r="B270" t="s">
        <v>24</v>
      </c>
      <c r="C270">
        <v>20150316</v>
      </c>
      <c r="D270">
        <v>0</v>
      </c>
      <c r="F270">
        <v>62500</v>
      </c>
      <c r="G270" t="s">
        <v>17</v>
      </c>
      <c r="I270" t="s">
        <v>16</v>
      </c>
      <c r="J270" t="s">
        <v>181</v>
      </c>
      <c r="K270" t="s">
        <v>25</v>
      </c>
      <c r="L270">
        <v>132757294</v>
      </c>
      <c r="R270">
        <v>1327</v>
      </c>
      <c r="S270" t="s">
        <v>194</v>
      </c>
      <c r="T270">
        <v>0</v>
      </c>
      <c r="U270">
        <v>25</v>
      </c>
      <c r="V270">
        <v>0</v>
      </c>
      <c r="W270">
        <v>0</v>
      </c>
      <c r="X270">
        <v>0</v>
      </c>
    </row>
    <row r="271" spans="1:24" x14ac:dyDescent="0.25">
      <c r="A271" t="s">
        <v>15</v>
      </c>
      <c r="B271" t="s">
        <v>24</v>
      </c>
      <c r="C271">
        <v>20150316</v>
      </c>
      <c r="D271">
        <v>0</v>
      </c>
      <c r="F271">
        <v>62500</v>
      </c>
      <c r="G271" t="s">
        <v>17</v>
      </c>
      <c r="I271" t="s">
        <v>16</v>
      </c>
      <c r="J271" t="s">
        <v>181</v>
      </c>
      <c r="K271" t="s">
        <v>25</v>
      </c>
      <c r="L271">
        <v>132757294</v>
      </c>
      <c r="R271">
        <v>1327</v>
      </c>
      <c r="S271" t="s">
        <v>194</v>
      </c>
      <c r="T271">
        <v>0</v>
      </c>
      <c r="U271">
        <v>25</v>
      </c>
      <c r="V271">
        <v>0</v>
      </c>
      <c r="W271">
        <v>0</v>
      </c>
      <c r="X271">
        <v>0</v>
      </c>
    </row>
    <row r="272" spans="1:24" x14ac:dyDescent="0.25">
      <c r="A272" t="s">
        <v>15</v>
      </c>
      <c r="B272" t="s">
        <v>24</v>
      </c>
      <c r="C272">
        <v>20150316</v>
      </c>
      <c r="D272">
        <v>0</v>
      </c>
      <c r="F272">
        <v>62500</v>
      </c>
      <c r="G272" t="s">
        <v>17</v>
      </c>
      <c r="I272" t="s">
        <v>16</v>
      </c>
      <c r="J272" t="s">
        <v>181</v>
      </c>
      <c r="K272" t="s">
        <v>25</v>
      </c>
      <c r="L272">
        <v>132757294</v>
      </c>
      <c r="R272">
        <v>1328</v>
      </c>
      <c r="S272" t="s">
        <v>214</v>
      </c>
      <c r="T272">
        <v>0</v>
      </c>
      <c r="U272">
        <v>-24</v>
      </c>
      <c r="V272">
        <v>0</v>
      </c>
      <c r="W272">
        <v>0</v>
      </c>
      <c r="X272">
        <v>0</v>
      </c>
    </row>
    <row r="273" spans="1:24" x14ac:dyDescent="0.25">
      <c r="A273" t="s">
        <v>15</v>
      </c>
      <c r="B273" t="s">
        <v>24</v>
      </c>
      <c r="C273">
        <v>20150316</v>
      </c>
      <c r="D273">
        <v>0</v>
      </c>
      <c r="F273">
        <v>62500</v>
      </c>
      <c r="G273" t="s">
        <v>17</v>
      </c>
      <c r="I273" t="s">
        <v>16</v>
      </c>
      <c r="J273" t="s">
        <v>181</v>
      </c>
      <c r="K273" t="s">
        <v>25</v>
      </c>
      <c r="L273">
        <v>132757294</v>
      </c>
      <c r="R273">
        <v>1328</v>
      </c>
      <c r="S273" t="s">
        <v>214</v>
      </c>
      <c r="T273">
        <v>0</v>
      </c>
      <c r="U273">
        <v>-24</v>
      </c>
      <c r="V273">
        <v>0</v>
      </c>
      <c r="W273">
        <v>0</v>
      </c>
      <c r="X273">
        <v>0</v>
      </c>
    </row>
    <row r="274" spans="1:24" x14ac:dyDescent="0.25">
      <c r="A274" t="s">
        <v>15</v>
      </c>
      <c r="B274" t="s">
        <v>24</v>
      </c>
      <c r="C274">
        <v>20150316</v>
      </c>
      <c r="D274">
        <v>0</v>
      </c>
      <c r="F274">
        <v>62500</v>
      </c>
      <c r="G274" t="s">
        <v>17</v>
      </c>
      <c r="I274" t="s">
        <v>16</v>
      </c>
      <c r="J274" t="s">
        <v>181</v>
      </c>
      <c r="K274" t="s">
        <v>25</v>
      </c>
      <c r="L274">
        <v>132757294</v>
      </c>
      <c r="R274">
        <v>1328</v>
      </c>
      <c r="S274" t="s">
        <v>194</v>
      </c>
      <c r="T274">
        <v>0</v>
      </c>
      <c r="U274">
        <v>24</v>
      </c>
      <c r="V274">
        <v>0</v>
      </c>
      <c r="W274">
        <v>0</v>
      </c>
      <c r="X274">
        <v>0</v>
      </c>
    </row>
    <row r="275" spans="1:24" x14ac:dyDescent="0.25">
      <c r="A275" t="s">
        <v>15</v>
      </c>
      <c r="B275" t="s">
        <v>24</v>
      </c>
      <c r="C275">
        <v>20150316</v>
      </c>
      <c r="D275">
        <v>0</v>
      </c>
      <c r="F275">
        <v>62500</v>
      </c>
      <c r="G275" t="s">
        <v>17</v>
      </c>
      <c r="I275" t="s">
        <v>16</v>
      </c>
      <c r="J275" t="s">
        <v>181</v>
      </c>
      <c r="K275" t="s">
        <v>25</v>
      </c>
      <c r="L275">
        <v>132757294</v>
      </c>
      <c r="R275">
        <v>1328</v>
      </c>
      <c r="S275" t="s">
        <v>194</v>
      </c>
      <c r="T275">
        <v>0</v>
      </c>
      <c r="U275">
        <v>24</v>
      </c>
      <c r="V275">
        <v>0</v>
      </c>
      <c r="W275">
        <v>0</v>
      </c>
      <c r="X275">
        <v>0</v>
      </c>
    </row>
    <row r="276" spans="1:24" x14ac:dyDescent="0.25">
      <c r="A276" t="s">
        <v>15</v>
      </c>
      <c r="B276" t="s">
        <v>24</v>
      </c>
      <c r="C276">
        <v>20150316</v>
      </c>
      <c r="D276">
        <v>0</v>
      </c>
      <c r="F276">
        <v>62500</v>
      </c>
      <c r="G276" t="s">
        <v>17</v>
      </c>
      <c r="I276" t="s">
        <v>16</v>
      </c>
      <c r="J276" t="s">
        <v>181</v>
      </c>
      <c r="K276" t="s">
        <v>25</v>
      </c>
      <c r="L276">
        <v>132757294</v>
      </c>
      <c r="R276">
        <v>1328</v>
      </c>
      <c r="S276" t="s">
        <v>194</v>
      </c>
      <c r="T276">
        <v>0</v>
      </c>
      <c r="U276">
        <v>24</v>
      </c>
      <c r="V276">
        <v>0</v>
      </c>
      <c r="W276">
        <v>0</v>
      </c>
      <c r="X276">
        <v>0</v>
      </c>
    </row>
    <row r="277" spans="1:24" x14ac:dyDescent="0.25">
      <c r="A277" t="s">
        <v>15</v>
      </c>
      <c r="B277" t="s">
        <v>24</v>
      </c>
      <c r="C277">
        <v>20150316</v>
      </c>
      <c r="D277">
        <v>0</v>
      </c>
      <c r="F277">
        <v>62500</v>
      </c>
      <c r="G277" t="s">
        <v>17</v>
      </c>
      <c r="I277" t="s">
        <v>16</v>
      </c>
      <c r="J277" t="s">
        <v>181</v>
      </c>
      <c r="K277" t="s">
        <v>25</v>
      </c>
      <c r="L277">
        <v>132757294</v>
      </c>
      <c r="R277">
        <v>1329</v>
      </c>
      <c r="S277" t="s">
        <v>214</v>
      </c>
      <c r="T277">
        <v>0</v>
      </c>
      <c r="U277">
        <v>22</v>
      </c>
      <c r="V277">
        <v>0</v>
      </c>
      <c r="W277">
        <v>0</v>
      </c>
      <c r="X277">
        <v>0</v>
      </c>
    </row>
    <row r="278" spans="1:24" x14ac:dyDescent="0.25">
      <c r="A278" t="s">
        <v>15</v>
      </c>
      <c r="B278" t="s">
        <v>24</v>
      </c>
      <c r="C278">
        <v>20150316</v>
      </c>
      <c r="D278">
        <v>0</v>
      </c>
      <c r="F278">
        <v>62500</v>
      </c>
      <c r="G278" t="s">
        <v>17</v>
      </c>
      <c r="I278" t="s">
        <v>16</v>
      </c>
      <c r="J278" t="s">
        <v>181</v>
      </c>
      <c r="K278" t="s">
        <v>25</v>
      </c>
      <c r="L278">
        <v>132757294</v>
      </c>
      <c r="R278">
        <v>1327</v>
      </c>
      <c r="S278" t="s">
        <v>196</v>
      </c>
      <c r="T278">
        <v>0</v>
      </c>
      <c r="U278">
        <v>25</v>
      </c>
      <c r="V278">
        <v>0</v>
      </c>
      <c r="W278">
        <v>0</v>
      </c>
      <c r="X278">
        <v>0</v>
      </c>
    </row>
    <row r="279" spans="1:24" x14ac:dyDescent="0.25">
      <c r="A279" t="s">
        <v>15</v>
      </c>
      <c r="B279" t="s">
        <v>24</v>
      </c>
      <c r="C279">
        <v>20150316</v>
      </c>
      <c r="D279">
        <v>0</v>
      </c>
      <c r="F279">
        <v>62500</v>
      </c>
      <c r="G279" t="s">
        <v>17</v>
      </c>
      <c r="I279" t="s">
        <v>16</v>
      </c>
      <c r="J279" t="s">
        <v>181</v>
      </c>
      <c r="K279" t="s">
        <v>25</v>
      </c>
      <c r="L279">
        <v>132757294</v>
      </c>
      <c r="R279">
        <v>1327</v>
      </c>
      <c r="S279" t="s">
        <v>201</v>
      </c>
      <c r="T279">
        <v>0</v>
      </c>
      <c r="U279">
        <v>25</v>
      </c>
      <c r="V279">
        <v>0</v>
      </c>
      <c r="W279">
        <v>0</v>
      </c>
      <c r="X279">
        <v>0</v>
      </c>
    </row>
    <row r="280" spans="1:24" x14ac:dyDescent="0.25">
      <c r="A280" t="s">
        <v>15</v>
      </c>
      <c r="B280" t="s">
        <v>24</v>
      </c>
      <c r="C280">
        <v>20150316</v>
      </c>
      <c r="D280">
        <v>0</v>
      </c>
      <c r="F280">
        <v>62500</v>
      </c>
      <c r="G280" t="s">
        <v>17</v>
      </c>
      <c r="I280" t="s">
        <v>16</v>
      </c>
      <c r="J280" t="s">
        <v>181</v>
      </c>
      <c r="K280" t="s">
        <v>25</v>
      </c>
      <c r="L280">
        <v>132757294</v>
      </c>
      <c r="R280">
        <v>1329</v>
      </c>
      <c r="S280" t="s">
        <v>214</v>
      </c>
      <c r="T280">
        <v>0</v>
      </c>
      <c r="U280">
        <v>22</v>
      </c>
      <c r="V280">
        <v>0</v>
      </c>
      <c r="W280">
        <v>0</v>
      </c>
      <c r="X280">
        <v>0</v>
      </c>
    </row>
    <row r="281" spans="1:24" x14ac:dyDescent="0.25">
      <c r="A281" t="s">
        <v>15</v>
      </c>
      <c r="B281" t="s">
        <v>24</v>
      </c>
      <c r="C281">
        <v>20150316</v>
      </c>
      <c r="D281">
        <v>0</v>
      </c>
      <c r="F281">
        <v>62500</v>
      </c>
      <c r="G281" t="s">
        <v>17</v>
      </c>
      <c r="I281" t="s">
        <v>16</v>
      </c>
      <c r="J281" t="s">
        <v>181</v>
      </c>
      <c r="K281" t="s">
        <v>25</v>
      </c>
      <c r="L281">
        <v>132757294</v>
      </c>
      <c r="R281">
        <v>1329</v>
      </c>
      <c r="S281" t="s">
        <v>194</v>
      </c>
      <c r="T281">
        <v>0</v>
      </c>
      <c r="U281">
        <v>22</v>
      </c>
      <c r="V281">
        <v>0</v>
      </c>
      <c r="W281">
        <v>0</v>
      </c>
      <c r="X281">
        <v>0</v>
      </c>
    </row>
    <row r="282" spans="1:24" x14ac:dyDescent="0.25">
      <c r="A282" t="s">
        <v>15</v>
      </c>
      <c r="B282" t="s">
        <v>24</v>
      </c>
      <c r="C282">
        <v>20150316</v>
      </c>
      <c r="D282">
        <v>0</v>
      </c>
      <c r="F282">
        <v>62500</v>
      </c>
      <c r="G282" t="s">
        <v>17</v>
      </c>
      <c r="I282" t="s">
        <v>16</v>
      </c>
      <c r="J282" t="s">
        <v>181</v>
      </c>
      <c r="K282" t="s">
        <v>25</v>
      </c>
      <c r="L282">
        <v>132757294</v>
      </c>
      <c r="R282">
        <v>1329</v>
      </c>
      <c r="S282" t="s">
        <v>194</v>
      </c>
      <c r="T282">
        <v>0</v>
      </c>
      <c r="U282">
        <v>22</v>
      </c>
      <c r="V282">
        <v>0</v>
      </c>
      <c r="W282">
        <v>0</v>
      </c>
      <c r="X282">
        <v>0</v>
      </c>
    </row>
    <row r="283" spans="1:24" x14ac:dyDescent="0.25">
      <c r="A283" t="s">
        <v>15</v>
      </c>
      <c r="B283" t="s">
        <v>24</v>
      </c>
      <c r="C283">
        <v>20150316</v>
      </c>
      <c r="D283">
        <v>0</v>
      </c>
      <c r="F283">
        <v>62500</v>
      </c>
      <c r="G283" t="s">
        <v>17</v>
      </c>
      <c r="I283" t="s">
        <v>16</v>
      </c>
      <c r="J283" t="s">
        <v>181</v>
      </c>
      <c r="K283" t="s">
        <v>25</v>
      </c>
      <c r="L283">
        <v>132757294</v>
      </c>
      <c r="R283">
        <v>1329</v>
      </c>
      <c r="S283" t="s">
        <v>194</v>
      </c>
      <c r="T283">
        <v>0</v>
      </c>
      <c r="U283">
        <v>22</v>
      </c>
      <c r="V283">
        <v>0</v>
      </c>
      <c r="W283">
        <v>0</v>
      </c>
      <c r="X283">
        <v>0</v>
      </c>
    </row>
    <row r="284" spans="1:24" x14ac:dyDescent="0.25">
      <c r="A284" t="s">
        <v>15</v>
      </c>
      <c r="B284" t="s">
        <v>24</v>
      </c>
      <c r="C284">
        <v>20150316</v>
      </c>
      <c r="D284">
        <v>0</v>
      </c>
      <c r="F284">
        <v>62500</v>
      </c>
      <c r="G284" t="s">
        <v>17</v>
      </c>
      <c r="I284" t="s">
        <v>16</v>
      </c>
      <c r="J284" t="s">
        <v>181</v>
      </c>
      <c r="K284" t="s">
        <v>25</v>
      </c>
      <c r="L284">
        <v>132757294</v>
      </c>
      <c r="R284">
        <v>1330</v>
      </c>
      <c r="S284" t="s">
        <v>214</v>
      </c>
      <c r="T284">
        <v>0</v>
      </c>
      <c r="U284">
        <v>26</v>
      </c>
      <c r="V284">
        <v>0</v>
      </c>
      <c r="W284">
        <v>0</v>
      </c>
      <c r="X284">
        <v>0</v>
      </c>
    </row>
    <row r="285" spans="1:24" x14ac:dyDescent="0.25">
      <c r="A285" t="s">
        <v>15</v>
      </c>
      <c r="B285" t="s">
        <v>24</v>
      </c>
      <c r="C285">
        <v>20150316</v>
      </c>
      <c r="D285">
        <v>0</v>
      </c>
      <c r="F285">
        <v>62500</v>
      </c>
      <c r="G285" t="s">
        <v>17</v>
      </c>
      <c r="I285" t="s">
        <v>16</v>
      </c>
      <c r="J285" t="s">
        <v>181</v>
      </c>
      <c r="K285" t="s">
        <v>25</v>
      </c>
      <c r="L285">
        <v>132757294</v>
      </c>
      <c r="R285">
        <v>1329</v>
      </c>
      <c r="S285" t="s">
        <v>196</v>
      </c>
      <c r="T285">
        <v>0</v>
      </c>
      <c r="U285">
        <v>22</v>
      </c>
      <c r="V285">
        <v>0</v>
      </c>
      <c r="W285">
        <v>0</v>
      </c>
      <c r="X285">
        <v>0</v>
      </c>
    </row>
    <row r="286" spans="1:24" x14ac:dyDescent="0.25">
      <c r="A286" t="s">
        <v>15</v>
      </c>
      <c r="B286" t="s">
        <v>24</v>
      </c>
      <c r="C286">
        <v>20150316</v>
      </c>
      <c r="D286">
        <v>0</v>
      </c>
      <c r="F286">
        <v>62500</v>
      </c>
      <c r="G286" t="s">
        <v>17</v>
      </c>
      <c r="I286" t="s">
        <v>16</v>
      </c>
      <c r="J286" t="s">
        <v>181</v>
      </c>
      <c r="K286" t="s">
        <v>25</v>
      </c>
      <c r="L286">
        <v>132757294</v>
      </c>
      <c r="R286">
        <v>1329</v>
      </c>
      <c r="S286" t="s">
        <v>201</v>
      </c>
      <c r="T286">
        <v>0</v>
      </c>
      <c r="U286">
        <v>22</v>
      </c>
      <c r="V286">
        <v>0</v>
      </c>
      <c r="W286">
        <v>0</v>
      </c>
      <c r="X286">
        <v>0</v>
      </c>
    </row>
    <row r="287" spans="1:24" x14ac:dyDescent="0.25">
      <c r="A287" t="s">
        <v>15</v>
      </c>
      <c r="B287" t="s">
        <v>24</v>
      </c>
      <c r="C287">
        <v>20150316</v>
      </c>
      <c r="D287">
        <v>0</v>
      </c>
      <c r="F287">
        <v>62500</v>
      </c>
      <c r="G287" t="s">
        <v>17</v>
      </c>
      <c r="I287" t="s">
        <v>16</v>
      </c>
      <c r="J287" t="s">
        <v>181</v>
      </c>
      <c r="K287" t="s">
        <v>25</v>
      </c>
      <c r="L287">
        <v>132757294</v>
      </c>
      <c r="R287">
        <v>1330</v>
      </c>
      <c r="S287" t="s">
        <v>214</v>
      </c>
      <c r="T287">
        <v>0</v>
      </c>
      <c r="U287">
        <v>26</v>
      </c>
      <c r="V287">
        <v>0</v>
      </c>
      <c r="W287">
        <v>0</v>
      </c>
      <c r="X287">
        <v>0</v>
      </c>
    </row>
    <row r="288" spans="1:24" x14ac:dyDescent="0.25">
      <c r="A288" t="s">
        <v>15</v>
      </c>
      <c r="B288" t="s">
        <v>24</v>
      </c>
      <c r="C288">
        <v>20150316</v>
      </c>
      <c r="D288">
        <v>0</v>
      </c>
      <c r="F288">
        <v>62500</v>
      </c>
      <c r="G288" t="s">
        <v>17</v>
      </c>
      <c r="I288" t="s">
        <v>16</v>
      </c>
      <c r="J288" t="s">
        <v>181</v>
      </c>
      <c r="K288" t="s">
        <v>25</v>
      </c>
      <c r="L288">
        <v>132757294</v>
      </c>
      <c r="R288">
        <v>1330</v>
      </c>
      <c r="S288" t="s">
        <v>194</v>
      </c>
      <c r="T288">
        <v>0</v>
      </c>
      <c r="U288">
        <v>26</v>
      </c>
      <c r="V288">
        <v>0</v>
      </c>
      <c r="W288">
        <v>0</v>
      </c>
      <c r="X288">
        <v>0</v>
      </c>
    </row>
    <row r="289" spans="1:24" x14ac:dyDescent="0.25">
      <c r="A289" t="s">
        <v>15</v>
      </c>
      <c r="B289" t="s">
        <v>24</v>
      </c>
      <c r="C289">
        <v>20150316</v>
      </c>
      <c r="D289">
        <v>0</v>
      </c>
      <c r="F289">
        <v>62500</v>
      </c>
      <c r="G289" t="s">
        <v>17</v>
      </c>
      <c r="I289" t="s">
        <v>16</v>
      </c>
      <c r="J289" t="s">
        <v>181</v>
      </c>
      <c r="K289" t="s">
        <v>25</v>
      </c>
      <c r="L289">
        <v>132757294</v>
      </c>
      <c r="R289">
        <v>1330</v>
      </c>
      <c r="S289" t="s">
        <v>194</v>
      </c>
      <c r="T289">
        <v>0</v>
      </c>
      <c r="U289">
        <v>26</v>
      </c>
      <c r="V289">
        <v>0</v>
      </c>
      <c r="W289">
        <v>0</v>
      </c>
      <c r="X289">
        <v>0</v>
      </c>
    </row>
    <row r="290" spans="1:24" x14ac:dyDescent="0.25">
      <c r="A290" t="s">
        <v>15</v>
      </c>
      <c r="B290" t="s">
        <v>24</v>
      </c>
      <c r="C290">
        <v>20150316</v>
      </c>
      <c r="D290">
        <v>0</v>
      </c>
      <c r="F290">
        <v>62500</v>
      </c>
      <c r="G290" t="s">
        <v>17</v>
      </c>
      <c r="I290" t="s">
        <v>16</v>
      </c>
      <c r="J290" t="s">
        <v>181</v>
      </c>
      <c r="K290" t="s">
        <v>25</v>
      </c>
      <c r="L290">
        <v>132757294</v>
      </c>
      <c r="R290">
        <v>1330</v>
      </c>
      <c r="S290" t="s">
        <v>194</v>
      </c>
      <c r="T290">
        <v>0</v>
      </c>
      <c r="U290">
        <v>26</v>
      </c>
      <c r="V290">
        <v>0</v>
      </c>
      <c r="W290">
        <v>0</v>
      </c>
      <c r="X290">
        <v>0</v>
      </c>
    </row>
    <row r="291" spans="1:24" x14ac:dyDescent="0.25">
      <c r="A291" t="s">
        <v>15</v>
      </c>
      <c r="B291" t="s">
        <v>24</v>
      </c>
      <c r="C291">
        <v>20150316</v>
      </c>
      <c r="D291">
        <v>0</v>
      </c>
      <c r="F291">
        <v>62500</v>
      </c>
      <c r="G291" t="s">
        <v>17</v>
      </c>
      <c r="I291" t="s">
        <v>16</v>
      </c>
      <c r="J291" t="s">
        <v>181</v>
      </c>
      <c r="K291" t="s">
        <v>25</v>
      </c>
      <c r="L291">
        <v>132757294</v>
      </c>
      <c r="R291">
        <v>1331</v>
      </c>
      <c r="S291" t="s">
        <v>214</v>
      </c>
      <c r="T291">
        <v>0</v>
      </c>
      <c r="U291">
        <v>23</v>
      </c>
      <c r="V291">
        <v>0</v>
      </c>
      <c r="W291">
        <v>0</v>
      </c>
      <c r="X291">
        <v>0</v>
      </c>
    </row>
    <row r="292" spans="1:24" x14ac:dyDescent="0.25">
      <c r="A292" t="s">
        <v>15</v>
      </c>
      <c r="B292" t="s">
        <v>24</v>
      </c>
      <c r="C292">
        <v>20150316</v>
      </c>
      <c r="D292">
        <v>0</v>
      </c>
      <c r="F292">
        <v>62500</v>
      </c>
      <c r="G292" t="s">
        <v>17</v>
      </c>
      <c r="I292" t="s">
        <v>16</v>
      </c>
      <c r="J292" t="s">
        <v>181</v>
      </c>
      <c r="K292" t="s">
        <v>25</v>
      </c>
      <c r="L292">
        <v>132757294</v>
      </c>
      <c r="R292">
        <v>1330</v>
      </c>
      <c r="S292" t="s">
        <v>196</v>
      </c>
      <c r="T292">
        <v>0</v>
      </c>
      <c r="U292">
        <v>26</v>
      </c>
      <c r="V292">
        <v>0</v>
      </c>
      <c r="W292">
        <v>0</v>
      </c>
      <c r="X292">
        <v>0</v>
      </c>
    </row>
    <row r="293" spans="1:24" x14ac:dyDescent="0.25">
      <c r="A293" t="s">
        <v>15</v>
      </c>
      <c r="B293" t="s">
        <v>24</v>
      </c>
      <c r="C293">
        <v>20150316</v>
      </c>
      <c r="D293">
        <v>0</v>
      </c>
      <c r="F293">
        <v>62500</v>
      </c>
      <c r="G293" t="s">
        <v>17</v>
      </c>
      <c r="I293" t="s">
        <v>16</v>
      </c>
      <c r="J293" t="s">
        <v>181</v>
      </c>
      <c r="K293" t="s">
        <v>25</v>
      </c>
      <c r="L293">
        <v>132757294</v>
      </c>
      <c r="R293">
        <v>1330</v>
      </c>
      <c r="S293" t="s">
        <v>201</v>
      </c>
      <c r="T293">
        <v>0</v>
      </c>
      <c r="U293">
        <v>26</v>
      </c>
      <c r="V293">
        <v>0</v>
      </c>
      <c r="W293">
        <v>0</v>
      </c>
      <c r="X293">
        <v>0</v>
      </c>
    </row>
    <row r="294" spans="1:24" x14ac:dyDescent="0.25">
      <c r="A294" t="s">
        <v>15</v>
      </c>
      <c r="B294" t="s">
        <v>24</v>
      </c>
      <c r="C294">
        <v>20150316</v>
      </c>
      <c r="D294">
        <v>0</v>
      </c>
      <c r="F294">
        <v>62500</v>
      </c>
      <c r="G294" t="s">
        <v>17</v>
      </c>
      <c r="I294" t="s">
        <v>16</v>
      </c>
      <c r="J294" t="s">
        <v>181</v>
      </c>
      <c r="K294" t="s">
        <v>25</v>
      </c>
      <c r="L294">
        <v>132757294</v>
      </c>
      <c r="R294">
        <v>1331</v>
      </c>
      <c r="S294" t="s">
        <v>214</v>
      </c>
      <c r="T294">
        <v>0</v>
      </c>
      <c r="U294">
        <v>23</v>
      </c>
      <c r="V294">
        <v>0</v>
      </c>
      <c r="W294">
        <v>0</v>
      </c>
      <c r="X294">
        <v>0</v>
      </c>
    </row>
    <row r="295" spans="1:24" x14ac:dyDescent="0.25">
      <c r="A295" t="s">
        <v>15</v>
      </c>
      <c r="B295" t="s">
        <v>24</v>
      </c>
      <c r="C295">
        <v>20150316</v>
      </c>
      <c r="D295">
        <v>0</v>
      </c>
      <c r="F295">
        <v>62500</v>
      </c>
      <c r="G295" t="s">
        <v>17</v>
      </c>
      <c r="I295" t="s">
        <v>16</v>
      </c>
      <c r="J295" t="s">
        <v>181</v>
      </c>
      <c r="K295" t="s">
        <v>25</v>
      </c>
      <c r="L295">
        <v>132757294</v>
      </c>
      <c r="R295">
        <v>1331</v>
      </c>
      <c r="S295" t="s">
        <v>194</v>
      </c>
      <c r="T295">
        <v>0</v>
      </c>
      <c r="U295">
        <v>23</v>
      </c>
      <c r="V295">
        <v>0</v>
      </c>
      <c r="W295">
        <v>0</v>
      </c>
      <c r="X295">
        <v>0</v>
      </c>
    </row>
    <row r="296" spans="1:24" x14ac:dyDescent="0.25">
      <c r="A296" t="s">
        <v>15</v>
      </c>
      <c r="B296" t="s">
        <v>24</v>
      </c>
      <c r="C296">
        <v>20150316</v>
      </c>
      <c r="D296">
        <v>0</v>
      </c>
      <c r="F296">
        <v>62500</v>
      </c>
      <c r="G296" t="s">
        <v>17</v>
      </c>
      <c r="I296" t="s">
        <v>16</v>
      </c>
      <c r="J296" t="s">
        <v>181</v>
      </c>
      <c r="K296" t="s">
        <v>25</v>
      </c>
      <c r="L296">
        <v>132757294</v>
      </c>
      <c r="R296">
        <v>1331</v>
      </c>
      <c r="S296" t="s">
        <v>194</v>
      </c>
      <c r="T296">
        <v>0</v>
      </c>
      <c r="U296">
        <v>23</v>
      </c>
      <c r="V296">
        <v>0</v>
      </c>
      <c r="W296">
        <v>0</v>
      </c>
      <c r="X296">
        <v>0</v>
      </c>
    </row>
    <row r="297" spans="1:24" x14ac:dyDescent="0.25">
      <c r="A297" t="s">
        <v>15</v>
      </c>
      <c r="B297" t="s">
        <v>24</v>
      </c>
      <c r="C297">
        <v>20150316</v>
      </c>
      <c r="D297">
        <v>0</v>
      </c>
      <c r="F297">
        <v>62500</v>
      </c>
      <c r="G297" t="s">
        <v>17</v>
      </c>
      <c r="I297" t="s">
        <v>16</v>
      </c>
      <c r="J297" t="s">
        <v>181</v>
      </c>
      <c r="K297" t="s">
        <v>25</v>
      </c>
      <c r="L297">
        <v>132757294</v>
      </c>
      <c r="R297">
        <v>1331</v>
      </c>
      <c r="S297" t="s">
        <v>194</v>
      </c>
      <c r="T297">
        <v>0</v>
      </c>
      <c r="U297">
        <v>23</v>
      </c>
      <c r="V297">
        <v>0</v>
      </c>
      <c r="W297">
        <v>0</v>
      </c>
      <c r="X297">
        <v>0</v>
      </c>
    </row>
    <row r="298" spans="1:24" x14ac:dyDescent="0.25">
      <c r="A298" t="s">
        <v>15</v>
      </c>
      <c r="B298" t="s">
        <v>24</v>
      </c>
      <c r="C298">
        <v>20150316</v>
      </c>
      <c r="D298">
        <v>0</v>
      </c>
      <c r="F298">
        <v>62500</v>
      </c>
      <c r="G298" t="s">
        <v>17</v>
      </c>
      <c r="I298" t="s">
        <v>16</v>
      </c>
      <c r="J298" t="s">
        <v>181</v>
      </c>
      <c r="K298" t="s">
        <v>25</v>
      </c>
      <c r="L298">
        <v>132757294</v>
      </c>
      <c r="R298">
        <v>1332</v>
      </c>
      <c r="S298" t="s">
        <v>214</v>
      </c>
      <c r="T298">
        <v>0</v>
      </c>
      <c r="U298">
        <v>26</v>
      </c>
      <c r="V298">
        <v>0</v>
      </c>
      <c r="W298">
        <v>0</v>
      </c>
      <c r="X298">
        <v>0</v>
      </c>
    </row>
    <row r="299" spans="1:24" x14ac:dyDescent="0.25">
      <c r="A299" t="s">
        <v>15</v>
      </c>
      <c r="B299" t="s">
        <v>24</v>
      </c>
      <c r="C299">
        <v>20150316</v>
      </c>
      <c r="D299">
        <v>0</v>
      </c>
      <c r="F299">
        <v>62500</v>
      </c>
      <c r="G299" t="s">
        <v>17</v>
      </c>
      <c r="I299" t="s">
        <v>16</v>
      </c>
      <c r="J299" t="s">
        <v>181</v>
      </c>
      <c r="K299" t="s">
        <v>25</v>
      </c>
      <c r="L299">
        <v>132757294</v>
      </c>
      <c r="R299">
        <v>1331</v>
      </c>
      <c r="S299" t="s">
        <v>196</v>
      </c>
      <c r="T299">
        <v>0</v>
      </c>
      <c r="U299">
        <v>23</v>
      </c>
      <c r="V299">
        <v>0</v>
      </c>
      <c r="W299">
        <v>0</v>
      </c>
      <c r="X299">
        <v>0</v>
      </c>
    </row>
    <row r="300" spans="1:24" x14ac:dyDescent="0.25">
      <c r="A300" t="s">
        <v>15</v>
      </c>
      <c r="B300" t="s">
        <v>24</v>
      </c>
      <c r="C300">
        <v>20150316</v>
      </c>
      <c r="D300">
        <v>0</v>
      </c>
      <c r="F300">
        <v>62500</v>
      </c>
      <c r="G300" t="s">
        <v>17</v>
      </c>
      <c r="I300" t="s">
        <v>16</v>
      </c>
      <c r="J300" t="s">
        <v>181</v>
      </c>
      <c r="K300" t="s">
        <v>25</v>
      </c>
      <c r="L300">
        <v>132757294</v>
      </c>
      <c r="R300">
        <v>1331</v>
      </c>
      <c r="S300" t="s">
        <v>201</v>
      </c>
      <c r="T300">
        <v>0</v>
      </c>
      <c r="U300">
        <v>23</v>
      </c>
      <c r="V300">
        <v>0</v>
      </c>
      <c r="W300">
        <v>0</v>
      </c>
      <c r="X300">
        <v>0</v>
      </c>
    </row>
    <row r="301" spans="1:24" x14ac:dyDescent="0.25">
      <c r="A301" t="s">
        <v>15</v>
      </c>
      <c r="B301" t="s">
        <v>24</v>
      </c>
      <c r="C301">
        <v>20150316</v>
      </c>
      <c r="D301">
        <v>0</v>
      </c>
      <c r="F301">
        <v>62500</v>
      </c>
      <c r="G301" t="s">
        <v>17</v>
      </c>
      <c r="I301" t="s">
        <v>16</v>
      </c>
      <c r="J301" t="s">
        <v>181</v>
      </c>
      <c r="K301" t="s">
        <v>25</v>
      </c>
      <c r="L301">
        <v>132757294</v>
      </c>
      <c r="R301">
        <v>1332</v>
      </c>
      <c r="S301" t="s">
        <v>214</v>
      </c>
      <c r="T301">
        <v>0</v>
      </c>
      <c r="U301">
        <v>26</v>
      </c>
      <c r="V301">
        <v>0</v>
      </c>
      <c r="W301">
        <v>0</v>
      </c>
      <c r="X301">
        <v>0</v>
      </c>
    </row>
    <row r="302" spans="1:24" x14ac:dyDescent="0.25">
      <c r="A302" t="s">
        <v>15</v>
      </c>
      <c r="B302" t="s">
        <v>24</v>
      </c>
      <c r="C302">
        <v>20150316</v>
      </c>
      <c r="D302">
        <v>0</v>
      </c>
      <c r="F302">
        <v>62500</v>
      </c>
      <c r="G302" t="s">
        <v>17</v>
      </c>
      <c r="I302" t="s">
        <v>16</v>
      </c>
      <c r="J302" t="s">
        <v>181</v>
      </c>
      <c r="K302" t="s">
        <v>25</v>
      </c>
      <c r="L302">
        <v>132757294</v>
      </c>
      <c r="R302">
        <v>1332</v>
      </c>
      <c r="S302" t="s">
        <v>194</v>
      </c>
      <c r="T302">
        <v>0</v>
      </c>
      <c r="U302">
        <v>26</v>
      </c>
      <c r="V302">
        <v>0</v>
      </c>
      <c r="W302">
        <v>0</v>
      </c>
      <c r="X302">
        <v>0</v>
      </c>
    </row>
    <row r="303" spans="1:24" x14ac:dyDescent="0.25">
      <c r="A303" t="s">
        <v>15</v>
      </c>
      <c r="B303" t="s">
        <v>24</v>
      </c>
      <c r="C303">
        <v>20150316</v>
      </c>
      <c r="D303">
        <v>0</v>
      </c>
      <c r="F303">
        <v>62500</v>
      </c>
      <c r="G303" t="s">
        <v>17</v>
      </c>
      <c r="I303" t="s">
        <v>16</v>
      </c>
      <c r="J303" t="s">
        <v>181</v>
      </c>
      <c r="K303" t="s">
        <v>25</v>
      </c>
      <c r="L303">
        <v>132757294</v>
      </c>
      <c r="R303">
        <v>1332</v>
      </c>
      <c r="S303" t="s">
        <v>194</v>
      </c>
      <c r="T303">
        <v>0</v>
      </c>
      <c r="U303">
        <v>26</v>
      </c>
      <c r="V303">
        <v>0</v>
      </c>
      <c r="W303">
        <v>0</v>
      </c>
      <c r="X303">
        <v>0</v>
      </c>
    </row>
    <row r="304" spans="1:24" x14ac:dyDescent="0.25">
      <c r="A304" t="s">
        <v>15</v>
      </c>
      <c r="B304" t="s">
        <v>24</v>
      </c>
      <c r="C304">
        <v>20150316</v>
      </c>
      <c r="D304">
        <v>0</v>
      </c>
      <c r="F304">
        <v>62500</v>
      </c>
      <c r="G304" t="s">
        <v>17</v>
      </c>
      <c r="I304" t="s">
        <v>16</v>
      </c>
      <c r="J304" t="s">
        <v>181</v>
      </c>
      <c r="K304" t="s">
        <v>25</v>
      </c>
      <c r="L304">
        <v>132757294</v>
      </c>
      <c r="R304">
        <v>1332</v>
      </c>
      <c r="S304" t="s">
        <v>194</v>
      </c>
      <c r="T304">
        <v>0</v>
      </c>
      <c r="U304">
        <v>26</v>
      </c>
      <c r="V304">
        <v>0</v>
      </c>
      <c r="W304">
        <v>0</v>
      </c>
      <c r="X304">
        <v>0</v>
      </c>
    </row>
    <row r="305" spans="1:24" x14ac:dyDescent="0.25">
      <c r="A305" t="s">
        <v>15</v>
      </c>
      <c r="B305" t="s">
        <v>24</v>
      </c>
      <c r="C305">
        <v>20150316</v>
      </c>
      <c r="D305">
        <v>0</v>
      </c>
      <c r="F305">
        <v>62500</v>
      </c>
      <c r="G305" t="s">
        <v>17</v>
      </c>
      <c r="I305" t="s">
        <v>16</v>
      </c>
      <c r="J305" t="s">
        <v>181</v>
      </c>
      <c r="K305" t="s">
        <v>25</v>
      </c>
      <c r="L305">
        <v>132757294</v>
      </c>
      <c r="R305">
        <v>1333</v>
      </c>
      <c r="S305" t="s">
        <v>214</v>
      </c>
      <c r="T305">
        <v>0</v>
      </c>
      <c r="U305">
        <v>21</v>
      </c>
      <c r="V305">
        <v>0</v>
      </c>
      <c r="W305">
        <v>0</v>
      </c>
      <c r="X305">
        <v>0</v>
      </c>
    </row>
    <row r="306" spans="1:24" x14ac:dyDescent="0.25">
      <c r="A306" t="s">
        <v>15</v>
      </c>
      <c r="B306" t="s">
        <v>24</v>
      </c>
      <c r="C306">
        <v>20150316</v>
      </c>
      <c r="D306">
        <v>0</v>
      </c>
      <c r="F306">
        <v>62500</v>
      </c>
      <c r="G306" t="s">
        <v>17</v>
      </c>
      <c r="I306" t="s">
        <v>16</v>
      </c>
      <c r="J306" t="s">
        <v>181</v>
      </c>
      <c r="K306" t="s">
        <v>25</v>
      </c>
      <c r="L306">
        <v>132757294</v>
      </c>
      <c r="R306">
        <v>1332</v>
      </c>
      <c r="S306" t="s">
        <v>196</v>
      </c>
      <c r="T306">
        <v>0</v>
      </c>
      <c r="U306">
        <v>26</v>
      </c>
      <c r="V306">
        <v>0</v>
      </c>
      <c r="W306">
        <v>0</v>
      </c>
      <c r="X306">
        <v>0</v>
      </c>
    </row>
    <row r="307" spans="1:24" x14ac:dyDescent="0.25">
      <c r="A307" t="s">
        <v>15</v>
      </c>
      <c r="B307" t="s">
        <v>24</v>
      </c>
      <c r="C307">
        <v>20150316</v>
      </c>
      <c r="D307">
        <v>0</v>
      </c>
      <c r="F307">
        <v>62500</v>
      </c>
      <c r="G307" t="s">
        <v>17</v>
      </c>
      <c r="I307" t="s">
        <v>16</v>
      </c>
      <c r="J307" t="s">
        <v>181</v>
      </c>
      <c r="K307" t="s">
        <v>25</v>
      </c>
      <c r="L307">
        <v>132757294</v>
      </c>
      <c r="R307">
        <v>1332</v>
      </c>
      <c r="S307" t="s">
        <v>201</v>
      </c>
      <c r="T307">
        <v>0</v>
      </c>
      <c r="U307">
        <v>26</v>
      </c>
      <c r="V307">
        <v>0</v>
      </c>
      <c r="W307">
        <v>0</v>
      </c>
      <c r="X307">
        <v>0</v>
      </c>
    </row>
    <row r="308" spans="1:24" x14ac:dyDescent="0.25">
      <c r="A308" t="s">
        <v>15</v>
      </c>
      <c r="B308" t="s">
        <v>24</v>
      </c>
      <c r="C308">
        <v>20150316</v>
      </c>
      <c r="D308">
        <v>0</v>
      </c>
      <c r="F308">
        <v>62500</v>
      </c>
      <c r="G308" t="s">
        <v>17</v>
      </c>
      <c r="I308" t="s">
        <v>16</v>
      </c>
      <c r="J308" t="s">
        <v>181</v>
      </c>
      <c r="K308" t="s">
        <v>25</v>
      </c>
      <c r="L308">
        <v>132757294</v>
      </c>
      <c r="R308">
        <v>1333</v>
      </c>
      <c r="S308" t="s">
        <v>214</v>
      </c>
      <c r="T308">
        <v>0</v>
      </c>
      <c r="U308">
        <v>21</v>
      </c>
      <c r="V308">
        <v>0</v>
      </c>
      <c r="W308">
        <v>0</v>
      </c>
      <c r="X308">
        <v>0</v>
      </c>
    </row>
    <row r="309" spans="1:24" x14ac:dyDescent="0.25">
      <c r="A309" t="s">
        <v>15</v>
      </c>
      <c r="B309" t="s">
        <v>24</v>
      </c>
      <c r="C309">
        <v>20150316</v>
      </c>
      <c r="D309">
        <v>0</v>
      </c>
      <c r="F309">
        <v>62500</v>
      </c>
      <c r="G309" t="s">
        <v>17</v>
      </c>
      <c r="I309" t="s">
        <v>16</v>
      </c>
      <c r="J309" t="s">
        <v>181</v>
      </c>
      <c r="K309" t="s">
        <v>25</v>
      </c>
      <c r="L309">
        <v>132757294</v>
      </c>
      <c r="R309">
        <v>1333</v>
      </c>
      <c r="S309" t="s">
        <v>194</v>
      </c>
      <c r="T309">
        <v>0</v>
      </c>
      <c r="U309">
        <v>21</v>
      </c>
      <c r="V309">
        <v>0</v>
      </c>
      <c r="W309">
        <v>0</v>
      </c>
      <c r="X309">
        <v>0</v>
      </c>
    </row>
    <row r="310" spans="1:24" x14ac:dyDescent="0.25">
      <c r="A310" t="s">
        <v>15</v>
      </c>
      <c r="B310" t="s">
        <v>24</v>
      </c>
      <c r="C310">
        <v>20150316</v>
      </c>
      <c r="D310">
        <v>0</v>
      </c>
      <c r="F310">
        <v>62500</v>
      </c>
      <c r="G310" t="s">
        <v>17</v>
      </c>
      <c r="I310" t="s">
        <v>16</v>
      </c>
      <c r="J310" t="s">
        <v>181</v>
      </c>
      <c r="K310" t="s">
        <v>25</v>
      </c>
      <c r="L310">
        <v>132757294</v>
      </c>
      <c r="R310">
        <v>1328</v>
      </c>
      <c r="S310" t="s">
        <v>196</v>
      </c>
      <c r="T310">
        <v>0</v>
      </c>
      <c r="U310">
        <v>24</v>
      </c>
      <c r="V310">
        <v>0</v>
      </c>
      <c r="W310">
        <v>0</v>
      </c>
      <c r="X310">
        <v>0</v>
      </c>
    </row>
    <row r="311" spans="1:24" x14ac:dyDescent="0.25">
      <c r="A311" t="s">
        <v>15</v>
      </c>
      <c r="B311" t="s">
        <v>24</v>
      </c>
      <c r="C311">
        <v>20150316</v>
      </c>
      <c r="D311">
        <v>0</v>
      </c>
      <c r="F311">
        <v>62500</v>
      </c>
      <c r="G311" t="s">
        <v>17</v>
      </c>
      <c r="I311" t="s">
        <v>16</v>
      </c>
      <c r="J311" t="s">
        <v>181</v>
      </c>
      <c r="K311" t="s">
        <v>25</v>
      </c>
      <c r="L311">
        <v>132757294</v>
      </c>
      <c r="R311">
        <v>1328</v>
      </c>
      <c r="S311" t="s">
        <v>201</v>
      </c>
      <c r="T311">
        <v>0</v>
      </c>
      <c r="U311">
        <v>24</v>
      </c>
      <c r="V311">
        <v>0</v>
      </c>
      <c r="W311">
        <v>0</v>
      </c>
      <c r="X311">
        <v>0</v>
      </c>
    </row>
    <row r="312" spans="1:24" x14ac:dyDescent="0.25">
      <c r="A312" t="s">
        <v>15</v>
      </c>
      <c r="B312" t="s">
        <v>24</v>
      </c>
      <c r="C312">
        <v>20150316</v>
      </c>
      <c r="D312">
        <v>0</v>
      </c>
      <c r="F312">
        <v>62500</v>
      </c>
      <c r="G312" t="s">
        <v>17</v>
      </c>
      <c r="I312" t="s">
        <v>16</v>
      </c>
      <c r="J312" t="s">
        <v>181</v>
      </c>
      <c r="K312" t="s">
        <v>25</v>
      </c>
      <c r="L312">
        <v>132757294</v>
      </c>
      <c r="R312">
        <v>1333</v>
      </c>
      <c r="S312" t="s">
        <v>194</v>
      </c>
      <c r="T312">
        <v>0</v>
      </c>
      <c r="U312">
        <v>21</v>
      </c>
      <c r="V312">
        <v>0</v>
      </c>
      <c r="W312">
        <v>0</v>
      </c>
      <c r="X312">
        <v>0</v>
      </c>
    </row>
    <row r="313" spans="1:24" x14ac:dyDescent="0.25">
      <c r="A313" t="s">
        <v>15</v>
      </c>
      <c r="B313" t="s">
        <v>24</v>
      </c>
      <c r="C313">
        <v>20150316</v>
      </c>
      <c r="D313">
        <v>0</v>
      </c>
      <c r="F313">
        <v>62500</v>
      </c>
      <c r="G313" t="s">
        <v>17</v>
      </c>
      <c r="I313" t="s">
        <v>16</v>
      </c>
      <c r="J313" t="s">
        <v>181</v>
      </c>
      <c r="K313" t="s">
        <v>25</v>
      </c>
      <c r="L313">
        <v>132757294</v>
      </c>
      <c r="R313">
        <v>1333</v>
      </c>
      <c r="S313" t="s">
        <v>194</v>
      </c>
      <c r="T313">
        <v>0</v>
      </c>
      <c r="U313">
        <v>21</v>
      </c>
      <c r="V313">
        <v>0</v>
      </c>
      <c r="W313">
        <v>0</v>
      </c>
      <c r="X313">
        <v>0</v>
      </c>
    </row>
    <row r="314" spans="1:24" x14ac:dyDescent="0.25">
      <c r="A314" t="s">
        <v>15</v>
      </c>
      <c r="B314" t="s">
        <v>24</v>
      </c>
      <c r="C314">
        <v>20150316</v>
      </c>
      <c r="D314">
        <v>0</v>
      </c>
      <c r="F314">
        <v>62500</v>
      </c>
      <c r="G314" t="s">
        <v>17</v>
      </c>
      <c r="I314" t="s">
        <v>16</v>
      </c>
      <c r="J314" t="s">
        <v>181</v>
      </c>
      <c r="K314" t="s">
        <v>25</v>
      </c>
      <c r="L314">
        <v>132757294</v>
      </c>
      <c r="R314">
        <v>1334</v>
      </c>
      <c r="S314" t="s">
        <v>214</v>
      </c>
      <c r="T314">
        <v>0</v>
      </c>
      <c r="U314">
        <v>25</v>
      </c>
      <c r="V314">
        <v>0</v>
      </c>
      <c r="W314">
        <v>0</v>
      </c>
      <c r="X314">
        <v>0</v>
      </c>
    </row>
    <row r="315" spans="1:24" x14ac:dyDescent="0.25">
      <c r="A315" t="s">
        <v>15</v>
      </c>
      <c r="B315" t="s">
        <v>24</v>
      </c>
      <c r="C315">
        <v>20150316</v>
      </c>
      <c r="D315">
        <v>0</v>
      </c>
      <c r="F315">
        <v>62500</v>
      </c>
      <c r="G315" t="s">
        <v>17</v>
      </c>
      <c r="I315" t="s">
        <v>16</v>
      </c>
      <c r="J315" t="s">
        <v>181</v>
      </c>
      <c r="K315" t="s">
        <v>25</v>
      </c>
      <c r="L315">
        <v>132757294</v>
      </c>
      <c r="R315">
        <v>1333</v>
      </c>
      <c r="S315" t="s">
        <v>196</v>
      </c>
      <c r="T315">
        <v>0</v>
      </c>
      <c r="U315">
        <v>21</v>
      </c>
      <c r="V315">
        <v>0</v>
      </c>
      <c r="W315">
        <v>0</v>
      </c>
      <c r="X315">
        <v>0</v>
      </c>
    </row>
    <row r="316" spans="1:24" x14ac:dyDescent="0.25">
      <c r="A316" t="s">
        <v>15</v>
      </c>
      <c r="B316" t="s">
        <v>24</v>
      </c>
      <c r="C316">
        <v>20150316</v>
      </c>
      <c r="D316">
        <v>0</v>
      </c>
      <c r="F316">
        <v>62500</v>
      </c>
      <c r="G316" t="s">
        <v>17</v>
      </c>
      <c r="I316" t="s">
        <v>16</v>
      </c>
      <c r="J316" t="s">
        <v>181</v>
      </c>
      <c r="K316" t="s">
        <v>25</v>
      </c>
      <c r="L316">
        <v>132757294</v>
      </c>
      <c r="R316">
        <v>1333</v>
      </c>
      <c r="S316" t="s">
        <v>201</v>
      </c>
      <c r="T316">
        <v>0</v>
      </c>
      <c r="U316">
        <v>21</v>
      </c>
      <c r="V316">
        <v>0</v>
      </c>
      <c r="W316">
        <v>0</v>
      </c>
      <c r="X316">
        <v>0</v>
      </c>
    </row>
    <row r="317" spans="1:24" x14ac:dyDescent="0.25">
      <c r="A317" t="s">
        <v>15</v>
      </c>
      <c r="B317" t="s">
        <v>24</v>
      </c>
      <c r="C317">
        <v>20150316</v>
      </c>
      <c r="D317">
        <v>0</v>
      </c>
      <c r="F317">
        <v>62500</v>
      </c>
      <c r="G317" t="s">
        <v>17</v>
      </c>
      <c r="I317" t="s">
        <v>16</v>
      </c>
      <c r="J317" t="s">
        <v>181</v>
      </c>
      <c r="K317" t="s">
        <v>25</v>
      </c>
      <c r="L317">
        <v>132757294</v>
      </c>
      <c r="R317">
        <v>1334</v>
      </c>
      <c r="S317" t="s">
        <v>214</v>
      </c>
      <c r="T317">
        <v>0</v>
      </c>
      <c r="U317">
        <v>25</v>
      </c>
      <c r="V317">
        <v>0</v>
      </c>
      <c r="W317">
        <v>0</v>
      </c>
      <c r="X317">
        <v>0</v>
      </c>
    </row>
    <row r="318" spans="1:24" x14ac:dyDescent="0.25">
      <c r="A318" t="s">
        <v>15</v>
      </c>
      <c r="B318" t="s">
        <v>24</v>
      </c>
      <c r="C318">
        <v>20150316</v>
      </c>
      <c r="D318">
        <v>0</v>
      </c>
      <c r="F318">
        <v>62500</v>
      </c>
      <c r="G318" t="s">
        <v>17</v>
      </c>
      <c r="I318" t="s">
        <v>16</v>
      </c>
      <c r="J318" t="s">
        <v>181</v>
      </c>
      <c r="K318" t="s">
        <v>25</v>
      </c>
      <c r="L318">
        <v>132757294</v>
      </c>
      <c r="R318">
        <v>1334</v>
      </c>
      <c r="S318" t="s">
        <v>194</v>
      </c>
      <c r="T318">
        <v>0</v>
      </c>
      <c r="U318">
        <v>25</v>
      </c>
      <c r="V318">
        <v>0</v>
      </c>
      <c r="W318">
        <v>0</v>
      </c>
      <c r="X318">
        <v>0</v>
      </c>
    </row>
    <row r="319" spans="1:24" x14ac:dyDescent="0.25">
      <c r="A319" t="s">
        <v>15</v>
      </c>
      <c r="B319" t="s">
        <v>24</v>
      </c>
      <c r="C319">
        <v>20150316</v>
      </c>
      <c r="D319">
        <v>0</v>
      </c>
      <c r="F319">
        <v>62500</v>
      </c>
      <c r="G319" t="s">
        <v>17</v>
      </c>
      <c r="I319" t="s">
        <v>16</v>
      </c>
      <c r="J319" t="s">
        <v>181</v>
      </c>
      <c r="K319" t="s">
        <v>25</v>
      </c>
      <c r="L319">
        <v>132757294</v>
      </c>
      <c r="R319">
        <v>1335</v>
      </c>
      <c r="S319" t="s">
        <v>214</v>
      </c>
      <c r="T319">
        <v>0</v>
      </c>
      <c r="U319">
        <v>21</v>
      </c>
      <c r="V319">
        <v>0</v>
      </c>
      <c r="W319">
        <v>0</v>
      </c>
      <c r="X319">
        <v>0</v>
      </c>
    </row>
    <row r="320" spans="1:24" x14ac:dyDescent="0.25">
      <c r="A320" t="s">
        <v>15</v>
      </c>
      <c r="B320" t="s">
        <v>24</v>
      </c>
      <c r="C320">
        <v>20150316</v>
      </c>
      <c r="D320">
        <v>0</v>
      </c>
      <c r="F320">
        <v>62500</v>
      </c>
      <c r="G320" t="s">
        <v>17</v>
      </c>
      <c r="I320" t="s">
        <v>16</v>
      </c>
      <c r="J320" t="s">
        <v>181</v>
      </c>
      <c r="K320" t="s">
        <v>25</v>
      </c>
      <c r="L320">
        <v>132757294</v>
      </c>
      <c r="R320">
        <v>1334</v>
      </c>
      <c r="S320" t="s">
        <v>194</v>
      </c>
      <c r="T320">
        <v>0</v>
      </c>
      <c r="U320">
        <v>25</v>
      </c>
      <c r="V320">
        <v>0</v>
      </c>
      <c r="W320">
        <v>0</v>
      </c>
      <c r="X320">
        <v>0</v>
      </c>
    </row>
    <row r="321" spans="1:24" x14ac:dyDescent="0.25">
      <c r="A321" t="s">
        <v>15</v>
      </c>
      <c r="B321" t="s">
        <v>24</v>
      </c>
      <c r="C321">
        <v>20150316</v>
      </c>
      <c r="D321">
        <v>0</v>
      </c>
      <c r="F321">
        <v>62500</v>
      </c>
      <c r="G321" t="s">
        <v>17</v>
      </c>
      <c r="I321" t="s">
        <v>16</v>
      </c>
      <c r="J321" t="s">
        <v>181</v>
      </c>
      <c r="K321" t="s">
        <v>25</v>
      </c>
      <c r="L321">
        <v>132757294</v>
      </c>
      <c r="R321">
        <v>1334</v>
      </c>
      <c r="S321" t="s">
        <v>194</v>
      </c>
      <c r="T321">
        <v>0</v>
      </c>
      <c r="U321">
        <v>25</v>
      </c>
      <c r="V321">
        <v>0</v>
      </c>
      <c r="W321">
        <v>0</v>
      </c>
      <c r="X321">
        <v>0</v>
      </c>
    </row>
    <row r="322" spans="1:24" x14ac:dyDescent="0.25">
      <c r="A322" t="s">
        <v>15</v>
      </c>
      <c r="B322" t="s">
        <v>24</v>
      </c>
      <c r="C322">
        <v>20150316</v>
      </c>
      <c r="D322">
        <v>0</v>
      </c>
      <c r="F322">
        <v>62500</v>
      </c>
      <c r="G322" t="s">
        <v>17</v>
      </c>
      <c r="I322" t="s">
        <v>16</v>
      </c>
      <c r="J322" t="s">
        <v>181</v>
      </c>
      <c r="K322" t="s">
        <v>25</v>
      </c>
      <c r="L322">
        <v>132757294</v>
      </c>
      <c r="R322">
        <v>1334</v>
      </c>
      <c r="S322" t="s">
        <v>196</v>
      </c>
      <c r="T322">
        <v>0</v>
      </c>
      <c r="U322">
        <v>25</v>
      </c>
      <c r="V322">
        <v>0</v>
      </c>
      <c r="W322">
        <v>0</v>
      </c>
      <c r="X322">
        <v>0</v>
      </c>
    </row>
    <row r="323" spans="1:24" x14ac:dyDescent="0.25">
      <c r="A323" t="s">
        <v>15</v>
      </c>
      <c r="B323" t="s">
        <v>24</v>
      </c>
      <c r="C323">
        <v>20150316</v>
      </c>
      <c r="D323">
        <v>0</v>
      </c>
      <c r="F323">
        <v>62500</v>
      </c>
      <c r="G323" t="s">
        <v>17</v>
      </c>
      <c r="I323" t="s">
        <v>16</v>
      </c>
      <c r="J323" t="s">
        <v>181</v>
      </c>
      <c r="K323" t="s">
        <v>25</v>
      </c>
      <c r="L323">
        <v>132757294</v>
      </c>
      <c r="R323">
        <v>1334</v>
      </c>
      <c r="S323" t="s">
        <v>201</v>
      </c>
      <c r="T323">
        <v>0</v>
      </c>
      <c r="U323">
        <v>25</v>
      </c>
      <c r="V323">
        <v>0</v>
      </c>
      <c r="W323">
        <v>0</v>
      </c>
      <c r="X323">
        <v>0</v>
      </c>
    </row>
    <row r="324" spans="1:24" x14ac:dyDescent="0.25">
      <c r="A324" t="s">
        <v>15</v>
      </c>
      <c r="B324" t="s">
        <v>24</v>
      </c>
      <c r="C324">
        <v>20150316</v>
      </c>
      <c r="D324">
        <v>0</v>
      </c>
      <c r="F324">
        <v>62500</v>
      </c>
      <c r="G324" t="s">
        <v>17</v>
      </c>
      <c r="I324" t="s">
        <v>16</v>
      </c>
      <c r="J324" t="s">
        <v>181</v>
      </c>
      <c r="K324" t="s">
        <v>25</v>
      </c>
      <c r="L324">
        <v>132757294</v>
      </c>
      <c r="R324">
        <v>1335</v>
      </c>
      <c r="S324" t="s">
        <v>214</v>
      </c>
      <c r="T324">
        <v>0</v>
      </c>
      <c r="U324">
        <v>21</v>
      </c>
      <c r="V324">
        <v>0</v>
      </c>
      <c r="W324">
        <v>0</v>
      </c>
      <c r="X324">
        <v>0</v>
      </c>
    </row>
    <row r="325" spans="1:24" x14ac:dyDescent="0.25">
      <c r="A325" t="s">
        <v>15</v>
      </c>
      <c r="B325" t="s">
        <v>24</v>
      </c>
      <c r="C325">
        <v>20150316</v>
      </c>
      <c r="D325">
        <v>0</v>
      </c>
      <c r="F325">
        <v>62500</v>
      </c>
      <c r="G325" t="s">
        <v>17</v>
      </c>
      <c r="I325" t="s">
        <v>16</v>
      </c>
      <c r="J325" t="s">
        <v>181</v>
      </c>
      <c r="K325" t="s">
        <v>25</v>
      </c>
      <c r="L325">
        <v>132757294</v>
      </c>
      <c r="R325">
        <v>1335</v>
      </c>
      <c r="S325" t="s">
        <v>194</v>
      </c>
      <c r="T325">
        <v>0</v>
      </c>
      <c r="U325">
        <v>21</v>
      </c>
      <c r="V325">
        <v>0</v>
      </c>
      <c r="W325">
        <v>0</v>
      </c>
      <c r="X325">
        <v>0</v>
      </c>
    </row>
    <row r="326" spans="1:24" x14ac:dyDescent="0.25">
      <c r="A326" t="s">
        <v>15</v>
      </c>
      <c r="B326" t="s">
        <v>24</v>
      </c>
      <c r="C326">
        <v>20150316</v>
      </c>
      <c r="D326">
        <v>0</v>
      </c>
      <c r="F326">
        <v>62500</v>
      </c>
      <c r="G326" t="s">
        <v>17</v>
      </c>
      <c r="I326" t="s">
        <v>16</v>
      </c>
      <c r="J326" t="s">
        <v>181</v>
      </c>
      <c r="K326" t="s">
        <v>25</v>
      </c>
      <c r="L326">
        <v>132757294</v>
      </c>
      <c r="R326">
        <v>1335</v>
      </c>
      <c r="S326" t="s">
        <v>194</v>
      </c>
      <c r="T326">
        <v>0</v>
      </c>
      <c r="U326">
        <v>21</v>
      </c>
      <c r="V326">
        <v>0</v>
      </c>
      <c r="W326">
        <v>0</v>
      </c>
      <c r="X326">
        <v>0</v>
      </c>
    </row>
    <row r="327" spans="1:24" x14ac:dyDescent="0.25">
      <c r="A327" t="s">
        <v>15</v>
      </c>
      <c r="B327" t="s">
        <v>24</v>
      </c>
      <c r="C327">
        <v>20150316</v>
      </c>
      <c r="D327">
        <v>0</v>
      </c>
      <c r="F327">
        <v>62500</v>
      </c>
      <c r="G327" t="s">
        <v>17</v>
      </c>
      <c r="I327" t="s">
        <v>16</v>
      </c>
      <c r="J327" t="s">
        <v>181</v>
      </c>
      <c r="K327" t="s">
        <v>25</v>
      </c>
      <c r="L327">
        <v>132757294</v>
      </c>
      <c r="R327">
        <v>1335</v>
      </c>
      <c r="S327" t="s">
        <v>194</v>
      </c>
      <c r="T327">
        <v>0</v>
      </c>
      <c r="U327">
        <v>21</v>
      </c>
      <c r="V327">
        <v>0</v>
      </c>
      <c r="W327">
        <v>0</v>
      </c>
      <c r="X327">
        <v>0</v>
      </c>
    </row>
    <row r="328" spans="1:24" x14ac:dyDescent="0.25">
      <c r="A328" t="s">
        <v>15</v>
      </c>
      <c r="B328" t="s">
        <v>24</v>
      </c>
      <c r="C328">
        <v>20150316</v>
      </c>
      <c r="D328">
        <v>0</v>
      </c>
      <c r="F328">
        <v>62500</v>
      </c>
      <c r="G328" t="s">
        <v>17</v>
      </c>
      <c r="I328" t="s">
        <v>16</v>
      </c>
      <c r="J328" t="s">
        <v>181</v>
      </c>
      <c r="K328" t="s">
        <v>25</v>
      </c>
      <c r="L328">
        <v>132757294</v>
      </c>
      <c r="R328">
        <v>1336</v>
      </c>
      <c r="S328" t="s">
        <v>214</v>
      </c>
      <c r="T328">
        <v>0</v>
      </c>
      <c r="U328">
        <v>-22</v>
      </c>
      <c r="V328">
        <v>0</v>
      </c>
      <c r="W328">
        <v>0</v>
      </c>
      <c r="X328">
        <v>0</v>
      </c>
    </row>
    <row r="329" spans="1:24" x14ac:dyDescent="0.25">
      <c r="A329" t="s">
        <v>15</v>
      </c>
      <c r="B329" t="s">
        <v>24</v>
      </c>
      <c r="C329">
        <v>20150316</v>
      </c>
      <c r="D329">
        <v>0</v>
      </c>
      <c r="F329">
        <v>62500</v>
      </c>
      <c r="G329" t="s">
        <v>17</v>
      </c>
      <c r="I329" t="s">
        <v>16</v>
      </c>
      <c r="J329" t="s">
        <v>181</v>
      </c>
      <c r="K329" t="s">
        <v>25</v>
      </c>
      <c r="L329">
        <v>132757294</v>
      </c>
      <c r="R329">
        <v>1336</v>
      </c>
      <c r="S329" t="s">
        <v>214</v>
      </c>
      <c r="T329">
        <v>0</v>
      </c>
      <c r="U329">
        <v>-22</v>
      </c>
      <c r="V329">
        <v>0</v>
      </c>
      <c r="W329">
        <v>0</v>
      </c>
      <c r="X329">
        <v>0</v>
      </c>
    </row>
    <row r="330" spans="1:24" x14ac:dyDescent="0.25">
      <c r="A330" t="s">
        <v>15</v>
      </c>
      <c r="B330" t="s">
        <v>24</v>
      </c>
      <c r="C330">
        <v>20150316</v>
      </c>
      <c r="D330">
        <v>0</v>
      </c>
      <c r="F330">
        <v>62500</v>
      </c>
      <c r="G330" t="s">
        <v>17</v>
      </c>
      <c r="I330" t="s">
        <v>16</v>
      </c>
      <c r="J330" t="s">
        <v>181</v>
      </c>
      <c r="K330" t="s">
        <v>25</v>
      </c>
      <c r="L330">
        <v>132757294</v>
      </c>
      <c r="R330">
        <v>1336</v>
      </c>
      <c r="S330" t="s">
        <v>194</v>
      </c>
      <c r="T330">
        <v>0</v>
      </c>
      <c r="U330">
        <v>22</v>
      </c>
      <c r="V330">
        <v>0</v>
      </c>
      <c r="W330">
        <v>0</v>
      </c>
      <c r="X330">
        <v>0</v>
      </c>
    </row>
    <row r="331" spans="1:24" x14ac:dyDescent="0.25">
      <c r="A331" t="s">
        <v>15</v>
      </c>
      <c r="B331" t="s">
        <v>24</v>
      </c>
      <c r="C331">
        <v>20150316</v>
      </c>
      <c r="D331">
        <v>0</v>
      </c>
      <c r="F331">
        <v>62500</v>
      </c>
      <c r="G331" t="s">
        <v>17</v>
      </c>
      <c r="I331" t="s">
        <v>16</v>
      </c>
      <c r="J331" t="s">
        <v>181</v>
      </c>
      <c r="K331" t="s">
        <v>25</v>
      </c>
      <c r="L331">
        <v>132757294</v>
      </c>
      <c r="R331">
        <v>1336</v>
      </c>
      <c r="S331" t="s">
        <v>194</v>
      </c>
      <c r="T331">
        <v>0</v>
      </c>
      <c r="U331">
        <v>22</v>
      </c>
      <c r="V331">
        <v>0</v>
      </c>
      <c r="W331">
        <v>0</v>
      </c>
      <c r="X331">
        <v>0</v>
      </c>
    </row>
    <row r="332" spans="1:24" x14ac:dyDescent="0.25">
      <c r="A332" t="s">
        <v>15</v>
      </c>
      <c r="B332" t="s">
        <v>24</v>
      </c>
      <c r="C332">
        <v>20150316</v>
      </c>
      <c r="D332">
        <v>0</v>
      </c>
      <c r="F332">
        <v>62500</v>
      </c>
      <c r="G332" t="s">
        <v>17</v>
      </c>
      <c r="I332" t="s">
        <v>16</v>
      </c>
      <c r="J332" t="s">
        <v>181</v>
      </c>
      <c r="K332" t="s">
        <v>25</v>
      </c>
      <c r="L332">
        <v>132757294</v>
      </c>
      <c r="R332">
        <v>1336</v>
      </c>
      <c r="S332" t="s">
        <v>194</v>
      </c>
      <c r="T332">
        <v>0</v>
      </c>
      <c r="U332">
        <v>22</v>
      </c>
      <c r="V332">
        <v>0</v>
      </c>
      <c r="W332">
        <v>0</v>
      </c>
      <c r="X332">
        <v>0</v>
      </c>
    </row>
    <row r="333" spans="1:24" x14ac:dyDescent="0.25">
      <c r="A333" t="s">
        <v>15</v>
      </c>
      <c r="B333" t="s">
        <v>24</v>
      </c>
      <c r="C333">
        <v>20150316</v>
      </c>
      <c r="D333">
        <v>0</v>
      </c>
      <c r="F333">
        <v>62500</v>
      </c>
      <c r="G333" t="s">
        <v>17</v>
      </c>
      <c r="I333" t="s">
        <v>16</v>
      </c>
      <c r="J333" t="s">
        <v>181</v>
      </c>
      <c r="K333" t="s">
        <v>25</v>
      </c>
      <c r="L333">
        <v>132757294</v>
      </c>
      <c r="R333">
        <v>1337</v>
      </c>
      <c r="S333" t="s">
        <v>214</v>
      </c>
      <c r="T333">
        <v>0</v>
      </c>
      <c r="U333">
        <v>24</v>
      </c>
      <c r="V333">
        <v>0</v>
      </c>
      <c r="W333">
        <v>0</v>
      </c>
      <c r="X333">
        <v>0</v>
      </c>
    </row>
    <row r="334" spans="1:24" x14ac:dyDescent="0.25">
      <c r="A334" t="s">
        <v>15</v>
      </c>
      <c r="B334" t="s">
        <v>24</v>
      </c>
      <c r="C334">
        <v>20150316</v>
      </c>
      <c r="D334">
        <v>0</v>
      </c>
      <c r="F334">
        <v>62500</v>
      </c>
      <c r="G334" t="s">
        <v>17</v>
      </c>
      <c r="I334" t="s">
        <v>16</v>
      </c>
      <c r="J334" t="s">
        <v>181</v>
      </c>
      <c r="K334" t="s">
        <v>25</v>
      </c>
      <c r="L334">
        <v>132757294</v>
      </c>
      <c r="R334">
        <v>1335</v>
      </c>
      <c r="S334" t="s">
        <v>196</v>
      </c>
      <c r="T334">
        <v>0</v>
      </c>
      <c r="U334">
        <v>21</v>
      </c>
      <c r="V334">
        <v>0</v>
      </c>
      <c r="W334">
        <v>0</v>
      </c>
      <c r="X334">
        <v>0</v>
      </c>
    </row>
    <row r="335" spans="1:24" x14ac:dyDescent="0.25">
      <c r="A335" t="s">
        <v>15</v>
      </c>
      <c r="B335" t="s">
        <v>24</v>
      </c>
      <c r="C335">
        <v>20150316</v>
      </c>
      <c r="D335">
        <v>0</v>
      </c>
      <c r="F335">
        <v>62500</v>
      </c>
      <c r="G335" t="s">
        <v>17</v>
      </c>
      <c r="I335" t="s">
        <v>16</v>
      </c>
      <c r="J335" t="s">
        <v>181</v>
      </c>
      <c r="K335" t="s">
        <v>25</v>
      </c>
      <c r="L335">
        <v>132757294</v>
      </c>
      <c r="R335">
        <v>1335</v>
      </c>
      <c r="S335" t="s">
        <v>201</v>
      </c>
      <c r="T335">
        <v>0</v>
      </c>
      <c r="U335">
        <v>21</v>
      </c>
      <c r="V335">
        <v>0</v>
      </c>
      <c r="W335">
        <v>0</v>
      </c>
      <c r="X335">
        <v>0</v>
      </c>
    </row>
    <row r="336" spans="1:24" x14ac:dyDescent="0.25">
      <c r="A336" t="s">
        <v>15</v>
      </c>
      <c r="B336" t="s">
        <v>24</v>
      </c>
      <c r="C336">
        <v>20150316</v>
      </c>
      <c r="D336">
        <v>0</v>
      </c>
      <c r="F336">
        <v>62500</v>
      </c>
      <c r="G336" t="s">
        <v>17</v>
      </c>
      <c r="I336" t="s">
        <v>16</v>
      </c>
      <c r="J336" t="s">
        <v>181</v>
      </c>
      <c r="K336" t="s">
        <v>25</v>
      </c>
      <c r="L336">
        <v>132757294</v>
      </c>
      <c r="R336">
        <v>1337</v>
      </c>
      <c r="S336" t="s">
        <v>214</v>
      </c>
      <c r="T336">
        <v>0</v>
      </c>
      <c r="U336">
        <v>24</v>
      </c>
      <c r="V336">
        <v>0</v>
      </c>
      <c r="W336">
        <v>0</v>
      </c>
      <c r="X336">
        <v>0</v>
      </c>
    </row>
    <row r="337" spans="1:24" x14ac:dyDescent="0.25">
      <c r="A337" t="s">
        <v>15</v>
      </c>
      <c r="B337" t="s">
        <v>24</v>
      </c>
      <c r="C337">
        <v>20150316</v>
      </c>
      <c r="D337">
        <v>0</v>
      </c>
      <c r="F337">
        <v>62500</v>
      </c>
      <c r="G337" t="s">
        <v>17</v>
      </c>
      <c r="I337" t="s">
        <v>16</v>
      </c>
      <c r="J337" t="s">
        <v>181</v>
      </c>
      <c r="K337" t="s">
        <v>25</v>
      </c>
      <c r="L337">
        <v>132757294</v>
      </c>
      <c r="R337">
        <v>1337</v>
      </c>
      <c r="S337" t="s">
        <v>194</v>
      </c>
      <c r="T337">
        <v>0</v>
      </c>
      <c r="U337">
        <v>24</v>
      </c>
      <c r="V337">
        <v>0</v>
      </c>
      <c r="W337">
        <v>0</v>
      </c>
      <c r="X337">
        <v>0</v>
      </c>
    </row>
    <row r="338" spans="1:24" x14ac:dyDescent="0.25">
      <c r="A338" t="s">
        <v>15</v>
      </c>
      <c r="B338" t="s">
        <v>24</v>
      </c>
      <c r="C338">
        <v>20150316</v>
      </c>
      <c r="D338">
        <v>0</v>
      </c>
      <c r="F338">
        <v>62500</v>
      </c>
      <c r="G338" t="s">
        <v>17</v>
      </c>
      <c r="I338" t="s">
        <v>16</v>
      </c>
      <c r="J338" t="s">
        <v>181</v>
      </c>
      <c r="K338" t="s">
        <v>25</v>
      </c>
      <c r="L338">
        <v>132757294</v>
      </c>
      <c r="R338">
        <v>1337</v>
      </c>
      <c r="S338" t="s">
        <v>194</v>
      </c>
      <c r="T338">
        <v>0</v>
      </c>
      <c r="U338">
        <v>24</v>
      </c>
      <c r="V338">
        <v>0</v>
      </c>
      <c r="W338">
        <v>0</v>
      </c>
      <c r="X338">
        <v>0</v>
      </c>
    </row>
    <row r="339" spans="1:24" x14ac:dyDescent="0.25">
      <c r="A339" t="s">
        <v>15</v>
      </c>
      <c r="B339" t="s">
        <v>24</v>
      </c>
      <c r="C339">
        <v>20150316</v>
      </c>
      <c r="D339">
        <v>0</v>
      </c>
      <c r="F339">
        <v>62500</v>
      </c>
      <c r="G339" t="s">
        <v>17</v>
      </c>
      <c r="I339" t="s">
        <v>16</v>
      </c>
      <c r="J339" t="s">
        <v>181</v>
      </c>
      <c r="K339" t="s">
        <v>25</v>
      </c>
      <c r="L339">
        <v>132757294</v>
      </c>
      <c r="R339">
        <v>1337</v>
      </c>
      <c r="S339" t="s">
        <v>194</v>
      </c>
      <c r="T339">
        <v>0</v>
      </c>
      <c r="U339">
        <v>24</v>
      </c>
      <c r="V339">
        <v>0</v>
      </c>
      <c r="W339">
        <v>0</v>
      </c>
      <c r="X339">
        <v>0</v>
      </c>
    </row>
    <row r="340" spans="1:24" x14ac:dyDescent="0.25">
      <c r="A340" t="s">
        <v>15</v>
      </c>
      <c r="B340" t="s">
        <v>24</v>
      </c>
      <c r="C340">
        <v>20150316</v>
      </c>
      <c r="D340">
        <v>0</v>
      </c>
      <c r="F340">
        <v>62500</v>
      </c>
      <c r="G340" t="s">
        <v>17</v>
      </c>
      <c r="I340" t="s">
        <v>16</v>
      </c>
      <c r="J340" t="s">
        <v>181</v>
      </c>
      <c r="K340" t="s">
        <v>25</v>
      </c>
      <c r="L340">
        <v>132757294</v>
      </c>
      <c r="R340">
        <v>1338</v>
      </c>
      <c r="S340" t="s">
        <v>214</v>
      </c>
      <c r="T340">
        <v>0</v>
      </c>
      <c r="U340">
        <v>-25</v>
      </c>
      <c r="V340">
        <v>0</v>
      </c>
      <c r="W340">
        <v>0</v>
      </c>
      <c r="X340">
        <v>0</v>
      </c>
    </row>
    <row r="341" spans="1:24" x14ac:dyDescent="0.25">
      <c r="A341" t="s">
        <v>15</v>
      </c>
      <c r="B341" t="s">
        <v>24</v>
      </c>
      <c r="C341">
        <v>20150316</v>
      </c>
      <c r="D341">
        <v>0</v>
      </c>
      <c r="F341">
        <v>62500</v>
      </c>
      <c r="G341" t="s">
        <v>17</v>
      </c>
      <c r="I341" t="s">
        <v>16</v>
      </c>
      <c r="J341" t="s">
        <v>181</v>
      </c>
      <c r="K341" t="s">
        <v>25</v>
      </c>
      <c r="L341">
        <v>132757294</v>
      </c>
      <c r="R341">
        <v>1336</v>
      </c>
      <c r="S341" t="s">
        <v>196</v>
      </c>
      <c r="T341">
        <v>0</v>
      </c>
      <c r="U341">
        <v>22</v>
      </c>
      <c r="V341">
        <v>0</v>
      </c>
      <c r="W341">
        <v>0</v>
      </c>
      <c r="X341">
        <v>0</v>
      </c>
    </row>
    <row r="342" spans="1:24" x14ac:dyDescent="0.25">
      <c r="A342" t="s">
        <v>15</v>
      </c>
      <c r="B342" t="s">
        <v>24</v>
      </c>
      <c r="C342">
        <v>20150316</v>
      </c>
      <c r="D342">
        <v>0</v>
      </c>
      <c r="F342">
        <v>62500</v>
      </c>
      <c r="G342" t="s">
        <v>17</v>
      </c>
      <c r="I342" t="s">
        <v>16</v>
      </c>
      <c r="J342" t="s">
        <v>181</v>
      </c>
      <c r="K342" t="s">
        <v>25</v>
      </c>
      <c r="L342">
        <v>132757294</v>
      </c>
      <c r="R342">
        <v>1336</v>
      </c>
      <c r="S342" t="s">
        <v>201</v>
      </c>
      <c r="T342">
        <v>0</v>
      </c>
      <c r="U342">
        <v>22</v>
      </c>
      <c r="V342">
        <v>0</v>
      </c>
      <c r="W342">
        <v>0</v>
      </c>
      <c r="X342">
        <v>0</v>
      </c>
    </row>
    <row r="343" spans="1:24" x14ac:dyDescent="0.25">
      <c r="A343" t="s">
        <v>15</v>
      </c>
      <c r="B343" t="s">
        <v>24</v>
      </c>
      <c r="C343">
        <v>20150316</v>
      </c>
      <c r="D343">
        <v>0</v>
      </c>
      <c r="F343">
        <v>62500</v>
      </c>
      <c r="G343" t="s">
        <v>17</v>
      </c>
      <c r="I343" t="s">
        <v>16</v>
      </c>
      <c r="J343" t="s">
        <v>181</v>
      </c>
      <c r="K343" t="s">
        <v>25</v>
      </c>
      <c r="L343">
        <v>132757294</v>
      </c>
      <c r="R343">
        <v>1338</v>
      </c>
      <c r="S343" t="s">
        <v>214</v>
      </c>
      <c r="T343">
        <v>0</v>
      </c>
      <c r="U343">
        <v>-25</v>
      </c>
      <c r="V343">
        <v>0</v>
      </c>
      <c r="W343">
        <v>0</v>
      </c>
      <c r="X343">
        <v>0</v>
      </c>
    </row>
    <row r="344" spans="1:24" x14ac:dyDescent="0.25">
      <c r="A344" t="s">
        <v>15</v>
      </c>
      <c r="B344" t="s">
        <v>24</v>
      </c>
      <c r="C344">
        <v>20150316</v>
      </c>
      <c r="D344">
        <v>0</v>
      </c>
      <c r="F344">
        <v>62500</v>
      </c>
      <c r="G344" t="s">
        <v>17</v>
      </c>
      <c r="I344" t="s">
        <v>16</v>
      </c>
      <c r="J344" t="s">
        <v>181</v>
      </c>
      <c r="K344" t="s">
        <v>25</v>
      </c>
      <c r="L344">
        <v>132757294</v>
      </c>
      <c r="R344">
        <v>1338</v>
      </c>
      <c r="S344" t="s">
        <v>194</v>
      </c>
      <c r="T344">
        <v>0</v>
      </c>
      <c r="U344">
        <v>25</v>
      </c>
      <c r="V344">
        <v>0</v>
      </c>
      <c r="W344">
        <v>0</v>
      </c>
      <c r="X344">
        <v>0</v>
      </c>
    </row>
    <row r="345" spans="1:24" x14ac:dyDescent="0.25">
      <c r="A345" t="s">
        <v>15</v>
      </c>
      <c r="B345" t="s">
        <v>24</v>
      </c>
      <c r="C345">
        <v>20150316</v>
      </c>
      <c r="D345">
        <v>0</v>
      </c>
      <c r="F345">
        <v>62500</v>
      </c>
      <c r="G345" t="s">
        <v>17</v>
      </c>
      <c r="I345" t="s">
        <v>16</v>
      </c>
      <c r="J345" t="s">
        <v>181</v>
      </c>
      <c r="K345" t="s">
        <v>25</v>
      </c>
      <c r="L345">
        <v>132757294</v>
      </c>
      <c r="R345">
        <v>1338</v>
      </c>
      <c r="S345" t="s">
        <v>194</v>
      </c>
      <c r="T345">
        <v>0</v>
      </c>
      <c r="U345">
        <v>25</v>
      </c>
      <c r="V345">
        <v>0</v>
      </c>
      <c r="W345">
        <v>0</v>
      </c>
      <c r="X345">
        <v>0</v>
      </c>
    </row>
    <row r="346" spans="1:24" x14ac:dyDescent="0.25">
      <c r="A346" t="s">
        <v>15</v>
      </c>
      <c r="B346" t="s">
        <v>24</v>
      </c>
      <c r="C346">
        <v>20150316</v>
      </c>
      <c r="D346">
        <v>0</v>
      </c>
      <c r="F346">
        <v>62500</v>
      </c>
      <c r="G346" t="s">
        <v>17</v>
      </c>
      <c r="I346" t="s">
        <v>16</v>
      </c>
      <c r="J346" t="s">
        <v>181</v>
      </c>
      <c r="K346" t="s">
        <v>25</v>
      </c>
      <c r="L346">
        <v>132757294</v>
      </c>
      <c r="R346">
        <v>1338</v>
      </c>
      <c r="S346" t="s">
        <v>194</v>
      </c>
      <c r="T346">
        <v>0</v>
      </c>
      <c r="U346">
        <v>25</v>
      </c>
      <c r="V346">
        <v>0</v>
      </c>
      <c r="W346">
        <v>0</v>
      </c>
      <c r="X346">
        <v>0</v>
      </c>
    </row>
    <row r="347" spans="1:24" x14ac:dyDescent="0.25">
      <c r="A347" t="s">
        <v>15</v>
      </c>
      <c r="B347" t="s">
        <v>24</v>
      </c>
      <c r="C347">
        <v>20150316</v>
      </c>
      <c r="D347">
        <v>0</v>
      </c>
      <c r="F347">
        <v>62500</v>
      </c>
      <c r="G347" t="s">
        <v>17</v>
      </c>
      <c r="I347" t="s">
        <v>16</v>
      </c>
      <c r="J347" t="s">
        <v>181</v>
      </c>
      <c r="K347" t="s">
        <v>25</v>
      </c>
      <c r="L347">
        <v>132757294</v>
      </c>
      <c r="R347">
        <v>1339</v>
      </c>
      <c r="S347" t="s">
        <v>214</v>
      </c>
      <c r="T347">
        <v>0</v>
      </c>
      <c r="U347">
        <v>-22</v>
      </c>
      <c r="V347">
        <v>0</v>
      </c>
      <c r="W347">
        <v>0</v>
      </c>
      <c r="X347">
        <v>0</v>
      </c>
    </row>
    <row r="348" spans="1:24" x14ac:dyDescent="0.25">
      <c r="A348" t="s">
        <v>15</v>
      </c>
      <c r="B348" t="s">
        <v>24</v>
      </c>
      <c r="C348">
        <v>20150316</v>
      </c>
      <c r="D348">
        <v>0</v>
      </c>
      <c r="F348">
        <v>62500</v>
      </c>
      <c r="G348" t="s">
        <v>17</v>
      </c>
      <c r="I348" t="s">
        <v>16</v>
      </c>
      <c r="J348" t="s">
        <v>181</v>
      </c>
      <c r="K348" t="s">
        <v>25</v>
      </c>
      <c r="L348">
        <v>132757294</v>
      </c>
      <c r="R348">
        <v>1338</v>
      </c>
      <c r="S348" t="s">
        <v>196</v>
      </c>
      <c r="T348">
        <v>0</v>
      </c>
      <c r="U348">
        <v>25</v>
      </c>
      <c r="V348">
        <v>0</v>
      </c>
      <c r="W348">
        <v>0</v>
      </c>
      <c r="X348">
        <v>0</v>
      </c>
    </row>
    <row r="349" spans="1:24" x14ac:dyDescent="0.25">
      <c r="A349" t="s">
        <v>15</v>
      </c>
      <c r="B349" t="s">
        <v>24</v>
      </c>
      <c r="C349">
        <v>20150316</v>
      </c>
      <c r="D349">
        <v>0</v>
      </c>
      <c r="F349">
        <v>62500</v>
      </c>
      <c r="G349" t="s">
        <v>17</v>
      </c>
      <c r="I349" t="s">
        <v>16</v>
      </c>
      <c r="J349" t="s">
        <v>181</v>
      </c>
      <c r="K349" t="s">
        <v>25</v>
      </c>
      <c r="L349">
        <v>132757294</v>
      </c>
      <c r="R349">
        <v>1338</v>
      </c>
      <c r="S349" t="s">
        <v>201</v>
      </c>
      <c r="T349">
        <v>0</v>
      </c>
      <c r="U349">
        <v>25</v>
      </c>
      <c r="V349">
        <v>0</v>
      </c>
      <c r="W349">
        <v>0</v>
      </c>
      <c r="X349">
        <v>0</v>
      </c>
    </row>
    <row r="350" spans="1:24" x14ac:dyDescent="0.25">
      <c r="A350" t="s">
        <v>15</v>
      </c>
      <c r="B350" t="s">
        <v>24</v>
      </c>
      <c r="C350">
        <v>20150316</v>
      </c>
      <c r="D350">
        <v>0</v>
      </c>
      <c r="F350">
        <v>62500</v>
      </c>
      <c r="G350" t="s">
        <v>17</v>
      </c>
      <c r="I350" t="s">
        <v>16</v>
      </c>
      <c r="J350" t="s">
        <v>181</v>
      </c>
      <c r="K350" t="s">
        <v>25</v>
      </c>
      <c r="L350">
        <v>132757294</v>
      </c>
      <c r="R350">
        <v>1339</v>
      </c>
      <c r="S350" t="s">
        <v>214</v>
      </c>
      <c r="T350">
        <v>0</v>
      </c>
      <c r="U350">
        <v>-22</v>
      </c>
      <c r="V350">
        <v>0</v>
      </c>
      <c r="W350">
        <v>0</v>
      </c>
      <c r="X350">
        <v>0</v>
      </c>
    </row>
    <row r="351" spans="1:24" x14ac:dyDescent="0.25">
      <c r="A351" t="s">
        <v>15</v>
      </c>
      <c r="B351" t="s">
        <v>24</v>
      </c>
      <c r="C351">
        <v>20150316</v>
      </c>
      <c r="D351">
        <v>0</v>
      </c>
      <c r="F351">
        <v>62500</v>
      </c>
      <c r="G351" t="s">
        <v>17</v>
      </c>
      <c r="I351" t="s">
        <v>16</v>
      </c>
      <c r="J351" t="s">
        <v>181</v>
      </c>
      <c r="K351" t="s">
        <v>25</v>
      </c>
      <c r="L351">
        <v>132757294</v>
      </c>
      <c r="R351">
        <v>1339</v>
      </c>
      <c r="S351" t="s">
        <v>194</v>
      </c>
      <c r="T351">
        <v>0</v>
      </c>
      <c r="U351">
        <v>22</v>
      </c>
      <c r="V351">
        <v>0</v>
      </c>
      <c r="W351">
        <v>0</v>
      </c>
      <c r="X351">
        <v>0</v>
      </c>
    </row>
    <row r="352" spans="1:24" x14ac:dyDescent="0.25">
      <c r="A352" t="s">
        <v>15</v>
      </c>
      <c r="B352" t="s">
        <v>24</v>
      </c>
      <c r="C352">
        <v>20150316</v>
      </c>
      <c r="D352">
        <v>0</v>
      </c>
      <c r="F352">
        <v>62500</v>
      </c>
      <c r="G352" t="s">
        <v>17</v>
      </c>
      <c r="I352" t="s">
        <v>16</v>
      </c>
      <c r="J352" t="s">
        <v>181</v>
      </c>
      <c r="K352" t="s">
        <v>25</v>
      </c>
      <c r="L352">
        <v>132757294</v>
      </c>
      <c r="R352">
        <v>1339</v>
      </c>
      <c r="S352" t="s">
        <v>194</v>
      </c>
      <c r="T352">
        <v>0</v>
      </c>
      <c r="U352">
        <v>22</v>
      </c>
      <c r="V352">
        <v>0</v>
      </c>
      <c r="W352">
        <v>0</v>
      </c>
      <c r="X352">
        <v>0</v>
      </c>
    </row>
    <row r="353" spans="1:24" x14ac:dyDescent="0.25">
      <c r="A353" t="s">
        <v>15</v>
      </c>
      <c r="B353" t="s">
        <v>24</v>
      </c>
      <c r="C353">
        <v>20150316</v>
      </c>
      <c r="D353">
        <v>0</v>
      </c>
      <c r="F353">
        <v>62500</v>
      </c>
      <c r="G353" t="s">
        <v>17</v>
      </c>
      <c r="I353" t="s">
        <v>16</v>
      </c>
      <c r="J353" t="s">
        <v>181</v>
      </c>
      <c r="K353" t="s">
        <v>25</v>
      </c>
      <c r="L353">
        <v>132757294</v>
      </c>
      <c r="R353">
        <v>1339</v>
      </c>
      <c r="S353" t="s">
        <v>194</v>
      </c>
      <c r="T353">
        <v>0</v>
      </c>
      <c r="U353">
        <v>22</v>
      </c>
      <c r="V353">
        <v>0</v>
      </c>
      <c r="W353">
        <v>0</v>
      </c>
      <c r="X353">
        <v>0</v>
      </c>
    </row>
    <row r="354" spans="1:24" x14ac:dyDescent="0.25">
      <c r="A354" t="s">
        <v>15</v>
      </c>
      <c r="B354" t="s">
        <v>24</v>
      </c>
      <c r="C354">
        <v>20150316</v>
      </c>
      <c r="D354">
        <v>0</v>
      </c>
      <c r="F354">
        <v>62500</v>
      </c>
      <c r="G354" t="s">
        <v>17</v>
      </c>
      <c r="I354" t="s">
        <v>16</v>
      </c>
      <c r="J354" t="s">
        <v>181</v>
      </c>
      <c r="K354" t="s">
        <v>25</v>
      </c>
      <c r="L354">
        <v>132757294</v>
      </c>
      <c r="R354">
        <v>1340</v>
      </c>
      <c r="S354" t="s">
        <v>214</v>
      </c>
      <c r="T354">
        <v>0</v>
      </c>
      <c r="U354">
        <v>21</v>
      </c>
      <c r="V354">
        <v>0</v>
      </c>
      <c r="W354">
        <v>0</v>
      </c>
      <c r="X354">
        <v>0</v>
      </c>
    </row>
    <row r="355" spans="1:24" x14ac:dyDescent="0.25">
      <c r="A355" t="s">
        <v>15</v>
      </c>
      <c r="B355" t="s">
        <v>24</v>
      </c>
      <c r="C355">
        <v>20150316</v>
      </c>
      <c r="D355">
        <v>0</v>
      </c>
      <c r="F355">
        <v>62500</v>
      </c>
      <c r="G355" t="s">
        <v>17</v>
      </c>
      <c r="I355" t="s">
        <v>16</v>
      </c>
      <c r="J355" t="s">
        <v>181</v>
      </c>
      <c r="K355" t="s">
        <v>25</v>
      </c>
      <c r="L355">
        <v>132757294</v>
      </c>
      <c r="R355">
        <v>1337</v>
      </c>
      <c r="S355" t="s">
        <v>196</v>
      </c>
      <c r="T355">
        <v>0</v>
      </c>
      <c r="U355">
        <v>24</v>
      </c>
      <c r="V355">
        <v>0</v>
      </c>
      <c r="W355">
        <v>0</v>
      </c>
      <c r="X355">
        <v>0</v>
      </c>
    </row>
    <row r="356" spans="1:24" x14ac:dyDescent="0.25">
      <c r="A356" t="s">
        <v>15</v>
      </c>
      <c r="B356" t="s">
        <v>24</v>
      </c>
      <c r="C356">
        <v>20150316</v>
      </c>
      <c r="D356">
        <v>0</v>
      </c>
      <c r="F356">
        <v>62500</v>
      </c>
      <c r="G356" t="s">
        <v>17</v>
      </c>
      <c r="I356" t="s">
        <v>16</v>
      </c>
      <c r="J356" t="s">
        <v>181</v>
      </c>
      <c r="K356" t="s">
        <v>25</v>
      </c>
      <c r="L356">
        <v>132757294</v>
      </c>
      <c r="R356">
        <v>1337</v>
      </c>
      <c r="S356" t="s">
        <v>201</v>
      </c>
      <c r="T356">
        <v>0</v>
      </c>
      <c r="U356">
        <v>24</v>
      </c>
      <c r="V356">
        <v>0</v>
      </c>
      <c r="W356">
        <v>0</v>
      </c>
      <c r="X356">
        <v>0</v>
      </c>
    </row>
    <row r="357" spans="1:24" x14ac:dyDescent="0.25">
      <c r="A357" t="s">
        <v>15</v>
      </c>
      <c r="B357" t="s">
        <v>24</v>
      </c>
      <c r="C357">
        <v>20150316</v>
      </c>
      <c r="D357">
        <v>0</v>
      </c>
      <c r="F357">
        <v>62500</v>
      </c>
      <c r="G357" t="s">
        <v>17</v>
      </c>
      <c r="I357" t="s">
        <v>16</v>
      </c>
      <c r="J357" t="s">
        <v>181</v>
      </c>
      <c r="K357" t="s">
        <v>25</v>
      </c>
      <c r="L357">
        <v>132757294</v>
      </c>
      <c r="R357">
        <v>1340</v>
      </c>
      <c r="S357" t="s">
        <v>214</v>
      </c>
      <c r="T357">
        <v>0</v>
      </c>
      <c r="U357">
        <v>21</v>
      </c>
      <c r="V357">
        <v>0</v>
      </c>
      <c r="W357">
        <v>0</v>
      </c>
      <c r="X357">
        <v>0</v>
      </c>
    </row>
    <row r="358" spans="1:24" x14ac:dyDescent="0.25">
      <c r="A358" t="s">
        <v>15</v>
      </c>
      <c r="B358" t="s">
        <v>24</v>
      </c>
      <c r="C358">
        <v>20150316</v>
      </c>
      <c r="D358">
        <v>0</v>
      </c>
      <c r="F358">
        <v>62500</v>
      </c>
      <c r="G358" t="s">
        <v>17</v>
      </c>
      <c r="I358" t="s">
        <v>16</v>
      </c>
      <c r="J358" t="s">
        <v>181</v>
      </c>
      <c r="K358" t="s">
        <v>25</v>
      </c>
      <c r="L358">
        <v>132757294</v>
      </c>
      <c r="R358">
        <v>1340</v>
      </c>
      <c r="S358" t="s">
        <v>194</v>
      </c>
      <c r="T358">
        <v>0</v>
      </c>
      <c r="U358">
        <v>21</v>
      </c>
      <c r="V358">
        <v>0</v>
      </c>
      <c r="W358">
        <v>0</v>
      </c>
      <c r="X358">
        <v>0</v>
      </c>
    </row>
    <row r="359" spans="1:24" x14ac:dyDescent="0.25">
      <c r="A359" t="s">
        <v>15</v>
      </c>
      <c r="B359" t="s">
        <v>24</v>
      </c>
      <c r="C359">
        <v>20150316</v>
      </c>
      <c r="D359">
        <v>0</v>
      </c>
      <c r="F359">
        <v>62500</v>
      </c>
      <c r="G359" t="s">
        <v>17</v>
      </c>
      <c r="I359" t="s">
        <v>16</v>
      </c>
      <c r="J359" t="s">
        <v>181</v>
      </c>
      <c r="K359" t="s">
        <v>25</v>
      </c>
      <c r="L359">
        <v>132757294</v>
      </c>
      <c r="R359">
        <v>1340</v>
      </c>
      <c r="S359" t="s">
        <v>194</v>
      </c>
      <c r="T359">
        <v>0</v>
      </c>
      <c r="U359">
        <v>21</v>
      </c>
      <c r="V359">
        <v>0</v>
      </c>
      <c r="W359">
        <v>0</v>
      </c>
      <c r="X359">
        <v>0</v>
      </c>
    </row>
    <row r="360" spans="1:24" x14ac:dyDescent="0.25">
      <c r="A360" t="s">
        <v>15</v>
      </c>
      <c r="B360" t="s">
        <v>24</v>
      </c>
      <c r="C360">
        <v>20150316</v>
      </c>
      <c r="D360">
        <v>0</v>
      </c>
      <c r="F360">
        <v>62500</v>
      </c>
      <c r="G360" t="s">
        <v>17</v>
      </c>
      <c r="I360" t="s">
        <v>16</v>
      </c>
      <c r="J360" t="s">
        <v>181</v>
      </c>
      <c r="K360" t="s">
        <v>25</v>
      </c>
      <c r="L360">
        <v>132757294</v>
      </c>
      <c r="R360">
        <v>1340</v>
      </c>
      <c r="S360" t="s">
        <v>194</v>
      </c>
      <c r="T360">
        <v>0</v>
      </c>
      <c r="U360">
        <v>21</v>
      </c>
      <c r="V360">
        <v>0</v>
      </c>
      <c r="W360">
        <v>0</v>
      </c>
      <c r="X360">
        <v>0</v>
      </c>
    </row>
    <row r="361" spans="1:24" x14ac:dyDescent="0.25">
      <c r="A361" t="s">
        <v>15</v>
      </c>
      <c r="B361" t="s">
        <v>24</v>
      </c>
      <c r="C361">
        <v>20150316</v>
      </c>
      <c r="D361">
        <v>0</v>
      </c>
      <c r="F361">
        <v>62500</v>
      </c>
      <c r="G361" t="s">
        <v>17</v>
      </c>
      <c r="I361" t="s">
        <v>16</v>
      </c>
      <c r="J361" t="s">
        <v>181</v>
      </c>
      <c r="K361" t="s">
        <v>25</v>
      </c>
      <c r="L361">
        <v>132757294</v>
      </c>
      <c r="R361">
        <v>1341</v>
      </c>
      <c r="S361" t="s">
        <v>214</v>
      </c>
      <c r="T361">
        <v>0</v>
      </c>
      <c r="U361">
        <v>24</v>
      </c>
      <c r="V361">
        <v>0</v>
      </c>
      <c r="W361">
        <v>0</v>
      </c>
      <c r="X361">
        <v>0</v>
      </c>
    </row>
    <row r="362" spans="1:24" x14ac:dyDescent="0.25">
      <c r="A362" t="s">
        <v>15</v>
      </c>
      <c r="B362" t="s">
        <v>24</v>
      </c>
      <c r="C362">
        <v>20150316</v>
      </c>
      <c r="D362">
        <v>0</v>
      </c>
      <c r="F362">
        <v>62500</v>
      </c>
      <c r="G362" t="s">
        <v>17</v>
      </c>
      <c r="I362" t="s">
        <v>16</v>
      </c>
      <c r="J362" t="s">
        <v>181</v>
      </c>
      <c r="K362" t="s">
        <v>25</v>
      </c>
      <c r="L362">
        <v>132757294</v>
      </c>
      <c r="R362">
        <v>1340</v>
      </c>
      <c r="S362" t="s">
        <v>196</v>
      </c>
      <c r="T362">
        <v>0</v>
      </c>
      <c r="U362">
        <v>21</v>
      </c>
      <c r="V362">
        <v>0</v>
      </c>
      <c r="W362">
        <v>0</v>
      </c>
      <c r="X362">
        <v>0</v>
      </c>
    </row>
    <row r="363" spans="1:24" x14ac:dyDescent="0.25">
      <c r="A363" t="s">
        <v>15</v>
      </c>
      <c r="B363" t="s">
        <v>24</v>
      </c>
      <c r="C363">
        <v>20150316</v>
      </c>
      <c r="D363">
        <v>0</v>
      </c>
      <c r="F363">
        <v>62500</v>
      </c>
      <c r="G363" t="s">
        <v>17</v>
      </c>
      <c r="I363" t="s">
        <v>16</v>
      </c>
      <c r="J363" t="s">
        <v>181</v>
      </c>
      <c r="K363" t="s">
        <v>25</v>
      </c>
      <c r="L363">
        <v>132757294</v>
      </c>
      <c r="R363">
        <v>1340</v>
      </c>
      <c r="S363" t="s">
        <v>201</v>
      </c>
      <c r="T363">
        <v>0</v>
      </c>
      <c r="U363">
        <v>21</v>
      </c>
      <c r="V363">
        <v>0</v>
      </c>
      <c r="W363">
        <v>0</v>
      </c>
      <c r="X363">
        <v>0</v>
      </c>
    </row>
    <row r="364" spans="1:24" x14ac:dyDescent="0.25">
      <c r="A364" t="s">
        <v>15</v>
      </c>
      <c r="B364" t="s">
        <v>24</v>
      </c>
      <c r="C364">
        <v>20150316</v>
      </c>
      <c r="D364">
        <v>0</v>
      </c>
      <c r="F364">
        <v>62500</v>
      </c>
      <c r="G364" t="s">
        <v>17</v>
      </c>
      <c r="I364" t="s">
        <v>16</v>
      </c>
      <c r="J364" t="s">
        <v>181</v>
      </c>
      <c r="K364" t="s">
        <v>25</v>
      </c>
      <c r="L364">
        <v>132757294</v>
      </c>
      <c r="R364">
        <v>1341</v>
      </c>
      <c r="S364" t="s">
        <v>214</v>
      </c>
      <c r="T364">
        <v>0</v>
      </c>
      <c r="U364">
        <v>24</v>
      </c>
      <c r="V364">
        <v>0</v>
      </c>
      <c r="W364">
        <v>0</v>
      </c>
      <c r="X364">
        <v>0</v>
      </c>
    </row>
    <row r="365" spans="1:24" x14ac:dyDescent="0.25">
      <c r="A365" t="s">
        <v>15</v>
      </c>
      <c r="B365" t="s">
        <v>24</v>
      </c>
      <c r="C365">
        <v>20150316</v>
      </c>
      <c r="D365">
        <v>0</v>
      </c>
      <c r="F365">
        <v>62500</v>
      </c>
      <c r="G365" t="s">
        <v>17</v>
      </c>
      <c r="I365" t="s">
        <v>16</v>
      </c>
      <c r="J365" t="s">
        <v>181</v>
      </c>
      <c r="K365" t="s">
        <v>25</v>
      </c>
      <c r="L365">
        <v>132757294</v>
      </c>
      <c r="R365">
        <v>1341</v>
      </c>
      <c r="S365" t="s">
        <v>194</v>
      </c>
      <c r="T365">
        <v>0</v>
      </c>
      <c r="U365">
        <v>24</v>
      </c>
      <c r="V365">
        <v>0</v>
      </c>
      <c r="W365">
        <v>0</v>
      </c>
      <c r="X365">
        <v>0</v>
      </c>
    </row>
    <row r="366" spans="1:24" x14ac:dyDescent="0.25">
      <c r="A366" t="s">
        <v>15</v>
      </c>
      <c r="B366" t="s">
        <v>24</v>
      </c>
      <c r="C366">
        <v>20150316</v>
      </c>
      <c r="D366">
        <v>0</v>
      </c>
      <c r="F366">
        <v>62500</v>
      </c>
      <c r="G366" t="s">
        <v>17</v>
      </c>
      <c r="I366" t="s">
        <v>16</v>
      </c>
      <c r="J366" t="s">
        <v>181</v>
      </c>
      <c r="K366" t="s">
        <v>25</v>
      </c>
      <c r="L366">
        <v>132757294</v>
      </c>
      <c r="R366">
        <v>1341</v>
      </c>
      <c r="S366" t="s">
        <v>194</v>
      </c>
      <c r="T366">
        <v>0</v>
      </c>
      <c r="U366">
        <v>24</v>
      </c>
      <c r="V366">
        <v>0</v>
      </c>
      <c r="W366">
        <v>0</v>
      </c>
      <c r="X366">
        <v>0</v>
      </c>
    </row>
    <row r="367" spans="1:24" x14ac:dyDescent="0.25">
      <c r="A367" t="s">
        <v>15</v>
      </c>
      <c r="B367" t="s">
        <v>24</v>
      </c>
      <c r="C367">
        <v>20150316</v>
      </c>
      <c r="D367">
        <v>0</v>
      </c>
      <c r="F367">
        <v>62500</v>
      </c>
      <c r="G367" t="s">
        <v>17</v>
      </c>
      <c r="I367" t="s">
        <v>16</v>
      </c>
      <c r="J367" t="s">
        <v>181</v>
      </c>
      <c r="K367" t="s">
        <v>25</v>
      </c>
      <c r="L367">
        <v>132757294</v>
      </c>
      <c r="R367">
        <v>1341</v>
      </c>
      <c r="S367" t="s">
        <v>194</v>
      </c>
      <c r="T367">
        <v>0</v>
      </c>
      <c r="U367">
        <v>24</v>
      </c>
      <c r="V367">
        <v>0</v>
      </c>
      <c r="W367">
        <v>0</v>
      </c>
      <c r="X367">
        <v>0</v>
      </c>
    </row>
    <row r="368" spans="1:24" x14ac:dyDescent="0.25">
      <c r="A368" t="s">
        <v>15</v>
      </c>
      <c r="B368" t="s">
        <v>24</v>
      </c>
      <c r="C368">
        <v>20150316</v>
      </c>
      <c r="D368">
        <v>0</v>
      </c>
      <c r="F368">
        <v>62500</v>
      </c>
      <c r="G368" t="s">
        <v>17</v>
      </c>
      <c r="I368" t="s">
        <v>16</v>
      </c>
      <c r="J368" t="s">
        <v>181</v>
      </c>
      <c r="K368" t="s">
        <v>25</v>
      </c>
      <c r="L368">
        <v>132757294</v>
      </c>
      <c r="R368">
        <v>1342</v>
      </c>
      <c r="S368" t="s">
        <v>214</v>
      </c>
      <c r="T368">
        <v>0</v>
      </c>
      <c r="U368">
        <v>-25</v>
      </c>
      <c r="V368">
        <v>0</v>
      </c>
      <c r="W368">
        <v>0</v>
      </c>
      <c r="X368">
        <v>0</v>
      </c>
    </row>
    <row r="369" spans="1:24" x14ac:dyDescent="0.25">
      <c r="A369" t="s">
        <v>15</v>
      </c>
      <c r="B369" t="s">
        <v>24</v>
      </c>
      <c r="C369">
        <v>20150316</v>
      </c>
      <c r="D369">
        <v>0</v>
      </c>
      <c r="F369">
        <v>62500</v>
      </c>
      <c r="G369" t="s">
        <v>17</v>
      </c>
      <c r="I369" t="s">
        <v>16</v>
      </c>
      <c r="J369" t="s">
        <v>181</v>
      </c>
      <c r="K369" t="s">
        <v>25</v>
      </c>
      <c r="L369">
        <v>132757294</v>
      </c>
      <c r="R369">
        <v>1339</v>
      </c>
      <c r="S369" t="s">
        <v>196</v>
      </c>
      <c r="T369">
        <v>0</v>
      </c>
      <c r="U369">
        <v>22</v>
      </c>
      <c r="V369">
        <v>0</v>
      </c>
      <c r="W369">
        <v>0</v>
      </c>
      <c r="X369">
        <v>0</v>
      </c>
    </row>
    <row r="370" spans="1:24" x14ac:dyDescent="0.25">
      <c r="A370" t="s">
        <v>15</v>
      </c>
      <c r="B370" t="s">
        <v>24</v>
      </c>
      <c r="C370">
        <v>20150316</v>
      </c>
      <c r="D370">
        <v>0</v>
      </c>
      <c r="F370">
        <v>62500</v>
      </c>
      <c r="G370" t="s">
        <v>17</v>
      </c>
      <c r="I370" t="s">
        <v>16</v>
      </c>
      <c r="J370" t="s">
        <v>181</v>
      </c>
      <c r="K370" t="s">
        <v>25</v>
      </c>
      <c r="L370">
        <v>132757294</v>
      </c>
      <c r="R370">
        <v>1339</v>
      </c>
      <c r="S370" t="s">
        <v>201</v>
      </c>
      <c r="T370">
        <v>0</v>
      </c>
      <c r="U370">
        <v>22</v>
      </c>
      <c r="V370">
        <v>0</v>
      </c>
      <c r="W370">
        <v>0</v>
      </c>
      <c r="X370">
        <v>0</v>
      </c>
    </row>
    <row r="371" spans="1:24" x14ac:dyDescent="0.25">
      <c r="A371" t="s">
        <v>15</v>
      </c>
      <c r="B371" t="s">
        <v>24</v>
      </c>
      <c r="C371">
        <v>20150316</v>
      </c>
      <c r="D371">
        <v>0</v>
      </c>
      <c r="F371">
        <v>62500</v>
      </c>
      <c r="G371" t="s">
        <v>17</v>
      </c>
      <c r="I371" t="s">
        <v>16</v>
      </c>
      <c r="J371" t="s">
        <v>181</v>
      </c>
      <c r="K371" t="s">
        <v>25</v>
      </c>
      <c r="L371">
        <v>132757294</v>
      </c>
      <c r="R371">
        <v>1342</v>
      </c>
      <c r="S371" t="s">
        <v>214</v>
      </c>
      <c r="T371">
        <v>0</v>
      </c>
      <c r="U371">
        <v>-25</v>
      </c>
      <c r="V371">
        <v>0</v>
      </c>
      <c r="W371">
        <v>0</v>
      </c>
      <c r="X371">
        <v>0</v>
      </c>
    </row>
    <row r="372" spans="1:24" x14ac:dyDescent="0.25">
      <c r="A372" t="s">
        <v>15</v>
      </c>
      <c r="B372" t="s">
        <v>24</v>
      </c>
      <c r="C372">
        <v>20150316</v>
      </c>
      <c r="D372">
        <v>0</v>
      </c>
      <c r="F372">
        <v>62500</v>
      </c>
      <c r="G372" t="s">
        <v>17</v>
      </c>
      <c r="I372" t="s">
        <v>16</v>
      </c>
      <c r="J372" t="s">
        <v>181</v>
      </c>
      <c r="K372" t="s">
        <v>25</v>
      </c>
      <c r="L372">
        <v>132757294</v>
      </c>
      <c r="R372">
        <v>1342</v>
      </c>
      <c r="S372" t="s">
        <v>194</v>
      </c>
      <c r="T372">
        <v>0</v>
      </c>
      <c r="U372">
        <v>25</v>
      </c>
      <c r="V372">
        <v>0</v>
      </c>
      <c r="W372">
        <v>0</v>
      </c>
      <c r="X372">
        <v>0</v>
      </c>
    </row>
    <row r="373" spans="1:24" x14ac:dyDescent="0.25">
      <c r="A373" t="s">
        <v>15</v>
      </c>
      <c r="B373" t="s">
        <v>24</v>
      </c>
      <c r="C373">
        <v>20150316</v>
      </c>
      <c r="D373">
        <v>0</v>
      </c>
      <c r="F373">
        <v>62500</v>
      </c>
      <c r="G373" t="s">
        <v>17</v>
      </c>
      <c r="I373" t="s">
        <v>16</v>
      </c>
      <c r="J373" t="s">
        <v>181</v>
      </c>
      <c r="K373" t="s">
        <v>25</v>
      </c>
      <c r="L373">
        <v>132757294</v>
      </c>
      <c r="R373">
        <v>1342</v>
      </c>
      <c r="S373" t="s">
        <v>194</v>
      </c>
      <c r="T373">
        <v>0</v>
      </c>
      <c r="U373">
        <v>25</v>
      </c>
      <c r="V373">
        <v>0</v>
      </c>
      <c r="W373">
        <v>0</v>
      </c>
      <c r="X373">
        <v>0</v>
      </c>
    </row>
    <row r="374" spans="1:24" x14ac:dyDescent="0.25">
      <c r="A374" t="s">
        <v>15</v>
      </c>
      <c r="B374" t="s">
        <v>24</v>
      </c>
      <c r="C374">
        <v>20150316</v>
      </c>
      <c r="D374">
        <v>0</v>
      </c>
      <c r="F374">
        <v>62500</v>
      </c>
      <c r="G374" t="s">
        <v>17</v>
      </c>
      <c r="I374" t="s">
        <v>16</v>
      </c>
      <c r="J374" t="s">
        <v>181</v>
      </c>
      <c r="K374" t="s">
        <v>25</v>
      </c>
      <c r="L374">
        <v>132757294</v>
      </c>
      <c r="R374">
        <v>1342</v>
      </c>
      <c r="S374" t="s">
        <v>194</v>
      </c>
      <c r="T374">
        <v>0</v>
      </c>
      <c r="U374">
        <v>25</v>
      </c>
      <c r="V374">
        <v>0</v>
      </c>
      <c r="W374">
        <v>0</v>
      </c>
      <c r="X374">
        <v>0</v>
      </c>
    </row>
    <row r="375" spans="1:24" x14ac:dyDescent="0.25">
      <c r="A375" t="s">
        <v>15</v>
      </c>
      <c r="B375" t="s">
        <v>24</v>
      </c>
      <c r="C375">
        <v>20150316</v>
      </c>
      <c r="D375">
        <v>0</v>
      </c>
      <c r="F375">
        <v>62500</v>
      </c>
      <c r="G375" t="s">
        <v>17</v>
      </c>
      <c r="I375" t="s">
        <v>16</v>
      </c>
      <c r="J375" t="s">
        <v>181</v>
      </c>
      <c r="K375" t="s">
        <v>25</v>
      </c>
      <c r="L375">
        <v>132757294</v>
      </c>
      <c r="R375">
        <v>1343</v>
      </c>
      <c r="S375" t="s">
        <v>214</v>
      </c>
      <c r="T375">
        <v>0</v>
      </c>
      <c r="U375">
        <v>-22</v>
      </c>
      <c r="V375">
        <v>0</v>
      </c>
      <c r="W375">
        <v>0</v>
      </c>
      <c r="X375">
        <v>0</v>
      </c>
    </row>
    <row r="376" spans="1:24" x14ac:dyDescent="0.25">
      <c r="A376" t="s">
        <v>15</v>
      </c>
      <c r="B376" t="s">
        <v>24</v>
      </c>
      <c r="C376">
        <v>20150316</v>
      </c>
      <c r="D376">
        <v>0</v>
      </c>
      <c r="F376">
        <v>62500</v>
      </c>
      <c r="G376" t="s">
        <v>17</v>
      </c>
      <c r="I376" t="s">
        <v>16</v>
      </c>
      <c r="J376" t="s">
        <v>181</v>
      </c>
      <c r="K376" t="s">
        <v>25</v>
      </c>
      <c r="L376">
        <v>132757294</v>
      </c>
      <c r="R376">
        <v>1342</v>
      </c>
      <c r="S376" t="s">
        <v>196</v>
      </c>
      <c r="T376">
        <v>0</v>
      </c>
      <c r="U376">
        <v>25</v>
      </c>
      <c r="V376">
        <v>0</v>
      </c>
      <c r="W376">
        <v>0</v>
      </c>
      <c r="X376">
        <v>0</v>
      </c>
    </row>
    <row r="377" spans="1:24" x14ac:dyDescent="0.25">
      <c r="A377" t="s">
        <v>15</v>
      </c>
      <c r="B377" t="s">
        <v>24</v>
      </c>
      <c r="C377">
        <v>20150316</v>
      </c>
      <c r="D377">
        <v>0</v>
      </c>
      <c r="F377">
        <v>62500</v>
      </c>
      <c r="G377" t="s">
        <v>17</v>
      </c>
      <c r="I377" t="s">
        <v>16</v>
      </c>
      <c r="J377" t="s">
        <v>181</v>
      </c>
      <c r="K377" t="s">
        <v>25</v>
      </c>
      <c r="L377">
        <v>132757294</v>
      </c>
      <c r="R377">
        <v>1342</v>
      </c>
      <c r="S377" t="s">
        <v>201</v>
      </c>
      <c r="T377">
        <v>0</v>
      </c>
      <c r="U377">
        <v>25</v>
      </c>
      <c r="V377">
        <v>0</v>
      </c>
      <c r="W377">
        <v>0</v>
      </c>
      <c r="X377">
        <v>0</v>
      </c>
    </row>
    <row r="378" spans="1:24" x14ac:dyDescent="0.25">
      <c r="A378" t="s">
        <v>15</v>
      </c>
      <c r="B378" t="s">
        <v>24</v>
      </c>
      <c r="C378">
        <v>20150316</v>
      </c>
      <c r="D378">
        <v>0</v>
      </c>
      <c r="F378">
        <v>62500</v>
      </c>
      <c r="G378" t="s">
        <v>17</v>
      </c>
      <c r="I378" t="s">
        <v>16</v>
      </c>
      <c r="J378" t="s">
        <v>181</v>
      </c>
      <c r="K378" t="s">
        <v>25</v>
      </c>
      <c r="L378">
        <v>132757294</v>
      </c>
      <c r="R378">
        <v>1343</v>
      </c>
      <c r="S378" t="s">
        <v>214</v>
      </c>
      <c r="T378">
        <v>0</v>
      </c>
      <c r="U378">
        <v>-22</v>
      </c>
      <c r="V378">
        <v>0</v>
      </c>
      <c r="W378">
        <v>0</v>
      </c>
      <c r="X378">
        <v>0</v>
      </c>
    </row>
    <row r="379" spans="1:24" x14ac:dyDescent="0.25">
      <c r="A379" t="s">
        <v>15</v>
      </c>
      <c r="B379" t="s">
        <v>24</v>
      </c>
      <c r="C379">
        <v>20150316</v>
      </c>
      <c r="D379">
        <v>0</v>
      </c>
      <c r="F379">
        <v>62500</v>
      </c>
      <c r="G379" t="s">
        <v>17</v>
      </c>
      <c r="I379" t="s">
        <v>16</v>
      </c>
      <c r="J379" t="s">
        <v>181</v>
      </c>
      <c r="K379" t="s">
        <v>25</v>
      </c>
      <c r="L379">
        <v>132757294</v>
      </c>
      <c r="R379">
        <v>1343</v>
      </c>
      <c r="S379" t="s">
        <v>194</v>
      </c>
      <c r="T379">
        <v>0</v>
      </c>
      <c r="U379">
        <v>22</v>
      </c>
      <c r="V379">
        <v>0</v>
      </c>
      <c r="W379">
        <v>0</v>
      </c>
      <c r="X379">
        <v>0</v>
      </c>
    </row>
    <row r="380" spans="1:24" x14ac:dyDescent="0.25">
      <c r="A380" t="s">
        <v>15</v>
      </c>
      <c r="B380" t="s">
        <v>24</v>
      </c>
      <c r="C380">
        <v>20150316</v>
      </c>
      <c r="D380">
        <v>0</v>
      </c>
      <c r="F380">
        <v>62500</v>
      </c>
      <c r="G380" t="s">
        <v>17</v>
      </c>
      <c r="I380" t="s">
        <v>16</v>
      </c>
      <c r="J380" t="s">
        <v>181</v>
      </c>
      <c r="K380" t="s">
        <v>25</v>
      </c>
      <c r="L380">
        <v>132757294</v>
      </c>
      <c r="R380">
        <v>1343</v>
      </c>
      <c r="S380" t="s">
        <v>194</v>
      </c>
      <c r="T380">
        <v>0</v>
      </c>
      <c r="U380">
        <v>22</v>
      </c>
      <c r="V380">
        <v>0</v>
      </c>
      <c r="W380">
        <v>0</v>
      </c>
      <c r="X380">
        <v>0</v>
      </c>
    </row>
    <row r="381" spans="1:24" x14ac:dyDescent="0.25">
      <c r="A381" t="s">
        <v>15</v>
      </c>
      <c r="B381" t="s">
        <v>24</v>
      </c>
      <c r="C381">
        <v>20150316</v>
      </c>
      <c r="D381">
        <v>0</v>
      </c>
      <c r="F381">
        <v>62500</v>
      </c>
      <c r="G381" t="s">
        <v>17</v>
      </c>
      <c r="I381" t="s">
        <v>16</v>
      </c>
      <c r="J381" t="s">
        <v>181</v>
      </c>
      <c r="K381" t="s">
        <v>25</v>
      </c>
      <c r="L381">
        <v>132757294</v>
      </c>
      <c r="R381">
        <v>1343</v>
      </c>
      <c r="S381" t="s">
        <v>194</v>
      </c>
      <c r="T381">
        <v>0</v>
      </c>
      <c r="U381">
        <v>22</v>
      </c>
      <c r="V381">
        <v>0</v>
      </c>
      <c r="W381">
        <v>0</v>
      </c>
      <c r="X381">
        <v>0</v>
      </c>
    </row>
    <row r="382" spans="1:24" x14ac:dyDescent="0.25">
      <c r="A382" t="s">
        <v>15</v>
      </c>
      <c r="B382" t="s">
        <v>24</v>
      </c>
      <c r="C382">
        <v>20150316</v>
      </c>
      <c r="D382">
        <v>0</v>
      </c>
      <c r="F382">
        <v>62500</v>
      </c>
      <c r="G382" t="s">
        <v>17</v>
      </c>
      <c r="I382" t="s">
        <v>16</v>
      </c>
      <c r="J382" t="s">
        <v>181</v>
      </c>
      <c r="K382" t="s">
        <v>25</v>
      </c>
      <c r="L382">
        <v>132757294</v>
      </c>
      <c r="R382">
        <v>1344</v>
      </c>
      <c r="S382" t="s">
        <v>214</v>
      </c>
      <c r="T382">
        <v>0</v>
      </c>
      <c r="U382">
        <v>19</v>
      </c>
      <c r="V382">
        <v>0</v>
      </c>
      <c r="W382">
        <v>0</v>
      </c>
      <c r="X382">
        <v>0</v>
      </c>
    </row>
    <row r="383" spans="1:24" x14ac:dyDescent="0.25">
      <c r="A383" t="s">
        <v>15</v>
      </c>
      <c r="B383" t="s">
        <v>24</v>
      </c>
      <c r="C383">
        <v>20150316</v>
      </c>
      <c r="D383">
        <v>0</v>
      </c>
      <c r="F383">
        <v>62500</v>
      </c>
      <c r="G383" t="s">
        <v>17</v>
      </c>
      <c r="I383" t="s">
        <v>16</v>
      </c>
      <c r="J383" t="s">
        <v>181</v>
      </c>
      <c r="K383" t="s">
        <v>25</v>
      </c>
      <c r="L383">
        <v>132757294</v>
      </c>
      <c r="R383">
        <v>1341</v>
      </c>
      <c r="S383" t="s">
        <v>196</v>
      </c>
      <c r="T383">
        <v>0</v>
      </c>
      <c r="U383">
        <v>24</v>
      </c>
      <c r="V383">
        <v>0</v>
      </c>
      <c r="W383">
        <v>0</v>
      </c>
      <c r="X383">
        <v>0</v>
      </c>
    </row>
    <row r="384" spans="1:24" x14ac:dyDescent="0.25">
      <c r="A384" t="s">
        <v>15</v>
      </c>
      <c r="B384" t="s">
        <v>24</v>
      </c>
      <c r="C384">
        <v>20150316</v>
      </c>
      <c r="D384">
        <v>0</v>
      </c>
      <c r="F384">
        <v>62500</v>
      </c>
      <c r="G384" t="s">
        <v>17</v>
      </c>
      <c r="I384" t="s">
        <v>16</v>
      </c>
      <c r="J384" t="s">
        <v>181</v>
      </c>
      <c r="K384" t="s">
        <v>25</v>
      </c>
      <c r="L384">
        <v>132757294</v>
      </c>
      <c r="R384">
        <v>1341</v>
      </c>
      <c r="S384" t="s">
        <v>201</v>
      </c>
      <c r="T384">
        <v>0</v>
      </c>
      <c r="U384">
        <v>24</v>
      </c>
      <c r="V384">
        <v>0</v>
      </c>
      <c r="W384">
        <v>0</v>
      </c>
      <c r="X384">
        <v>0</v>
      </c>
    </row>
    <row r="385" spans="1:24" x14ac:dyDescent="0.25">
      <c r="A385" t="s">
        <v>15</v>
      </c>
      <c r="B385" t="s">
        <v>24</v>
      </c>
      <c r="C385">
        <v>20150316</v>
      </c>
      <c r="D385">
        <v>0</v>
      </c>
      <c r="F385">
        <v>62500</v>
      </c>
      <c r="G385" t="s">
        <v>17</v>
      </c>
      <c r="I385" t="s">
        <v>16</v>
      </c>
      <c r="J385" t="s">
        <v>181</v>
      </c>
      <c r="K385" t="s">
        <v>25</v>
      </c>
      <c r="L385">
        <v>132757294</v>
      </c>
      <c r="R385">
        <v>1344</v>
      </c>
      <c r="S385" t="s">
        <v>214</v>
      </c>
      <c r="T385">
        <v>0</v>
      </c>
      <c r="U385">
        <v>19</v>
      </c>
      <c r="V385">
        <v>0</v>
      </c>
      <c r="W385">
        <v>0</v>
      </c>
      <c r="X385">
        <v>0</v>
      </c>
    </row>
    <row r="386" spans="1:24" x14ac:dyDescent="0.25">
      <c r="A386" t="s">
        <v>15</v>
      </c>
      <c r="B386" t="s">
        <v>24</v>
      </c>
      <c r="C386">
        <v>20150316</v>
      </c>
      <c r="D386">
        <v>0</v>
      </c>
      <c r="F386">
        <v>62500</v>
      </c>
      <c r="G386" t="s">
        <v>17</v>
      </c>
      <c r="I386" t="s">
        <v>16</v>
      </c>
      <c r="J386" t="s">
        <v>181</v>
      </c>
      <c r="K386" t="s">
        <v>25</v>
      </c>
      <c r="L386">
        <v>132757294</v>
      </c>
      <c r="R386">
        <v>1344</v>
      </c>
      <c r="S386" t="s">
        <v>194</v>
      </c>
      <c r="T386">
        <v>0</v>
      </c>
      <c r="U386">
        <v>19</v>
      </c>
      <c r="V386">
        <v>0</v>
      </c>
      <c r="W386">
        <v>0</v>
      </c>
      <c r="X386">
        <v>0</v>
      </c>
    </row>
    <row r="387" spans="1:24" x14ac:dyDescent="0.25">
      <c r="A387" t="s">
        <v>15</v>
      </c>
      <c r="B387" t="s">
        <v>24</v>
      </c>
      <c r="C387">
        <v>20150316</v>
      </c>
      <c r="D387">
        <v>0</v>
      </c>
      <c r="F387">
        <v>62500</v>
      </c>
      <c r="G387" t="s">
        <v>17</v>
      </c>
      <c r="I387" t="s">
        <v>16</v>
      </c>
      <c r="J387" t="s">
        <v>181</v>
      </c>
      <c r="K387" t="s">
        <v>25</v>
      </c>
      <c r="L387">
        <v>132757294</v>
      </c>
      <c r="R387">
        <v>1343</v>
      </c>
      <c r="S387" t="s">
        <v>196</v>
      </c>
      <c r="T387">
        <v>0</v>
      </c>
      <c r="U387">
        <v>22</v>
      </c>
      <c r="V387">
        <v>0</v>
      </c>
      <c r="W387">
        <v>0</v>
      </c>
      <c r="X387">
        <v>0</v>
      </c>
    </row>
    <row r="388" spans="1:24" x14ac:dyDescent="0.25">
      <c r="A388" t="s">
        <v>15</v>
      </c>
      <c r="B388" t="s">
        <v>24</v>
      </c>
      <c r="C388">
        <v>20150316</v>
      </c>
      <c r="D388">
        <v>0</v>
      </c>
      <c r="F388">
        <v>62500</v>
      </c>
      <c r="G388" t="s">
        <v>17</v>
      </c>
      <c r="I388" t="s">
        <v>16</v>
      </c>
      <c r="J388" t="s">
        <v>181</v>
      </c>
      <c r="K388" t="s">
        <v>25</v>
      </c>
      <c r="L388">
        <v>132757294</v>
      </c>
      <c r="R388">
        <v>1343</v>
      </c>
      <c r="S388" t="s">
        <v>201</v>
      </c>
      <c r="T388">
        <v>0</v>
      </c>
      <c r="U388">
        <v>22</v>
      </c>
      <c r="V388">
        <v>0</v>
      </c>
      <c r="W388">
        <v>0</v>
      </c>
      <c r="X388">
        <v>0</v>
      </c>
    </row>
    <row r="389" spans="1:24" x14ac:dyDescent="0.25">
      <c r="A389" t="s">
        <v>15</v>
      </c>
      <c r="B389" t="s">
        <v>24</v>
      </c>
      <c r="C389">
        <v>20150316</v>
      </c>
      <c r="D389">
        <v>0</v>
      </c>
      <c r="F389">
        <v>62500</v>
      </c>
      <c r="G389" t="s">
        <v>17</v>
      </c>
      <c r="I389" t="s">
        <v>16</v>
      </c>
      <c r="J389" t="s">
        <v>181</v>
      </c>
      <c r="K389" t="s">
        <v>25</v>
      </c>
      <c r="L389">
        <v>132757294</v>
      </c>
      <c r="R389">
        <v>1344</v>
      </c>
      <c r="S389" t="s">
        <v>194</v>
      </c>
      <c r="T389">
        <v>0</v>
      </c>
      <c r="U389">
        <v>19</v>
      </c>
      <c r="V389">
        <v>0</v>
      </c>
      <c r="W389">
        <v>0</v>
      </c>
      <c r="X389">
        <v>0</v>
      </c>
    </row>
    <row r="390" spans="1:24" x14ac:dyDescent="0.25">
      <c r="A390" t="s">
        <v>15</v>
      </c>
      <c r="B390" t="s">
        <v>24</v>
      </c>
      <c r="C390">
        <v>20150316</v>
      </c>
      <c r="D390">
        <v>0</v>
      </c>
      <c r="F390">
        <v>62500</v>
      </c>
      <c r="G390" t="s">
        <v>17</v>
      </c>
      <c r="I390" t="s">
        <v>16</v>
      </c>
      <c r="J390" t="s">
        <v>181</v>
      </c>
      <c r="K390" t="s">
        <v>25</v>
      </c>
      <c r="L390">
        <v>132757294</v>
      </c>
      <c r="R390">
        <v>1344</v>
      </c>
      <c r="S390" t="s">
        <v>194</v>
      </c>
      <c r="T390">
        <v>0</v>
      </c>
      <c r="U390">
        <v>19</v>
      </c>
      <c r="V390">
        <v>0</v>
      </c>
      <c r="W390">
        <v>0</v>
      </c>
      <c r="X390">
        <v>0</v>
      </c>
    </row>
    <row r="391" spans="1:24" x14ac:dyDescent="0.25">
      <c r="A391" t="s">
        <v>15</v>
      </c>
      <c r="B391" t="s">
        <v>24</v>
      </c>
      <c r="C391">
        <v>20150316</v>
      </c>
      <c r="D391">
        <v>0</v>
      </c>
      <c r="F391">
        <v>62500</v>
      </c>
      <c r="G391" t="s">
        <v>17</v>
      </c>
      <c r="I391" t="s">
        <v>16</v>
      </c>
      <c r="J391" t="s">
        <v>181</v>
      </c>
      <c r="K391" t="s">
        <v>25</v>
      </c>
      <c r="L391">
        <v>132757294</v>
      </c>
      <c r="R391">
        <v>1345</v>
      </c>
      <c r="S391" t="s">
        <v>214</v>
      </c>
      <c r="T391">
        <v>0</v>
      </c>
      <c r="U391">
        <v>24</v>
      </c>
      <c r="V391">
        <v>0</v>
      </c>
      <c r="W391">
        <v>0</v>
      </c>
      <c r="X391">
        <v>0</v>
      </c>
    </row>
    <row r="392" spans="1:24" x14ac:dyDescent="0.25">
      <c r="A392" t="s">
        <v>15</v>
      </c>
      <c r="B392" t="s">
        <v>24</v>
      </c>
      <c r="C392">
        <v>20150316</v>
      </c>
      <c r="D392">
        <v>0</v>
      </c>
      <c r="F392">
        <v>62500</v>
      </c>
      <c r="G392" t="s">
        <v>17</v>
      </c>
      <c r="I392" t="s">
        <v>16</v>
      </c>
      <c r="J392" t="s">
        <v>181</v>
      </c>
      <c r="K392" t="s">
        <v>25</v>
      </c>
      <c r="L392">
        <v>132757294</v>
      </c>
      <c r="R392">
        <v>1344</v>
      </c>
      <c r="S392" t="s">
        <v>196</v>
      </c>
      <c r="T392">
        <v>0</v>
      </c>
      <c r="U392">
        <v>19</v>
      </c>
      <c r="V392">
        <v>0</v>
      </c>
      <c r="W392">
        <v>0</v>
      </c>
      <c r="X392">
        <v>0</v>
      </c>
    </row>
    <row r="393" spans="1:24" x14ac:dyDescent="0.25">
      <c r="A393" t="s">
        <v>15</v>
      </c>
      <c r="B393" t="s">
        <v>24</v>
      </c>
      <c r="C393">
        <v>20150316</v>
      </c>
      <c r="D393">
        <v>0</v>
      </c>
      <c r="F393">
        <v>62500</v>
      </c>
      <c r="G393" t="s">
        <v>17</v>
      </c>
      <c r="I393" t="s">
        <v>16</v>
      </c>
      <c r="J393" t="s">
        <v>181</v>
      </c>
      <c r="K393" t="s">
        <v>25</v>
      </c>
      <c r="L393">
        <v>132757294</v>
      </c>
      <c r="R393">
        <v>1344</v>
      </c>
      <c r="S393" t="s">
        <v>201</v>
      </c>
      <c r="T393">
        <v>0</v>
      </c>
      <c r="U393">
        <v>19</v>
      </c>
      <c r="V393">
        <v>0</v>
      </c>
      <c r="W393">
        <v>0</v>
      </c>
      <c r="X393">
        <v>0</v>
      </c>
    </row>
    <row r="394" spans="1:24" x14ac:dyDescent="0.25">
      <c r="A394" t="s">
        <v>15</v>
      </c>
      <c r="B394" t="s">
        <v>24</v>
      </c>
      <c r="C394">
        <v>20150316</v>
      </c>
      <c r="D394">
        <v>0</v>
      </c>
      <c r="F394">
        <v>62500</v>
      </c>
      <c r="G394" t="s">
        <v>17</v>
      </c>
      <c r="I394" t="s">
        <v>16</v>
      </c>
      <c r="J394" t="s">
        <v>181</v>
      </c>
      <c r="K394" t="s">
        <v>25</v>
      </c>
      <c r="L394">
        <v>132757294</v>
      </c>
      <c r="R394">
        <v>1345</v>
      </c>
      <c r="S394" t="s">
        <v>214</v>
      </c>
      <c r="T394">
        <v>0</v>
      </c>
      <c r="U394">
        <v>24</v>
      </c>
      <c r="V394">
        <v>0</v>
      </c>
      <c r="W394">
        <v>0</v>
      </c>
      <c r="X394">
        <v>0</v>
      </c>
    </row>
    <row r="395" spans="1:24" x14ac:dyDescent="0.25">
      <c r="A395" t="s">
        <v>15</v>
      </c>
      <c r="B395" t="s">
        <v>24</v>
      </c>
      <c r="C395">
        <v>20150316</v>
      </c>
      <c r="D395">
        <v>0</v>
      </c>
      <c r="F395">
        <v>62500</v>
      </c>
      <c r="G395" t="s">
        <v>17</v>
      </c>
      <c r="I395" t="s">
        <v>16</v>
      </c>
      <c r="J395" t="s">
        <v>181</v>
      </c>
      <c r="K395" t="s">
        <v>25</v>
      </c>
      <c r="L395">
        <v>132757294</v>
      </c>
      <c r="R395">
        <v>1345</v>
      </c>
      <c r="S395" t="s">
        <v>194</v>
      </c>
      <c r="T395">
        <v>0</v>
      </c>
      <c r="U395">
        <v>24</v>
      </c>
      <c r="V395">
        <v>0</v>
      </c>
      <c r="W395">
        <v>0</v>
      </c>
      <c r="X395">
        <v>0</v>
      </c>
    </row>
    <row r="396" spans="1:24" x14ac:dyDescent="0.25">
      <c r="A396" t="s">
        <v>15</v>
      </c>
      <c r="B396" t="s">
        <v>24</v>
      </c>
      <c r="C396">
        <v>20150316</v>
      </c>
      <c r="D396">
        <v>0</v>
      </c>
      <c r="F396">
        <v>62500</v>
      </c>
      <c r="G396" t="s">
        <v>17</v>
      </c>
      <c r="I396" t="s">
        <v>16</v>
      </c>
      <c r="J396" t="s">
        <v>181</v>
      </c>
      <c r="K396" t="s">
        <v>25</v>
      </c>
      <c r="L396">
        <v>132757294</v>
      </c>
      <c r="R396">
        <v>1345</v>
      </c>
      <c r="S396" t="s">
        <v>194</v>
      </c>
      <c r="T396">
        <v>0</v>
      </c>
      <c r="U396">
        <v>24</v>
      </c>
      <c r="V396">
        <v>0</v>
      </c>
      <c r="W396">
        <v>0</v>
      </c>
      <c r="X396">
        <v>0</v>
      </c>
    </row>
    <row r="397" spans="1:24" x14ac:dyDescent="0.25">
      <c r="A397" t="s">
        <v>15</v>
      </c>
      <c r="B397" t="s">
        <v>24</v>
      </c>
      <c r="C397">
        <v>20150316</v>
      </c>
      <c r="D397">
        <v>0</v>
      </c>
      <c r="F397">
        <v>62500</v>
      </c>
      <c r="G397" t="s">
        <v>17</v>
      </c>
      <c r="I397" t="s">
        <v>16</v>
      </c>
      <c r="J397" t="s">
        <v>181</v>
      </c>
      <c r="K397" t="s">
        <v>25</v>
      </c>
      <c r="L397">
        <v>132757294</v>
      </c>
      <c r="R397">
        <v>1345</v>
      </c>
      <c r="S397" t="s">
        <v>194</v>
      </c>
      <c r="T397">
        <v>0</v>
      </c>
      <c r="U397">
        <v>24</v>
      </c>
      <c r="V397">
        <v>0</v>
      </c>
      <c r="W397">
        <v>0</v>
      </c>
      <c r="X397">
        <v>0</v>
      </c>
    </row>
    <row r="398" spans="1:24" x14ac:dyDescent="0.25">
      <c r="A398" t="s">
        <v>15</v>
      </c>
      <c r="B398" t="s">
        <v>24</v>
      </c>
      <c r="C398">
        <v>20150316</v>
      </c>
      <c r="D398">
        <v>0</v>
      </c>
      <c r="F398">
        <v>62500</v>
      </c>
      <c r="G398" t="s">
        <v>17</v>
      </c>
      <c r="I398" t="s">
        <v>16</v>
      </c>
      <c r="J398" t="s">
        <v>181</v>
      </c>
      <c r="K398" t="s">
        <v>25</v>
      </c>
      <c r="L398">
        <v>132757294</v>
      </c>
      <c r="R398">
        <v>1346</v>
      </c>
      <c r="S398" t="s">
        <v>214</v>
      </c>
      <c r="T398">
        <v>0</v>
      </c>
      <c r="U398">
        <v>20</v>
      </c>
      <c r="V398">
        <v>0</v>
      </c>
      <c r="W398">
        <v>0</v>
      </c>
      <c r="X398">
        <v>0</v>
      </c>
    </row>
    <row r="399" spans="1:24" x14ac:dyDescent="0.25">
      <c r="A399" t="s">
        <v>15</v>
      </c>
      <c r="B399" t="s">
        <v>24</v>
      </c>
      <c r="C399">
        <v>20150316</v>
      </c>
      <c r="D399">
        <v>0</v>
      </c>
      <c r="F399">
        <v>62500</v>
      </c>
      <c r="G399" t="s">
        <v>17</v>
      </c>
      <c r="I399" t="s">
        <v>16</v>
      </c>
      <c r="J399" t="s">
        <v>181</v>
      </c>
      <c r="K399" t="s">
        <v>25</v>
      </c>
      <c r="L399">
        <v>132757294</v>
      </c>
      <c r="R399">
        <v>1345</v>
      </c>
      <c r="S399" t="s">
        <v>196</v>
      </c>
      <c r="T399">
        <v>0</v>
      </c>
      <c r="U399">
        <v>24</v>
      </c>
      <c r="V399">
        <v>0</v>
      </c>
      <c r="W399">
        <v>0</v>
      </c>
      <c r="X399">
        <v>0</v>
      </c>
    </row>
    <row r="400" spans="1:24" x14ac:dyDescent="0.25">
      <c r="A400" t="s">
        <v>15</v>
      </c>
      <c r="B400" t="s">
        <v>24</v>
      </c>
      <c r="C400">
        <v>20150316</v>
      </c>
      <c r="D400">
        <v>0</v>
      </c>
      <c r="F400">
        <v>62500</v>
      </c>
      <c r="G400" t="s">
        <v>17</v>
      </c>
      <c r="I400" t="s">
        <v>16</v>
      </c>
      <c r="J400" t="s">
        <v>181</v>
      </c>
      <c r="K400" t="s">
        <v>25</v>
      </c>
      <c r="L400">
        <v>132757294</v>
      </c>
      <c r="R400">
        <v>1345</v>
      </c>
      <c r="S400" t="s">
        <v>201</v>
      </c>
      <c r="T400">
        <v>0</v>
      </c>
      <c r="U400">
        <v>24</v>
      </c>
      <c r="V400">
        <v>0</v>
      </c>
      <c r="W400">
        <v>0</v>
      </c>
      <c r="X400">
        <v>0</v>
      </c>
    </row>
    <row r="401" spans="1:24" x14ac:dyDescent="0.25">
      <c r="A401" t="s">
        <v>15</v>
      </c>
      <c r="B401" t="s">
        <v>24</v>
      </c>
      <c r="C401">
        <v>20150316</v>
      </c>
      <c r="D401">
        <v>0</v>
      </c>
      <c r="F401">
        <v>62500</v>
      </c>
      <c r="G401" t="s">
        <v>17</v>
      </c>
      <c r="I401" t="s">
        <v>16</v>
      </c>
      <c r="J401" t="s">
        <v>181</v>
      </c>
      <c r="K401" t="s">
        <v>25</v>
      </c>
      <c r="L401">
        <v>132757294</v>
      </c>
      <c r="R401">
        <v>1346</v>
      </c>
      <c r="S401" t="s">
        <v>214</v>
      </c>
      <c r="T401">
        <v>0</v>
      </c>
      <c r="U401">
        <v>20</v>
      </c>
      <c r="V401">
        <v>0</v>
      </c>
      <c r="W401">
        <v>0</v>
      </c>
      <c r="X401">
        <v>0</v>
      </c>
    </row>
    <row r="402" spans="1:24" x14ac:dyDescent="0.25">
      <c r="A402" t="s">
        <v>15</v>
      </c>
      <c r="B402" t="s">
        <v>24</v>
      </c>
      <c r="C402">
        <v>20150316</v>
      </c>
      <c r="D402">
        <v>0</v>
      </c>
      <c r="F402">
        <v>62500</v>
      </c>
      <c r="G402" t="s">
        <v>17</v>
      </c>
      <c r="I402" t="s">
        <v>16</v>
      </c>
      <c r="J402" t="s">
        <v>181</v>
      </c>
      <c r="K402" t="s">
        <v>25</v>
      </c>
      <c r="L402">
        <v>132757294</v>
      </c>
      <c r="R402">
        <v>1346</v>
      </c>
      <c r="S402" t="s">
        <v>194</v>
      </c>
      <c r="T402">
        <v>0</v>
      </c>
      <c r="U402">
        <v>20</v>
      </c>
      <c r="V402">
        <v>0</v>
      </c>
      <c r="W402">
        <v>0</v>
      </c>
      <c r="X402">
        <v>0</v>
      </c>
    </row>
    <row r="403" spans="1:24" x14ac:dyDescent="0.25">
      <c r="A403" t="s">
        <v>15</v>
      </c>
      <c r="B403" t="s">
        <v>24</v>
      </c>
      <c r="C403">
        <v>20150316</v>
      </c>
      <c r="D403">
        <v>0</v>
      </c>
      <c r="F403">
        <v>62500</v>
      </c>
      <c r="G403" t="s">
        <v>17</v>
      </c>
      <c r="I403" t="s">
        <v>16</v>
      </c>
      <c r="J403" t="s">
        <v>181</v>
      </c>
      <c r="K403" t="s">
        <v>25</v>
      </c>
      <c r="L403">
        <v>132757294</v>
      </c>
      <c r="R403">
        <v>1346</v>
      </c>
      <c r="S403" t="s">
        <v>194</v>
      </c>
      <c r="T403">
        <v>0</v>
      </c>
      <c r="U403">
        <v>20</v>
      </c>
      <c r="V403">
        <v>0</v>
      </c>
      <c r="W403">
        <v>0</v>
      </c>
      <c r="X403">
        <v>0</v>
      </c>
    </row>
    <row r="404" spans="1:24" x14ac:dyDescent="0.25">
      <c r="A404" t="s">
        <v>15</v>
      </c>
      <c r="B404" t="s">
        <v>24</v>
      </c>
      <c r="C404">
        <v>20150316</v>
      </c>
      <c r="D404">
        <v>0</v>
      </c>
      <c r="F404">
        <v>62500</v>
      </c>
      <c r="G404" t="s">
        <v>17</v>
      </c>
      <c r="I404" t="s">
        <v>16</v>
      </c>
      <c r="J404" t="s">
        <v>181</v>
      </c>
      <c r="K404" t="s">
        <v>25</v>
      </c>
      <c r="L404">
        <v>132757294</v>
      </c>
      <c r="R404">
        <v>1346</v>
      </c>
      <c r="S404" t="s">
        <v>194</v>
      </c>
      <c r="T404">
        <v>0</v>
      </c>
      <c r="U404">
        <v>20</v>
      </c>
      <c r="V404">
        <v>0</v>
      </c>
      <c r="W404">
        <v>0</v>
      </c>
      <c r="X404">
        <v>0</v>
      </c>
    </row>
    <row r="405" spans="1:24" x14ac:dyDescent="0.25">
      <c r="A405" t="s">
        <v>15</v>
      </c>
      <c r="B405" t="s">
        <v>24</v>
      </c>
      <c r="C405">
        <v>20150316</v>
      </c>
      <c r="D405">
        <v>0</v>
      </c>
      <c r="F405">
        <v>62500</v>
      </c>
      <c r="G405" t="s">
        <v>17</v>
      </c>
      <c r="I405" t="s">
        <v>16</v>
      </c>
      <c r="J405" t="s">
        <v>181</v>
      </c>
      <c r="K405" t="s">
        <v>25</v>
      </c>
      <c r="L405">
        <v>132757294</v>
      </c>
      <c r="R405">
        <v>1347</v>
      </c>
      <c r="S405" t="s">
        <v>214</v>
      </c>
      <c r="T405">
        <v>0</v>
      </c>
      <c r="U405">
        <v>-20</v>
      </c>
      <c r="V405">
        <v>0</v>
      </c>
      <c r="W405">
        <v>0</v>
      </c>
      <c r="X405">
        <v>0</v>
      </c>
    </row>
    <row r="406" spans="1:24" x14ac:dyDescent="0.25">
      <c r="A406" t="s">
        <v>15</v>
      </c>
      <c r="B406" t="s">
        <v>24</v>
      </c>
      <c r="C406">
        <v>20150316</v>
      </c>
      <c r="D406">
        <v>0</v>
      </c>
      <c r="F406">
        <v>62500</v>
      </c>
      <c r="G406" t="s">
        <v>17</v>
      </c>
      <c r="I406" t="s">
        <v>16</v>
      </c>
      <c r="J406" t="s">
        <v>181</v>
      </c>
      <c r="K406" t="s">
        <v>25</v>
      </c>
      <c r="L406">
        <v>132757294</v>
      </c>
      <c r="R406">
        <v>1347</v>
      </c>
      <c r="S406" t="s">
        <v>214</v>
      </c>
      <c r="T406">
        <v>0</v>
      </c>
      <c r="U406">
        <v>-20</v>
      </c>
      <c r="V406">
        <v>0</v>
      </c>
      <c r="W406">
        <v>0</v>
      </c>
      <c r="X406">
        <v>0</v>
      </c>
    </row>
    <row r="407" spans="1:24" x14ac:dyDescent="0.25">
      <c r="A407" t="s">
        <v>15</v>
      </c>
      <c r="B407" t="s">
        <v>24</v>
      </c>
      <c r="C407">
        <v>20150316</v>
      </c>
      <c r="D407">
        <v>0</v>
      </c>
      <c r="F407">
        <v>62500</v>
      </c>
      <c r="G407" t="s">
        <v>17</v>
      </c>
      <c r="I407" t="s">
        <v>16</v>
      </c>
      <c r="J407" t="s">
        <v>181</v>
      </c>
      <c r="K407" t="s">
        <v>25</v>
      </c>
      <c r="L407">
        <v>132757294</v>
      </c>
      <c r="R407">
        <v>1347</v>
      </c>
      <c r="S407" t="s">
        <v>194</v>
      </c>
      <c r="T407">
        <v>0</v>
      </c>
      <c r="U407">
        <v>20</v>
      </c>
      <c r="V407">
        <v>0</v>
      </c>
      <c r="W407">
        <v>0</v>
      </c>
      <c r="X407">
        <v>0</v>
      </c>
    </row>
    <row r="408" spans="1:24" x14ac:dyDescent="0.25">
      <c r="A408" t="s">
        <v>15</v>
      </c>
      <c r="B408" t="s">
        <v>24</v>
      </c>
      <c r="C408">
        <v>20150316</v>
      </c>
      <c r="D408">
        <v>0</v>
      </c>
      <c r="F408">
        <v>62500</v>
      </c>
      <c r="G408" t="s">
        <v>17</v>
      </c>
      <c r="I408" t="s">
        <v>16</v>
      </c>
      <c r="J408" t="s">
        <v>181</v>
      </c>
      <c r="K408" t="s">
        <v>25</v>
      </c>
      <c r="L408">
        <v>132757294</v>
      </c>
      <c r="R408">
        <v>1347</v>
      </c>
      <c r="S408" t="s">
        <v>194</v>
      </c>
      <c r="T408">
        <v>0</v>
      </c>
      <c r="U408">
        <v>20</v>
      </c>
      <c r="V408">
        <v>0</v>
      </c>
      <c r="W408">
        <v>0</v>
      </c>
      <c r="X408">
        <v>0</v>
      </c>
    </row>
    <row r="409" spans="1:24" x14ac:dyDescent="0.25">
      <c r="A409" t="s">
        <v>15</v>
      </c>
      <c r="B409" t="s">
        <v>24</v>
      </c>
      <c r="C409">
        <v>20150316</v>
      </c>
      <c r="D409">
        <v>0</v>
      </c>
      <c r="F409">
        <v>62500</v>
      </c>
      <c r="G409" t="s">
        <v>17</v>
      </c>
      <c r="I409" t="s">
        <v>16</v>
      </c>
      <c r="J409" t="s">
        <v>181</v>
      </c>
      <c r="K409" t="s">
        <v>25</v>
      </c>
      <c r="L409">
        <v>132757294</v>
      </c>
      <c r="R409">
        <v>1347</v>
      </c>
      <c r="S409" t="s">
        <v>194</v>
      </c>
      <c r="T409">
        <v>0</v>
      </c>
      <c r="U409">
        <v>20</v>
      </c>
      <c r="V409">
        <v>0</v>
      </c>
      <c r="W409">
        <v>0</v>
      </c>
      <c r="X409">
        <v>0</v>
      </c>
    </row>
    <row r="410" spans="1:24" x14ac:dyDescent="0.25">
      <c r="A410" t="s">
        <v>15</v>
      </c>
      <c r="B410" t="s">
        <v>24</v>
      </c>
      <c r="C410">
        <v>20150316</v>
      </c>
      <c r="D410">
        <v>0</v>
      </c>
      <c r="F410">
        <v>62500</v>
      </c>
      <c r="G410" t="s">
        <v>17</v>
      </c>
      <c r="I410" t="s">
        <v>16</v>
      </c>
      <c r="J410" t="s">
        <v>181</v>
      </c>
      <c r="K410" t="s">
        <v>25</v>
      </c>
      <c r="L410">
        <v>132757294</v>
      </c>
      <c r="R410">
        <v>1348</v>
      </c>
      <c r="S410" t="s">
        <v>214</v>
      </c>
      <c r="T410">
        <v>0</v>
      </c>
      <c r="U410">
        <v>24</v>
      </c>
      <c r="V410">
        <v>0</v>
      </c>
      <c r="W410">
        <v>0</v>
      </c>
      <c r="X410">
        <v>0</v>
      </c>
    </row>
    <row r="411" spans="1:24" x14ac:dyDescent="0.25">
      <c r="A411" t="s">
        <v>15</v>
      </c>
      <c r="B411" t="s">
        <v>24</v>
      </c>
      <c r="C411">
        <v>20150316</v>
      </c>
      <c r="D411">
        <v>0</v>
      </c>
      <c r="F411">
        <v>62500</v>
      </c>
      <c r="G411" t="s">
        <v>17</v>
      </c>
      <c r="I411" t="s">
        <v>16</v>
      </c>
      <c r="J411" t="s">
        <v>181</v>
      </c>
      <c r="K411" t="s">
        <v>25</v>
      </c>
      <c r="L411">
        <v>132757294</v>
      </c>
      <c r="R411">
        <v>1346</v>
      </c>
      <c r="S411" t="s">
        <v>196</v>
      </c>
      <c r="T411">
        <v>0</v>
      </c>
      <c r="U411">
        <v>20</v>
      </c>
      <c r="V411">
        <v>0</v>
      </c>
      <c r="W411">
        <v>0</v>
      </c>
      <c r="X411">
        <v>0</v>
      </c>
    </row>
    <row r="412" spans="1:24" x14ac:dyDescent="0.25">
      <c r="A412" t="s">
        <v>15</v>
      </c>
      <c r="B412" t="s">
        <v>24</v>
      </c>
      <c r="C412">
        <v>20150316</v>
      </c>
      <c r="D412">
        <v>0</v>
      </c>
      <c r="F412">
        <v>62500</v>
      </c>
      <c r="G412" t="s">
        <v>17</v>
      </c>
      <c r="I412" t="s">
        <v>16</v>
      </c>
      <c r="J412" t="s">
        <v>181</v>
      </c>
      <c r="K412" t="s">
        <v>25</v>
      </c>
      <c r="L412">
        <v>132757294</v>
      </c>
      <c r="R412">
        <v>1346</v>
      </c>
      <c r="S412" t="s">
        <v>201</v>
      </c>
      <c r="T412">
        <v>0</v>
      </c>
      <c r="U412">
        <v>20</v>
      </c>
      <c r="V412">
        <v>0</v>
      </c>
      <c r="W412">
        <v>0</v>
      </c>
      <c r="X412">
        <v>0</v>
      </c>
    </row>
    <row r="413" spans="1:24" x14ac:dyDescent="0.25">
      <c r="A413" t="s">
        <v>15</v>
      </c>
      <c r="B413" t="s">
        <v>24</v>
      </c>
      <c r="C413">
        <v>20150316</v>
      </c>
      <c r="D413">
        <v>0</v>
      </c>
      <c r="F413">
        <v>62500</v>
      </c>
      <c r="G413" t="s">
        <v>17</v>
      </c>
      <c r="I413" t="s">
        <v>16</v>
      </c>
      <c r="J413" t="s">
        <v>181</v>
      </c>
      <c r="K413" t="s">
        <v>25</v>
      </c>
      <c r="L413">
        <v>132757294</v>
      </c>
      <c r="R413">
        <v>1348</v>
      </c>
      <c r="S413" t="s">
        <v>214</v>
      </c>
      <c r="T413">
        <v>0</v>
      </c>
      <c r="U413">
        <v>24</v>
      </c>
      <c r="V413">
        <v>0</v>
      </c>
      <c r="W413">
        <v>0</v>
      </c>
      <c r="X413">
        <v>0</v>
      </c>
    </row>
    <row r="414" spans="1:24" x14ac:dyDescent="0.25">
      <c r="A414" t="s">
        <v>15</v>
      </c>
      <c r="B414" t="s">
        <v>24</v>
      </c>
      <c r="C414">
        <v>20150316</v>
      </c>
      <c r="D414">
        <v>0</v>
      </c>
      <c r="F414">
        <v>62500</v>
      </c>
      <c r="G414" t="s">
        <v>17</v>
      </c>
      <c r="I414" t="s">
        <v>16</v>
      </c>
      <c r="J414" t="s">
        <v>181</v>
      </c>
      <c r="K414" t="s">
        <v>25</v>
      </c>
      <c r="L414">
        <v>132757294</v>
      </c>
      <c r="R414">
        <v>1348</v>
      </c>
      <c r="S414" t="s">
        <v>194</v>
      </c>
      <c r="T414">
        <v>0</v>
      </c>
      <c r="U414">
        <v>24</v>
      </c>
      <c r="V414">
        <v>0</v>
      </c>
      <c r="W414">
        <v>0</v>
      </c>
      <c r="X414">
        <v>0</v>
      </c>
    </row>
    <row r="415" spans="1:24" x14ac:dyDescent="0.25">
      <c r="A415" t="s">
        <v>15</v>
      </c>
      <c r="B415" t="s">
        <v>24</v>
      </c>
      <c r="C415">
        <v>20150316</v>
      </c>
      <c r="D415">
        <v>0</v>
      </c>
      <c r="F415">
        <v>62500</v>
      </c>
      <c r="G415" t="s">
        <v>17</v>
      </c>
      <c r="I415" t="s">
        <v>16</v>
      </c>
      <c r="J415" t="s">
        <v>181</v>
      </c>
      <c r="K415" t="s">
        <v>25</v>
      </c>
      <c r="L415">
        <v>132757294</v>
      </c>
      <c r="R415">
        <v>1347</v>
      </c>
      <c r="S415" t="s">
        <v>196</v>
      </c>
      <c r="T415">
        <v>0</v>
      </c>
      <c r="U415">
        <v>20</v>
      </c>
      <c r="V415">
        <v>0</v>
      </c>
      <c r="W415">
        <v>0</v>
      </c>
      <c r="X415">
        <v>0</v>
      </c>
    </row>
    <row r="416" spans="1:24" x14ac:dyDescent="0.25">
      <c r="A416" t="s">
        <v>15</v>
      </c>
      <c r="B416" t="s">
        <v>24</v>
      </c>
      <c r="C416">
        <v>20150316</v>
      </c>
      <c r="D416">
        <v>0</v>
      </c>
      <c r="F416">
        <v>62500</v>
      </c>
      <c r="G416" t="s">
        <v>17</v>
      </c>
      <c r="I416" t="s">
        <v>16</v>
      </c>
      <c r="J416" t="s">
        <v>181</v>
      </c>
      <c r="K416" t="s">
        <v>25</v>
      </c>
      <c r="L416">
        <v>132757294</v>
      </c>
      <c r="R416">
        <v>1347</v>
      </c>
      <c r="S416" t="s">
        <v>201</v>
      </c>
      <c r="T416">
        <v>0</v>
      </c>
      <c r="U416">
        <v>20</v>
      </c>
      <c r="V416">
        <v>0</v>
      </c>
      <c r="W416">
        <v>0</v>
      </c>
      <c r="X416">
        <v>0</v>
      </c>
    </row>
    <row r="417" spans="1:24" x14ac:dyDescent="0.25">
      <c r="A417" t="s">
        <v>15</v>
      </c>
      <c r="B417" t="s">
        <v>24</v>
      </c>
      <c r="C417">
        <v>20150316</v>
      </c>
      <c r="D417">
        <v>0</v>
      </c>
      <c r="F417">
        <v>62500</v>
      </c>
      <c r="G417" t="s">
        <v>17</v>
      </c>
      <c r="I417" t="s">
        <v>16</v>
      </c>
      <c r="J417" t="s">
        <v>181</v>
      </c>
      <c r="K417" t="s">
        <v>25</v>
      </c>
      <c r="L417">
        <v>132757294</v>
      </c>
      <c r="R417">
        <v>1348</v>
      </c>
      <c r="S417" t="s">
        <v>194</v>
      </c>
      <c r="T417">
        <v>0</v>
      </c>
      <c r="U417">
        <v>24</v>
      </c>
      <c r="V417">
        <v>0</v>
      </c>
      <c r="W417">
        <v>0</v>
      </c>
      <c r="X417">
        <v>0</v>
      </c>
    </row>
    <row r="418" spans="1:24" x14ac:dyDescent="0.25">
      <c r="A418" t="s">
        <v>15</v>
      </c>
      <c r="B418" t="s">
        <v>24</v>
      </c>
      <c r="C418">
        <v>20150316</v>
      </c>
      <c r="D418">
        <v>0</v>
      </c>
      <c r="F418">
        <v>62500</v>
      </c>
      <c r="G418" t="s">
        <v>17</v>
      </c>
      <c r="I418" t="s">
        <v>16</v>
      </c>
      <c r="J418" t="s">
        <v>181</v>
      </c>
      <c r="K418" t="s">
        <v>25</v>
      </c>
      <c r="L418">
        <v>132757294</v>
      </c>
      <c r="R418">
        <v>1348</v>
      </c>
      <c r="S418" t="s">
        <v>194</v>
      </c>
      <c r="T418">
        <v>0</v>
      </c>
      <c r="U418">
        <v>24</v>
      </c>
      <c r="V418">
        <v>0</v>
      </c>
      <c r="W418">
        <v>0</v>
      </c>
      <c r="X418">
        <v>0</v>
      </c>
    </row>
    <row r="419" spans="1:24" x14ac:dyDescent="0.25">
      <c r="A419" t="s">
        <v>15</v>
      </c>
      <c r="B419" t="s">
        <v>24</v>
      </c>
      <c r="C419">
        <v>20150316</v>
      </c>
      <c r="D419">
        <v>0</v>
      </c>
      <c r="F419">
        <v>62500</v>
      </c>
      <c r="G419" t="s">
        <v>17</v>
      </c>
      <c r="I419" t="s">
        <v>16</v>
      </c>
      <c r="J419" t="s">
        <v>181</v>
      </c>
      <c r="K419" t="s">
        <v>25</v>
      </c>
      <c r="L419">
        <v>132757294</v>
      </c>
      <c r="R419">
        <v>1349</v>
      </c>
      <c r="S419" t="s">
        <v>214</v>
      </c>
      <c r="T419">
        <v>0</v>
      </c>
      <c r="U419">
        <v>-24</v>
      </c>
      <c r="V419">
        <v>0</v>
      </c>
      <c r="W419">
        <v>0</v>
      </c>
      <c r="X419">
        <v>0</v>
      </c>
    </row>
    <row r="420" spans="1:24" x14ac:dyDescent="0.25">
      <c r="A420" t="s">
        <v>15</v>
      </c>
      <c r="B420" t="s">
        <v>24</v>
      </c>
      <c r="C420">
        <v>20150316</v>
      </c>
      <c r="D420">
        <v>0</v>
      </c>
      <c r="F420">
        <v>62500</v>
      </c>
      <c r="G420" t="s">
        <v>17</v>
      </c>
      <c r="I420" t="s">
        <v>16</v>
      </c>
      <c r="J420" t="s">
        <v>181</v>
      </c>
      <c r="K420" t="s">
        <v>25</v>
      </c>
      <c r="L420">
        <v>132757294</v>
      </c>
      <c r="R420">
        <v>1349</v>
      </c>
      <c r="S420" t="s">
        <v>214</v>
      </c>
      <c r="T420">
        <v>0</v>
      </c>
      <c r="U420">
        <v>-24</v>
      </c>
      <c r="V420">
        <v>0</v>
      </c>
      <c r="W420">
        <v>0</v>
      </c>
      <c r="X420">
        <v>0</v>
      </c>
    </row>
    <row r="421" spans="1:24" x14ac:dyDescent="0.25">
      <c r="A421" t="s">
        <v>15</v>
      </c>
      <c r="B421" t="s">
        <v>24</v>
      </c>
      <c r="C421">
        <v>20150316</v>
      </c>
      <c r="D421">
        <v>0</v>
      </c>
      <c r="F421">
        <v>62500</v>
      </c>
      <c r="G421" t="s">
        <v>17</v>
      </c>
      <c r="I421" t="s">
        <v>16</v>
      </c>
      <c r="J421" t="s">
        <v>181</v>
      </c>
      <c r="K421" t="s">
        <v>25</v>
      </c>
      <c r="L421">
        <v>132757294</v>
      </c>
      <c r="R421">
        <v>1349</v>
      </c>
      <c r="S421" t="s">
        <v>194</v>
      </c>
      <c r="T421">
        <v>0</v>
      </c>
      <c r="U421">
        <v>24</v>
      </c>
      <c r="V421">
        <v>0</v>
      </c>
      <c r="W421">
        <v>0</v>
      </c>
      <c r="X421">
        <v>0</v>
      </c>
    </row>
    <row r="422" spans="1:24" x14ac:dyDescent="0.25">
      <c r="A422" t="s">
        <v>15</v>
      </c>
      <c r="B422" t="s">
        <v>24</v>
      </c>
      <c r="C422">
        <v>20150316</v>
      </c>
      <c r="D422">
        <v>0</v>
      </c>
      <c r="F422">
        <v>62500</v>
      </c>
      <c r="G422" t="s">
        <v>17</v>
      </c>
      <c r="I422" t="s">
        <v>16</v>
      </c>
      <c r="J422" t="s">
        <v>181</v>
      </c>
      <c r="K422" t="s">
        <v>25</v>
      </c>
      <c r="L422">
        <v>132757294</v>
      </c>
      <c r="R422">
        <v>1349</v>
      </c>
      <c r="S422" t="s">
        <v>194</v>
      </c>
      <c r="T422">
        <v>0</v>
      </c>
      <c r="U422">
        <v>24</v>
      </c>
      <c r="V422">
        <v>0</v>
      </c>
      <c r="W422">
        <v>0</v>
      </c>
      <c r="X422">
        <v>0</v>
      </c>
    </row>
    <row r="423" spans="1:24" x14ac:dyDescent="0.25">
      <c r="A423" t="s">
        <v>15</v>
      </c>
      <c r="B423" t="s">
        <v>24</v>
      </c>
      <c r="C423">
        <v>20150316</v>
      </c>
      <c r="D423">
        <v>0</v>
      </c>
      <c r="F423">
        <v>62500</v>
      </c>
      <c r="G423" t="s">
        <v>17</v>
      </c>
      <c r="I423" t="s">
        <v>16</v>
      </c>
      <c r="J423" t="s">
        <v>181</v>
      </c>
      <c r="K423" t="s">
        <v>25</v>
      </c>
      <c r="L423">
        <v>132757294</v>
      </c>
      <c r="R423">
        <v>1349</v>
      </c>
      <c r="S423" t="s">
        <v>194</v>
      </c>
      <c r="T423">
        <v>0</v>
      </c>
      <c r="U423">
        <v>24</v>
      </c>
      <c r="V423">
        <v>0</v>
      </c>
      <c r="W423">
        <v>0</v>
      </c>
      <c r="X423">
        <v>0</v>
      </c>
    </row>
    <row r="424" spans="1:24" x14ac:dyDescent="0.25">
      <c r="A424" t="s">
        <v>15</v>
      </c>
      <c r="B424" t="s">
        <v>24</v>
      </c>
      <c r="C424">
        <v>20150316</v>
      </c>
      <c r="D424">
        <v>0</v>
      </c>
      <c r="F424">
        <v>62500</v>
      </c>
      <c r="G424" t="s">
        <v>17</v>
      </c>
      <c r="I424" t="s">
        <v>16</v>
      </c>
      <c r="J424" t="s">
        <v>181</v>
      </c>
      <c r="K424" t="s">
        <v>25</v>
      </c>
      <c r="L424">
        <v>132757294</v>
      </c>
      <c r="R424">
        <v>1350</v>
      </c>
      <c r="S424" t="s">
        <v>214</v>
      </c>
      <c r="T424">
        <v>0</v>
      </c>
      <c r="U424">
        <v>21</v>
      </c>
      <c r="V424">
        <v>0</v>
      </c>
      <c r="W424">
        <v>0</v>
      </c>
      <c r="X424">
        <v>0</v>
      </c>
    </row>
    <row r="425" spans="1:24" x14ac:dyDescent="0.25">
      <c r="A425" t="s">
        <v>15</v>
      </c>
      <c r="B425" t="s">
        <v>24</v>
      </c>
      <c r="C425">
        <v>20150316</v>
      </c>
      <c r="D425">
        <v>0</v>
      </c>
      <c r="F425">
        <v>62500</v>
      </c>
      <c r="G425" t="s">
        <v>17</v>
      </c>
      <c r="I425" t="s">
        <v>16</v>
      </c>
      <c r="J425" t="s">
        <v>181</v>
      </c>
      <c r="K425" t="s">
        <v>25</v>
      </c>
      <c r="L425">
        <v>132757294</v>
      </c>
      <c r="R425">
        <v>1348</v>
      </c>
      <c r="S425" t="s">
        <v>196</v>
      </c>
      <c r="T425">
        <v>0</v>
      </c>
      <c r="U425">
        <v>24</v>
      </c>
      <c r="V425">
        <v>0</v>
      </c>
      <c r="W425">
        <v>0</v>
      </c>
      <c r="X425">
        <v>0</v>
      </c>
    </row>
    <row r="426" spans="1:24" x14ac:dyDescent="0.25">
      <c r="A426" t="s">
        <v>15</v>
      </c>
      <c r="B426" t="s">
        <v>24</v>
      </c>
      <c r="C426">
        <v>20150316</v>
      </c>
      <c r="D426">
        <v>0</v>
      </c>
      <c r="F426">
        <v>62500</v>
      </c>
      <c r="G426" t="s">
        <v>17</v>
      </c>
      <c r="I426" t="s">
        <v>16</v>
      </c>
      <c r="J426" t="s">
        <v>181</v>
      </c>
      <c r="K426" t="s">
        <v>25</v>
      </c>
      <c r="L426">
        <v>132757294</v>
      </c>
      <c r="R426">
        <v>1348</v>
      </c>
      <c r="S426" t="s">
        <v>201</v>
      </c>
      <c r="T426">
        <v>0</v>
      </c>
      <c r="U426">
        <v>24</v>
      </c>
      <c r="V426">
        <v>0</v>
      </c>
      <c r="W426">
        <v>0</v>
      </c>
      <c r="X426">
        <v>0</v>
      </c>
    </row>
    <row r="427" spans="1:24" x14ac:dyDescent="0.25">
      <c r="A427" t="s">
        <v>15</v>
      </c>
      <c r="B427" t="s">
        <v>24</v>
      </c>
      <c r="C427">
        <v>20150316</v>
      </c>
      <c r="D427">
        <v>0</v>
      </c>
      <c r="F427">
        <v>62500</v>
      </c>
      <c r="G427" t="s">
        <v>17</v>
      </c>
      <c r="I427" t="s">
        <v>16</v>
      </c>
      <c r="J427" t="s">
        <v>181</v>
      </c>
      <c r="K427" t="s">
        <v>25</v>
      </c>
      <c r="L427">
        <v>132757294</v>
      </c>
      <c r="R427">
        <v>1350</v>
      </c>
      <c r="S427" t="s">
        <v>214</v>
      </c>
      <c r="T427">
        <v>0</v>
      </c>
      <c r="U427">
        <v>21</v>
      </c>
      <c r="V427">
        <v>0</v>
      </c>
      <c r="W427">
        <v>0</v>
      </c>
      <c r="X427">
        <v>0</v>
      </c>
    </row>
    <row r="428" spans="1:24" x14ac:dyDescent="0.25">
      <c r="A428" t="s">
        <v>15</v>
      </c>
      <c r="B428" t="s">
        <v>24</v>
      </c>
      <c r="C428">
        <v>20150316</v>
      </c>
      <c r="D428">
        <v>0</v>
      </c>
      <c r="F428">
        <v>62500</v>
      </c>
      <c r="G428" t="s">
        <v>17</v>
      </c>
      <c r="I428" t="s">
        <v>16</v>
      </c>
      <c r="J428" t="s">
        <v>181</v>
      </c>
      <c r="K428" t="s">
        <v>25</v>
      </c>
      <c r="L428">
        <v>132757294</v>
      </c>
      <c r="R428">
        <v>1350</v>
      </c>
      <c r="S428" t="s">
        <v>194</v>
      </c>
      <c r="T428">
        <v>0</v>
      </c>
      <c r="U428">
        <v>21</v>
      </c>
      <c r="V428">
        <v>0</v>
      </c>
      <c r="W428">
        <v>0</v>
      </c>
      <c r="X428">
        <v>0</v>
      </c>
    </row>
    <row r="429" spans="1:24" x14ac:dyDescent="0.25">
      <c r="A429" t="s">
        <v>15</v>
      </c>
      <c r="B429" t="s">
        <v>24</v>
      </c>
      <c r="C429">
        <v>20150316</v>
      </c>
      <c r="D429">
        <v>0</v>
      </c>
      <c r="F429">
        <v>62500</v>
      </c>
      <c r="G429" t="s">
        <v>17</v>
      </c>
      <c r="I429" t="s">
        <v>16</v>
      </c>
      <c r="J429" t="s">
        <v>181</v>
      </c>
      <c r="K429" t="s">
        <v>25</v>
      </c>
      <c r="L429">
        <v>132757294</v>
      </c>
      <c r="R429">
        <v>1349</v>
      </c>
      <c r="S429" t="s">
        <v>196</v>
      </c>
      <c r="T429">
        <v>0</v>
      </c>
      <c r="U429">
        <v>24</v>
      </c>
      <c r="V429">
        <v>0</v>
      </c>
      <c r="W429">
        <v>0</v>
      </c>
      <c r="X429">
        <v>0</v>
      </c>
    </row>
    <row r="430" spans="1:24" x14ac:dyDescent="0.25">
      <c r="A430" t="s">
        <v>15</v>
      </c>
      <c r="B430" t="s">
        <v>24</v>
      </c>
      <c r="C430">
        <v>20150316</v>
      </c>
      <c r="D430">
        <v>0</v>
      </c>
      <c r="F430">
        <v>62500</v>
      </c>
      <c r="G430" t="s">
        <v>17</v>
      </c>
      <c r="I430" t="s">
        <v>16</v>
      </c>
      <c r="J430" t="s">
        <v>181</v>
      </c>
      <c r="K430" t="s">
        <v>25</v>
      </c>
      <c r="L430">
        <v>132757294</v>
      </c>
      <c r="R430">
        <v>1349</v>
      </c>
      <c r="S430" t="s">
        <v>201</v>
      </c>
      <c r="T430">
        <v>0</v>
      </c>
      <c r="U430">
        <v>24</v>
      </c>
      <c r="V430">
        <v>0</v>
      </c>
      <c r="W430">
        <v>0</v>
      </c>
      <c r="X430">
        <v>0</v>
      </c>
    </row>
    <row r="431" spans="1:24" x14ac:dyDescent="0.25">
      <c r="A431" t="s">
        <v>15</v>
      </c>
      <c r="B431" t="s">
        <v>24</v>
      </c>
      <c r="C431">
        <v>20150316</v>
      </c>
      <c r="D431">
        <v>0</v>
      </c>
      <c r="F431">
        <v>62500</v>
      </c>
      <c r="G431" t="s">
        <v>17</v>
      </c>
      <c r="I431" t="s">
        <v>16</v>
      </c>
      <c r="J431" t="s">
        <v>181</v>
      </c>
      <c r="K431" t="s">
        <v>25</v>
      </c>
      <c r="L431">
        <v>132757294</v>
      </c>
      <c r="R431">
        <v>1350</v>
      </c>
      <c r="S431" t="s">
        <v>194</v>
      </c>
      <c r="T431">
        <v>0</v>
      </c>
      <c r="U431">
        <v>21</v>
      </c>
      <c r="V431">
        <v>0</v>
      </c>
      <c r="W431">
        <v>0</v>
      </c>
      <c r="X431">
        <v>0</v>
      </c>
    </row>
    <row r="432" spans="1:24" x14ac:dyDescent="0.25">
      <c r="A432" t="s">
        <v>15</v>
      </c>
      <c r="B432" t="s">
        <v>24</v>
      </c>
      <c r="C432">
        <v>20150316</v>
      </c>
      <c r="D432">
        <v>0</v>
      </c>
      <c r="F432">
        <v>62500</v>
      </c>
      <c r="G432" t="s">
        <v>17</v>
      </c>
      <c r="I432" t="s">
        <v>16</v>
      </c>
      <c r="J432" t="s">
        <v>181</v>
      </c>
      <c r="K432" t="s">
        <v>25</v>
      </c>
      <c r="L432">
        <v>132757294</v>
      </c>
      <c r="R432">
        <v>1350</v>
      </c>
      <c r="S432" t="s">
        <v>194</v>
      </c>
      <c r="T432">
        <v>0</v>
      </c>
      <c r="U432">
        <v>21</v>
      </c>
      <c r="V432">
        <v>0</v>
      </c>
      <c r="W432">
        <v>0</v>
      </c>
      <c r="X432">
        <v>0</v>
      </c>
    </row>
    <row r="433" spans="1:24" x14ac:dyDescent="0.25">
      <c r="A433" t="s">
        <v>15</v>
      </c>
      <c r="B433" t="s">
        <v>24</v>
      </c>
      <c r="C433">
        <v>20150316</v>
      </c>
      <c r="D433">
        <v>0</v>
      </c>
      <c r="F433">
        <v>62500</v>
      </c>
      <c r="G433" t="s">
        <v>17</v>
      </c>
      <c r="I433" t="s">
        <v>16</v>
      </c>
      <c r="J433" t="s">
        <v>181</v>
      </c>
      <c r="K433" t="s">
        <v>25</v>
      </c>
      <c r="L433">
        <v>132757294</v>
      </c>
      <c r="R433">
        <v>1351</v>
      </c>
      <c r="S433" t="s">
        <v>214</v>
      </c>
      <c r="T433">
        <v>0</v>
      </c>
      <c r="U433">
        <v>-20</v>
      </c>
      <c r="V433">
        <v>0</v>
      </c>
      <c r="W433">
        <v>0</v>
      </c>
      <c r="X433">
        <v>0</v>
      </c>
    </row>
    <row r="434" spans="1:24" x14ac:dyDescent="0.25">
      <c r="A434" t="s">
        <v>15</v>
      </c>
      <c r="B434" t="s">
        <v>24</v>
      </c>
      <c r="C434">
        <v>20150316</v>
      </c>
      <c r="D434">
        <v>0</v>
      </c>
      <c r="F434">
        <v>62500</v>
      </c>
      <c r="G434" t="s">
        <v>17</v>
      </c>
      <c r="I434" t="s">
        <v>16</v>
      </c>
      <c r="J434" t="s">
        <v>181</v>
      </c>
      <c r="K434" t="s">
        <v>25</v>
      </c>
      <c r="L434">
        <v>132757294</v>
      </c>
      <c r="R434">
        <v>1351</v>
      </c>
      <c r="S434" t="s">
        <v>214</v>
      </c>
      <c r="T434">
        <v>0</v>
      </c>
      <c r="U434">
        <v>-20</v>
      </c>
      <c r="V434">
        <v>0</v>
      </c>
      <c r="W434">
        <v>0</v>
      </c>
      <c r="X434">
        <v>0</v>
      </c>
    </row>
    <row r="435" spans="1:24" x14ac:dyDescent="0.25">
      <c r="A435" t="s">
        <v>15</v>
      </c>
      <c r="B435" t="s">
        <v>24</v>
      </c>
      <c r="C435">
        <v>20150316</v>
      </c>
      <c r="D435">
        <v>0</v>
      </c>
      <c r="F435">
        <v>62500</v>
      </c>
      <c r="G435" t="s">
        <v>17</v>
      </c>
      <c r="I435" t="s">
        <v>16</v>
      </c>
      <c r="J435" t="s">
        <v>181</v>
      </c>
      <c r="K435" t="s">
        <v>25</v>
      </c>
      <c r="L435">
        <v>132757294</v>
      </c>
      <c r="R435">
        <v>1351</v>
      </c>
      <c r="S435" t="s">
        <v>194</v>
      </c>
      <c r="T435">
        <v>0</v>
      </c>
      <c r="U435">
        <v>20</v>
      </c>
      <c r="V435">
        <v>0</v>
      </c>
      <c r="W435">
        <v>0</v>
      </c>
      <c r="X435">
        <v>0</v>
      </c>
    </row>
    <row r="436" spans="1:24" x14ac:dyDescent="0.25">
      <c r="A436" t="s">
        <v>15</v>
      </c>
      <c r="B436" t="s">
        <v>24</v>
      </c>
      <c r="C436">
        <v>20150316</v>
      </c>
      <c r="D436">
        <v>0</v>
      </c>
      <c r="F436">
        <v>62500</v>
      </c>
      <c r="G436" t="s">
        <v>17</v>
      </c>
      <c r="I436" t="s">
        <v>16</v>
      </c>
      <c r="J436" t="s">
        <v>181</v>
      </c>
      <c r="K436" t="s">
        <v>25</v>
      </c>
      <c r="L436">
        <v>132757294</v>
      </c>
      <c r="R436">
        <v>1351</v>
      </c>
      <c r="S436" t="s">
        <v>194</v>
      </c>
      <c r="T436">
        <v>0</v>
      </c>
      <c r="U436">
        <v>20</v>
      </c>
      <c r="V436">
        <v>0</v>
      </c>
      <c r="W436">
        <v>0</v>
      </c>
      <c r="X436">
        <v>0</v>
      </c>
    </row>
    <row r="437" spans="1:24" x14ac:dyDescent="0.25">
      <c r="A437" t="s">
        <v>15</v>
      </c>
      <c r="B437" t="s">
        <v>24</v>
      </c>
      <c r="C437">
        <v>20150316</v>
      </c>
      <c r="D437">
        <v>0</v>
      </c>
      <c r="F437">
        <v>62500</v>
      </c>
      <c r="G437" t="s">
        <v>17</v>
      </c>
      <c r="I437" t="s">
        <v>16</v>
      </c>
      <c r="J437" t="s">
        <v>181</v>
      </c>
      <c r="K437" t="s">
        <v>25</v>
      </c>
      <c r="L437">
        <v>132757294</v>
      </c>
      <c r="R437">
        <v>1351</v>
      </c>
      <c r="S437" t="s">
        <v>194</v>
      </c>
      <c r="T437">
        <v>0</v>
      </c>
      <c r="U437">
        <v>20</v>
      </c>
      <c r="V437">
        <v>0</v>
      </c>
      <c r="W437">
        <v>0</v>
      </c>
      <c r="X437">
        <v>0</v>
      </c>
    </row>
    <row r="438" spans="1:24" x14ac:dyDescent="0.25">
      <c r="A438" t="s">
        <v>15</v>
      </c>
      <c r="B438" t="s">
        <v>24</v>
      </c>
      <c r="C438">
        <v>20150316</v>
      </c>
      <c r="D438">
        <v>0</v>
      </c>
      <c r="F438">
        <v>62500</v>
      </c>
      <c r="G438" t="s">
        <v>17</v>
      </c>
      <c r="I438" t="s">
        <v>16</v>
      </c>
      <c r="J438" t="s">
        <v>181</v>
      </c>
      <c r="K438" t="s">
        <v>25</v>
      </c>
      <c r="L438">
        <v>132757294</v>
      </c>
      <c r="R438">
        <v>1352</v>
      </c>
      <c r="S438" t="s">
        <v>214</v>
      </c>
      <c r="T438">
        <v>0</v>
      </c>
      <c r="U438">
        <v>-23</v>
      </c>
      <c r="V438">
        <v>0</v>
      </c>
      <c r="W438">
        <v>0</v>
      </c>
      <c r="X438">
        <v>0</v>
      </c>
    </row>
    <row r="439" spans="1:24" x14ac:dyDescent="0.25">
      <c r="A439" t="s">
        <v>15</v>
      </c>
      <c r="B439" t="s">
        <v>24</v>
      </c>
      <c r="C439">
        <v>20150316</v>
      </c>
      <c r="D439">
        <v>0</v>
      </c>
      <c r="F439">
        <v>62500</v>
      </c>
      <c r="G439" t="s">
        <v>17</v>
      </c>
      <c r="I439" t="s">
        <v>16</v>
      </c>
      <c r="J439" t="s">
        <v>181</v>
      </c>
      <c r="K439" t="s">
        <v>25</v>
      </c>
      <c r="L439">
        <v>132757294</v>
      </c>
      <c r="R439">
        <v>1351</v>
      </c>
      <c r="S439" t="s">
        <v>196</v>
      </c>
      <c r="T439">
        <v>0</v>
      </c>
      <c r="U439">
        <v>20</v>
      </c>
      <c r="V439">
        <v>0</v>
      </c>
      <c r="W439">
        <v>0</v>
      </c>
      <c r="X439">
        <v>0</v>
      </c>
    </row>
    <row r="440" spans="1:24" x14ac:dyDescent="0.25">
      <c r="A440" t="s">
        <v>15</v>
      </c>
      <c r="B440" t="s">
        <v>24</v>
      </c>
      <c r="C440">
        <v>20150316</v>
      </c>
      <c r="D440">
        <v>0</v>
      </c>
      <c r="F440">
        <v>62500</v>
      </c>
      <c r="G440" t="s">
        <v>17</v>
      </c>
      <c r="I440" t="s">
        <v>16</v>
      </c>
      <c r="J440" t="s">
        <v>181</v>
      </c>
      <c r="K440" t="s">
        <v>25</v>
      </c>
      <c r="L440">
        <v>132757294</v>
      </c>
      <c r="R440">
        <v>1351</v>
      </c>
      <c r="S440" t="s">
        <v>201</v>
      </c>
      <c r="T440">
        <v>0</v>
      </c>
      <c r="U440">
        <v>20</v>
      </c>
      <c r="V440">
        <v>0</v>
      </c>
      <c r="W440">
        <v>0</v>
      </c>
      <c r="X440">
        <v>0</v>
      </c>
    </row>
    <row r="441" spans="1:24" x14ac:dyDescent="0.25">
      <c r="A441" t="s">
        <v>15</v>
      </c>
      <c r="B441" t="s">
        <v>24</v>
      </c>
      <c r="C441">
        <v>20150316</v>
      </c>
      <c r="D441">
        <v>0</v>
      </c>
      <c r="F441">
        <v>62500</v>
      </c>
      <c r="G441" t="s">
        <v>17</v>
      </c>
      <c r="I441" t="s">
        <v>16</v>
      </c>
      <c r="J441" t="s">
        <v>181</v>
      </c>
      <c r="K441" t="s">
        <v>25</v>
      </c>
      <c r="L441">
        <v>132757294</v>
      </c>
      <c r="R441">
        <v>1352</v>
      </c>
      <c r="S441" t="s">
        <v>214</v>
      </c>
      <c r="T441">
        <v>0</v>
      </c>
      <c r="U441">
        <v>-23</v>
      </c>
      <c r="V441">
        <v>0</v>
      </c>
      <c r="W441">
        <v>0</v>
      </c>
      <c r="X441">
        <v>0</v>
      </c>
    </row>
    <row r="442" spans="1:24" x14ac:dyDescent="0.25">
      <c r="A442" t="s">
        <v>15</v>
      </c>
      <c r="B442" t="s">
        <v>24</v>
      </c>
      <c r="C442">
        <v>20150316</v>
      </c>
      <c r="D442">
        <v>0</v>
      </c>
      <c r="F442">
        <v>62500</v>
      </c>
      <c r="G442" t="s">
        <v>17</v>
      </c>
      <c r="I442" t="s">
        <v>16</v>
      </c>
      <c r="J442" t="s">
        <v>181</v>
      </c>
      <c r="K442" t="s">
        <v>25</v>
      </c>
      <c r="L442">
        <v>132757294</v>
      </c>
      <c r="R442">
        <v>1352</v>
      </c>
      <c r="S442" t="s">
        <v>194</v>
      </c>
      <c r="T442">
        <v>0</v>
      </c>
      <c r="U442">
        <v>23</v>
      </c>
      <c r="V442">
        <v>0</v>
      </c>
      <c r="W442">
        <v>0</v>
      </c>
      <c r="X442">
        <v>0</v>
      </c>
    </row>
    <row r="443" spans="1:24" x14ac:dyDescent="0.25">
      <c r="A443" t="s">
        <v>15</v>
      </c>
      <c r="B443" t="s">
        <v>24</v>
      </c>
      <c r="C443">
        <v>20150316</v>
      </c>
      <c r="D443">
        <v>0</v>
      </c>
      <c r="F443">
        <v>62500</v>
      </c>
      <c r="G443" t="s">
        <v>17</v>
      </c>
      <c r="I443" t="s">
        <v>16</v>
      </c>
      <c r="J443" t="s">
        <v>181</v>
      </c>
      <c r="K443" t="s">
        <v>25</v>
      </c>
      <c r="L443">
        <v>132757294</v>
      </c>
      <c r="R443">
        <v>1352</v>
      </c>
      <c r="S443" t="s">
        <v>194</v>
      </c>
      <c r="T443">
        <v>0</v>
      </c>
      <c r="U443">
        <v>23</v>
      </c>
      <c r="V443">
        <v>0</v>
      </c>
      <c r="W443">
        <v>0</v>
      </c>
      <c r="X443">
        <v>0</v>
      </c>
    </row>
    <row r="444" spans="1:24" x14ac:dyDescent="0.25">
      <c r="A444" t="s">
        <v>15</v>
      </c>
      <c r="B444" t="s">
        <v>24</v>
      </c>
      <c r="C444">
        <v>20150316</v>
      </c>
      <c r="D444">
        <v>0</v>
      </c>
      <c r="F444">
        <v>62500</v>
      </c>
      <c r="G444" t="s">
        <v>17</v>
      </c>
      <c r="I444" t="s">
        <v>16</v>
      </c>
      <c r="J444" t="s">
        <v>181</v>
      </c>
      <c r="K444" t="s">
        <v>25</v>
      </c>
      <c r="L444">
        <v>132757294</v>
      </c>
      <c r="R444">
        <v>1352</v>
      </c>
      <c r="S444" t="s">
        <v>194</v>
      </c>
      <c r="T444">
        <v>0</v>
      </c>
      <c r="U444">
        <v>23</v>
      </c>
      <c r="V444">
        <v>0</v>
      </c>
      <c r="W444">
        <v>0</v>
      </c>
      <c r="X444">
        <v>0</v>
      </c>
    </row>
    <row r="445" spans="1:24" x14ac:dyDescent="0.25">
      <c r="A445" t="s">
        <v>15</v>
      </c>
      <c r="B445" t="s">
        <v>24</v>
      </c>
      <c r="C445">
        <v>20150316</v>
      </c>
      <c r="D445">
        <v>0</v>
      </c>
      <c r="F445">
        <v>62500</v>
      </c>
      <c r="G445" t="s">
        <v>17</v>
      </c>
      <c r="I445" t="s">
        <v>16</v>
      </c>
      <c r="J445" t="s">
        <v>181</v>
      </c>
      <c r="K445" t="s">
        <v>25</v>
      </c>
      <c r="L445">
        <v>132757294</v>
      </c>
      <c r="R445">
        <v>1353</v>
      </c>
      <c r="S445" t="s">
        <v>214</v>
      </c>
      <c r="T445">
        <v>0</v>
      </c>
      <c r="U445">
        <v>-20</v>
      </c>
      <c r="V445">
        <v>0</v>
      </c>
      <c r="W445">
        <v>0</v>
      </c>
      <c r="X445">
        <v>0</v>
      </c>
    </row>
    <row r="446" spans="1:24" x14ac:dyDescent="0.25">
      <c r="A446" t="s">
        <v>15</v>
      </c>
      <c r="B446" t="s">
        <v>24</v>
      </c>
      <c r="C446">
        <v>20150316</v>
      </c>
      <c r="D446">
        <v>0</v>
      </c>
      <c r="F446">
        <v>62500</v>
      </c>
      <c r="G446" t="s">
        <v>17</v>
      </c>
      <c r="I446" t="s">
        <v>16</v>
      </c>
      <c r="J446" t="s">
        <v>181</v>
      </c>
      <c r="K446" t="s">
        <v>25</v>
      </c>
      <c r="L446">
        <v>132757294</v>
      </c>
      <c r="R446">
        <v>1352</v>
      </c>
      <c r="S446" t="s">
        <v>196</v>
      </c>
      <c r="T446">
        <v>0</v>
      </c>
      <c r="U446">
        <v>23</v>
      </c>
      <c r="V446">
        <v>0</v>
      </c>
      <c r="W446">
        <v>0</v>
      </c>
      <c r="X446">
        <v>0</v>
      </c>
    </row>
    <row r="447" spans="1:24" x14ac:dyDescent="0.25">
      <c r="A447" t="s">
        <v>15</v>
      </c>
      <c r="B447" t="s">
        <v>24</v>
      </c>
      <c r="C447">
        <v>20150316</v>
      </c>
      <c r="D447">
        <v>0</v>
      </c>
      <c r="F447">
        <v>62500</v>
      </c>
      <c r="G447" t="s">
        <v>17</v>
      </c>
      <c r="I447" t="s">
        <v>16</v>
      </c>
      <c r="J447" t="s">
        <v>181</v>
      </c>
      <c r="K447" t="s">
        <v>25</v>
      </c>
      <c r="L447">
        <v>132757294</v>
      </c>
      <c r="R447">
        <v>1352</v>
      </c>
      <c r="S447" t="s">
        <v>201</v>
      </c>
      <c r="T447">
        <v>0</v>
      </c>
      <c r="U447">
        <v>23</v>
      </c>
      <c r="V447">
        <v>0</v>
      </c>
      <c r="W447">
        <v>0</v>
      </c>
      <c r="X447">
        <v>0</v>
      </c>
    </row>
    <row r="448" spans="1:24" x14ac:dyDescent="0.25">
      <c r="A448" t="s">
        <v>15</v>
      </c>
      <c r="B448" t="s">
        <v>24</v>
      </c>
      <c r="C448">
        <v>20150316</v>
      </c>
      <c r="D448">
        <v>0</v>
      </c>
      <c r="F448">
        <v>62500</v>
      </c>
      <c r="G448" t="s">
        <v>17</v>
      </c>
      <c r="I448" t="s">
        <v>16</v>
      </c>
      <c r="J448" t="s">
        <v>181</v>
      </c>
      <c r="K448" t="s">
        <v>25</v>
      </c>
      <c r="L448">
        <v>132757294</v>
      </c>
      <c r="R448">
        <v>1353</v>
      </c>
      <c r="S448" t="s">
        <v>214</v>
      </c>
      <c r="T448">
        <v>0</v>
      </c>
      <c r="U448">
        <v>-20</v>
      </c>
      <c r="V448">
        <v>0</v>
      </c>
      <c r="W448">
        <v>0</v>
      </c>
      <c r="X448">
        <v>0</v>
      </c>
    </row>
    <row r="449" spans="1:24" x14ac:dyDescent="0.25">
      <c r="A449" t="s">
        <v>15</v>
      </c>
      <c r="B449" t="s">
        <v>24</v>
      </c>
      <c r="C449">
        <v>20150316</v>
      </c>
      <c r="D449">
        <v>0</v>
      </c>
      <c r="F449">
        <v>62500</v>
      </c>
      <c r="G449" t="s">
        <v>17</v>
      </c>
      <c r="I449" t="s">
        <v>16</v>
      </c>
      <c r="J449" t="s">
        <v>181</v>
      </c>
      <c r="K449" t="s">
        <v>25</v>
      </c>
      <c r="L449">
        <v>132757294</v>
      </c>
      <c r="R449">
        <v>1353</v>
      </c>
      <c r="S449" t="s">
        <v>194</v>
      </c>
      <c r="T449">
        <v>0</v>
      </c>
      <c r="U449">
        <v>20</v>
      </c>
      <c r="V449">
        <v>0</v>
      </c>
      <c r="W449">
        <v>0</v>
      </c>
      <c r="X449">
        <v>0</v>
      </c>
    </row>
    <row r="450" spans="1:24" x14ac:dyDescent="0.25">
      <c r="A450" t="s">
        <v>15</v>
      </c>
      <c r="B450" t="s">
        <v>24</v>
      </c>
      <c r="C450">
        <v>20150316</v>
      </c>
      <c r="D450">
        <v>0</v>
      </c>
      <c r="F450">
        <v>62500</v>
      </c>
      <c r="G450" t="s">
        <v>17</v>
      </c>
      <c r="I450" t="s">
        <v>16</v>
      </c>
      <c r="J450" t="s">
        <v>181</v>
      </c>
      <c r="K450" t="s">
        <v>25</v>
      </c>
      <c r="L450">
        <v>132757294</v>
      </c>
      <c r="R450">
        <v>1353</v>
      </c>
      <c r="S450" t="s">
        <v>194</v>
      </c>
      <c r="T450">
        <v>0</v>
      </c>
      <c r="U450">
        <v>20</v>
      </c>
      <c r="V450">
        <v>0</v>
      </c>
      <c r="W450">
        <v>0</v>
      </c>
      <c r="X450">
        <v>0</v>
      </c>
    </row>
    <row r="451" spans="1:24" x14ac:dyDescent="0.25">
      <c r="A451" t="s">
        <v>15</v>
      </c>
      <c r="B451" t="s">
        <v>24</v>
      </c>
      <c r="C451">
        <v>20150316</v>
      </c>
      <c r="D451">
        <v>0</v>
      </c>
      <c r="F451">
        <v>62500</v>
      </c>
      <c r="G451" t="s">
        <v>17</v>
      </c>
      <c r="I451" t="s">
        <v>16</v>
      </c>
      <c r="J451" t="s">
        <v>181</v>
      </c>
      <c r="K451" t="s">
        <v>25</v>
      </c>
      <c r="L451">
        <v>132757294</v>
      </c>
      <c r="R451">
        <v>1353</v>
      </c>
      <c r="S451" t="s">
        <v>194</v>
      </c>
      <c r="T451">
        <v>0</v>
      </c>
      <c r="U451">
        <v>20</v>
      </c>
      <c r="V451">
        <v>0</v>
      </c>
      <c r="W451">
        <v>0</v>
      </c>
      <c r="X451">
        <v>0</v>
      </c>
    </row>
    <row r="452" spans="1:24" x14ac:dyDescent="0.25">
      <c r="A452" t="s">
        <v>15</v>
      </c>
      <c r="B452" t="s">
        <v>24</v>
      </c>
      <c r="C452">
        <v>20150316</v>
      </c>
      <c r="D452">
        <v>0</v>
      </c>
      <c r="F452">
        <v>62500</v>
      </c>
      <c r="G452" t="s">
        <v>17</v>
      </c>
      <c r="I452" t="s">
        <v>16</v>
      </c>
      <c r="J452" t="s">
        <v>181</v>
      </c>
      <c r="K452" t="s">
        <v>25</v>
      </c>
      <c r="L452">
        <v>132757294</v>
      </c>
      <c r="R452">
        <v>1354</v>
      </c>
      <c r="S452" t="s">
        <v>214</v>
      </c>
      <c r="T452">
        <v>0</v>
      </c>
      <c r="U452">
        <v>-23</v>
      </c>
      <c r="V452">
        <v>0</v>
      </c>
      <c r="W452">
        <v>0</v>
      </c>
      <c r="X452">
        <v>0</v>
      </c>
    </row>
    <row r="453" spans="1:24" x14ac:dyDescent="0.25">
      <c r="A453" t="s">
        <v>15</v>
      </c>
      <c r="B453" t="s">
        <v>24</v>
      </c>
      <c r="C453">
        <v>20150316</v>
      </c>
      <c r="D453">
        <v>0</v>
      </c>
      <c r="F453">
        <v>62500</v>
      </c>
      <c r="G453" t="s">
        <v>17</v>
      </c>
      <c r="I453" t="s">
        <v>16</v>
      </c>
      <c r="J453" t="s">
        <v>181</v>
      </c>
      <c r="K453" t="s">
        <v>25</v>
      </c>
      <c r="L453">
        <v>132757294</v>
      </c>
      <c r="R453">
        <v>1353</v>
      </c>
      <c r="S453" t="s">
        <v>196</v>
      </c>
      <c r="T453">
        <v>0</v>
      </c>
      <c r="U453">
        <v>20</v>
      </c>
      <c r="V453">
        <v>0</v>
      </c>
      <c r="W453">
        <v>0</v>
      </c>
      <c r="X453">
        <v>0</v>
      </c>
    </row>
    <row r="454" spans="1:24" x14ac:dyDescent="0.25">
      <c r="A454" t="s">
        <v>15</v>
      </c>
      <c r="B454" t="s">
        <v>24</v>
      </c>
      <c r="C454">
        <v>20150316</v>
      </c>
      <c r="D454">
        <v>0</v>
      </c>
      <c r="F454">
        <v>62500</v>
      </c>
      <c r="G454" t="s">
        <v>17</v>
      </c>
      <c r="I454" t="s">
        <v>16</v>
      </c>
      <c r="J454" t="s">
        <v>181</v>
      </c>
      <c r="K454" t="s">
        <v>25</v>
      </c>
      <c r="L454">
        <v>132757294</v>
      </c>
      <c r="R454">
        <v>1353</v>
      </c>
      <c r="S454" t="s">
        <v>201</v>
      </c>
      <c r="T454">
        <v>0</v>
      </c>
      <c r="U454">
        <v>20</v>
      </c>
      <c r="V454">
        <v>0</v>
      </c>
      <c r="W454">
        <v>0</v>
      </c>
      <c r="X454">
        <v>0</v>
      </c>
    </row>
    <row r="455" spans="1:24" x14ac:dyDescent="0.25">
      <c r="A455" t="s">
        <v>15</v>
      </c>
      <c r="B455" t="s">
        <v>24</v>
      </c>
      <c r="C455">
        <v>20150316</v>
      </c>
      <c r="D455">
        <v>0</v>
      </c>
      <c r="F455">
        <v>62500</v>
      </c>
      <c r="G455" t="s">
        <v>17</v>
      </c>
      <c r="I455" t="s">
        <v>16</v>
      </c>
      <c r="J455" t="s">
        <v>181</v>
      </c>
      <c r="K455" t="s">
        <v>25</v>
      </c>
      <c r="L455">
        <v>132757294</v>
      </c>
      <c r="R455">
        <v>1354</v>
      </c>
      <c r="S455" t="s">
        <v>214</v>
      </c>
      <c r="T455">
        <v>0</v>
      </c>
      <c r="U455">
        <v>-23</v>
      </c>
      <c r="V455">
        <v>0</v>
      </c>
      <c r="W455">
        <v>0</v>
      </c>
      <c r="X455">
        <v>0</v>
      </c>
    </row>
    <row r="456" spans="1:24" x14ac:dyDescent="0.25">
      <c r="A456" t="s">
        <v>15</v>
      </c>
      <c r="B456" t="s">
        <v>24</v>
      </c>
      <c r="C456">
        <v>20150316</v>
      </c>
      <c r="D456">
        <v>0</v>
      </c>
      <c r="F456">
        <v>62500</v>
      </c>
      <c r="G456" t="s">
        <v>17</v>
      </c>
      <c r="I456" t="s">
        <v>16</v>
      </c>
      <c r="J456" t="s">
        <v>181</v>
      </c>
      <c r="K456" t="s">
        <v>25</v>
      </c>
      <c r="L456">
        <v>132757294</v>
      </c>
      <c r="R456">
        <v>1354</v>
      </c>
      <c r="S456" t="s">
        <v>194</v>
      </c>
      <c r="T456">
        <v>0</v>
      </c>
      <c r="U456">
        <v>23</v>
      </c>
      <c r="V456">
        <v>0</v>
      </c>
      <c r="W456">
        <v>0</v>
      </c>
      <c r="X456">
        <v>0</v>
      </c>
    </row>
    <row r="457" spans="1:24" x14ac:dyDescent="0.25">
      <c r="A457" t="s">
        <v>15</v>
      </c>
      <c r="B457" t="s">
        <v>24</v>
      </c>
      <c r="C457">
        <v>20150316</v>
      </c>
      <c r="D457">
        <v>0</v>
      </c>
      <c r="F457">
        <v>62500</v>
      </c>
      <c r="G457" t="s">
        <v>17</v>
      </c>
      <c r="I457" t="s">
        <v>16</v>
      </c>
      <c r="J457" t="s">
        <v>181</v>
      </c>
      <c r="K457" t="s">
        <v>25</v>
      </c>
      <c r="L457">
        <v>132757294</v>
      </c>
      <c r="R457">
        <v>1354</v>
      </c>
      <c r="S457" t="s">
        <v>194</v>
      </c>
      <c r="T457">
        <v>0</v>
      </c>
      <c r="U457">
        <v>23</v>
      </c>
      <c r="V457">
        <v>0</v>
      </c>
      <c r="W457">
        <v>0</v>
      </c>
      <c r="X457">
        <v>0</v>
      </c>
    </row>
    <row r="458" spans="1:24" x14ac:dyDescent="0.25">
      <c r="A458" t="s">
        <v>15</v>
      </c>
      <c r="B458" t="s">
        <v>24</v>
      </c>
      <c r="C458">
        <v>20150316</v>
      </c>
      <c r="D458">
        <v>0</v>
      </c>
      <c r="F458">
        <v>62500</v>
      </c>
      <c r="G458" t="s">
        <v>17</v>
      </c>
      <c r="I458" t="s">
        <v>16</v>
      </c>
      <c r="J458" t="s">
        <v>181</v>
      </c>
      <c r="K458" t="s">
        <v>25</v>
      </c>
      <c r="L458">
        <v>132757294</v>
      </c>
      <c r="R458">
        <v>1354</v>
      </c>
      <c r="S458" t="s">
        <v>194</v>
      </c>
      <c r="T458">
        <v>0</v>
      </c>
      <c r="U458">
        <v>23</v>
      </c>
      <c r="V458">
        <v>0</v>
      </c>
      <c r="W458">
        <v>0</v>
      </c>
      <c r="X458">
        <v>0</v>
      </c>
    </row>
    <row r="459" spans="1:24" x14ac:dyDescent="0.25">
      <c r="A459" t="s">
        <v>15</v>
      </c>
      <c r="B459" t="s">
        <v>24</v>
      </c>
      <c r="C459">
        <v>20150316</v>
      </c>
      <c r="D459">
        <v>0</v>
      </c>
      <c r="F459">
        <v>62500</v>
      </c>
      <c r="G459" t="s">
        <v>17</v>
      </c>
      <c r="I459" t="s">
        <v>16</v>
      </c>
      <c r="J459" t="s">
        <v>181</v>
      </c>
      <c r="K459" t="s">
        <v>25</v>
      </c>
      <c r="L459">
        <v>132757294</v>
      </c>
      <c r="R459">
        <v>1355</v>
      </c>
      <c r="S459" t="s">
        <v>214</v>
      </c>
      <c r="T459">
        <v>0</v>
      </c>
      <c r="U459">
        <v>27</v>
      </c>
      <c r="V459">
        <v>0</v>
      </c>
      <c r="W459">
        <v>0</v>
      </c>
      <c r="X459">
        <v>0</v>
      </c>
    </row>
    <row r="460" spans="1:24" x14ac:dyDescent="0.25">
      <c r="A460" t="s">
        <v>15</v>
      </c>
      <c r="B460" t="s">
        <v>24</v>
      </c>
      <c r="C460">
        <v>20150316</v>
      </c>
      <c r="D460">
        <v>0</v>
      </c>
      <c r="F460">
        <v>62500</v>
      </c>
      <c r="G460" t="s">
        <v>17</v>
      </c>
      <c r="I460" t="s">
        <v>16</v>
      </c>
      <c r="J460" t="s">
        <v>181</v>
      </c>
      <c r="K460" t="s">
        <v>25</v>
      </c>
      <c r="L460">
        <v>132757294</v>
      </c>
      <c r="R460">
        <v>1350</v>
      </c>
      <c r="S460" t="s">
        <v>196</v>
      </c>
      <c r="T460">
        <v>0</v>
      </c>
      <c r="U460">
        <v>21</v>
      </c>
      <c r="V460">
        <v>0</v>
      </c>
      <c r="W460">
        <v>0</v>
      </c>
      <c r="X460">
        <v>0</v>
      </c>
    </row>
    <row r="461" spans="1:24" x14ac:dyDescent="0.25">
      <c r="A461" t="s">
        <v>15</v>
      </c>
      <c r="B461" t="s">
        <v>24</v>
      </c>
      <c r="C461">
        <v>20150316</v>
      </c>
      <c r="D461">
        <v>0</v>
      </c>
      <c r="F461">
        <v>62500</v>
      </c>
      <c r="G461" t="s">
        <v>17</v>
      </c>
      <c r="I461" t="s">
        <v>16</v>
      </c>
      <c r="J461" t="s">
        <v>181</v>
      </c>
      <c r="K461" t="s">
        <v>25</v>
      </c>
      <c r="L461">
        <v>132757294</v>
      </c>
      <c r="R461">
        <v>1350</v>
      </c>
      <c r="S461" t="s">
        <v>201</v>
      </c>
      <c r="T461">
        <v>0</v>
      </c>
      <c r="U461">
        <v>21</v>
      </c>
      <c r="V461">
        <v>0</v>
      </c>
      <c r="W461">
        <v>0</v>
      </c>
      <c r="X461">
        <v>0</v>
      </c>
    </row>
    <row r="462" spans="1:24" x14ac:dyDescent="0.25">
      <c r="A462" t="s">
        <v>15</v>
      </c>
      <c r="B462" t="s">
        <v>24</v>
      </c>
      <c r="C462">
        <v>20150316</v>
      </c>
      <c r="D462">
        <v>0</v>
      </c>
      <c r="F462">
        <v>62500</v>
      </c>
      <c r="G462" t="s">
        <v>17</v>
      </c>
      <c r="I462" t="s">
        <v>16</v>
      </c>
      <c r="J462" t="s">
        <v>181</v>
      </c>
      <c r="K462" t="s">
        <v>25</v>
      </c>
      <c r="L462">
        <v>132757294</v>
      </c>
      <c r="R462">
        <v>1355</v>
      </c>
      <c r="S462" t="s">
        <v>214</v>
      </c>
      <c r="T462">
        <v>0</v>
      </c>
      <c r="U462">
        <v>27</v>
      </c>
      <c r="V462">
        <v>0</v>
      </c>
      <c r="W462">
        <v>0</v>
      </c>
      <c r="X462">
        <v>0</v>
      </c>
    </row>
    <row r="463" spans="1:24" x14ac:dyDescent="0.25">
      <c r="A463" t="s">
        <v>15</v>
      </c>
      <c r="B463" t="s">
        <v>24</v>
      </c>
      <c r="C463">
        <v>20150316</v>
      </c>
      <c r="D463">
        <v>0</v>
      </c>
      <c r="F463">
        <v>62500</v>
      </c>
      <c r="G463" t="s">
        <v>17</v>
      </c>
      <c r="I463" t="s">
        <v>16</v>
      </c>
      <c r="J463" t="s">
        <v>181</v>
      </c>
      <c r="K463" t="s">
        <v>25</v>
      </c>
      <c r="L463">
        <v>132757294</v>
      </c>
      <c r="R463">
        <v>1355</v>
      </c>
      <c r="S463" t="s">
        <v>194</v>
      </c>
      <c r="T463">
        <v>0</v>
      </c>
      <c r="U463">
        <v>27</v>
      </c>
      <c r="V463">
        <v>0</v>
      </c>
      <c r="W463">
        <v>0</v>
      </c>
      <c r="X463">
        <v>0</v>
      </c>
    </row>
    <row r="464" spans="1:24" x14ac:dyDescent="0.25">
      <c r="A464" t="s">
        <v>15</v>
      </c>
      <c r="B464" t="s">
        <v>24</v>
      </c>
      <c r="C464">
        <v>20150316</v>
      </c>
      <c r="D464">
        <v>0</v>
      </c>
      <c r="F464">
        <v>62500</v>
      </c>
      <c r="G464" t="s">
        <v>17</v>
      </c>
      <c r="I464" t="s">
        <v>16</v>
      </c>
      <c r="J464" t="s">
        <v>181</v>
      </c>
      <c r="K464" t="s">
        <v>25</v>
      </c>
      <c r="L464">
        <v>132757294</v>
      </c>
      <c r="R464">
        <v>1354</v>
      </c>
      <c r="S464" t="s">
        <v>196</v>
      </c>
      <c r="T464">
        <v>0</v>
      </c>
      <c r="U464">
        <v>23</v>
      </c>
      <c r="V464">
        <v>0</v>
      </c>
      <c r="W464">
        <v>0</v>
      </c>
      <c r="X464">
        <v>0</v>
      </c>
    </row>
    <row r="465" spans="1:24" x14ac:dyDescent="0.25">
      <c r="A465" t="s">
        <v>15</v>
      </c>
      <c r="B465" t="s">
        <v>24</v>
      </c>
      <c r="C465">
        <v>20150316</v>
      </c>
      <c r="D465">
        <v>0</v>
      </c>
      <c r="F465">
        <v>62500</v>
      </c>
      <c r="G465" t="s">
        <v>17</v>
      </c>
      <c r="I465" t="s">
        <v>16</v>
      </c>
      <c r="J465" t="s">
        <v>181</v>
      </c>
      <c r="K465" t="s">
        <v>25</v>
      </c>
      <c r="L465">
        <v>132757294</v>
      </c>
      <c r="R465">
        <v>1354</v>
      </c>
      <c r="S465" t="s">
        <v>201</v>
      </c>
      <c r="T465">
        <v>0</v>
      </c>
      <c r="U465">
        <v>23</v>
      </c>
      <c r="V465">
        <v>0</v>
      </c>
      <c r="W465">
        <v>0</v>
      </c>
      <c r="X465">
        <v>0</v>
      </c>
    </row>
    <row r="466" spans="1:24" x14ac:dyDescent="0.25">
      <c r="A466" t="s">
        <v>15</v>
      </c>
      <c r="B466" t="s">
        <v>24</v>
      </c>
      <c r="C466">
        <v>20150316</v>
      </c>
      <c r="D466">
        <v>0</v>
      </c>
      <c r="F466">
        <v>62500</v>
      </c>
      <c r="G466" t="s">
        <v>17</v>
      </c>
      <c r="I466" t="s">
        <v>16</v>
      </c>
      <c r="J466" t="s">
        <v>181</v>
      </c>
      <c r="K466" t="s">
        <v>25</v>
      </c>
      <c r="L466">
        <v>132757294</v>
      </c>
      <c r="R466">
        <v>1355</v>
      </c>
      <c r="S466" t="s">
        <v>194</v>
      </c>
      <c r="T466">
        <v>0</v>
      </c>
      <c r="U466">
        <v>27</v>
      </c>
      <c r="V466">
        <v>0</v>
      </c>
      <c r="W466">
        <v>0</v>
      </c>
      <c r="X466">
        <v>0</v>
      </c>
    </row>
    <row r="467" spans="1:24" x14ac:dyDescent="0.25">
      <c r="A467" t="s">
        <v>15</v>
      </c>
      <c r="B467" t="s">
        <v>24</v>
      </c>
      <c r="C467">
        <v>20150316</v>
      </c>
      <c r="D467">
        <v>0</v>
      </c>
      <c r="F467">
        <v>62500</v>
      </c>
      <c r="G467" t="s">
        <v>17</v>
      </c>
      <c r="I467" t="s">
        <v>16</v>
      </c>
      <c r="J467" t="s">
        <v>181</v>
      </c>
      <c r="K467" t="s">
        <v>25</v>
      </c>
      <c r="L467">
        <v>132757294</v>
      </c>
      <c r="R467">
        <v>1355</v>
      </c>
      <c r="S467" t="s">
        <v>194</v>
      </c>
      <c r="T467">
        <v>0</v>
      </c>
      <c r="U467">
        <v>27</v>
      </c>
      <c r="V467">
        <v>0</v>
      </c>
      <c r="W467">
        <v>0</v>
      </c>
      <c r="X467">
        <v>0</v>
      </c>
    </row>
    <row r="468" spans="1:24" x14ac:dyDescent="0.25">
      <c r="A468" t="s">
        <v>15</v>
      </c>
      <c r="B468" t="s">
        <v>24</v>
      </c>
      <c r="C468">
        <v>20150316</v>
      </c>
      <c r="D468">
        <v>0</v>
      </c>
      <c r="F468">
        <v>62500</v>
      </c>
      <c r="G468" t="s">
        <v>17</v>
      </c>
      <c r="I468" t="s">
        <v>16</v>
      </c>
      <c r="J468" t="s">
        <v>181</v>
      </c>
      <c r="K468" t="s">
        <v>25</v>
      </c>
      <c r="L468">
        <v>132757294</v>
      </c>
      <c r="R468">
        <v>1356</v>
      </c>
      <c r="S468" t="s">
        <v>214</v>
      </c>
      <c r="T468">
        <v>0</v>
      </c>
      <c r="U468">
        <v>24</v>
      </c>
      <c r="V468">
        <v>0</v>
      </c>
      <c r="W468">
        <v>0</v>
      </c>
      <c r="X468">
        <v>0</v>
      </c>
    </row>
    <row r="469" spans="1:24" x14ac:dyDescent="0.25">
      <c r="A469" t="s">
        <v>15</v>
      </c>
      <c r="B469" t="s">
        <v>24</v>
      </c>
      <c r="C469">
        <v>20150316</v>
      </c>
      <c r="D469">
        <v>0</v>
      </c>
      <c r="F469">
        <v>62500</v>
      </c>
      <c r="G469" t="s">
        <v>17</v>
      </c>
      <c r="I469" t="s">
        <v>16</v>
      </c>
      <c r="J469" t="s">
        <v>181</v>
      </c>
      <c r="K469" t="s">
        <v>25</v>
      </c>
      <c r="L469">
        <v>132757294</v>
      </c>
      <c r="R469">
        <v>1355</v>
      </c>
      <c r="S469" t="s">
        <v>196</v>
      </c>
      <c r="T469">
        <v>0</v>
      </c>
      <c r="U469">
        <v>27</v>
      </c>
      <c r="V469">
        <v>0</v>
      </c>
      <c r="W469">
        <v>0</v>
      </c>
      <c r="X469">
        <v>0</v>
      </c>
    </row>
    <row r="470" spans="1:24" x14ac:dyDescent="0.25">
      <c r="A470" t="s">
        <v>15</v>
      </c>
      <c r="B470" t="s">
        <v>24</v>
      </c>
      <c r="C470">
        <v>20150316</v>
      </c>
      <c r="D470">
        <v>0</v>
      </c>
      <c r="F470">
        <v>62500</v>
      </c>
      <c r="G470" t="s">
        <v>17</v>
      </c>
      <c r="I470" t="s">
        <v>16</v>
      </c>
      <c r="J470" t="s">
        <v>181</v>
      </c>
      <c r="K470" t="s">
        <v>25</v>
      </c>
      <c r="L470">
        <v>132757294</v>
      </c>
      <c r="R470">
        <v>1355</v>
      </c>
      <c r="S470" t="s">
        <v>201</v>
      </c>
      <c r="T470">
        <v>0</v>
      </c>
      <c r="U470">
        <v>27</v>
      </c>
      <c r="V470">
        <v>0</v>
      </c>
      <c r="W470">
        <v>0</v>
      </c>
      <c r="X470">
        <v>0</v>
      </c>
    </row>
    <row r="471" spans="1:24" x14ac:dyDescent="0.25">
      <c r="A471" t="s">
        <v>15</v>
      </c>
      <c r="B471" t="s">
        <v>24</v>
      </c>
      <c r="C471">
        <v>20150316</v>
      </c>
      <c r="D471">
        <v>0</v>
      </c>
      <c r="F471">
        <v>62500</v>
      </c>
      <c r="G471" t="s">
        <v>17</v>
      </c>
      <c r="I471" t="s">
        <v>16</v>
      </c>
      <c r="J471" t="s">
        <v>181</v>
      </c>
      <c r="K471" t="s">
        <v>25</v>
      </c>
      <c r="L471">
        <v>132757294</v>
      </c>
      <c r="R471">
        <v>1356</v>
      </c>
      <c r="S471" t="s">
        <v>214</v>
      </c>
      <c r="T471">
        <v>0</v>
      </c>
      <c r="U471">
        <v>24</v>
      </c>
      <c r="V471">
        <v>0</v>
      </c>
      <c r="W471">
        <v>0</v>
      </c>
      <c r="X471">
        <v>0</v>
      </c>
    </row>
    <row r="472" spans="1:24" x14ac:dyDescent="0.25">
      <c r="A472" t="s">
        <v>15</v>
      </c>
      <c r="B472" t="s">
        <v>24</v>
      </c>
      <c r="C472">
        <v>20150316</v>
      </c>
      <c r="D472">
        <v>0</v>
      </c>
      <c r="F472">
        <v>62500</v>
      </c>
      <c r="G472" t="s">
        <v>17</v>
      </c>
      <c r="I472" t="s">
        <v>16</v>
      </c>
      <c r="J472" t="s">
        <v>181</v>
      </c>
      <c r="K472" t="s">
        <v>25</v>
      </c>
      <c r="L472">
        <v>132757294</v>
      </c>
      <c r="R472">
        <v>1356</v>
      </c>
      <c r="S472" t="s">
        <v>194</v>
      </c>
      <c r="T472">
        <v>0</v>
      </c>
      <c r="U472">
        <v>24</v>
      </c>
      <c r="V472">
        <v>0</v>
      </c>
      <c r="W472">
        <v>0</v>
      </c>
      <c r="X472">
        <v>0</v>
      </c>
    </row>
    <row r="473" spans="1:24" x14ac:dyDescent="0.25">
      <c r="A473" t="s">
        <v>15</v>
      </c>
      <c r="B473" t="s">
        <v>24</v>
      </c>
      <c r="C473">
        <v>20150316</v>
      </c>
      <c r="D473">
        <v>0</v>
      </c>
      <c r="F473">
        <v>62500</v>
      </c>
      <c r="G473" t="s">
        <v>17</v>
      </c>
      <c r="I473" t="s">
        <v>16</v>
      </c>
      <c r="J473" t="s">
        <v>181</v>
      </c>
      <c r="K473" t="s">
        <v>25</v>
      </c>
      <c r="L473">
        <v>132757294</v>
      </c>
      <c r="R473">
        <v>1356</v>
      </c>
      <c r="S473" t="s">
        <v>194</v>
      </c>
      <c r="T473">
        <v>0</v>
      </c>
      <c r="U473">
        <v>24</v>
      </c>
      <c r="V473">
        <v>0</v>
      </c>
      <c r="W473">
        <v>0</v>
      </c>
      <c r="X473">
        <v>0</v>
      </c>
    </row>
    <row r="474" spans="1:24" x14ac:dyDescent="0.25">
      <c r="A474" t="s">
        <v>15</v>
      </c>
      <c r="B474" t="s">
        <v>24</v>
      </c>
      <c r="C474">
        <v>20150316</v>
      </c>
      <c r="D474">
        <v>0</v>
      </c>
      <c r="F474">
        <v>62500</v>
      </c>
      <c r="G474" t="s">
        <v>17</v>
      </c>
      <c r="I474" t="s">
        <v>16</v>
      </c>
      <c r="J474" t="s">
        <v>181</v>
      </c>
      <c r="K474" t="s">
        <v>25</v>
      </c>
      <c r="L474">
        <v>132757294</v>
      </c>
      <c r="R474">
        <v>1356</v>
      </c>
      <c r="S474" t="s">
        <v>194</v>
      </c>
      <c r="T474">
        <v>0</v>
      </c>
      <c r="U474">
        <v>24</v>
      </c>
      <c r="V474">
        <v>0</v>
      </c>
      <c r="W474">
        <v>0</v>
      </c>
      <c r="X474">
        <v>0</v>
      </c>
    </row>
    <row r="475" spans="1:24" x14ac:dyDescent="0.25">
      <c r="A475" t="s">
        <v>15</v>
      </c>
      <c r="B475" t="s">
        <v>24</v>
      </c>
      <c r="C475">
        <v>20150316</v>
      </c>
      <c r="D475">
        <v>0</v>
      </c>
      <c r="F475">
        <v>62500</v>
      </c>
      <c r="G475" t="s">
        <v>17</v>
      </c>
      <c r="I475" t="s">
        <v>16</v>
      </c>
      <c r="J475" t="s">
        <v>181</v>
      </c>
      <c r="K475" t="s">
        <v>25</v>
      </c>
      <c r="L475">
        <v>132757294</v>
      </c>
      <c r="R475">
        <v>1357</v>
      </c>
      <c r="S475" t="s">
        <v>214</v>
      </c>
      <c r="T475">
        <v>0</v>
      </c>
      <c r="U475">
        <v>-24</v>
      </c>
      <c r="V475">
        <v>0</v>
      </c>
      <c r="W475">
        <v>0</v>
      </c>
      <c r="X475">
        <v>0</v>
      </c>
    </row>
    <row r="476" spans="1:24" x14ac:dyDescent="0.25">
      <c r="A476" t="s">
        <v>15</v>
      </c>
      <c r="B476" t="s">
        <v>24</v>
      </c>
      <c r="C476">
        <v>20150316</v>
      </c>
      <c r="D476">
        <v>0</v>
      </c>
      <c r="F476">
        <v>62500</v>
      </c>
      <c r="G476" t="s">
        <v>17</v>
      </c>
      <c r="I476" t="s">
        <v>16</v>
      </c>
      <c r="J476" t="s">
        <v>181</v>
      </c>
      <c r="K476" t="s">
        <v>25</v>
      </c>
      <c r="L476">
        <v>132757294</v>
      </c>
      <c r="R476">
        <v>1357</v>
      </c>
      <c r="S476" t="s">
        <v>214</v>
      </c>
      <c r="T476">
        <v>0</v>
      </c>
      <c r="U476">
        <v>-24</v>
      </c>
      <c r="V476">
        <v>0</v>
      </c>
      <c r="W476">
        <v>0</v>
      </c>
      <c r="X476">
        <v>0</v>
      </c>
    </row>
    <row r="477" spans="1:24" x14ac:dyDescent="0.25">
      <c r="A477" t="s">
        <v>15</v>
      </c>
      <c r="B477" t="s">
        <v>24</v>
      </c>
      <c r="C477">
        <v>20150316</v>
      </c>
      <c r="D477">
        <v>0</v>
      </c>
      <c r="F477">
        <v>62500</v>
      </c>
      <c r="G477" t="s">
        <v>17</v>
      </c>
      <c r="I477" t="s">
        <v>16</v>
      </c>
      <c r="J477" t="s">
        <v>181</v>
      </c>
      <c r="K477" t="s">
        <v>25</v>
      </c>
      <c r="L477">
        <v>132757294</v>
      </c>
      <c r="R477">
        <v>1357</v>
      </c>
      <c r="S477" t="s">
        <v>194</v>
      </c>
      <c r="T477">
        <v>0</v>
      </c>
      <c r="U477">
        <v>24</v>
      </c>
      <c r="V477">
        <v>0</v>
      </c>
      <c r="W477">
        <v>0</v>
      </c>
      <c r="X477">
        <v>0</v>
      </c>
    </row>
    <row r="478" spans="1:24" x14ac:dyDescent="0.25">
      <c r="A478" t="s">
        <v>15</v>
      </c>
      <c r="B478" t="s">
        <v>24</v>
      </c>
      <c r="C478">
        <v>20150316</v>
      </c>
      <c r="D478">
        <v>0</v>
      </c>
      <c r="F478">
        <v>62500</v>
      </c>
      <c r="G478" t="s">
        <v>17</v>
      </c>
      <c r="I478" t="s">
        <v>16</v>
      </c>
      <c r="J478" t="s">
        <v>181</v>
      </c>
      <c r="K478" t="s">
        <v>25</v>
      </c>
      <c r="L478">
        <v>132757294</v>
      </c>
      <c r="R478">
        <v>1357</v>
      </c>
      <c r="S478" t="s">
        <v>194</v>
      </c>
      <c r="T478">
        <v>0</v>
      </c>
      <c r="U478">
        <v>24</v>
      </c>
      <c r="V478">
        <v>0</v>
      </c>
      <c r="W478">
        <v>0</v>
      </c>
      <c r="X478">
        <v>0</v>
      </c>
    </row>
    <row r="479" spans="1:24" x14ac:dyDescent="0.25">
      <c r="A479" t="s">
        <v>15</v>
      </c>
      <c r="B479" t="s">
        <v>24</v>
      </c>
      <c r="C479">
        <v>20150316</v>
      </c>
      <c r="D479">
        <v>0</v>
      </c>
      <c r="F479">
        <v>62500</v>
      </c>
      <c r="G479" t="s">
        <v>17</v>
      </c>
      <c r="I479" t="s">
        <v>16</v>
      </c>
      <c r="J479" t="s">
        <v>181</v>
      </c>
      <c r="K479" t="s">
        <v>25</v>
      </c>
      <c r="L479">
        <v>132757294</v>
      </c>
      <c r="R479">
        <v>1357</v>
      </c>
      <c r="S479" t="s">
        <v>194</v>
      </c>
      <c r="T479">
        <v>0</v>
      </c>
      <c r="U479">
        <v>24</v>
      </c>
      <c r="V479">
        <v>0</v>
      </c>
      <c r="W479">
        <v>0</v>
      </c>
      <c r="X479">
        <v>0</v>
      </c>
    </row>
    <row r="480" spans="1:24" x14ac:dyDescent="0.25">
      <c r="A480" t="s">
        <v>15</v>
      </c>
      <c r="B480" t="s">
        <v>24</v>
      </c>
      <c r="C480">
        <v>20150316</v>
      </c>
      <c r="D480">
        <v>0</v>
      </c>
      <c r="F480">
        <v>62500</v>
      </c>
      <c r="G480" t="s">
        <v>17</v>
      </c>
      <c r="I480" t="s">
        <v>16</v>
      </c>
      <c r="J480" t="s">
        <v>181</v>
      </c>
      <c r="K480" t="s">
        <v>25</v>
      </c>
      <c r="L480">
        <v>132757294</v>
      </c>
      <c r="R480">
        <v>1358</v>
      </c>
      <c r="S480" t="s">
        <v>214</v>
      </c>
      <c r="T480">
        <v>0</v>
      </c>
      <c r="U480">
        <v>27</v>
      </c>
      <c r="V480">
        <v>0</v>
      </c>
      <c r="W480">
        <v>0</v>
      </c>
      <c r="X480">
        <v>0</v>
      </c>
    </row>
    <row r="481" spans="1:24" x14ac:dyDescent="0.25">
      <c r="A481" t="s">
        <v>15</v>
      </c>
      <c r="B481" t="s">
        <v>24</v>
      </c>
      <c r="C481">
        <v>20150316</v>
      </c>
      <c r="D481">
        <v>0</v>
      </c>
      <c r="F481">
        <v>62500</v>
      </c>
      <c r="G481" t="s">
        <v>17</v>
      </c>
      <c r="I481" t="s">
        <v>16</v>
      </c>
      <c r="J481" t="s">
        <v>181</v>
      </c>
      <c r="K481" t="s">
        <v>25</v>
      </c>
      <c r="L481">
        <v>132757294</v>
      </c>
      <c r="R481">
        <v>1356</v>
      </c>
      <c r="S481" t="s">
        <v>196</v>
      </c>
      <c r="T481">
        <v>0</v>
      </c>
      <c r="U481">
        <v>24</v>
      </c>
      <c r="V481">
        <v>0</v>
      </c>
      <c r="W481">
        <v>0</v>
      </c>
      <c r="X481">
        <v>0</v>
      </c>
    </row>
    <row r="482" spans="1:24" x14ac:dyDescent="0.25">
      <c r="A482" t="s">
        <v>15</v>
      </c>
      <c r="B482" t="s">
        <v>24</v>
      </c>
      <c r="C482">
        <v>20150316</v>
      </c>
      <c r="D482">
        <v>0</v>
      </c>
      <c r="F482">
        <v>62500</v>
      </c>
      <c r="G482" t="s">
        <v>17</v>
      </c>
      <c r="I482" t="s">
        <v>16</v>
      </c>
      <c r="J482" t="s">
        <v>181</v>
      </c>
      <c r="K482" t="s">
        <v>25</v>
      </c>
      <c r="L482">
        <v>132757294</v>
      </c>
      <c r="R482">
        <v>1356</v>
      </c>
      <c r="S482" t="s">
        <v>201</v>
      </c>
      <c r="T482">
        <v>0</v>
      </c>
      <c r="U482">
        <v>24</v>
      </c>
      <c r="V482">
        <v>0</v>
      </c>
      <c r="W482">
        <v>0</v>
      </c>
      <c r="X482">
        <v>0</v>
      </c>
    </row>
    <row r="483" spans="1:24" x14ac:dyDescent="0.25">
      <c r="A483" t="s">
        <v>15</v>
      </c>
      <c r="B483" t="s">
        <v>24</v>
      </c>
      <c r="C483">
        <v>20150316</v>
      </c>
      <c r="D483">
        <v>0</v>
      </c>
      <c r="F483">
        <v>62500</v>
      </c>
      <c r="G483" t="s">
        <v>17</v>
      </c>
      <c r="I483" t="s">
        <v>16</v>
      </c>
      <c r="J483" t="s">
        <v>181</v>
      </c>
      <c r="K483" t="s">
        <v>25</v>
      </c>
      <c r="L483">
        <v>132757294</v>
      </c>
      <c r="R483">
        <v>1358</v>
      </c>
      <c r="S483" t="s">
        <v>214</v>
      </c>
      <c r="T483">
        <v>0</v>
      </c>
      <c r="U483">
        <v>27</v>
      </c>
      <c r="V483">
        <v>0</v>
      </c>
      <c r="W483">
        <v>0</v>
      </c>
      <c r="X483">
        <v>0</v>
      </c>
    </row>
    <row r="484" spans="1:24" x14ac:dyDescent="0.25">
      <c r="A484" t="s">
        <v>15</v>
      </c>
      <c r="B484" t="s">
        <v>24</v>
      </c>
      <c r="C484">
        <v>20150316</v>
      </c>
      <c r="D484">
        <v>0</v>
      </c>
      <c r="F484">
        <v>62500</v>
      </c>
      <c r="G484" t="s">
        <v>17</v>
      </c>
      <c r="I484" t="s">
        <v>16</v>
      </c>
      <c r="J484" t="s">
        <v>181</v>
      </c>
      <c r="K484" t="s">
        <v>25</v>
      </c>
      <c r="L484">
        <v>132757294</v>
      </c>
      <c r="R484">
        <v>1358</v>
      </c>
      <c r="S484" t="s">
        <v>194</v>
      </c>
      <c r="T484">
        <v>0</v>
      </c>
      <c r="U484">
        <v>27</v>
      </c>
      <c r="V484">
        <v>0</v>
      </c>
      <c r="W484">
        <v>0</v>
      </c>
      <c r="X484">
        <v>0</v>
      </c>
    </row>
    <row r="485" spans="1:24" x14ac:dyDescent="0.25">
      <c r="A485" t="s">
        <v>15</v>
      </c>
      <c r="B485" t="s">
        <v>24</v>
      </c>
      <c r="C485">
        <v>20150316</v>
      </c>
      <c r="D485">
        <v>0</v>
      </c>
      <c r="F485">
        <v>62500</v>
      </c>
      <c r="G485" t="s">
        <v>17</v>
      </c>
      <c r="I485" t="s">
        <v>16</v>
      </c>
      <c r="J485" t="s">
        <v>181</v>
      </c>
      <c r="K485" t="s">
        <v>25</v>
      </c>
      <c r="L485">
        <v>132757294</v>
      </c>
      <c r="R485">
        <v>1357</v>
      </c>
      <c r="S485" t="s">
        <v>196</v>
      </c>
      <c r="T485">
        <v>0</v>
      </c>
      <c r="U485">
        <v>24</v>
      </c>
      <c r="V485">
        <v>0</v>
      </c>
      <c r="W485">
        <v>0</v>
      </c>
      <c r="X485">
        <v>0</v>
      </c>
    </row>
    <row r="486" spans="1:24" x14ac:dyDescent="0.25">
      <c r="A486" t="s">
        <v>15</v>
      </c>
      <c r="B486" t="s">
        <v>24</v>
      </c>
      <c r="C486">
        <v>20150316</v>
      </c>
      <c r="D486">
        <v>0</v>
      </c>
      <c r="F486">
        <v>62500</v>
      </c>
      <c r="G486" t="s">
        <v>17</v>
      </c>
      <c r="I486" t="s">
        <v>16</v>
      </c>
      <c r="J486" t="s">
        <v>181</v>
      </c>
      <c r="K486" t="s">
        <v>25</v>
      </c>
      <c r="L486">
        <v>132757294</v>
      </c>
      <c r="R486">
        <v>1357</v>
      </c>
      <c r="S486" t="s">
        <v>201</v>
      </c>
      <c r="T486">
        <v>0</v>
      </c>
      <c r="U486">
        <v>24</v>
      </c>
      <c r="V486">
        <v>0</v>
      </c>
      <c r="W486">
        <v>0</v>
      </c>
      <c r="X486">
        <v>0</v>
      </c>
    </row>
    <row r="487" spans="1:24" x14ac:dyDescent="0.25">
      <c r="A487" t="s">
        <v>15</v>
      </c>
      <c r="B487" t="s">
        <v>24</v>
      </c>
      <c r="C487">
        <v>20150316</v>
      </c>
      <c r="D487">
        <v>0</v>
      </c>
      <c r="F487">
        <v>62500</v>
      </c>
      <c r="G487" t="s">
        <v>17</v>
      </c>
      <c r="I487" t="s">
        <v>16</v>
      </c>
      <c r="J487" t="s">
        <v>181</v>
      </c>
      <c r="K487" t="s">
        <v>25</v>
      </c>
      <c r="L487">
        <v>132757294</v>
      </c>
      <c r="R487">
        <v>1358</v>
      </c>
      <c r="S487" t="s">
        <v>194</v>
      </c>
      <c r="T487">
        <v>0</v>
      </c>
      <c r="U487">
        <v>27</v>
      </c>
      <c r="V487">
        <v>0</v>
      </c>
      <c r="W487">
        <v>0</v>
      </c>
      <c r="X487">
        <v>0</v>
      </c>
    </row>
    <row r="488" spans="1:24" x14ac:dyDescent="0.25">
      <c r="A488" t="s">
        <v>15</v>
      </c>
      <c r="B488" t="s">
        <v>24</v>
      </c>
      <c r="C488">
        <v>20150316</v>
      </c>
      <c r="D488">
        <v>0</v>
      </c>
      <c r="F488">
        <v>62500</v>
      </c>
      <c r="G488" t="s">
        <v>17</v>
      </c>
      <c r="I488" t="s">
        <v>16</v>
      </c>
      <c r="J488" t="s">
        <v>181</v>
      </c>
      <c r="K488" t="s">
        <v>25</v>
      </c>
      <c r="L488">
        <v>132757294</v>
      </c>
      <c r="R488">
        <v>1358</v>
      </c>
      <c r="S488" t="s">
        <v>194</v>
      </c>
      <c r="T488">
        <v>0</v>
      </c>
      <c r="U488">
        <v>27</v>
      </c>
      <c r="V488">
        <v>0</v>
      </c>
      <c r="W488">
        <v>0</v>
      </c>
      <c r="X488">
        <v>0</v>
      </c>
    </row>
    <row r="489" spans="1:24" x14ac:dyDescent="0.25">
      <c r="A489" t="s">
        <v>15</v>
      </c>
      <c r="B489" t="s">
        <v>24</v>
      </c>
      <c r="C489">
        <v>20150316</v>
      </c>
      <c r="D489">
        <v>0</v>
      </c>
      <c r="F489">
        <v>62500</v>
      </c>
      <c r="G489" t="s">
        <v>17</v>
      </c>
      <c r="I489" t="s">
        <v>16</v>
      </c>
      <c r="J489" t="s">
        <v>181</v>
      </c>
      <c r="K489" t="s">
        <v>25</v>
      </c>
      <c r="L489">
        <v>132757294</v>
      </c>
      <c r="R489">
        <v>1359</v>
      </c>
      <c r="S489" t="s">
        <v>214</v>
      </c>
      <c r="T489">
        <v>0</v>
      </c>
      <c r="U489">
        <v>-26</v>
      </c>
      <c r="V489">
        <v>0</v>
      </c>
      <c r="W489">
        <v>0</v>
      </c>
      <c r="X489">
        <v>0</v>
      </c>
    </row>
    <row r="490" spans="1:24" x14ac:dyDescent="0.25">
      <c r="A490" t="s">
        <v>15</v>
      </c>
      <c r="B490" t="s">
        <v>24</v>
      </c>
      <c r="C490">
        <v>20150316</v>
      </c>
      <c r="D490">
        <v>0</v>
      </c>
      <c r="F490">
        <v>62500</v>
      </c>
      <c r="G490" t="s">
        <v>17</v>
      </c>
      <c r="I490" t="s">
        <v>16</v>
      </c>
      <c r="J490" t="s">
        <v>181</v>
      </c>
      <c r="K490" t="s">
        <v>25</v>
      </c>
      <c r="L490">
        <v>132757294</v>
      </c>
      <c r="R490">
        <v>1359</v>
      </c>
      <c r="S490" t="s">
        <v>214</v>
      </c>
      <c r="T490">
        <v>0</v>
      </c>
      <c r="U490">
        <v>-26</v>
      </c>
      <c r="V490">
        <v>0</v>
      </c>
      <c r="W490">
        <v>0</v>
      </c>
      <c r="X490">
        <v>0</v>
      </c>
    </row>
    <row r="491" spans="1:24" x14ac:dyDescent="0.25">
      <c r="A491" t="s">
        <v>15</v>
      </c>
      <c r="B491" t="s">
        <v>24</v>
      </c>
      <c r="C491">
        <v>20150316</v>
      </c>
      <c r="D491">
        <v>0</v>
      </c>
      <c r="F491">
        <v>62500</v>
      </c>
      <c r="G491" t="s">
        <v>17</v>
      </c>
      <c r="I491" t="s">
        <v>16</v>
      </c>
      <c r="J491" t="s">
        <v>181</v>
      </c>
      <c r="K491" t="s">
        <v>25</v>
      </c>
      <c r="L491">
        <v>132757294</v>
      </c>
      <c r="R491">
        <v>1359</v>
      </c>
      <c r="S491" t="s">
        <v>194</v>
      </c>
      <c r="T491">
        <v>0</v>
      </c>
      <c r="U491">
        <v>26</v>
      </c>
      <c r="V491">
        <v>0</v>
      </c>
      <c r="W491">
        <v>0</v>
      </c>
      <c r="X491">
        <v>0</v>
      </c>
    </row>
    <row r="492" spans="1:24" x14ac:dyDescent="0.25">
      <c r="A492" t="s">
        <v>15</v>
      </c>
      <c r="B492" t="s">
        <v>24</v>
      </c>
      <c r="C492">
        <v>20150316</v>
      </c>
      <c r="D492">
        <v>0</v>
      </c>
      <c r="F492">
        <v>62500</v>
      </c>
      <c r="G492" t="s">
        <v>17</v>
      </c>
      <c r="I492" t="s">
        <v>16</v>
      </c>
      <c r="J492" t="s">
        <v>181</v>
      </c>
      <c r="K492" t="s">
        <v>25</v>
      </c>
      <c r="L492">
        <v>132757294</v>
      </c>
      <c r="R492">
        <v>1359</v>
      </c>
      <c r="S492" t="s">
        <v>194</v>
      </c>
      <c r="T492">
        <v>0</v>
      </c>
      <c r="U492">
        <v>26</v>
      </c>
      <c r="V492">
        <v>0</v>
      </c>
      <c r="W492">
        <v>0</v>
      </c>
      <c r="X492">
        <v>0</v>
      </c>
    </row>
    <row r="493" spans="1:24" x14ac:dyDescent="0.25">
      <c r="A493" t="s">
        <v>15</v>
      </c>
      <c r="B493" t="s">
        <v>24</v>
      </c>
      <c r="C493">
        <v>20150316</v>
      </c>
      <c r="D493">
        <v>0</v>
      </c>
      <c r="F493">
        <v>62500</v>
      </c>
      <c r="G493" t="s">
        <v>17</v>
      </c>
      <c r="I493" t="s">
        <v>16</v>
      </c>
      <c r="J493" t="s">
        <v>181</v>
      </c>
      <c r="K493" t="s">
        <v>25</v>
      </c>
      <c r="L493">
        <v>132757294</v>
      </c>
      <c r="R493">
        <v>1359</v>
      </c>
      <c r="S493" t="s">
        <v>194</v>
      </c>
      <c r="T493">
        <v>0</v>
      </c>
      <c r="U493">
        <v>26</v>
      </c>
      <c r="V493">
        <v>0</v>
      </c>
      <c r="W493">
        <v>0</v>
      </c>
      <c r="X493">
        <v>0</v>
      </c>
    </row>
    <row r="494" spans="1:24" x14ac:dyDescent="0.25">
      <c r="A494" t="s">
        <v>15</v>
      </c>
      <c r="B494" t="s">
        <v>24</v>
      </c>
      <c r="C494">
        <v>20150316</v>
      </c>
      <c r="D494">
        <v>0</v>
      </c>
      <c r="F494">
        <v>62500</v>
      </c>
      <c r="G494" t="s">
        <v>17</v>
      </c>
      <c r="I494" t="s">
        <v>16</v>
      </c>
      <c r="J494" t="s">
        <v>181</v>
      </c>
      <c r="K494" t="s">
        <v>25</v>
      </c>
      <c r="L494">
        <v>132757294</v>
      </c>
      <c r="R494">
        <v>1360</v>
      </c>
      <c r="S494" t="s">
        <v>214</v>
      </c>
      <c r="T494">
        <v>0</v>
      </c>
      <c r="U494">
        <v>-29</v>
      </c>
      <c r="V494">
        <v>0</v>
      </c>
      <c r="W494">
        <v>0</v>
      </c>
      <c r="X494">
        <v>0</v>
      </c>
    </row>
    <row r="495" spans="1:24" x14ac:dyDescent="0.25">
      <c r="A495" t="s">
        <v>15</v>
      </c>
      <c r="B495" t="s">
        <v>24</v>
      </c>
      <c r="C495">
        <v>20150316</v>
      </c>
      <c r="D495">
        <v>0</v>
      </c>
      <c r="F495">
        <v>62500</v>
      </c>
      <c r="G495" t="s">
        <v>17</v>
      </c>
      <c r="I495" t="s">
        <v>16</v>
      </c>
      <c r="J495" t="s">
        <v>181</v>
      </c>
      <c r="K495" t="s">
        <v>25</v>
      </c>
      <c r="L495">
        <v>132757294</v>
      </c>
      <c r="R495">
        <v>1359</v>
      </c>
      <c r="S495" t="s">
        <v>196</v>
      </c>
      <c r="T495">
        <v>0</v>
      </c>
      <c r="U495">
        <v>26</v>
      </c>
      <c r="V495">
        <v>0</v>
      </c>
      <c r="W495">
        <v>0</v>
      </c>
      <c r="X495">
        <v>0</v>
      </c>
    </row>
    <row r="496" spans="1:24" x14ac:dyDescent="0.25">
      <c r="A496" t="s">
        <v>15</v>
      </c>
      <c r="B496" t="s">
        <v>24</v>
      </c>
      <c r="C496">
        <v>20150316</v>
      </c>
      <c r="D496">
        <v>0</v>
      </c>
      <c r="F496">
        <v>62500</v>
      </c>
      <c r="G496" t="s">
        <v>17</v>
      </c>
      <c r="I496" t="s">
        <v>16</v>
      </c>
      <c r="J496" t="s">
        <v>181</v>
      </c>
      <c r="K496" t="s">
        <v>25</v>
      </c>
      <c r="L496">
        <v>132757294</v>
      </c>
      <c r="R496">
        <v>1359</v>
      </c>
      <c r="S496" t="s">
        <v>201</v>
      </c>
      <c r="T496">
        <v>0</v>
      </c>
      <c r="U496">
        <v>26</v>
      </c>
      <c r="V496">
        <v>0</v>
      </c>
      <c r="W496">
        <v>0</v>
      </c>
      <c r="X496">
        <v>0</v>
      </c>
    </row>
    <row r="497" spans="1:24" x14ac:dyDescent="0.25">
      <c r="A497" t="s">
        <v>15</v>
      </c>
      <c r="B497" t="s">
        <v>24</v>
      </c>
      <c r="C497">
        <v>20150316</v>
      </c>
      <c r="D497">
        <v>0</v>
      </c>
      <c r="F497">
        <v>62500</v>
      </c>
      <c r="G497" t="s">
        <v>17</v>
      </c>
      <c r="I497" t="s">
        <v>16</v>
      </c>
      <c r="J497" t="s">
        <v>181</v>
      </c>
      <c r="K497" t="s">
        <v>25</v>
      </c>
      <c r="L497">
        <v>132757294</v>
      </c>
      <c r="R497">
        <v>1360</v>
      </c>
      <c r="S497" t="s">
        <v>214</v>
      </c>
      <c r="T497">
        <v>0</v>
      </c>
      <c r="U497">
        <v>-29</v>
      </c>
      <c r="V497">
        <v>0</v>
      </c>
      <c r="W497">
        <v>0</v>
      </c>
      <c r="X497">
        <v>0</v>
      </c>
    </row>
    <row r="498" spans="1:24" x14ac:dyDescent="0.25">
      <c r="A498" t="s">
        <v>15</v>
      </c>
      <c r="B498" t="s">
        <v>24</v>
      </c>
      <c r="C498">
        <v>20150316</v>
      </c>
      <c r="D498">
        <v>0</v>
      </c>
      <c r="F498">
        <v>62500</v>
      </c>
      <c r="G498" t="s">
        <v>17</v>
      </c>
      <c r="I498" t="s">
        <v>16</v>
      </c>
      <c r="J498" t="s">
        <v>181</v>
      </c>
      <c r="K498" t="s">
        <v>25</v>
      </c>
      <c r="L498">
        <v>132757294</v>
      </c>
      <c r="R498">
        <v>1360</v>
      </c>
      <c r="S498" t="s">
        <v>194</v>
      </c>
      <c r="T498">
        <v>0</v>
      </c>
      <c r="U498">
        <v>29</v>
      </c>
      <c r="V498">
        <v>0</v>
      </c>
      <c r="W498">
        <v>0</v>
      </c>
      <c r="X498">
        <v>0</v>
      </c>
    </row>
    <row r="499" spans="1:24" x14ac:dyDescent="0.25">
      <c r="A499" t="s">
        <v>15</v>
      </c>
      <c r="B499" t="s">
        <v>24</v>
      </c>
      <c r="C499">
        <v>20150316</v>
      </c>
      <c r="D499">
        <v>0</v>
      </c>
      <c r="F499">
        <v>62500</v>
      </c>
      <c r="G499" t="s">
        <v>17</v>
      </c>
      <c r="I499" t="s">
        <v>16</v>
      </c>
      <c r="J499" t="s">
        <v>181</v>
      </c>
      <c r="K499" t="s">
        <v>25</v>
      </c>
      <c r="L499">
        <v>132757294</v>
      </c>
      <c r="R499">
        <v>1360</v>
      </c>
      <c r="S499" t="s">
        <v>194</v>
      </c>
      <c r="T499">
        <v>0</v>
      </c>
      <c r="U499">
        <v>29</v>
      </c>
      <c r="V499">
        <v>0</v>
      </c>
      <c r="W499">
        <v>0</v>
      </c>
      <c r="X499">
        <v>0</v>
      </c>
    </row>
    <row r="500" spans="1:24" x14ac:dyDescent="0.25">
      <c r="A500" t="s">
        <v>15</v>
      </c>
      <c r="B500" t="s">
        <v>24</v>
      </c>
      <c r="C500">
        <v>20150316</v>
      </c>
      <c r="D500">
        <v>0</v>
      </c>
      <c r="F500">
        <v>62500</v>
      </c>
      <c r="G500" t="s">
        <v>17</v>
      </c>
      <c r="I500" t="s">
        <v>16</v>
      </c>
      <c r="J500" t="s">
        <v>181</v>
      </c>
      <c r="K500" t="s">
        <v>25</v>
      </c>
      <c r="L500">
        <v>132757294</v>
      </c>
      <c r="R500">
        <v>1360</v>
      </c>
      <c r="S500" t="s">
        <v>194</v>
      </c>
      <c r="T500">
        <v>0</v>
      </c>
      <c r="U500">
        <v>29</v>
      </c>
      <c r="V500">
        <v>0</v>
      </c>
      <c r="W500">
        <v>0</v>
      </c>
      <c r="X500">
        <v>0</v>
      </c>
    </row>
    <row r="501" spans="1:24" x14ac:dyDescent="0.25">
      <c r="A501" t="s">
        <v>15</v>
      </c>
      <c r="B501" t="s">
        <v>24</v>
      </c>
      <c r="C501">
        <v>20150316</v>
      </c>
      <c r="D501">
        <v>0</v>
      </c>
      <c r="F501">
        <v>62500</v>
      </c>
      <c r="G501" t="s">
        <v>17</v>
      </c>
      <c r="I501" t="s">
        <v>16</v>
      </c>
      <c r="J501" t="s">
        <v>181</v>
      </c>
      <c r="K501" t="s">
        <v>25</v>
      </c>
      <c r="L501">
        <v>132757294</v>
      </c>
      <c r="R501">
        <v>1361</v>
      </c>
      <c r="S501" t="s">
        <v>214</v>
      </c>
      <c r="T501">
        <v>0</v>
      </c>
      <c r="U501">
        <v>30</v>
      </c>
      <c r="V501">
        <v>0</v>
      </c>
      <c r="W501">
        <v>0</v>
      </c>
      <c r="X501">
        <v>0</v>
      </c>
    </row>
    <row r="502" spans="1:24" x14ac:dyDescent="0.25">
      <c r="A502" t="s">
        <v>15</v>
      </c>
      <c r="B502" t="s">
        <v>24</v>
      </c>
      <c r="C502">
        <v>20150316</v>
      </c>
      <c r="D502">
        <v>0</v>
      </c>
      <c r="F502">
        <v>62500</v>
      </c>
      <c r="G502" t="s">
        <v>17</v>
      </c>
      <c r="I502" t="s">
        <v>16</v>
      </c>
      <c r="J502" t="s">
        <v>181</v>
      </c>
      <c r="K502" t="s">
        <v>25</v>
      </c>
      <c r="L502">
        <v>132757294</v>
      </c>
      <c r="R502">
        <v>1358</v>
      </c>
      <c r="S502" t="s">
        <v>196</v>
      </c>
      <c r="T502">
        <v>0</v>
      </c>
      <c r="U502">
        <v>27</v>
      </c>
      <c r="V502">
        <v>0</v>
      </c>
      <c r="W502">
        <v>0</v>
      </c>
      <c r="X502">
        <v>0</v>
      </c>
    </row>
    <row r="503" spans="1:24" x14ac:dyDescent="0.25">
      <c r="A503" t="s">
        <v>15</v>
      </c>
      <c r="B503" t="s">
        <v>24</v>
      </c>
      <c r="C503">
        <v>20150316</v>
      </c>
      <c r="D503">
        <v>0</v>
      </c>
      <c r="F503">
        <v>62500</v>
      </c>
      <c r="G503" t="s">
        <v>17</v>
      </c>
      <c r="I503" t="s">
        <v>16</v>
      </c>
      <c r="J503" t="s">
        <v>181</v>
      </c>
      <c r="K503" t="s">
        <v>25</v>
      </c>
      <c r="L503">
        <v>132757294</v>
      </c>
      <c r="R503">
        <v>1358</v>
      </c>
      <c r="S503" t="s">
        <v>201</v>
      </c>
      <c r="T503">
        <v>0</v>
      </c>
      <c r="U503">
        <v>27</v>
      </c>
      <c r="V503">
        <v>0</v>
      </c>
      <c r="W503">
        <v>0</v>
      </c>
      <c r="X503">
        <v>0</v>
      </c>
    </row>
    <row r="504" spans="1:24" x14ac:dyDescent="0.25">
      <c r="A504" t="s">
        <v>15</v>
      </c>
      <c r="B504" t="s">
        <v>24</v>
      </c>
      <c r="C504">
        <v>20150316</v>
      </c>
      <c r="D504">
        <v>0</v>
      </c>
      <c r="F504">
        <v>62500</v>
      </c>
      <c r="G504" t="s">
        <v>17</v>
      </c>
      <c r="I504" t="s">
        <v>16</v>
      </c>
      <c r="J504" t="s">
        <v>181</v>
      </c>
      <c r="K504" t="s">
        <v>25</v>
      </c>
      <c r="L504">
        <v>132757294</v>
      </c>
      <c r="R504">
        <v>1361</v>
      </c>
      <c r="S504" t="s">
        <v>214</v>
      </c>
      <c r="T504">
        <v>0</v>
      </c>
      <c r="U504">
        <v>30</v>
      </c>
      <c r="V504">
        <v>0</v>
      </c>
      <c r="W504">
        <v>0</v>
      </c>
      <c r="X504">
        <v>0</v>
      </c>
    </row>
    <row r="505" spans="1:24" x14ac:dyDescent="0.25">
      <c r="A505" t="s">
        <v>15</v>
      </c>
      <c r="B505" t="s">
        <v>24</v>
      </c>
      <c r="C505">
        <v>20150316</v>
      </c>
      <c r="D505">
        <v>0</v>
      </c>
      <c r="F505">
        <v>62500</v>
      </c>
      <c r="G505" t="s">
        <v>17</v>
      </c>
      <c r="I505" t="s">
        <v>16</v>
      </c>
      <c r="J505" t="s">
        <v>181</v>
      </c>
      <c r="K505" t="s">
        <v>25</v>
      </c>
      <c r="L505">
        <v>132757294</v>
      </c>
      <c r="R505">
        <v>1361</v>
      </c>
      <c r="S505" t="s">
        <v>194</v>
      </c>
      <c r="T505">
        <v>0</v>
      </c>
      <c r="U505">
        <v>30</v>
      </c>
      <c r="V505">
        <v>0</v>
      </c>
      <c r="W505">
        <v>0</v>
      </c>
      <c r="X505">
        <v>0</v>
      </c>
    </row>
    <row r="506" spans="1:24" x14ac:dyDescent="0.25">
      <c r="A506" t="s">
        <v>15</v>
      </c>
      <c r="B506" t="s">
        <v>24</v>
      </c>
      <c r="C506">
        <v>20150316</v>
      </c>
      <c r="D506">
        <v>0</v>
      </c>
      <c r="F506">
        <v>62500</v>
      </c>
      <c r="G506" t="s">
        <v>17</v>
      </c>
      <c r="I506" t="s">
        <v>16</v>
      </c>
      <c r="J506" t="s">
        <v>181</v>
      </c>
      <c r="K506" t="s">
        <v>25</v>
      </c>
      <c r="L506">
        <v>132757294</v>
      </c>
      <c r="R506">
        <v>1361</v>
      </c>
      <c r="S506" t="s">
        <v>194</v>
      </c>
      <c r="T506">
        <v>0</v>
      </c>
      <c r="U506">
        <v>30</v>
      </c>
      <c r="V506">
        <v>0</v>
      </c>
      <c r="W506">
        <v>0</v>
      </c>
      <c r="X506">
        <v>0</v>
      </c>
    </row>
    <row r="507" spans="1:24" x14ac:dyDescent="0.25">
      <c r="A507" t="s">
        <v>15</v>
      </c>
      <c r="B507" t="s">
        <v>24</v>
      </c>
      <c r="C507">
        <v>20150316</v>
      </c>
      <c r="D507">
        <v>0</v>
      </c>
      <c r="F507">
        <v>62500</v>
      </c>
      <c r="G507" t="s">
        <v>17</v>
      </c>
      <c r="I507" t="s">
        <v>16</v>
      </c>
      <c r="J507" t="s">
        <v>181</v>
      </c>
      <c r="K507" t="s">
        <v>25</v>
      </c>
      <c r="L507">
        <v>132757294</v>
      </c>
      <c r="R507">
        <v>1361</v>
      </c>
      <c r="S507" t="s">
        <v>194</v>
      </c>
      <c r="T507">
        <v>0</v>
      </c>
      <c r="U507">
        <v>30</v>
      </c>
      <c r="V507">
        <v>0</v>
      </c>
      <c r="W507">
        <v>0</v>
      </c>
      <c r="X507">
        <v>0</v>
      </c>
    </row>
    <row r="508" spans="1:24" x14ac:dyDescent="0.25">
      <c r="A508" t="s">
        <v>15</v>
      </c>
      <c r="B508" t="s">
        <v>24</v>
      </c>
      <c r="C508">
        <v>20150316</v>
      </c>
      <c r="D508">
        <v>0</v>
      </c>
      <c r="F508">
        <v>62500</v>
      </c>
      <c r="G508" t="s">
        <v>17</v>
      </c>
      <c r="I508" t="s">
        <v>16</v>
      </c>
      <c r="J508" t="s">
        <v>181</v>
      </c>
      <c r="K508" t="s">
        <v>25</v>
      </c>
      <c r="L508">
        <v>132757294</v>
      </c>
      <c r="R508">
        <v>1362</v>
      </c>
      <c r="S508" t="s">
        <v>214</v>
      </c>
      <c r="T508">
        <v>0</v>
      </c>
      <c r="U508">
        <v>22</v>
      </c>
      <c r="V508">
        <v>0</v>
      </c>
      <c r="W508">
        <v>0</v>
      </c>
      <c r="X508">
        <v>0</v>
      </c>
    </row>
    <row r="509" spans="1:24" x14ac:dyDescent="0.25">
      <c r="A509" t="s">
        <v>15</v>
      </c>
      <c r="B509" t="s">
        <v>24</v>
      </c>
      <c r="C509">
        <v>20150316</v>
      </c>
      <c r="D509">
        <v>0</v>
      </c>
      <c r="F509">
        <v>62500</v>
      </c>
      <c r="G509" t="s">
        <v>17</v>
      </c>
      <c r="I509" t="s">
        <v>16</v>
      </c>
      <c r="J509" t="s">
        <v>181</v>
      </c>
      <c r="K509" t="s">
        <v>25</v>
      </c>
      <c r="L509">
        <v>132757294</v>
      </c>
      <c r="R509">
        <v>1361</v>
      </c>
      <c r="S509" t="s">
        <v>196</v>
      </c>
      <c r="T509">
        <v>0</v>
      </c>
      <c r="U509">
        <v>30</v>
      </c>
      <c r="V509">
        <v>0</v>
      </c>
      <c r="W509">
        <v>0</v>
      </c>
      <c r="X509">
        <v>0</v>
      </c>
    </row>
    <row r="510" spans="1:24" x14ac:dyDescent="0.25">
      <c r="A510" t="s">
        <v>15</v>
      </c>
      <c r="B510" t="s">
        <v>24</v>
      </c>
      <c r="C510">
        <v>20150316</v>
      </c>
      <c r="D510">
        <v>0</v>
      </c>
      <c r="F510">
        <v>62500</v>
      </c>
      <c r="G510" t="s">
        <v>17</v>
      </c>
      <c r="I510" t="s">
        <v>16</v>
      </c>
      <c r="J510" t="s">
        <v>181</v>
      </c>
      <c r="K510" t="s">
        <v>25</v>
      </c>
      <c r="L510">
        <v>132757294</v>
      </c>
      <c r="R510">
        <v>1361</v>
      </c>
      <c r="S510" t="s">
        <v>201</v>
      </c>
      <c r="T510">
        <v>0</v>
      </c>
      <c r="U510">
        <v>30</v>
      </c>
      <c r="V510">
        <v>0</v>
      </c>
      <c r="W510">
        <v>0</v>
      </c>
      <c r="X510">
        <v>0</v>
      </c>
    </row>
    <row r="511" spans="1:24" x14ac:dyDescent="0.25">
      <c r="A511" t="s">
        <v>15</v>
      </c>
      <c r="B511" t="s">
        <v>24</v>
      </c>
      <c r="C511">
        <v>20150316</v>
      </c>
      <c r="D511">
        <v>0</v>
      </c>
      <c r="F511">
        <v>62500</v>
      </c>
      <c r="G511" t="s">
        <v>17</v>
      </c>
      <c r="I511" t="s">
        <v>16</v>
      </c>
      <c r="J511" t="s">
        <v>181</v>
      </c>
      <c r="K511" t="s">
        <v>25</v>
      </c>
      <c r="L511">
        <v>132757294</v>
      </c>
      <c r="R511">
        <v>1362</v>
      </c>
      <c r="S511" t="s">
        <v>214</v>
      </c>
      <c r="T511">
        <v>0</v>
      </c>
      <c r="U511">
        <v>22</v>
      </c>
      <c r="V511">
        <v>0</v>
      </c>
      <c r="W511">
        <v>0</v>
      </c>
      <c r="X511">
        <v>0</v>
      </c>
    </row>
    <row r="512" spans="1:24" x14ac:dyDescent="0.25">
      <c r="A512" t="s">
        <v>15</v>
      </c>
      <c r="B512" t="s">
        <v>24</v>
      </c>
      <c r="C512">
        <v>20150316</v>
      </c>
      <c r="D512">
        <v>0</v>
      </c>
      <c r="F512">
        <v>62500</v>
      </c>
      <c r="G512" t="s">
        <v>17</v>
      </c>
      <c r="I512" t="s">
        <v>16</v>
      </c>
      <c r="J512" t="s">
        <v>181</v>
      </c>
      <c r="K512" t="s">
        <v>25</v>
      </c>
      <c r="L512">
        <v>132757294</v>
      </c>
      <c r="R512">
        <v>1362</v>
      </c>
      <c r="S512" t="s">
        <v>194</v>
      </c>
      <c r="T512">
        <v>0</v>
      </c>
      <c r="U512">
        <v>22</v>
      </c>
      <c r="V512">
        <v>0</v>
      </c>
      <c r="W512">
        <v>0</v>
      </c>
      <c r="X512">
        <v>0</v>
      </c>
    </row>
    <row r="513" spans="1:24" x14ac:dyDescent="0.25">
      <c r="A513" t="s">
        <v>15</v>
      </c>
      <c r="B513" t="s">
        <v>24</v>
      </c>
      <c r="C513">
        <v>20150316</v>
      </c>
      <c r="D513">
        <v>0</v>
      </c>
      <c r="F513">
        <v>62500</v>
      </c>
      <c r="G513" t="s">
        <v>17</v>
      </c>
      <c r="I513" t="s">
        <v>16</v>
      </c>
      <c r="J513" t="s">
        <v>181</v>
      </c>
      <c r="K513" t="s">
        <v>25</v>
      </c>
      <c r="L513">
        <v>132757294</v>
      </c>
      <c r="R513">
        <v>1362</v>
      </c>
      <c r="S513" t="s">
        <v>194</v>
      </c>
      <c r="T513">
        <v>0</v>
      </c>
      <c r="U513">
        <v>22</v>
      </c>
      <c r="V513">
        <v>0</v>
      </c>
      <c r="W513">
        <v>0</v>
      </c>
      <c r="X513">
        <v>0</v>
      </c>
    </row>
    <row r="514" spans="1:24" x14ac:dyDescent="0.25">
      <c r="A514" t="s">
        <v>15</v>
      </c>
      <c r="B514" t="s">
        <v>24</v>
      </c>
      <c r="C514">
        <v>20150316</v>
      </c>
      <c r="D514">
        <v>0</v>
      </c>
      <c r="F514">
        <v>62500</v>
      </c>
      <c r="G514" t="s">
        <v>17</v>
      </c>
      <c r="I514" t="s">
        <v>16</v>
      </c>
      <c r="J514" t="s">
        <v>181</v>
      </c>
      <c r="K514" t="s">
        <v>25</v>
      </c>
      <c r="L514">
        <v>132757294</v>
      </c>
      <c r="R514">
        <v>1362</v>
      </c>
      <c r="S514" t="s">
        <v>194</v>
      </c>
      <c r="T514">
        <v>0</v>
      </c>
      <c r="U514">
        <v>22</v>
      </c>
      <c r="V514">
        <v>0</v>
      </c>
      <c r="W514">
        <v>0</v>
      </c>
      <c r="X514">
        <v>0</v>
      </c>
    </row>
    <row r="515" spans="1:24" x14ac:dyDescent="0.25">
      <c r="A515" t="s">
        <v>15</v>
      </c>
      <c r="B515" t="s">
        <v>24</v>
      </c>
      <c r="C515">
        <v>20150316</v>
      </c>
      <c r="D515">
        <v>0</v>
      </c>
      <c r="F515">
        <v>62500</v>
      </c>
      <c r="G515" t="s">
        <v>17</v>
      </c>
      <c r="I515" t="s">
        <v>16</v>
      </c>
      <c r="J515" t="s">
        <v>181</v>
      </c>
      <c r="K515" t="s">
        <v>25</v>
      </c>
      <c r="L515">
        <v>132757294</v>
      </c>
      <c r="R515">
        <v>1363</v>
      </c>
      <c r="S515" t="s">
        <v>214</v>
      </c>
      <c r="T515">
        <v>0</v>
      </c>
      <c r="U515">
        <v>-22</v>
      </c>
      <c r="V515">
        <v>0</v>
      </c>
      <c r="W515">
        <v>0</v>
      </c>
      <c r="X515">
        <v>0</v>
      </c>
    </row>
    <row r="516" spans="1:24" x14ac:dyDescent="0.25">
      <c r="A516" t="s">
        <v>15</v>
      </c>
      <c r="B516" t="s">
        <v>24</v>
      </c>
      <c r="C516">
        <v>20150316</v>
      </c>
      <c r="D516">
        <v>0</v>
      </c>
      <c r="F516">
        <v>62500</v>
      </c>
      <c r="G516" t="s">
        <v>17</v>
      </c>
      <c r="I516" t="s">
        <v>16</v>
      </c>
      <c r="J516" t="s">
        <v>181</v>
      </c>
      <c r="K516" t="s">
        <v>25</v>
      </c>
      <c r="L516">
        <v>132757294</v>
      </c>
      <c r="R516">
        <v>1360</v>
      </c>
      <c r="S516" t="s">
        <v>196</v>
      </c>
      <c r="T516">
        <v>0</v>
      </c>
      <c r="U516">
        <v>29</v>
      </c>
      <c r="V516">
        <v>0</v>
      </c>
      <c r="W516">
        <v>0</v>
      </c>
      <c r="X516">
        <v>0</v>
      </c>
    </row>
    <row r="517" spans="1:24" x14ac:dyDescent="0.25">
      <c r="A517" t="s">
        <v>15</v>
      </c>
      <c r="B517" t="s">
        <v>24</v>
      </c>
      <c r="C517">
        <v>20150316</v>
      </c>
      <c r="D517">
        <v>0</v>
      </c>
      <c r="F517">
        <v>62500</v>
      </c>
      <c r="G517" t="s">
        <v>17</v>
      </c>
      <c r="I517" t="s">
        <v>16</v>
      </c>
      <c r="J517" t="s">
        <v>181</v>
      </c>
      <c r="K517" t="s">
        <v>25</v>
      </c>
      <c r="L517">
        <v>132757294</v>
      </c>
      <c r="R517">
        <v>1360</v>
      </c>
      <c r="S517" t="s">
        <v>201</v>
      </c>
      <c r="T517">
        <v>0</v>
      </c>
      <c r="U517">
        <v>29</v>
      </c>
      <c r="V517">
        <v>0</v>
      </c>
      <c r="W517">
        <v>0</v>
      </c>
      <c r="X517">
        <v>0</v>
      </c>
    </row>
    <row r="518" spans="1:24" x14ac:dyDescent="0.25">
      <c r="A518" t="s">
        <v>15</v>
      </c>
      <c r="B518" t="s">
        <v>24</v>
      </c>
      <c r="C518">
        <v>20150316</v>
      </c>
      <c r="D518">
        <v>0</v>
      </c>
      <c r="F518">
        <v>62500</v>
      </c>
      <c r="G518" t="s">
        <v>17</v>
      </c>
      <c r="I518" t="s">
        <v>16</v>
      </c>
      <c r="J518" t="s">
        <v>181</v>
      </c>
      <c r="K518" t="s">
        <v>25</v>
      </c>
      <c r="L518">
        <v>132757294</v>
      </c>
      <c r="R518">
        <v>1363</v>
      </c>
      <c r="S518" t="s">
        <v>214</v>
      </c>
      <c r="T518">
        <v>0</v>
      </c>
      <c r="U518">
        <v>-22</v>
      </c>
      <c r="V518">
        <v>0</v>
      </c>
      <c r="W518">
        <v>0</v>
      </c>
      <c r="X518">
        <v>0</v>
      </c>
    </row>
    <row r="519" spans="1:24" x14ac:dyDescent="0.25">
      <c r="A519" t="s">
        <v>15</v>
      </c>
      <c r="B519" t="s">
        <v>24</v>
      </c>
      <c r="C519">
        <v>20150316</v>
      </c>
      <c r="D519">
        <v>0</v>
      </c>
      <c r="F519">
        <v>62500</v>
      </c>
      <c r="G519" t="s">
        <v>17</v>
      </c>
      <c r="I519" t="s">
        <v>16</v>
      </c>
      <c r="J519" t="s">
        <v>181</v>
      </c>
      <c r="K519" t="s">
        <v>25</v>
      </c>
      <c r="L519">
        <v>132757294</v>
      </c>
      <c r="R519">
        <v>1363</v>
      </c>
      <c r="S519" t="s">
        <v>194</v>
      </c>
      <c r="T519">
        <v>0</v>
      </c>
      <c r="U519">
        <v>22</v>
      </c>
      <c r="V519">
        <v>0</v>
      </c>
      <c r="W519">
        <v>0</v>
      </c>
      <c r="X519">
        <v>0</v>
      </c>
    </row>
    <row r="520" spans="1:24" x14ac:dyDescent="0.25">
      <c r="A520" t="s">
        <v>15</v>
      </c>
      <c r="B520" t="s">
        <v>24</v>
      </c>
      <c r="C520">
        <v>20150316</v>
      </c>
      <c r="D520">
        <v>0</v>
      </c>
      <c r="F520">
        <v>62500</v>
      </c>
      <c r="G520" t="s">
        <v>17</v>
      </c>
      <c r="I520" t="s">
        <v>16</v>
      </c>
      <c r="J520" t="s">
        <v>181</v>
      </c>
      <c r="K520" t="s">
        <v>25</v>
      </c>
      <c r="L520">
        <v>132757294</v>
      </c>
      <c r="R520">
        <v>1363</v>
      </c>
      <c r="S520" t="s">
        <v>194</v>
      </c>
      <c r="T520">
        <v>0</v>
      </c>
      <c r="U520">
        <v>22</v>
      </c>
      <c r="V520">
        <v>0</v>
      </c>
      <c r="W520">
        <v>0</v>
      </c>
      <c r="X520">
        <v>0</v>
      </c>
    </row>
    <row r="521" spans="1:24" x14ac:dyDescent="0.25">
      <c r="A521" t="s">
        <v>15</v>
      </c>
      <c r="B521" t="s">
        <v>24</v>
      </c>
      <c r="C521">
        <v>20150316</v>
      </c>
      <c r="D521">
        <v>0</v>
      </c>
      <c r="F521">
        <v>62500</v>
      </c>
      <c r="G521" t="s">
        <v>17</v>
      </c>
      <c r="I521" t="s">
        <v>16</v>
      </c>
      <c r="J521" t="s">
        <v>181</v>
      </c>
      <c r="K521" t="s">
        <v>25</v>
      </c>
      <c r="L521">
        <v>132757294</v>
      </c>
      <c r="R521">
        <v>1363</v>
      </c>
      <c r="S521" t="s">
        <v>194</v>
      </c>
      <c r="T521">
        <v>0</v>
      </c>
      <c r="U521">
        <v>22</v>
      </c>
      <c r="V521">
        <v>0</v>
      </c>
      <c r="W521">
        <v>0</v>
      </c>
      <c r="X521">
        <v>0</v>
      </c>
    </row>
    <row r="522" spans="1:24" x14ac:dyDescent="0.25">
      <c r="A522" t="s">
        <v>15</v>
      </c>
      <c r="B522" t="s">
        <v>24</v>
      </c>
      <c r="C522">
        <v>20150316</v>
      </c>
      <c r="D522">
        <v>0</v>
      </c>
      <c r="F522">
        <v>62500</v>
      </c>
      <c r="G522" t="s">
        <v>17</v>
      </c>
      <c r="I522" t="s">
        <v>16</v>
      </c>
      <c r="J522" t="s">
        <v>181</v>
      </c>
      <c r="K522" t="s">
        <v>25</v>
      </c>
      <c r="L522">
        <v>132757294</v>
      </c>
      <c r="R522">
        <v>1364</v>
      </c>
      <c r="S522" t="s">
        <v>214</v>
      </c>
      <c r="T522">
        <v>0</v>
      </c>
      <c r="U522">
        <v>29</v>
      </c>
      <c r="V522">
        <v>0</v>
      </c>
      <c r="W522">
        <v>0</v>
      </c>
      <c r="X522">
        <v>0</v>
      </c>
    </row>
    <row r="523" spans="1:24" x14ac:dyDescent="0.25">
      <c r="A523" t="s">
        <v>15</v>
      </c>
      <c r="B523" t="s">
        <v>24</v>
      </c>
      <c r="C523">
        <v>20150316</v>
      </c>
      <c r="D523">
        <v>0</v>
      </c>
      <c r="F523">
        <v>62500</v>
      </c>
      <c r="G523" t="s">
        <v>17</v>
      </c>
      <c r="I523" t="s">
        <v>16</v>
      </c>
      <c r="J523" t="s">
        <v>181</v>
      </c>
      <c r="K523" t="s">
        <v>25</v>
      </c>
      <c r="L523">
        <v>132757294</v>
      </c>
      <c r="R523">
        <v>1362</v>
      </c>
      <c r="S523" t="s">
        <v>196</v>
      </c>
      <c r="T523">
        <v>0</v>
      </c>
      <c r="U523">
        <v>22</v>
      </c>
      <c r="V523">
        <v>0</v>
      </c>
      <c r="W523">
        <v>0</v>
      </c>
      <c r="X523">
        <v>0</v>
      </c>
    </row>
    <row r="524" spans="1:24" x14ac:dyDescent="0.25">
      <c r="A524" t="s">
        <v>15</v>
      </c>
      <c r="B524" t="s">
        <v>24</v>
      </c>
      <c r="C524">
        <v>20150316</v>
      </c>
      <c r="D524">
        <v>0</v>
      </c>
      <c r="F524">
        <v>62500</v>
      </c>
      <c r="G524" t="s">
        <v>17</v>
      </c>
      <c r="I524" t="s">
        <v>16</v>
      </c>
      <c r="J524" t="s">
        <v>181</v>
      </c>
      <c r="K524" t="s">
        <v>25</v>
      </c>
      <c r="L524">
        <v>132757294</v>
      </c>
      <c r="R524">
        <v>1362</v>
      </c>
      <c r="S524" t="s">
        <v>201</v>
      </c>
      <c r="T524">
        <v>0</v>
      </c>
      <c r="U524">
        <v>22</v>
      </c>
      <c r="V524">
        <v>0</v>
      </c>
      <c r="W524">
        <v>0</v>
      </c>
      <c r="X524">
        <v>0</v>
      </c>
    </row>
    <row r="525" spans="1:24" x14ac:dyDescent="0.25">
      <c r="A525" t="s">
        <v>15</v>
      </c>
      <c r="B525" t="s">
        <v>24</v>
      </c>
      <c r="C525">
        <v>20150316</v>
      </c>
      <c r="D525">
        <v>0</v>
      </c>
      <c r="F525">
        <v>62500</v>
      </c>
      <c r="G525" t="s">
        <v>17</v>
      </c>
      <c r="I525" t="s">
        <v>16</v>
      </c>
      <c r="J525" t="s">
        <v>181</v>
      </c>
      <c r="K525" t="s">
        <v>25</v>
      </c>
      <c r="L525">
        <v>132757294</v>
      </c>
      <c r="R525">
        <v>1364</v>
      </c>
      <c r="S525" t="s">
        <v>214</v>
      </c>
      <c r="T525">
        <v>0</v>
      </c>
      <c r="U525">
        <v>29</v>
      </c>
      <c r="V525">
        <v>0</v>
      </c>
      <c r="W525">
        <v>0</v>
      </c>
      <c r="X525">
        <v>0</v>
      </c>
    </row>
    <row r="526" spans="1:24" x14ac:dyDescent="0.25">
      <c r="A526" t="s">
        <v>15</v>
      </c>
      <c r="B526" t="s">
        <v>24</v>
      </c>
      <c r="C526">
        <v>20150316</v>
      </c>
      <c r="D526">
        <v>0</v>
      </c>
      <c r="F526">
        <v>62500</v>
      </c>
      <c r="G526" t="s">
        <v>17</v>
      </c>
      <c r="I526" t="s">
        <v>16</v>
      </c>
      <c r="J526" t="s">
        <v>181</v>
      </c>
      <c r="K526" t="s">
        <v>25</v>
      </c>
      <c r="L526">
        <v>132757294</v>
      </c>
      <c r="R526">
        <v>1364</v>
      </c>
      <c r="S526" t="s">
        <v>194</v>
      </c>
      <c r="T526">
        <v>0</v>
      </c>
      <c r="U526">
        <v>29</v>
      </c>
      <c r="V526">
        <v>0</v>
      </c>
      <c r="W526">
        <v>0</v>
      </c>
      <c r="X526">
        <v>0</v>
      </c>
    </row>
    <row r="527" spans="1:24" x14ac:dyDescent="0.25">
      <c r="A527" t="s">
        <v>15</v>
      </c>
      <c r="B527" t="s">
        <v>24</v>
      </c>
      <c r="C527">
        <v>20150316</v>
      </c>
      <c r="D527">
        <v>0</v>
      </c>
      <c r="F527">
        <v>62500</v>
      </c>
      <c r="G527" t="s">
        <v>17</v>
      </c>
      <c r="I527" t="s">
        <v>16</v>
      </c>
      <c r="J527" t="s">
        <v>181</v>
      </c>
      <c r="K527" t="s">
        <v>25</v>
      </c>
      <c r="L527">
        <v>132757294</v>
      </c>
      <c r="R527">
        <v>1363</v>
      </c>
      <c r="S527" t="s">
        <v>196</v>
      </c>
      <c r="T527">
        <v>0</v>
      </c>
      <c r="U527">
        <v>22</v>
      </c>
      <c r="V527">
        <v>0</v>
      </c>
      <c r="W527">
        <v>0</v>
      </c>
      <c r="X527">
        <v>0</v>
      </c>
    </row>
    <row r="528" spans="1:24" x14ac:dyDescent="0.25">
      <c r="A528" t="s">
        <v>15</v>
      </c>
      <c r="B528" t="s">
        <v>24</v>
      </c>
      <c r="C528">
        <v>20150316</v>
      </c>
      <c r="D528">
        <v>0</v>
      </c>
      <c r="F528">
        <v>62500</v>
      </c>
      <c r="G528" t="s">
        <v>17</v>
      </c>
      <c r="I528" t="s">
        <v>16</v>
      </c>
      <c r="J528" t="s">
        <v>181</v>
      </c>
      <c r="K528" t="s">
        <v>25</v>
      </c>
      <c r="L528">
        <v>132757294</v>
      </c>
      <c r="R528">
        <v>1363</v>
      </c>
      <c r="S528" t="s">
        <v>201</v>
      </c>
      <c r="T528">
        <v>0</v>
      </c>
      <c r="U528">
        <v>22</v>
      </c>
      <c r="V528">
        <v>0</v>
      </c>
      <c r="W528">
        <v>0</v>
      </c>
      <c r="X528">
        <v>0</v>
      </c>
    </row>
    <row r="529" spans="1:24" x14ac:dyDescent="0.25">
      <c r="A529" t="s">
        <v>15</v>
      </c>
      <c r="B529" t="s">
        <v>24</v>
      </c>
      <c r="C529">
        <v>20150316</v>
      </c>
      <c r="D529">
        <v>0</v>
      </c>
      <c r="F529">
        <v>62500</v>
      </c>
      <c r="G529" t="s">
        <v>17</v>
      </c>
      <c r="I529" t="s">
        <v>16</v>
      </c>
      <c r="J529" t="s">
        <v>181</v>
      </c>
      <c r="K529" t="s">
        <v>25</v>
      </c>
      <c r="L529">
        <v>132757294</v>
      </c>
      <c r="R529">
        <v>1364</v>
      </c>
      <c r="S529" t="s">
        <v>194</v>
      </c>
      <c r="T529">
        <v>0</v>
      </c>
      <c r="U529">
        <v>29</v>
      </c>
      <c r="V529">
        <v>0</v>
      </c>
      <c r="W529">
        <v>0</v>
      </c>
      <c r="X529">
        <v>0</v>
      </c>
    </row>
    <row r="530" spans="1:24" x14ac:dyDescent="0.25">
      <c r="A530" t="s">
        <v>15</v>
      </c>
      <c r="B530" t="s">
        <v>24</v>
      </c>
      <c r="C530">
        <v>20150316</v>
      </c>
      <c r="D530">
        <v>0</v>
      </c>
      <c r="F530">
        <v>62500</v>
      </c>
      <c r="G530" t="s">
        <v>17</v>
      </c>
      <c r="I530" t="s">
        <v>16</v>
      </c>
      <c r="J530" t="s">
        <v>181</v>
      </c>
      <c r="K530" t="s">
        <v>25</v>
      </c>
      <c r="L530">
        <v>132757294</v>
      </c>
      <c r="R530">
        <v>1364</v>
      </c>
      <c r="S530" t="s">
        <v>194</v>
      </c>
      <c r="T530">
        <v>0</v>
      </c>
      <c r="U530">
        <v>29</v>
      </c>
      <c r="V530">
        <v>0</v>
      </c>
      <c r="W530">
        <v>0</v>
      </c>
      <c r="X530">
        <v>0</v>
      </c>
    </row>
    <row r="531" spans="1:24" x14ac:dyDescent="0.25">
      <c r="A531" t="s">
        <v>15</v>
      </c>
      <c r="B531" t="s">
        <v>24</v>
      </c>
      <c r="C531">
        <v>20150316</v>
      </c>
      <c r="D531">
        <v>0</v>
      </c>
      <c r="F531">
        <v>62500</v>
      </c>
      <c r="G531" t="s">
        <v>17</v>
      </c>
      <c r="I531" t="s">
        <v>16</v>
      </c>
      <c r="J531" t="s">
        <v>181</v>
      </c>
      <c r="K531" t="s">
        <v>25</v>
      </c>
      <c r="L531">
        <v>132757294</v>
      </c>
      <c r="R531">
        <v>1365</v>
      </c>
      <c r="S531" t="s">
        <v>214</v>
      </c>
      <c r="T531">
        <v>0</v>
      </c>
      <c r="U531">
        <v>-30</v>
      </c>
      <c r="V531">
        <v>0</v>
      </c>
      <c r="W531">
        <v>0</v>
      </c>
      <c r="X531">
        <v>0</v>
      </c>
    </row>
    <row r="532" spans="1:24" x14ac:dyDescent="0.25">
      <c r="A532" t="s">
        <v>15</v>
      </c>
      <c r="B532" t="s">
        <v>24</v>
      </c>
      <c r="C532">
        <v>20150316</v>
      </c>
      <c r="D532">
        <v>0</v>
      </c>
      <c r="F532">
        <v>62500</v>
      </c>
      <c r="G532" t="s">
        <v>17</v>
      </c>
      <c r="I532" t="s">
        <v>16</v>
      </c>
      <c r="J532" t="s">
        <v>181</v>
      </c>
      <c r="K532" t="s">
        <v>25</v>
      </c>
      <c r="L532">
        <v>132757294</v>
      </c>
      <c r="R532">
        <v>1365</v>
      </c>
      <c r="S532" t="s">
        <v>214</v>
      </c>
      <c r="T532">
        <v>0</v>
      </c>
      <c r="U532">
        <v>-30</v>
      </c>
      <c r="V532">
        <v>0</v>
      </c>
      <c r="W532">
        <v>0</v>
      </c>
      <c r="X532">
        <v>0</v>
      </c>
    </row>
    <row r="533" spans="1:24" x14ac:dyDescent="0.25">
      <c r="A533" t="s">
        <v>15</v>
      </c>
      <c r="B533" t="s">
        <v>24</v>
      </c>
      <c r="C533">
        <v>20150316</v>
      </c>
      <c r="D533">
        <v>0</v>
      </c>
      <c r="F533">
        <v>62500</v>
      </c>
      <c r="G533" t="s">
        <v>17</v>
      </c>
      <c r="I533" t="s">
        <v>16</v>
      </c>
      <c r="J533" t="s">
        <v>181</v>
      </c>
      <c r="K533" t="s">
        <v>25</v>
      </c>
      <c r="L533">
        <v>132757294</v>
      </c>
      <c r="R533">
        <v>1365</v>
      </c>
      <c r="S533" t="s">
        <v>194</v>
      </c>
      <c r="T533">
        <v>0</v>
      </c>
      <c r="U533">
        <v>30</v>
      </c>
      <c r="V533">
        <v>0</v>
      </c>
      <c r="W533">
        <v>0</v>
      </c>
      <c r="X533">
        <v>0</v>
      </c>
    </row>
    <row r="534" spans="1:24" x14ac:dyDescent="0.25">
      <c r="A534" t="s">
        <v>15</v>
      </c>
      <c r="B534" t="s">
        <v>24</v>
      </c>
      <c r="C534">
        <v>20150316</v>
      </c>
      <c r="D534">
        <v>0</v>
      </c>
      <c r="F534">
        <v>62500</v>
      </c>
      <c r="G534" t="s">
        <v>17</v>
      </c>
      <c r="I534" t="s">
        <v>16</v>
      </c>
      <c r="J534" t="s">
        <v>181</v>
      </c>
      <c r="K534" t="s">
        <v>25</v>
      </c>
      <c r="L534">
        <v>132757294</v>
      </c>
      <c r="R534">
        <v>1365</v>
      </c>
      <c r="S534" t="s">
        <v>194</v>
      </c>
      <c r="T534">
        <v>0</v>
      </c>
      <c r="U534">
        <v>30</v>
      </c>
      <c r="V534">
        <v>0</v>
      </c>
      <c r="W534">
        <v>0</v>
      </c>
      <c r="X534">
        <v>0</v>
      </c>
    </row>
    <row r="535" spans="1:24" x14ac:dyDescent="0.25">
      <c r="A535" t="s">
        <v>15</v>
      </c>
      <c r="B535" t="s">
        <v>24</v>
      </c>
      <c r="C535">
        <v>20150316</v>
      </c>
      <c r="D535">
        <v>0</v>
      </c>
      <c r="F535">
        <v>62500</v>
      </c>
      <c r="G535" t="s">
        <v>17</v>
      </c>
      <c r="I535" t="s">
        <v>16</v>
      </c>
      <c r="J535" t="s">
        <v>181</v>
      </c>
      <c r="K535" t="s">
        <v>25</v>
      </c>
      <c r="L535">
        <v>132757294</v>
      </c>
      <c r="R535">
        <v>1365</v>
      </c>
      <c r="S535" t="s">
        <v>194</v>
      </c>
      <c r="T535">
        <v>0</v>
      </c>
      <c r="U535">
        <v>30</v>
      </c>
      <c r="V535">
        <v>0</v>
      </c>
      <c r="W535">
        <v>0</v>
      </c>
      <c r="X535">
        <v>0</v>
      </c>
    </row>
    <row r="536" spans="1:24" x14ac:dyDescent="0.25">
      <c r="A536" t="s">
        <v>15</v>
      </c>
      <c r="B536" t="s">
        <v>24</v>
      </c>
      <c r="C536">
        <v>20150316</v>
      </c>
      <c r="D536">
        <v>0</v>
      </c>
      <c r="F536">
        <v>62500</v>
      </c>
      <c r="G536" t="s">
        <v>17</v>
      </c>
      <c r="I536" t="s">
        <v>16</v>
      </c>
      <c r="J536" t="s">
        <v>181</v>
      </c>
      <c r="K536" t="s">
        <v>25</v>
      </c>
      <c r="L536">
        <v>132757294</v>
      </c>
      <c r="R536">
        <v>1366</v>
      </c>
      <c r="S536" t="s">
        <v>214</v>
      </c>
      <c r="T536">
        <v>0</v>
      </c>
      <c r="U536">
        <v>26</v>
      </c>
      <c r="V536">
        <v>0</v>
      </c>
      <c r="W536">
        <v>0</v>
      </c>
      <c r="X536">
        <v>0</v>
      </c>
    </row>
    <row r="537" spans="1:24" x14ac:dyDescent="0.25">
      <c r="A537" t="s">
        <v>15</v>
      </c>
      <c r="B537" t="s">
        <v>24</v>
      </c>
      <c r="C537">
        <v>20150316</v>
      </c>
      <c r="D537">
        <v>0</v>
      </c>
      <c r="F537">
        <v>62500</v>
      </c>
      <c r="G537" t="s">
        <v>17</v>
      </c>
      <c r="I537" t="s">
        <v>16</v>
      </c>
      <c r="J537" t="s">
        <v>181</v>
      </c>
      <c r="K537" t="s">
        <v>25</v>
      </c>
      <c r="L537">
        <v>132757294</v>
      </c>
      <c r="R537">
        <v>1364</v>
      </c>
      <c r="S537" t="s">
        <v>196</v>
      </c>
      <c r="T537">
        <v>0</v>
      </c>
      <c r="U537">
        <v>29</v>
      </c>
      <c r="V537">
        <v>0</v>
      </c>
      <c r="W537">
        <v>0</v>
      </c>
      <c r="X537">
        <v>0</v>
      </c>
    </row>
    <row r="538" spans="1:24" x14ac:dyDescent="0.25">
      <c r="A538" t="s">
        <v>15</v>
      </c>
      <c r="B538" t="s">
        <v>24</v>
      </c>
      <c r="C538">
        <v>20150316</v>
      </c>
      <c r="D538">
        <v>0</v>
      </c>
      <c r="F538">
        <v>62500</v>
      </c>
      <c r="G538" t="s">
        <v>17</v>
      </c>
      <c r="I538" t="s">
        <v>16</v>
      </c>
      <c r="J538" t="s">
        <v>181</v>
      </c>
      <c r="K538" t="s">
        <v>25</v>
      </c>
      <c r="L538">
        <v>132757294</v>
      </c>
      <c r="R538">
        <v>1364</v>
      </c>
      <c r="S538" t="s">
        <v>201</v>
      </c>
      <c r="T538">
        <v>0</v>
      </c>
      <c r="U538">
        <v>29</v>
      </c>
      <c r="V538">
        <v>0</v>
      </c>
      <c r="W538">
        <v>0</v>
      </c>
      <c r="X538">
        <v>0</v>
      </c>
    </row>
    <row r="539" spans="1:24" x14ac:dyDescent="0.25">
      <c r="A539" t="s">
        <v>15</v>
      </c>
      <c r="B539" t="s">
        <v>24</v>
      </c>
      <c r="C539">
        <v>20150316</v>
      </c>
      <c r="D539">
        <v>0</v>
      </c>
      <c r="F539">
        <v>62500</v>
      </c>
      <c r="G539" t="s">
        <v>17</v>
      </c>
      <c r="I539" t="s">
        <v>16</v>
      </c>
      <c r="J539" t="s">
        <v>181</v>
      </c>
      <c r="K539" t="s">
        <v>25</v>
      </c>
      <c r="L539">
        <v>132757294</v>
      </c>
      <c r="R539">
        <v>1366</v>
      </c>
      <c r="S539" t="s">
        <v>214</v>
      </c>
      <c r="T539">
        <v>0</v>
      </c>
      <c r="U539">
        <v>26</v>
      </c>
      <c r="V539">
        <v>0</v>
      </c>
      <c r="W539">
        <v>0</v>
      </c>
      <c r="X539">
        <v>0</v>
      </c>
    </row>
    <row r="540" spans="1:24" x14ac:dyDescent="0.25">
      <c r="A540" t="s">
        <v>15</v>
      </c>
      <c r="B540" t="s">
        <v>24</v>
      </c>
      <c r="C540">
        <v>20150316</v>
      </c>
      <c r="D540">
        <v>0</v>
      </c>
      <c r="F540">
        <v>62500</v>
      </c>
      <c r="G540" t="s">
        <v>17</v>
      </c>
      <c r="I540" t="s">
        <v>16</v>
      </c>
      <c r="J540" t="s">
        <v>181</v>
      </c>
      <c r="K540" t="s">
        <v>25</v>
      </c>
      <c r="L540">
        <v>132757294</v>
      </c>
      <c r="R540">
        <v>1366</v>
      </c>
      <c r="S540" t="s">
        <v>194</v>
      </c>
      <c r="T540">
        <v>0</v>
      </c>
      <c r="U540">
        <v>26</v>
      </c>
      <c r="V540">
        <v>0</v>
      </c>
      <c r="W540">
        <v>0</v>
      </c>
      <c r="X540">
        <v>0</v>
      </c>
    </row>
    <row r="541" spans="1:24" x14ac:dyDescent="0.25">
      <c r="A541" t="s">
        <v>15</v>
      </c>
      <c r="B541" t="s">
        <v>24</v>
      </c>
      <c r="C541">
        <v>20150316</v>
      </c>
      <c r="D541">
        <v>0</v>
      </c>
      <c r="F541">
        <v>62500</v>
      </c>
      <c r="G541" t="s">
        <v>17</v>
      </c>
      <c r="I541" t="s">
        <v>16</v>
      </c>
      <c r="J541" t="s">
        <v>181</v>
      </c>
      <c r="K541" t="s">
        <v>25</v>
      </c>
      <c r="L541">
        <v>132757294</v>
      </c>
      <c r="R541">
        <v>1365</v>
      </c>
      <c r="S541" t="s">
        <v>196</v>
      </c>
      <c r="T541">
        <v>0</v>
      </c>
      <c r="U541">
        <v>30</v>
      </c>
      <c r="V541">
        <v>0</v>
      </c>
      <c r="W541">
        <v>0</v>
      </c>
      <c r="X541">
        <v>0</v>
      </c>
    </row>
    <row r="542" spans="1:24" x14ac:dyDescent="0.25">
      <c r="A542" t="s">
        <v>15</v>
      </c>
      <c r="B542" t="s">
        <v>24</v>
      </c>
      <c r="C542">
        <v>20150316</v>
      </c>
      <c r="D542">
        <v>0</v>
      </c>
      <c r="F542">
        <v>62500</v>
      </c>
      <c r="G542" t="s">
        <v>17</v>
      </c>
      <c r="I542" t="s">
        <v>16</v>
      </c>
      <c r="J542" t="s">
        <v>181</v>
      </c>
      <c r="K542" t="s">
        <v>25</v>
      </c>
      <c r="L542">
        <v>132757294</v>
      </c>
      <c r="R542">
        <v>1365</v>
      </c>
      <c r="S542" t="s">
        <v>201</v>
      </c>
      <c r="T542">
        <v>0</v>
      </c>
      <c r="U542">
        <v>30</v>
      </c>
      <c r="V542">
        <v>0</v>
      </c>
      <c r="W542">
        <v>0</v>
      </c>
      <c r="X542">
        <v>0</v>
      </c>
    </row>
    <row r="543" spans="1:24" x14ac:dyDescent="0.25">
      <c r="A543" t="s">
        <v>15</v>
      </c>
      <c r="B543" t="s">
        <v>24</v>
      </c>
      <c r="C543">
        <v>20150316</v>
      </c>
      <c r="D543">
        <v>0</v>
      </c>
      <c r="F543">
        <v>62500</v>
      </c>
      <c r="G543" t="s">
        <v>17</v>
      </c>
      <c r="I543" t="s">
        <v>16</v>
      </c>
      <c r="J543" t="s">
        <v>181</v>
      </c>
      <c r="K543" t="s">
        <v>25</v>
      </c>
      <c r="L543">
        <v>132757294</v>
      </c>
      <c r="R543">
        <v>1366</v>
      </c>
      <c r="S543" t="s">
        <v>194</v>
      </c>
      <c r="T543">
        <v>0</v>
      </c>
      <c r="U543">
        <v>26</v>
      </c>
      <c r="V543">
        <v>0</v>
      </c>
      <c r="W543">
        <v>0</v>
      </c>
      <c r="X543">
        <v>0</v>
      </c>
    </row>
    <row r="544" spans="1:24" x14ac:dyDescent="0.25">
      <c r="A544" t="s">
        <v>15</v>
      </c>
      <c r="B544" t="s">
        <v>24</v>
      </c>
      <c r="C544">
        <v>20150316</v>
      </c>
      <c r="D544">
        <v>0</v>
      </c>
      <c r="F544">
        <v>62500</v>
      </c>
      <c r="G544" t="s">
        <v>17</v>
      </c>
      <c r="I544" t="s">
        <v>16</v>
      </c>
      <c r="J544" t="s">
        <v>181</v>
      </c>
      <c r="K544" t="s">
        <v>25</v>
      </c>
      <c r="L544">
        <v>132757294</v>
      </c>
      <c r="R544">
        <v>1366</v>
      </c>
      <c r="S544" t="s">
        <v>194</v>
      </c>
      <c r="T544">
        <v>0</v>
      </c>
      <c r="U544">
        <v>26</v>
      </c>
      <c r="V544">
        <v>0</v>
      </c>
      <c r="W544">
        <v>0</v>
      </c>
      <c r="X544">
        <v>0</v>
      </c>
    </row>
    <row r="545" spans="1:24" x14ac:dyDescent="0.25">
      <c r="A545" t="s">
        <v>15</v>
      </c>
      <c r="B545" t="s">
        <v>24</v>
      </c>
      <c r="C545">
        <v>20150316</v>
      </c>
      <c r="D545">
        <v>0</v>
      </c>
      <c r="F545">
        <v>62500</v>
      </c>
      <c r="G545" t="s">
        <v>17</v>
      </c>
      <c r="I545" t="s">
        <v>16</v>
      </c>
      <c r="J545" t="s">
        <v>181</v>
      </c>
      <c r="K545" t="s">
        <v>25</v>
      </c>
      <c r="L545">
        <v>132757294</v>
      </c>
      <c r="R545">
        <v>1367</v>
      </c>
      <c r="S545" t="s">
        <v>214</v>
      </c>
      <c r="T545">
        <v>0</v>
      </c>
      <c r="U545">
        <v>30</v>
      </c>
      <c r="V545">
        <v>0</v>
      </c>
      <c r="W545">
        <v>0</v>
      </c>
      <c r="X545">
        <v>0</v>
      </c>
    </row>
    <row r="546" spans="1:24" x14ac:dyDescent="0.25">
      <c r="A546" t="s">
        <v>15</v>
      </c>
      <c r="B546" t="s">
        <v>24</v>
      </c>
      <c r="C546">
        <v>20150316</v>
      </c>
      <c r="D546">
        <v>0</v>
      </c>
      <c r="F546">
        <v>62500</v>
      </c>
      <c r="G546" t="s">
        <v>17</v>
      </c>
      <c r="I546" t="s">
        <v>16</v>
      </c>
      <c r="J546" t="s">
        <v>181</v>
      </c>
      <c r="K546" t="s">
        <v>25</v>
      </c>
      <c r="L546">
        <v>132757294</v>
      </c>
      <c r="R546">
        <v>1366</v>
      </c>
      <c r="S546" t="s">
        <v>196</v>
      </c>
      <c r="T546">
        <v>0</v>
      </c>
      <c r="U546">
        <v>26</v>
      </c>
      <c r="V546">
        <v>0</v>
      </c>
      <c r="W546">
        <v>0</v>
      </c>
      <c r="X546">
        <v>0</v>
      </c>
    </row>
    <row r="547" spans="1:24" x14ac:dyDescent="0.25">
      <c r="A547" t="s">
        <v>15</v>
      </c>
      <c r="B547" t="s">
        <v>24</v>
      </c>
      <c r="C547">
        <v>20150316</v>
      </c>
      <c r="D547">
        <v>0</v>
      </c>
      <c r="F547">
        <v>62500</v>
      </c>
      <c r="G547" t="s">
        <v>17</v>
      </c>
      <c r="I547" t="s">
        <v>16</v>
      </c>
      <c r="J547" t="s">
        <v>181</v>
      </c>
      <c r="K547" t="s">
        <v>25</v>
      </c>
      <c r="L547">
        <v>132757294</v>
      </c>
      <c r="R547">
        <v>1366</v>
      </c>
      <c r="S547" t="s">
        <v>201</v>
      </c>
      <c r="T547">
        <v>0</v>
      </c>
      <c r="U547">
        <v>26</v>
      </c>
      <c r="V547">
        <v>0</v>
      </c>
      <c r="W547">
        <v>0</v>
      </c>
      <c r="X547">
        <v>0</v>
      </c>
    </row>
    <row r="548" spans="1:24" x14ac:dyDescent="0.25">
      <c r="A548" t="s">
        <v>15</v>
      </c>
      <c r="B548" t="s">
        <v>24</v>
      </c>
      <c r="C548">
        <v>20150316</v>
      </c>
      <c r="D548">
        <v>0</v>
      </c>
      <c r="F548">
        <v>62500</v>
      </c>
      <c r="G548" t="s">
        <v>17</v>
      </c>
      <c r="I548" t="s">
        <v>16</v>
      </c>
      <c r="J548" t="s">
        <v>181</v>
      </c>
      <c r="K548" t="s">
        <v>25</v>
      </c>
      <c r="L548">
        <v>132757294</v>
      </c>
      <c r="R548">
        <v>1367</v>
      </c>
      <c r="S548" t="s">
        <v>214</v>
      </c>
      <c r="T548">
        <v>0</v>
      </c>
      <c r="U548">
        <v>30</v>
      </c>
      <c r="V548">
        <v>0</v>
      </c>
      <c r="W548">
        <v>0</v>
      </c>
      <c r="X548">
        <v>0</v>
      </c>
    </row>
    <row r="549" spans="1:24" x14ac:dyDescent="0.25">
      <c r="A549" t="s">
        <v>15</v>
      </c>
      <c r="B549" t="s">
        <v>24</v>
      </c>
      <c r="C549">
        <v>20150316</v>
      </c>
      <c r="D549">
        <v>0</v>
      </c>
      <c r="F549">
        <v>62500</v>
      </c>
      <c r="G549" t="s">
        <v>17</v>
      </c>
      <c r="I549" t="s">
        <v>16</v>
      </c>
      <c r="J549" t="s">
        <v>181</v>
      </c>
      <c r="K549" t="s">
        <v>25</v>
      </c>
      <c r="L549">
        <v>132757294</v>
      </c>
      <c r="R549">
        <v>1367</v>
      </c>
      <c r="S549" t="s">
        <v>194</v>
      </c>
      <c r="T549">
        <v>0</v>
      </c>
      <c r="U549">
        <v>30</v>
      </c>
      <c r="V549">
        <v>0</v>
      </c>
      <c r="W549">
        <v>0</v>
      </c>
      <c r="X549">
        <v>0</v>
      </c>
    </row>
    <row r="550" spans="1:24" x14ac:dyDescent="0.25">
      <c r="A550" t="s">
        <v>15</v>
      </c>
      <c r="B550" t="s">
        <v>24</v>
      </c>
      <c r="C550">
        <v>20150316</v>
      </c>
      <c r="D550">
        <v>0</v>
      </c>
      <c r="F550">
        <v>62500</v>
      </c>
      <c r="G550" t="s">
        <v>17</v>
      </c>
      <c r="I550" t="s">
        <v>16</v>
      </c>
      <c r="J550" t="s">
        <v>181</v>
      </c>
      <c r="K550" t="s">
        <v>25</v>
      </c>
      <c r="L550">
        <v>132757294</v>
      </c>
      <c r="R550">
        <v>1367</v>
      </c>
      <c r="S550" t="s">
        <v>194</v>
      </c>
      <c r="T550">
        <v>0</v>
      </c>
      <c r="U550">
        <v>30</v>
      </c>
      <c r="V550">
        <v>0</v>
      </c>
      <c r="W550">
        <v>0</v>
      </c>
      <c r="X550">
        <v>0</v>
      </c>
    </row>
    <row r="551" spans="1:24" x14ac:dyDescent="0.25">
      <c r="A551" t="s">
        <v>15</v>
      </c>
      <c r="B551" t="s">
        <v>24</v>
      </c>
      <c r="C551">
        <v>20150316</v>
      </c>
      <c r="D551">
        <v>0</v>
      </c>
      <c r="F551">
        <v>62500</v>
      </c>
      <c r="G551" t="s">
        <v>17</v>
      </c>
      <c r="I551" t="s">
        <v>16</v>
      </c>
      <c r="J551" t="s">
        <v>181</v>
      </c>
      <c r="K551" t="s">
        <v>25</v>
      </c>
      <c r="L551">
        <v>132757294</v>
      </c>
      <c r="R551">
        <v>1367</v>
      </c>
      <c r="S551" t="s">
        <v>194</v>
      </c>
      <c r="T551">
        <v>0</v>
      </c>
      <c r="U551">
        <v>30</v>
      </c>
      <c r="V551">
        <v>0</v>
      </c>
      <c r="W551">
        <v>0</v>
      </c>
      <c r="X551">
        <v>0</v>
      </c>
    </row>
    <row r="552" spans="1:24" x14ac:dyDescent="0.25">
      <c r="A552" t="s">
        <v>15</v>
      </c>
      <c r="B552" t="s">
        <v>24</v>
      </c>
      <c r="C552">
        <v>20150316</v>
      </c>
      <c r="D552">
        <v>0</v>
      </c>
      <c r="F552">
        <v>62500</v>
      </c>
      <c r="G552" t="s">
        <v>17</v>
      </c>
      <c r="I552" t="s">
        <v>16</v>
      </c>
      <c r="J552" t="s">
        <v>181</v>
      </c>
      <c r="K552" t="s">
        <v>25</v>
      </c>
      <c r="L552">
        <v>132757294</v>
      </c>
      <c r="R552">
        <v>1368</v>
      </c>
      <c r="S552" t="s">
        <v>214</v>
      </c>
      <c r="T552">
        <v>0</v>
      </c>
      <c r="U552">
        <v>33</v>
      </c>
      <c r="V552">
        <v>0</v>
      </c>
      <c r="W552">
        <v>0</v>
      </c>
      <c r="X552">
        <v>0</v>
      </c>
    </row>
    <row r="553" spans="1:24" x14ac:dyDescent="0.25">
      <c r="A553" t="s">
        <v>15</v>
      </c>
      <c r="B553" t="s">
        <v>24</v>
      </c>
      <c r="C553">
        <v>20150316</v>
      </c>
      <c r="D553">
        <v>0</v>
      </c>
      <c r="F553">
        <v>62500</v>
      </c>
      <c r="G553" t="s">
        <v>17</v>
      </c>
      <c r="I553" t="s">
        <v>16</v>
      </c>
      <c r="J553" t="s">
        <v>181</v>
      </c>
      <c r="K553" t="s">
        <v>25</v>
      </c>
      <c r="L553">
        <v>132757294</v>
      </c>
      <c r="R553">
        <v>1367</v>
      </c>
      <c r="S553" t="s">
        <v>196</v>
      </c>
      <c r="T553">
        <v>0</v>
      </c>
      <c r="U553">
        <v>30</v>
      </c>
      <c r="V553">
        <v>0</v>
      </c>
      <c r="W553">
        <v>0</v>
      </c>
      <c r="X553">
        <v>0</v>
      </c>
    </row>
    <row r="554" spans="1:24" x14ac:dyDescent="0.25">
      <c r="A554" t="s">
        <v>15</v>
      </c>
      <c r="B554" t="s">
        <v>24</v>
      </c>
      <c r="C554">
        <v>20150316</v>
      </c>
      <c r="D554">
        <v>0</v>
      </c>
      <c r="F554">
        <v>62500</v>
      </c>
      <c r="G554" t="s">
        <v>17</v>
      </c>
      <c r="I554" t="s">
        <v>16</v>
      </c>
      <c r="J554" t="s">
        <v>181</v>
      </c>
      <c r="K554" t="s">
        <v>25</v>
      </c>
      <c r="L554">
        <v>132757294</v>
      </c>
      <c r="R554">
        <v>1367</v>
      </c>
      <c r="S554" t="s">
        <v>201</v>
      </c>
      <c r="T554">
        <v>0</v>
      </c>
      <c r="U554">
        <v>30</v>
      </c>
      <c r="V554">
        <v>0</v>
      </c>
      <c r="W554">
        <v>0</v>
      </c>
      <c r="X554">
        <v>0</v>
      </c>
    </row>
    <row r="555" spans="1:24" x14ac:dyDescent="0.25">
      <c r="A555" t="s">
        <v>15</v>
      </c>
      <c r="B555" t="s">
        <v>24</v>
      </c>
      <c r="C555">
        <v>20150316</v>
      </c>
      <c r="D555">
        <v>0</v>
      </c>
      <c r="F555">
        <v>62500</v>
      </c>
      <c r="G555" t="s">
        <v>17</v>
      </c>
      <c r="I555" t="s">
        <v>16</v>
      </c>
      <c r="J555" t="s">
        <v>181</v>
      </c>
      <c r="K555" t="s">
        <v>25</v>
      </c>
      <c r="L555">
        <v>132757294</v>
      </c>
      <c r="R555">
        <v>1368</v>
      </c>
      <c r="S555" t="s">
        <v>214</v>
      </c>
      <c r="T555">
        <v>0</v>
      </c>
      <c r="U555">
        <v>33</v>
      </c>
      <c r="V555">
        <v>0</v>
      </c>
      <c r="W555">
        <v>0</v>
      </c>
      <c r="X555">
        <v>0</v>
      </c>
    </row>
    <row r="556" spans="1:24" x14ac:dyDescent="0.25">
      <c r="A556" t="s">
        <v>15</v>
      </c>
      <c r="B556" t="s">
        <v>24</v>
      </c>
      <c r="C556">
        <v>20150316</v>
      </c>
      <c r="D556">
        <v>0</v>
      </c>
      <c r="F556">
        <v>62500</v>
      </c>
      <c r="G556" t="s">
        <v>17</v>
      </c>
      <c r="I556" t="s">
        <v>16</v>
      </c>
      <c r="J556" t="s">
        <v>181</v>
      </c>
      <c r="K556" t="s">
        <v>25</v>
      </c>
      <c r="L556">
        <v>132757294</v>
      </c>
      <c r="R556">
        <v>1368</v>
      </c>
      <c r="S556" t="s">
        <v>194</v>
      </c>
      <c r="T556">
        <v>0</v>
      </c>
      <c r="U556">
        <v>33</v>
      </c>
      <c r="V556">
        <v>0</v>
      </c>
      <c r="W556">
        <v>0</v>
      </c>
      <c r="X556">
        <v>0</v>
      </c>
    </row>
    <row r="557" spans="1:24" x14ac:dyDescent="0.25">
      <c r="A557" t="s">
        <v>15</v>
      </c>
      <c r="B557" t="s">
        <v>24</v>
      </c>
      <c r="C557">
        <v>20150316</v>
      </c>
      <c r="D557">
        <v>0</v>
      </c>
      <c r="F557">
        <v>62500</v>
      </c>
      <c r="G557" t="s">
        <v>17</v>
      </c>
      <c r="I557" t="s">
        <v>16</v>
      </c>
      <c r="J557" t="s">
        <v>181</v>
      </c>
      <c r="K557" t="s">
        <v>25</v>
      </c>
      <c r="L557">
        <v>132757294</v>
      </c>
      <c r="R557">
        <v>1368</v>
      </c>
      <c r="S557" t="s">
        <v>194</v>
      </c>
      <c r="T557">
        <v>0</v>
      </c>
      <c r="U557">
        <v>33</v>
      </c>
      <c r="V557">
        <v>0</v>
      </c>
      <c r="W557">
        <v>0</v>
      </c>
      <c r="X557">
        <v>0</v>
      </c>
    </row>
    <row r="558" spans="1:24" x14ac:dyDescent="0.25">
      <c r="A558" t="s">
        <v>15</v>
      </c>
      <c r="B558" t="s">
        <v>24</v>
      </c>
      <c r="C558">
        <v>20150316</v>
      </c>
      <c r="D558">
        <v>0</v>
      </c>
      <c r="F558">
        <v>62500</v>
      </c>
      <c r="G558" t="s">
        <v>17</v>
      </c>
      <c r="I558" t="s">
        <v>16</v>
      </c>
      <c r="J558" t="s">
        <v>181</v>
      </c>
      <c r="K558" t="s">
        <v>25</v>
      </c>
      <c r="L558">
        <v>132757294</v>
      </c>
      <c r="R558">
        <v>1368</v>
      </c>
      <c r="S558" t="s">
        <v>194</v>
      </c>
      <c r="T558">
        <v>0</v>
      </c>
      <c r="U558">
        <v>33</v>
      </c>
      <c r="V558">
        <v>0</v>
      </c>
      <c r="W558">
        <v>0</v>
      </c>
      <c r="X558">
        <v>0</v>
      </c>
    </row>
    <row r="559" spans="1:24" x14ac:dyDescent="0.25">
      <c r="A559" t="s">
        <v>15</v>
      </c>
      <c r="B559" t="s">
        <v>24</v>
      </c>
      <c r="C559">
        <v>20150316</v>
      </c>
      <c r="D559">
        <v>0</v>
      </c>
      <c r="F559">
        <v>62500</v>
      </c>
      <c r="G559" t="s">
        <v>17</v>
      </c>
      <c r="I559" t="s">
        <v>16</v>
      </c>
      <c r="J559" t="s">
        <v>181</v>
      </c>
      <c r="K559" t="s">
        <v>25</v>
      </c>
      <c r="L559">
        <v>132757294</v>
      </c>
      <c r="R559">
        <v>1369</v>
      </c>
      <c r="S559" t="s">
        <v>214</v>
      </c>
      <c r="T559">
        <v>0</v>
      </c>
      <c r="U559">
        <v>-33</v>
      </c>
      <c r="V559">
        <v>0</v>
      </c>
      <c r="W559">
        <v>0</v>
      </c>
      <c r="X559">
        <v>0</v>
      </c>
    </row>
    <row r="560" spans="1:24" x14ac:dyDescent="0.25">
      <c r="A560" t="s">
        <v>15</v>
      </c>
      <c r="B560" t="s">
        <v>24</v>
      </c>
      <c r="C560">
        <v>20150316</v>
      </c>
      <c r="D560">
        <v>0</v>
      </c>
      <c r="F560">
        <v>62500</v>
      </c>
      <c r="G560" t="s">
        <v>17</v>
      </c>
      <c r="I560" t="s">
        <v>16</v>
      </c>
      <c r="J560" t="s">
        <v>181</v>
      </c>
      <c r="K560" t="s">
        <v>25</v>
      </c>
      <c r="L560">
        <v>132757294</v>
      </c>
      <c r="R560">
        <v>1369</v>
      </c>
      <c r="S560" t="s">
        <v>214</v>
      </c>
      <c r="T560">
        <v>0</v>
      </c>
      <c r="U560">
        <v>-33</v>
      </c>
      <c r="V560">
        <v>0</v>
      </c>
      <c r="W560">
        <v>0</v>
      </c>
      <c r="X560">
        <v>0</v>
      </c>
    </row>
    <row r="561" spans="1:24" x14ac:dyDescent="0.25">
      <c r="A561" t="s">
        <v>15</v>
      </c>
      <c r="B561" t="s">
        <v>24</v>
      </c>
      <c r="C561">
        <v>20150316</v>
      </c>
      <c r="D561">
        <v>0</v>
      </c>
      <c r="F561">
        <v>62500</v>
      </c>
      <c r="G561" t="s">
        <v>17</v>
      </c>
      <c r="I561" t="s">
        <v>16</v>
      </c>
      <c r="J561" t="s">
        <v>181</v>
      </c>
      <c r="K561" t="s">
        <v>25</v>
      </c>
      <c r="L561">
        <v>132757294</v>
      </c>
      <c r="R561">
        <v>1369</v>
      </c>
      <c r="S561" t="s">
        <v>194</v>
      </c>
      <c r="T561">
        <v>0</v>
      </c>
      <c r="U561">
        <v>33</v>
      </c>
      <c r="V561">
        <v>0</v>
      </c>
      <c r="W561">
        <v>0</v>
      </c>
      <c r="X561">
        <v>0</v>
      </c>
    </row>
    <row r="562" spans="1:24" x14ac:dyDescent="0.25">
      <c r="A562" t="s">
        <v>15</v>
      </c>
      <c r="B562" t="s">
        <v>24</v>
      </c>
      <c r="C562">
        <v>20150316</v>
      </c>
      <c r="D562">
        <v>0</v>
      </c>
      <c r="F562">
        <v>62500</v>
      </c>
      <c r="G562" t="s">
        <v>17</v>
      </c>
      <c r="I562" t="s">
        <v>16</v>
      </c>
      <c r="J562" t="s">
        <v>181</v>
      </c>
      <c r="K562" t="s">
        <v>25</v>
      </c>
      <c r="L562">
        <v>132757294</v>
      </c>
      <c r="R562">
        <v>1369</v>
      </c>
      <c r="S562" t="s">
        <v>194</v>
      </c>
      <c r="T562">
        <v>0</v>
      </c>
      <c r="U562">
        <v>33</v>
      </c>
      <c r="V562">
        <v>0</v>
      </c>
      <c r="W562">
        <v>0</v>
      </c>
      <c r="X562">
        <v>0</v>
      </c>
    </row>
    <row r="563" spans="1:24" x14ac:dyDescent="0.25">
      <c r="A563" t="s">
        <v>15</v>
      </c>
      <c r="B563" t="s">
        <v>24</v>
      </c>
      <c r="C563">
        <v>20150316</v>
      </c>
      <c r="D563">
        <v>0</v>
      </c>
      <c r="F563">
        <v>62500</v>
      </c>
      <c r="G563" t="s">
        <v>17</v>
      </c>
      <c r="I563" t="s">
        <v>16</v>
      </c>
      <c r="J563" t="s">
        <v>181</v>
      </c>
      <c r="K563" t="s">
        <v>25</v>
      </c>
      <c r="L563">
        <v>132757294</v>
      </c>
      <c r="R563">
        <v>1369</v>
      </c>
      <c r="S563" t="s">
        <v>194</v>
      </c>
      <c r="T563">
        <v>0</v>
      </c>
      <c r="U563">
        <v>33</v>
      </c>
      <c r="V563">
        <v>0</v>
      </c>
      <c r="W563">
        <v>0</v>
      </c>
      <c r="X563">
        <v>0</v>
      </c>
    </row>
    <row r="564" spans="1:24" x14ac:dyDescent="0.25">
      <c r="A564" t="s">
        <v>15</v>
      </c>
      <c r="B564" t="s">
        <v>24</v>
      </c>
      <c r="C564">
        <v>20150316</v>
      </c>
      <c r="D564">
        <v>0</v>
      </c>
      <c r="F564">
        <v>62500</v>
      </c>
      <c r="G564" t="s">
        <v>17</v>
      </c>
      <c r="I564" t="s">
        <v>16</v>
      </c>
      <c r="J564" t="s">
        <v>181</v>
      </c>
      <c r="K564" t="s">
        <v>25</v>
      </c>
      <c r="L564">
        <v>132757294</v>
      </c>
      <c r="R564">
        <v>1370</v>
      </c>
      <c r="S564" t="s">
        <v>214</v>
      </c>
      <c r="T564">
        <v>0</v>
      </c>
      <c r="U564">
        <v>37</v>
      </c>
      <c r="V564">
        <v>0</v>
      </c>
      <c r="W564">
        <v>0</v>
      </c>
      <c r="X564">
        <v>0</v>
      </c>
    </row>
    <row r="565" spans="1:24" x14ac:dyDescent="0.25">
      <c r="A565" t="s">
        <v>15</v>
      </c>
      <c r="B565" t="s">
        <v>24</v>
      </c>
      <c r="C565">
        <v>20150316</v>
      </c>
      <c r="D565">
        <v>0</v>
      </c>
      <c r="F565">
        <v>62500</v>
      </c>
      <c r="G565" t="s">
        <v>17</v>
      </c>
      <c r="I565" t="s">
        <v>16</v>
      </c>
      <c r="J565" t="s">
        <v>181</v>
      </c>
      <c r="K565" t="s">
        <v>25</v>
      </c>
      <c r="L565">
        <v>132757294</v>
      </c>
      <c r="R565">
        <v>1368</v>
      </c>
      <c r="S565" t="s">
        <v>196</v>
      </c>
      <c r="T565">
        <v>0</v>
      </c>
      <c r="U565">
        <v>33</v>
      </c>
      <c r="V565">
        <v>0</v>
      </c>
      <c r="W565">
        <v>0</v>
      </c>
      <c r="X565">
        <v>0</v>
      </c>
    </row>
    <row r="566" spans="1:24" x14ac:dyDescent="0.25">
      <c r="A566" t="s">
        <v>15</v>
      </c>
      <c r="B566" t="s">
        <v>24</v>
      </c>
      <c r="C566">
        <v>20150316</v>
      </c>
      <c r="D566">
        <v>0</v>
      </c>
      <c r="F566">
        <v>62500</v>
      </c>
      <c r="G566" t="s">
        <v>17</v>
      </c>
      <c r="I566" t="s">
        <v>16</v>
      </c>
      <c r="J566" t="s">
        <v>181</v>
      </c>
      <c r="K566" t="s">
        <v>25</v>
      </c>
      <c r="L566">
        <v>132757294</v>
      </c>
      <c r="R566">
        <v>1368</v>
      </c>
      <c r="S566" t="s">
        <v>201</v>
      </c>
      <c r="T566">
        <v>0</v>
      </c>
      <c r="U566">
        <v>33</v>
      </c>
      <c r="V566">
        <v>0</v>
      </c>
      <c r="W566">
        <v>0</v>
      </c>
      <c r="X566">
        <v>0</v>
      </c>
    </row>
    <row r="567" spans="1:24" x14ac:dyDescent="0.25">
      <c r="A567" t="s">
        <v>15</v>
      </c>
      <c r="B567" t="s">
        <v>24</v>
      </c>
      <c r="C567">
        <v>20150316</v>
      </c>
      <c r="D567">
        <v>0</v>
      </c>
      <c r="F567">
        <v>62500</v>
      </c>
      <c r="G567" t="s">
        <v>17</v>
      </c>
      <c r="I567" t="s">
        <v>16</v>
      </c>
      <c r="J567" t="s">
        <v>181</v>
      </c>
      <c r="K567" t="s">
        <v>25</v>
      </c>
      <c r="L567">
        <v>132757294</v>
      </c>
      <c r="R567">
        <v>1370</v>
      </c>
      <c r="S567" t="s">
        <v>214</v>
      </c>
      <c r="T567">
        <v>0</v>
      </c>
      <c r="U567">
        <v>37</v>
      </c>
      <c r="V567">
        <v>0</v>
      </c>
      <c r="W567">
        <v>0</v>
      </c>
      <c r="X567">
        <v>0</v>
      </c>
    </row>
    <row r="568" spans="1:24" x14ac:dyDescent="0.25">
      <c r="A568" t="s">
        <v>15</v>
      </c>
      <c r="B568" t="s">
        <v>24</v>
      </c>
      <c r="C568">
        <v>20150316</v>
      </c>
      <c r="D568">
        <v>0</v>
      </c>
      <c r="F568">
        <v>62500</v>
      </c>
      <c r="G568" t="s">
        <v>17</v>
      </c>
      <c r="I568" t="s">
        <v>16</v>
      </c>
      <c r="J568" t="s">
        <v>181</v>
      </c>
      <c r="K568" t="s">
        <v>25</v>
      </c>
      <c r="L568">
        <v>132757294</v>
      </c>
      <c r="R568">
        <v>1370</v>
      </c>
      <c r="S568" t="s">
        <v>194</v>
      </c>
      <c r="T568">
        <v>0</v>
      </c>
      <c r="U568">
        <v>37</v>
      </c>
      <c r="V568">
        <v>0</v>
      </c>
      <c r="W568">
        <v>0</v>
      </c>
      <c r="X568">
        <v>0</v>
      </c>
    </row>
    <row r="569" spans="1:24" x14ac:dyDescent="0.25">
      <c r="A569" t="s">
        <v>15</v>
      </c>
      <c r="B569" t="s">
        <v>24</v>
      </c>
      <c r="C569">
        <v>20150316</v>
      </c>
      <c r="D569">
        <v>0</v>
      </c>
      <c r="F569">
        <v>62500</v>
      </c>
      <c r="G569" t="s">
        <v>17</v>
      </c>
      <c r="I569" t="s">
        <v>16</v>
      </c>
      <c r="J569" t="s">
        <v>181</v>
      </c>
      <c r="K569" t="s">
        <v>25</v>
      </c>
      <c r="L569">
        <v>132757294</v>
      </c>
      <c r="R569">
        <v>1369</v>
      </c>
      <c r="S569" t="s">
        <v>196</v>
      </c>
      <c r="T569">
        <v>0</v>
      </c>
      <c r="U569">
        <v>33</v>
      </c>
      <c r="V569">
        <v>0</v>
      </c>
      <c r="W569">
        <v>0</v>
      </c>
      <c r="X569">
        <v>0</v>
      </c>
    </row>
    <row r="570" spans="1:24" x14ac:dyDescent="0.25">
      <c r="A570" t="s">
        <v>15</v>
      </c>
      <c r="B570" t="s">
        <v>24</v>
      </c>
      <c r="C570">
        <v>20150316</v>
      </c>
      <c r="D570">
        <v>0</v>
      </c>
      <c r="F570">
        <v>62500</v>
      </c>
      <c r="G570" t="s">
        <v>17</v>
      </c>
      <c r="I570" t="s">
        <v>16</v>
      </c>
      <c r="J570" t="s">
        <v>181</v>
      </c>
      <c r="K570" t="s">
        <v>25</v>
      </c>
      <c r="L570">
        <v>132757294</v>
      </c>
      <c r="R570">
        <v>1369</v>
      </c>
      <c r="S570" t="s">
        <v>201</v>
      </c>
      <c r="T570">
        <v>0</v>
      </c>
      <c r="U570">
        <v>33</v>
      </c>
      <c r="V570">
        <v>0</v>
      </c>
      <c r="W570">
        <v>0</v>
      </c>
      <c r="X570">
        <v>0</v>
      </c>
    </row>
    <row r="571" spans="1:24" x14ac:dyDescent="0.25">
      <c r="A571" t="s">
        <v>15</v>
      </c>
      <c r="B571" t="s">
        <v>24</v>
      </c>
      <c r="C571">
        <v>20150316</v>
      </c>
      <c r="D571">
        <v>0</v>
      </c>
      <c r="F571">
        <v>62500</v>
      </c>
      <c r="G571" t="s">
        <v>17</v>
      </c>
      <c r="I571" t="s">
        <v>16</v>
      </c>
      <c r="J571" t="s">
        <v>181</v>
      </c>
      <c r="K571" t="s">
        <v>25</v>
      </c>
      <c r="L571">
        <v>132757294</v>
      </c>
      <c r="R571">
        <v>1370</v>
      </c>
      <c r="S571" t="s">
        <v>194</v>
      </c>
      <c r="T571">
        <v>0</v>
      </c>
      <c r="U571">
        <v>37</v>
      </c>
      <c r="V571">
        <v>0</v>
      </c>
      <c r="W571">
        <v>0</v>
      </c>
      <c r="X571">
        <v>0</v>
      </c>
    </row>
    <row r="572" spans="1:24" x14ac:dyDescent="0.25">
      <c r="A572" t="s">
        <v>15</v>
      </c>
      <c r="B572" t="s">
        <v>24</v>
      </c>
      <c r="C572">
        <v>20150316</v>
      </c>
      <c r="D572">
        <v>0</v>
      </c>
      <c r="F572">
        <v>62500</v>
      </c>
      <c r="G572" t="s">
        <v>17</v>
      </c>
      <c r="I572" t="s">
        <v>16</v>
      </c>
      <c r="J572" t="s">
        <v>181</v>
      </c>
      <c r="K572" t="s">
        <v>25</v>
      </c>
      <c r="L572">
        <v>132757294</v>
      </c>
      <c r="R572">
        <v>1370</v>
      </c>
      <c r="S572" t="s">
        <v>194</v>
      </c>
      <c r="T572">
        <v>0</v>
      </c>
      <c r="U572">
        <v>37</v>
      </c>
      <c r="V572">
        <v>0</v>
      </c>
      <c r="W572">
        <v>0</v>
      </c>
      <c r="X572">
        <v>0</v>
      </c>
    </row>
    <row r="573" spans="1:24" x14ac:dyDescent="0.25">
      <c r="A573" t="s">
        <v>15</v>
      </c>
      <c r="B573" t="s">
        <v>24</v>
      </c>
      <c r="C573">
        <v>20150316</v>
      </c>
      <c r="D573">
        <v>0</v>
      </c>
      <c r="F573">
        <v>62500</v>
      </c>
      <c r="G573" t="s">
        <v>17</v>
      </c>
      <c r="I573" t="s">
        <v>16</v>
      </c>
      <c r="J573" t="s">
        <v>181</v>
      </c>
      <c r="K573" t="s">
        <v>25</v>
      </c>
      <c r="L573">
        <v>132757294</v>
      </c>
      <c r="R573">
        <v>1371</v>
      </c>
      <c r="S573" t="s">
        <v>214</v>
      </c>
      <c r="T573">
        <v>0</v>
      </c>
      <c r="U573">
        <v>-37</v>
      </c>
      <c r="V573">
        <v>0</v>
      </c>
      <c r="W573">
        <v>0</v>
      </c>
      <c r="X573">
        <v>0</v>
      </c>
    </row>
    <row r="574" spans="1:24" x14ac:dyDescent="0.25">
      <c r="A574" t="s">
        <v>15</v>
      </c>
      <c r="B574" t="s">
        <v>24</v>
      </c>
      <c r="C574">
        <v>20150316</v>
      </c>
      <c r="D574">
        <v>0</v>
      </c>
      <c r="F574">
        <v>62500</v>
      </c>
      <c r="G574" t="s">
        <v>17</v>
      </c>
      <c r="I574" t="s">
        <v>16</v>
      </c>
      <c r="J574" t="s">
        <v>181</v>
      </c>
      <c r="K574" t="s">
        <v>25</v>
      </c>
      <c r="L574">
        <v>132757294</v>
      </c>
      <c r="R574">
        <v>1371</v>
      </c>
      <c r="S574" t="s">
        <v>214</v>
      </c>
      <c r="T574">
        <v>0</v>
      </c>
      <c r="U574">
        <v>-37</v>
      </c>
      <c r="V574">
        <v>0</v>
      </c>
      <c r="W574">
        <v>0</v>
      </c>
      <c r="X574">
        <v>0</v>
      </c>
    </row>
    <row r="575" spans="1:24" x14ac:dyDescent="0.25">
      <c r="A575" t="s">
        <v>15</v>
      </c>
      <c r="B575" t="s">
        <v>24</v>
      </c>
      <c r="C575">
        <v>20150316</v>
      </c>
      <c r="D575">
        <v>0</v>
      </c>
      <c r="F575">
        <v>62500</v>
      </c>
      <c r="G575" t="s">
        <v>17</v>
      </c>
      <c r="I575" t="s">
        <v>16</v>
      </c>
      <c r="J575" t="s">
        <v>181</v>
      </c>
      <c r="K575" t="s">
        <v>25</v>
      </c>
      <c r="L575">
        <v>132757294</v>
      </c>
      <c r="R575">
        <v>1371</v>
      </c>
      <c r="S575" t="s">
        <v>194</v>
      </c>
      <c r="T575">
        <v>0</v>
      </c>
      <c r="U575">
        <v>37</v>
      </c>
      <c r="V575">
        <v>0</v>
      </c>
      <c r="W575">
        <v>0</v>
      </c>
      <c r="X575">
        <v>0</v>
      </c>
    </row>
    <row r="576" spans="1:24" x14ac:dyDescent="0.25">
      <c r="A576" t="s">
        <v>15</v>
      </c>
      <c r="B576" t="s">
        <v>24</v>
      </c>
      <c r="C576">
        <v>20150316</v>
      </c>
      <c r="D576">
        <v>0</v>
      </c>
      <c r="F576">
        <v>62500</v>
      </c>
      <c r="G576" t="s">
        <v>17</v>
      </c>
      <c r="I576" t="s">
        <v>16</v>
      </c>
      <c r="J576" t="s">
        <v>181</v>
      </c>
      <c r="K576" t="s">
        <v>25</v>
      </c>
      <c r="L576">
        <v>132757294</v>
      </c>
      <c r="R576">
        <v>1371</v>
      </c>
      <c r="S576" t="s">
        <v>194</v>
      </c>
      <c r="T576">
        <v>0</v>
      </c>
      <c r="U576">
        <v>37</v>
      </c>
      <c r="V576">
        <v>0</v>
      </c>
      <c r="W576">
        <v>0</v>
      </c>
      <c r="X576">
        <v>0</v>
      </c>
    </row>
    <row r="577" spans="1:24" x14ac:dyDescent="0.25">
      <c r="A577" t="s">
        <v>15</v>
      </c>
      <c r="B577" t="s">
        <v>24</v>
      </c>
      <c r="C577">
        <v>20150316</v>
      </c>
      <c r="D577">
        <v>0</v>
      </c>
      <c r="F577">
        <v>62500</v>
      </c>
      <c r="G577" t="s">
        <v>17</v>
      </c>
      <c r="I577" t="s">
        <v>16</v>
      </c>
      <c r="J577" t="s">
        <v>181</v>
      </c>
      <c r="K577" t="s">
        <v>25</v>
      </c>
      <c r="L577">
        <v>132757294</v>
      </c>
      <c r="R577">
        <v>1371</v>
      </c>
      <c r="S577" t="s">
        <v>194</v>
      </c>
      <c r="T577">
        <v>0</v>
      </c>
      <c r="U577">
        <v>37</v>
      </c>
      <c r="V577">
        <v>0</v>
      </c>
      <c r="W577">
        <v>0</v>
      </c>
      <c r="X577">
        <v>0</v>
      </c>
    </row>
    <row r="578" spans="1:24" x14ac:dyDescent="0.25">
      <c r="A578" t="s">
        <v>15</v>
      </c>
      <c r="B578" t="s">
        <v>24</v>
      </c>
      <c r="C578">
        <v>20150316</v>
      </c>
      <c r="D578">
        <v>0</v>
      </c>
      <c r="F578">
        <v>62500</v>
      </c>
      <c r="G578" t="s">
        <v>17</v>
      </c>
      <c r="I578" t="s">
        <v>16</v>
      </c>
      <c r="J578" t="s">
        <v>181</v>
      </c>
      <c r="K578" t="s">
        <v>25</v>
      </c>
      <c r="L578">
        <v>132757294</v>
      </c>
      <c r="R578">
        <v>1372</v>
      </c>
      <c r="S578" t="s">
        <v>214</v>
      </c>
      <c r="T578">
        <v>0</v>
      </c>
      <c r="U578">
        <v>34</v>
      </c>
      <c r="V578">
        <v>0</v>
      </c>
      <c r="W578">
        <v>0</v>
      </c>
      <c r="X578">
        <v>0</v>
      </c>
    </row>
    <row r="579" spans="1:24" x14ac:dyDescent="0.25">
      <c r="A579" t="s">
        <v>15</v>
      </c>
      <c r="B579" t="s">
        <v>24</v>
      </c>
      <c r="C579">
        <v>20150316</v>
      </c>
      <c r="D579">
        <v>0</v>
      </c>
      <c r="F579">
        <v>62500</v>
      </c>
      <c r="G579" t="s">
        <v>17</v>
      </c>
      <c r="I579" t="s">
        <v>16</v>
      </c>
      <c r="J579" t="s">
        <v>181</v>
      </c>
      <c r="K579" t="s">
        <v>25</v>
      </c>
      <c r="L579">
        <v>132757294</v>
      </c>
      <c r="R579">
        <v>1370</v>
      </c>
      <c r="S579" t="s">
        <v>196</v>
      </c>
      <c r="T579">
        <v>0</v>
      </c>
      <c r="U579">
        <v>37</v>
      </c>
      <c r="V579">
        <v>0</v>
      </c>
      <c r="W579">
        <v>0</v>
      </c>
      <c r="X579">
        <v>0</v>
      </c>
    </row>
    <row r="580" spans="1:24" x14ac:dyDescent="0.25">
      <c r="A580" t="s">
        <v>15</v>
      </c>
      <c r="B580" t="s">
        <v>24</v>
      </c>
      <c r="C580">
        <v>20150316</v>
      </c>
      <c r="D580">
        <v>0</v>
      </c>
      <c r="F580">
        <v>62500</v>
      </c>
      <c r="G580" t="s">
        <v>17</v>
      </c>
      <c r="I580" t="s">
        <v>16</v>
      </c>
      <c r="J580" t="s">
        <v>181</v>
      </c>
      <c r="K580" t="s">
        <v>25</v>
      </c>
      <c r="L580">
        <v>132757294</v>
      </c>
      <c r="R580">
        <v>1370</v>
      </c>
      <c r="S580" t="s">
        <v>201</v>
      </c>
      <c r="T580">
        <v>0</v>
      </c>
      <c r="U580">
        <v>37</v>
      </c>
      <c r="V580">
        <v>0</v>
      </c>
      <c r="W580">
        <v>0</v>
      </c>
      <c r="X580">
        <v>0</v>
      </c>
    </row>
    <row r="581" spans="1:24" x14ac:dyDescent="0.25">
      <c r="A581" t="s">
        <v>15</v>
      </c>
      <c r="B581" t="s">
        <v>24</v>
      </c>
      <c r="C581">
        <v>20150316</v>
      </c>
      <c r="D581">
        <v>0</v>
      </c>
      <c r="F581">
        <v>62500</v>
      </c>
      <c r="G581" t="s">
        <v>17</v>
      </c>
      <c r="I581" t="s">
        <v>16</v>
      </c>
      <c r="J581" t="s">
        <v>181</v>
      </c>
      <c r="K581" t="s">
        <v>25</v>
      </c>
      <c r="L581">
        <v>132757294</v>
      </c>
      <c r="R581">
        <v>1372</v>
      </c>
      <c r="S581" t="s">
        <v>214</v>
      </c>
      <c r="T581">
        <v>0</v>
      </c>
      <c r="U581">
        <v>34</v>
      </c>
      <c r="V581">
        <v>0</v>
      </c>
      <c r="W581">
        <v>0</v>
      </c>
      <c r="X581">
        <v>0</v>
      </c>
    </row>
    <row r="582" spans="1:24" x14ac:dyDescent="0.25">
      <c r="A582" t="s">
        <v>15</v>
      </c>
      <c r="B582" t="s">
        <v>24</v>
      </c>
      <c r="C582">
        <v>20150316</v>
      </c>
      <c r="D582">
        <v>0</v>
      </c>
      <c r="F582">
        <v>62500</v>
      </c>
      <c r="G582" t="s">
        <v>17</v>
      </c>
      <c r="I582" t="s">
        <v>16</v>
      </c>
      <c r="J582" t="s">
        <v>181</v>
      </c>
      <c r="K582" t="s">
        <v>25</v>
      </c>
      <c r="L582">
        <v>132757294</v>
      </c>
      <c r="R582">
        <v>1372</v>
      </c>
      <c r="S582" t="s">
        <v>194</v>
      </c>
      <c r="T582">
        <v>0</v>
      </c>
      <c r="U582">
        <v>34</v>
      </c>
      <c r="V582">
        <v>0</v>
      </c>
      <c r="W582">
        <v>0</v>
      </c>
      <c r="X582">
        <v>0</v>
      </c>
    </row>
    <row r="583" spans="1:24" x14ac:dyDescent="0.25">
      <c r="A583" t="s">
        <v>15</v>
      </c>
      <c r="B583" t="s">
        <v>24</v>
      </c>
      <c r="C583">
        <v>20150316</v>
      </c>
      <c r="D583">
        <v>0</v>
      </c>
      <c r="F583">
        <v>62500</v>
      </c>
      <c r="G583" t="s">
        <v>17</v>
      </c>
      <c r="I583" t="s">
        <v>16</v>
      </c>
      <c r="J583" t="s">
        <v>181</v>
      </c>
      <c r="K583" t="s">
        <v>25</v>
      </c>
      <c r="L583">
        <v>132757294</v>
      </c>
      <c r="R583">
        <v>1371</v>
      </c>
      <c r="S583" t="s">
        <v>196</v>
      </c>
      <c r="T583">
        <v>0</v>
      </c>
      <c r="U583">
        <v>37</v>
      </c>
      <c r="V583">
        <v>0</v>
      </c>
      <c r="W583">
        <v>0</v>
      </c>
      <c r="X583">
        <v>0</v>
      </c>
    </row>
    <row r="584" spans="1:24" x14ac:dyDescent="0.25">
      <c r="A584" t="s">
        <v>15</v>
      </c>
      <c r="B584" t="s">
        <v>24</v>
      </c>
      <c r="C584">
        <v>20150316</v>
      </c>
      <c r="D584">
        <v>0</v>
      </c>
      <c r="F584">
        <v>62500</v>
      </c>
      <c r="G584" t="s">
        <v>17</v>
      </c>
      <c r="I584" t="s">
        <v>16</v>
      </c>
      <c r="J584" t="s">
        <v>181</v>
      </c>
      <c r="K584" t="s">
        <v>25</v>
      </c>
      <c r="L584">
        <v>132757294</v>
      </c>
      <c r="R584">
        <v>1371</v>
      </c>
      <c r="S584" t="s">
        <v>201</v>
      </c>
      <c r="T584">
        <v>0</v>
      </c>
      <c r="U584">
        <v>37</v>
      </c>
      <c r="V584">
        <v>0</v>
      </c>
      <c r="W584">
        <v>0</v>
      </c>
      <c r="X584">
        <v>0</v>
      </c>
    </row>
    <row r="585" spans="1:24" x14ac:dyDescent="0.25">
      <c r="A585" t="s">
        <v>15</v>
      </c>
      <c r="B585" t="s">
        <v>24</v>
      </c>
      <c r="C585">
        <v>20150316</v>
      </c>
      <c r="D585">
        <v>0</v>
      </c>
      <c r="F585">
        <v>62500</v>
      </c>
      <c r="G585" t="s">
        <v>17</v>
      </c>
      <c r="I585" t="s">
        <v>16</v>
      </c>
      <c r="J585" t="s">
        <v>181</v>
      </c>
      <c r="K585" t="s">
        <v>25</v>
      </c>
      <c r="L585">
        <v>132757294</v>
      </c>
      <c r="R585">
        <v>1372</v>
      </c>
      <c r="S585" t="s">
        <v>194</v>
      </c>
      <c r="T585">
        <v>0</v>
      </c>
      <c r="U585">
        <v>34</v>
      </c>
      <c r="V585">
        <v>0</v>
      </c>
      <c r="W585">
        <v>0</v>
      </c>
      <c r="X585">
        <v>0</v>
      </c>
    </row>
    <row r="586" spans="1:24" x14ac:dyDescent="0.25">
      <c r="A586" t="s">
        <v>15</v>
      </c>
      <c r="B586" t="s">
        <v>24</v>
      </c>
      <c r="C586">
        <v>20150316</v>
      </c>
      <c r="D586">
        <v>0</v>
      </c>
      <c r="F586">
        <v>62500</v>
      </c>
      <c r="G586" t="s">
        <v>17</v>
      </c>
      <c r="I586" t="s">
        <v>16</v>
      </c>
      <c r="J586" t="s">
        <v>181</v>
      </c>
      <c r="K586" t="s">
        <v>25</v>
      </c>
      <c r="L586">
        <v>132757294</v>
      </c>
      <c r="R586">
        <v>1372</v>
      </c>
      <c r="S586" t="s">
        <v>194</v>
      </c>
      <c r="T586">
        <v>0</v>
      </c>
      <c r="U586">
        <v>34</v>
      </c>
      <c r="V586">
        <v>0</v>
      </c>
      <c r="W586">
        <v>0</v>
      </c>
      <c r="X586">
        <v>0</v>
      </c>
    </row>
    <row r="587" spans="1:24" x14ac:dyDescent="0.25">
      <c r="A587" t="s">
        <v>15</v>
      </c>
      <c r="B587" t="s">
        <v>24</v>
      </c>
      <c r="C587">
        <v>20150316</v>
      </c>
      <c r="D587">
        <v>0</v>
      </c>
      <c r="F587">
        <v>62500</v>
      </c>
      <c r="G587" t="s">
        <v>17</v>
      </c>
      <c r="I587" t="s">
        <v>16</v>
      </c>
      <c r="J587" t="s">
        <v>181</v>
      </c>
      <c r="K587" t="s">
        <v>25</v>
      </c>
      <c r="L587">
        <v>132757294</v>
      </c>
      <c r="R587">
        <v>1373</v>
      </c>
      <c r="S587" t="s">
        <v>214</v>
      </c>
      <c r="T587">
        <v>0</v>
      </c>
      <c r="U587">
        <v>33</v>
      </c>
      <c r="V587">
        <v>0</v>
      </c>
      <c r="W587">
        <v>0</v>
      </c>
      <c r="X587">
        <v>0</v>
      </c>
    </row>
    <row r="588" spans="1:24" x14ac:dyDescent="0.25">
      <c r="A588" t="s">
        <v>15</v>
      </c>
      <c r="B588" t="s">
        <v>24</v>
      </c>
      <c r="C588">
        <v>20150316</v>
      </c>
      <c r="D588">
        <v>0</v>
      </c>
      <c r="F588">
        <v>62500</v>
      </c>
      <c r="G588" t="s">
        <v>17</v>
      </c>
      <c r="I588" t="s">
        <v>16</v>
      </c>
      <c r="J588" t="s">
        <v>181</v>
      </c>
      <c r="K588" t="s">
        <v>25</v>
      </c>
      <c r="L588">
        <v>132757294</v>
      </c>
      <c r="R588">
        <v>1372</v>
      </c>
      <c r="S588" t="s">
        <v>196</v>
      </c>
      <c r="T588">
        <v>0</v>
      </c>
      <c r="U588">
        <v>34</v>
      </c>
      <c r="V588">
        <v>0</v>
      </c>
      <c r="W588">
        <v>0</v>
      </c>
      <c r="X588">
        <v>0</v>
      </c>
    </row>
    <row r="589" spans="1:24" x14ac:dyDescent="0.25">
      <c r="A589" t="s">
        <v>15</v>
      </c>
      <c r="B589" t="s">
        <v>24</v>
      </c>
      <c r="C589">
        <v>20150316</v>
      </c>
      <c r="D589">
        <v>0</v>
      </c>
      <c r="F589">
        <v>62500</v>
      </c>
      <c r="G589" t="s">
        <v>17</v>
      </c>
      <c r="I589" t="s">
        <v>16</v>
      </c>
      <c r="J589" t="s">
        <v>181</v>
      </c>
      <c r="K589" t="s">
        <v>25</v>
      </c>
      <c r="L589">
        <v>132757294</v>
      </c>
      <c r="R589">
        <v>1372</v>
      </c>
      <c r="S589" t="s">
        <v>201</v>
      </c>
      <c r="T589">
        <v>0</v>
      </c>
      <c r="U589">
        <v>34</v>
      </c>
      <c r="V589">
        <v>0</v>
      </c>
      <c r="W589">
        <v>0</v>
      </c>
      <c r="X589">
        <v>0</v>
      </c>
    </row>
    <row r="590" spans="1:24" x14ac:dyDescent="0.25">
      <c r="A590" t="s">
        <v>15</v>
      </c>
      <c r="B590" t="s">
        <v>24</v>
      </c>
      <c r="C590">
        <v>20150316</v>
      </c>
      <c r="D590">
        <v>0</v>
      </c>
      <c r="F590">
        <v>62500</v>
      </c>
      <c r="G590" t="s">
        <v>17</v>
      </c>
      <c r="I590" t="s">
        <v>16</v>
      </c>
      <c r="J590" t="s">
        <v>181</v>
      </c>
      <c r="K590" t="s">
        <v>25</v>
      </c>
      <c r="L590">
        <v>132757294</v>
      </c>
      <c r="R590">
        <v>1373</v>
      </c>
      <c r="S590" t="s">
        <v>214</v>
      </c>
      <c r="T590">
        <v>0</v>
      </c>
      <c r="U590">
        <v>33</v>
      </c>
      <c r="V590">
        <v>0</v>
      </c>
      <c r="W590">
        <v>0</v>
      </c>
      <c r="X590">
        <v>0</v>
      </c>
    </row>
    <row r="591" spans="1:24" x14ac:dyDescent="0.25">
      <c r="A591" t="s">
        <v>15</v>
      </c>
      <c r="B591" t="s">
        <v>24</v>
      </c>
      <c r="C591">
        <v>20150316</v>
      </c>
      <c r="D591">
        <v>0</v>
      </c>
      <c r="F591">
        <v>62500</v>
      </c>
      <c r="G591" t="s">
        <v>17</v>
      </c>
      <c r="I591" t="s">
        <v>16</v>
      </c>
      <c r="J591" t="s">
        <v>181</v>
      </c>
      <c r="K591" t="s">
        <v>25</v>
      </c>
      <c r="L591">
        <v>132757294</v>
      </c>
      <c r="R591">
        <v>1373</v>
      </c>
      <c r="S591" t="s">
        <v>194</v>
      </c>
      <c r="T591">
        <v>0</v>
      </c>
      <c r="U591">
        <v>33</v>
      </c>
      <c r="V591">
        <v>0</v>
      </c>
      <c r="W591">
        <v>0</v>
      </c>
      <c r="X591">
        <v>0</v>
      </c>
    </row>
    <row r="592" spans="1:24" x14ac:dyDescent="0.25">
      <c r="A592" t="s">
        <v>15</v>
      </c>
      <c r="B592" t="s">
        <v>24</v>
      </c>
      <c r="C592">
        <v>20150316</v>
      </c>
      <c r="D592">
        <v>0</v>
      </c>
      <c r="F592">
        <v>62500</v>
      </c>
      <c r="G592" t="s">
        <v>17</v>
      </c>
      <c r="I592" t="s">
        <v>16</v>
      </c>
      <c r="J592" t="s">
        <v>181</v>
      </c>
      <c r="K592" t="s">
        <v>25</v>
      </c>
      <c r="L592">
        <v>132757294</v>
      </c>
      <c r="R592">
        <v>1373</v>
      </c>
      <c r="S592" t="s">
        <v>194</v>
      </c>
      <c r="T592">
        <v>0</v>
      </c>
      <c r="U592">
        <v>33</v>
      </c>
      <c r="V592">
        <v>0</v>
      </c>
      <c r="W592">
        <v>0</v>
      </c>
      <c r="X592">
        <v>0</v>
      </c>
    </row>
    <row r="593" spans="1:24" x14ac:dyDescent="0.25">
      <c r="A593" t="s">
        <v>15</v>
      </c>
      <c r="B593" t="s">
        <v>24</v>
      </c>
      <c r="C593">
        <v>20150316</v>
      </c>
      <c r="D593">
        <v>0</v>
      </c>
      <c r="F593">
        <v>62500</v>
      </c>
      <c r="G593" t="s">
        <v>17</v>
      </c>
      <c r="I593" t="s">
        <v>16</v>
      </c>
      <c r="J593" t="s">
        <v>181</v>
      </c>
      <c r="K593" t="s">
        <v>25</v>
      </c>
      <c r="L593">
        <v>132757294</v>
      </c>
      <c r="R593">
        <v>1373</v>
      </c>
      <c r="S593" t="s">
        <v>194</v>
      </c>
      <c r="T593">
        <v>0</v>
      </c>
      <c r="U593">
        <v>33</v>
      </c>
      <c r="V593">
        <v>0</v>
      </c>
      <c r="W593">
        <v>0</v>
      </c>
      <c r="X593">
        <v>0</v>
      </c>
    </row>
    <row r="594" spans="1:24" x14ac:dyDescent="0.25">
      <c r="A594" t="s">
        <v>15</v>
      </c>
      <c r="B594" t="s">
        <v>24</v>
      </c>
      <c r="C594">
        <v>20150316</v>
      </c>
      <c r="D594">
        <v>0</v>
      </c>
      <c r="F594">
        <v>62500</v>
      </c>
      <c r="G594" t="s">
        <v>17</v>
      </c>
      <c r="I594" t="s">
        <v>16</v>
      </c>
      <c r="J594" t="s">
        <v>181</v>
      </c>
      <c r="K594" t="s">
        <v>25</v>
      </c>
      <c r="L594">
        <v>132757294</v>
      </c>
      <c r="R594">
        <v>1374</v>
      </c>
      <c r="S594" t="s">
        <v>214</v>
      </c>
      <c r="T594">
        <v>0</v>
      </c>
      <c r="U594">
        <v>-33</v>
      </c>
      <c r="V594">
        <v>0</v>
      </c>
      <c r="W594">
        <v>0</v>
      </c>
      <c r="X594">
        <v>0</v>
      </c>
    </row>
    <row r="595" spans="1:24" x14ac:dyDescent="0.25">
      <c r="A595" t="s">
        <v>15</v>
      </c>
      <c r="B595" t="s">
        <v>24</v>
      </c>
      <c r="C595">
        <v>20150316</v>
      </c>
      <c r="D595">
        <v>0</v>
      </c>
      <c r="F595">
        <v>62500</v>
      </c>
      <c r="G595" t="s">
        <v>17</v>
      </c>
      <c r="I595" t="s">
        <v>16</v>
      </c>
      <c r="J595" t="s">
        <v>181</v>
      </c>
      <c r="K595" t="s">
        <v>25</v>
      </c>
      <c r="L595">
        <v>132757294</v>
      </c>
      <c r="R595">
        <v>1374</v>
      </c>
      <c r="S595" t="s">
        <v>214</v>
      </c>
      <c r="T595">
        <v>0</v>
      </c>
      <c r="U595">
        <v>-33</v>
      </c>
      <c r="V595">
        <v>0</v>
      </c>
      <c r="W595">
        <v>0</v>
      </c>
      <c r="X595">
        <v>0</v>
      </c>
    </row>
    <row r="596" spans="1:24" x14ac:dyDescent="0.25">
      <c r="A596" t="s">
        <v>15</v>
      </c>
      <c r="B596" t="s">
        <v>24</v>
      </c>
      <c r="C596">
        <v>20150316</v>
      </c>
      <c r="D596">
        <v>0</v>
      </c>
      <c r="F596">
        <v>62500</v>
      </c>
      <c r="G596" t="s">
        <v>17</v>
      </c>
      <c r="I596" t="s">
        <v>16</v>
      </c>
      <c r="J596" t="s">
        <v>181</v>
      </c>
      <c r="K596" t="s">
        <v>25</v>
      </c>
      <c r="L596">
        <v>132757294</v>
      </c>
      <c r="R596">
        <v>1374</v>
      </c>
      <c r="S596" t="s">
        <v>194</v>
      </c>
      <c r="T596">
        <v>0</v>
      </c>
      <c r="U596">
        <v>33</v>
      </c>
      <c r="V596">
        <v>0</v>
      </c>
      <c r="W596">
        <v>0</v>
      </c>
      <c r="X596">
        <v>0</v>
      </c>
    </row>
    <row r="597" spans="1:24" x14ac:dyDescent="0.25">
      <c r="A597" t="s">
        <v>15</v>
      </c>
      <c r="B597" t="s">
        <v>24</v>
      </c>
      <c r="C597">
        <v>20150316</v>
      </c>
      <c r="D597">
        <v>0</v>
      </c>
      <c r="F597">
        <v>62500</v>
      </c>
      <c r="G597" t="s">
        <v>17</v>
      </c>
      <c r="I597" t="s">
        <v>16</v>
      </c>
      <c r="J597" t="s">
        <v>181</v>
      </c>
      <c r="K597" t="s">
        <v>25</v>
      </c>
      <c r="L597">
        <v>132757294</v>
      </c>
      <c r="R597">
        <v>1374</v>
      </c>
      <c r="S597" t="s">
        <v>194</v>
      </c>
      <c r="T597">
        <v>0</v>
      </c>
      <c r="U597">
        <v>33</v>
      </c>
      <c r="V597">
        <v>0</v>
      </c>
      <c r="W597">
        <v>0</v>
      </c>
      <c r="X597">
        <v>0</v>
      </c>
    </row>
    <row r="598" spans="1:24" x14ac:dyDescent="0.25">
      <c r="A598" t="s">
        <v>15</v>
      </c>
      <c r="B598" t="s">
        <v>24</v>
      </c>
      <c r="C598">
        <v>20150316</v>
      </c>
      <c r="D598">
        <v>0</v>
      </c>
      <c r="F598">
        <v>62500</v>
      </c>
      <c r="G598" t="s">
        <v>17</v>
      </c>
      <c r="I598" t="s">
        <v>16</v>
      </c>
      <c r="J598" t="s">
        <v>181</v>
      </c>
      <c r="K598" t="s">
        <v>25</v>
      </c>
      <c r="L598">
        <v>132757294</v>
      </c>
      <c r="R598">
        <v>1374</v>
      </c>
      <c r="S598" t="s">
        <v>194</v>
      </c>
      <c r="T598">
        <v>0</v>
      </c>
      <c r="U598">
        <v>33</v>
      </c>
      <c r="V598">
        <v>0</v>
      </c>
      <c r="W598">
        <v>0</v>
      </c>
      <c r="X598">
        <v>0</v>
      </c>
    </row>
    <row r="599" spans="1:24" x14ac:dyDescent="0.25">
      <c r="A599" t="s">
        <v>15</v>
      </c>
      <c r="B599" t="s">
        <v>24</v>
      </c>
      <c r="C599">
        <v>20150316</v>
      </c>
      <c r="D599">
        <v>0</v>
      </c>
      <c r="F599">
        <v>62500</v>
      </c>
      <c r="G599" t="s">
        <v>17</v>
      </c>
      <c r="I599" t="s">
        <v>16</v>
      </c>
      <c r="J599" t="s">
        <v>181</v>
      </c>
      <c r="K599" t="s">
        <v>25</v>
      </c>
      <c r="L599">
        <v>132757294</v>
      </c>
      <c r="R599">
        <v>1375</v>
      </c>
      <c r="S599" t="s">
        <v>214</v>
      </c>
      <c r="T599">
        <v>0</v>
      </c>
      <c r="U599">
        <v>36</v>
      </c>
      <c r="V599">
        <v>0</v>
      </c>
      <c r="W599">
        <v>0</v>
      </c>
      <c r="X599">
        <v>0</v>
      </c>
    </row>
    <row r="600" spans="1:24" x14ac:dyDescent="0.25">
      <c r="A600" t="s">
        <v>15</v>
      </c>
      <c r="B600" t="s">
        <v>24</v>
      </c>
      <c r="C600">
        <v>20150316</v>
      </c>
      <c r="D600">
        <v>0</v>
      </c>
      <c r="F600">
        <v>62500</v>
      </c>
      <c r="G600" t="s">
        <v>17</v>
      </c>
      <c r="I600" t="s">
        <v>16</v>
      </c>
      <c r="J600" t="s">
        <v>181</v>
      </c>
      <c r="K600" t="s">
        <v>25</v>
      </c>
      <c r="L600">
        <v>132757294</v>
      </c>
      <c r="R600">
        <v>1373</v>
      </c>
      <c r="S600" t="s">
        <v>196</v>
      </c>
      <c r="T600">
        <v>0</v>
      </c>
      <c r="U600">
        <v>33</v>
      </c>
      <c r="V600">
        <v>0</v>
      </c>
      <c r="W600">
        <v>0</v>
      </c>
      <c r="X600">
        <v>0</v>
      </c>
    </row>
    <row r="601" spans="1:24" x14ac:dyDescent="0.25">
      <c r="A601" t="s">
        <v>15</v>
      </c>
      <c r="B601" t="s">
        <v>24</v>
      </c>
      <c r="C601">
        <v>20150316</v>
      </c>
      <c r="D601">
        <v>0</v>
      </c>
      <c r="F601">
        <v>62500</v>
      </c>
      <c r="G601" t="s">
        <v>17</v>
      </c>
      <c r="I601" t="s">
        <v>16</v>
      </c>
      <c r="J601" t="s">
        <v>181</v>
      </c>
      <c r="K601" t="s">
        <v>25</v>
      </c>
      <c r="L601">
        <v>132757294</v>
      </c>
      <c r="R601">
        <v>1373</v>
      </c>
      <c r="S601" t="s">
        <v>201</v>
      </c>
      <c r="T601">
        <v>0</v>
      </c>
      <c r="U601">
        <v>33</v>
      </c>
      <c r="V601">
        <v>0</v>
      </c>
      <c r="W601">
        <v>0</v>
      </c>
      <c r="X601">
        <v>0</v>
      </c>
    </row>
    <row r="602" spans="1:24" x14ac:dyDescent="0.25">
      <c r="A602" t="s">
        <v>15</v>
      </c>
      <c r="B602" t="s">
        <v>24</v>
      </c>
      <c r="C602">
        <v>20150316</v>
      </c>
      <c r="D602">
        <v>0</v>
      </c>
      <c r="F602">
        <v>62500</v>
      </c>
      <c r="G602" t="s">
        <v>17</v>
      </c>
      <c r="I602" t="s">
        <v>16</v>
      </c>
      <c r="J602" t="s">
        <v>181</v>
      </c>
      <c r="K602" t="s">
        <v>25</v>
      </c>
      <c r="L602">
        <v>132757294</v>
      </c>
      <c r="R602">
        <v>1375</v>
      </c>
      <c r="S602" t="s">
        <v>214</v>
      </c>
      <c r="T602">
        <v>0</v>
      </c>
      <c r="U602">
        <v>36</v>
      </c>
      <c r="V602">
        <v>0</v>
      </c>
      <c r="W602">
        <v>0</v>
      </c>
      <c r="X602">
        <v>0</v>
      </c>
    </row>
    <row r="603" spans="1:24" x14ac:dyDescent="0.25">
      <c r="A603" t="s">
        <v>15</v>
      </c>
      <c r="B603" t="s">
        <v>24</v>
      </c>
      <c r="C603">
        <v>20150316</v>
      </c>
      <c r="D603">
        <v>0</v>
      </c>
      <c r="F603">
        <v>62500</v>
      </c>
      <c r="G603" t="s">
        <v>17</v>
      </c>
      <c r="I603" t="s">
        <v>16</v>
      </c>
      <c r="J603" t="s">
        <v>181</v>
      </c>
      <c r="K603" t="s">
        <v>25</v>
      </c>
      <c r="L603">
        <v>132757294</v>
      </c>
      <c r="R603">
        <v>1375</v>
      </c>
      <c r="S603" t="s">
        <v>194</v>
      </c>
      <c r="T603">
        <v>0</v>
      </c>
      <c r="U603">
        <v>36</v>
      </c>
      <c r="V603">
        <v>0</v>
      </c>
      <c r="W603">
        <v>0</v>
      </c>
      <c r="X603">
        <v>0</v>
      </c>
    </row>
    <row r="604" spans="1:24" x14ac:dyDescent="0.25">
      <c r="A604" t="s">
        <v>15</v>
      </c>
      <c r="B604" t="s">
        <v>24</v>
      </c>
      <c r="C604">
        <v>20150316</v>
      </c>
      <c r="D604">
        <v>0</v>
      </c>
      <c r="F604">
        <v>62500</v>
      </c>
      <c r="G604" t="s">
        <v>17</v>
      </c>
      <c r="I604" t="s">
        <v>16</v>
      </c>
      <c r="J604" t="s">
        <v>181</v>
      </c>
      <c r="K604" t="s">
        <v>25</v>
      </c>
      <c r="L604">
        <v>132757294</v>
      </c>
      <c r="R604">
        <v>1374</v>
      </c>
      <c r="S604" t="s">
        <v>196</v>
      </c>
      <c r="T604">
        <v>0</v>
      </c>
      <c r="U604">
        <v>33</v>
      </c>
      <c r="V604">
        <v>0</v>
      </c>
      <c r="W604">
        <v>0</v>
      </c>
      <c r="X604">
        <v>0</v>
      </c>
    </row>
    <row r="605" spans="1:24" x14ac:dyDescent="0.25">
      <c r="A605" t="s">
        <v>15</v>
      </c>
      <c r="B605" t="s">
        <v>24</v>
      </c>
      <c r="C605">
        <v>20150316</v>
      </c>
      <c r="D605">
        <v>0</v>
      </c>
      <c r="F605">
        <v>62500</v>
      </c>
      <c r="G605" t="s">
        <v>17</v>
      </c>
      <c r="I605" t="s">
        <v>16</v>
      </c>
      <c r="J605" t="s">
        <v>181</v>
      </c>
      <c r="K605" t="s">
        <v>25</v>
      </c>
      <c r="L605">
        <v>132757294</v>
      </c>
      <c r="R605">
        <v>1374</v>
      </c>
      <c r="S605" t="s">
        <v>201</v>
      </c>
      <c r="T605">
        <v>0</v>
      </c>
      <c r="U605">
        <v>33</v>
      </c>
      <c r="V605">
        <v>0</v>
      </c>
      <c r="W605">
        <v>0</v>
      </c>
      <c r="X605">
        <v>0</v>
      </c>
    </row>
    <row r="606" spans="1:24" x14ac:dyDescent="0.25">
      <c r="A606" t="s">
        <v>15</v>
      </c>
      <c r="B606" t="s">
        <v>24</v>
      </c>
      <c r="C606">
        <v>20150316</v>
      </c>
      <c r="D606">
        <v>0</v>
      </c>
      <c r="F606">
        <v>62500</v>
      </c>
      <c r="G606" t="s">
        <v>17</v>
      </c>
      <c r="I606" t="s">
        <v>16</v>
      </c>
      <c r="J606" t="s">
        <v>181</v>
      </c>
      <c r="K606" t="s">
        <v>25</v>
      </c>
      <c r="L606">
        <v>132757294</v>
      </c>
      <c r="R606">
        <v>1375</v>
      </c>
      <c r="S606" t="s">
        <v>194</v>
      </c>
      <c r="T606">
        <v>0</v>
      </c>
      <c r="U606">
        <v>36</v>
      </c>
      <c r="V606">
        <v>0</v>
      </c>
      <c r="W606">
        <v>0</v>
      </c>
      <c r="X606">
        <v>0</v>
      </c>
    </row>
    <row r="607" spans="1:24" x14ac:dyDescent="0.25">
      <c r="A607" t="s">
        <v>15</v>
      </c>
      <c r="B607" t="s">
        <v>24</v>
      </c>
      <c r="C607">
        <v>20150316</v>
      </c>
      <c r="D607">
        <v>0</v>
      </c>
      <c r="F607">
        <v>62500</v>
      </c>
      <c r="G607" t="s">
        <v>17</v>
      </c>
      <c r="I607" t="s">
        <v>16</v>
      </c>
      <c r="J607" t="s">
        <v>181</v>
      </c>
      <c r="K607" t="s">
        <v>25</v>
      </c>
      <c r="L607">
        <v>132757294</v>
      </c>
      <c r="R607">
        <v>1375</v>
      </c>
      <c r="S607" t="s">
        <v>194</v>
      </c>
      <c r="T607">
        <v>0</v>
      </c>
      <c r="U607">
        <v>36</v>
      </c>
      <c r="V607">
        <v>0</v>
      </c>
      <c r="W607">
        <v>0</v>
      </c>
      <c r="X607">
        <v>0</v>
      </c>
    </row>
    <row r="608" spans="1:24" x14ac:dyDescent="0.25">
      <c r="A608" t="s">
        <v>15</v>
      </c>
      <c r="B608" t="s">
        <v>24</v>
      </c>
      <c r="C608">
        <v>20150316</v>
      </c>
      <c r="D608">
        <v>0</v>
      </c>
      <c r="F608">
        <v>62500</v>
      </c>
      <c r="G608" t="s">
        <v>17</v>
      </c>
      <c r="I608" t="s">
        <v>16</v>
      </c>
      <c r="J608" t="s">
        <v>181</v>
      </c>
      <c r="K608" t="s">
        <v>25</v>
      </c>
      <c r="L608">
        <v>132757294</v>
      </c>
      <c r="R608">
        <v>1376</v>
      </c>
      <c r="S608" t="s">
        <v>214</v>
      </c>
      <c r="T608">
        <v>0</v>
      </c>
      <c r="U608">
        <v>38</v>
      </c>
      <c r="V608">
        <v>0</v>
      </c>
      <c r="W608">
        <v>0</v>
      </c>
      <c r="X608">
        <v>0</v>
      </c>
    </row>
    <row r="609" spans="1:24" x14ac:dyDescent="0.25">
      <c r="A609" t="s">
        <v>15</v>
      </c>
      <c r="B609" t="s">
        <v>24</v>
      </c>
      <c r="C609">
        <v>20150316</v>
      </c>
      <c r="D609">
        <v>0</v>
      </c>
      <c r="F609">
        <v>62500</v>
      </c>
      <c r="G609" t="s">
        <v>17</v>
      </c>
      <c r="I609" t="s">
        <v>16</v>
      </c>
      <c r="J609" t="s">
        <v>181</v>
      </c>
      <c r="K609" t="s">
        <v>25</v>
      </c>
      <c r="L609">
        <v>132757294</v>
      </c>
      <c r="R609">
        <v>1377</v>
      </c>
      <c r="S609" t="s">
        <v>214</v>
      </c>
      <c r="T609">
        <v>0</v>
      </c>
      <c r="U609">
        <v>-38</v>
      </c>
      <c r="V609">
        <v>0</v>
      </c>
      <c r="W609">
        <v>0</v>
      </c>
      <c r="X609">
        <v>0</v>
      </c>
    </row>
    <row r="610" spans="1:24" x14ac:dyDescent="0.25">
      <c r="A610" t="s">
        <v>15</v>
      </c>
      <c r="B610" t="s">
        <v>24</v>
      </c>
      <c r="C610">
        <v>20150316</v>
      </c>
      <c r="D610">
        <v>0</v>
      </c>
      <c r="F610">
        <v>62500</v>
      </c>
      <c r="G610" t="s">
        <v>17</v>
      </c>
      <c r="I610" t="s">
        <v>16</v>
      </c>
      <c r="J610" t="s">
        <v>181</v>
      </c>
      <c r="K610" t="s">
        <v>25</v>
      </c>
      <c r="L610">
        <v>132757294</v>
      </c>
      <c r="R610">
        <v>1375</v>
      </c>
      <c r="S610" t="s">
        <v>196</v>
      </c>
      <c r="T610">
        <v>0</v>
      </c>
      <c r="U610">
        <v>36</v>
      </c>
      <c r="V610">
        <v>0</v>
      </c>
      <c r="W610">
        <v>0</v>
      </c>
      <c r="X610">
        <v>0</v>
      </c>
    </row>
    <row r="611" spans="1:24" x14ac:dyDescent="0.25">
      <c r="A611" t="s">
        <v>15</v>
      </c>
      <c r="B611" t="s">
        <v>24</v>
      </c>
      <c r="C611">
        <v>20150316</v>
      </c>
      <c r="D611">
        <v>0</v>
      </c>
      <c r="F611">
        <v>62500</v>
      </c>
      <c r="G611" t="s">
        <v>17</v>
      </c>
      <c r="I611" t="s">
        <v>16</v>
      </c>
      <c r="J611" t="s">
        <v>181</v>
      </c>
      <c r="K611" t="s">
        <v>25</v>
      </c>
      <c r="L611">
        <v>132757294</v>
      </c>
      <c r="R611">
        <v>1375</v>
      </c>
      <c r="S611" t="s">
        <v>201</v>
      </c>
      <c r="T611">
        <v>0</v>
      </c>
      <c r="U611">
        <v>36</v>
      </c>
      <c r="V611">
        <v>0</v>
      </c>
      <c r="W611">
        <v>0</v>
      </c>
      <c r="X611">
        <v>0</v>
      </c>
    </row>
    <row r="612" spans="1:24" x14ac:dyDescent="0.25">
      <c r="A612" t="s">
        <v>15</v>
      </c>
      <c r="B612" t="s">
        <v>24</v>
      </c>
      <c r="C612">
        <v>20150316</v>
      </c>
      <c r="D612">
        <v>0</v>
      </c>
      <c r="F612">
        <v>62500</v>
      </c>
      <c r="G612" t="s">
        <v>17</v>
      </c>
      <c r="I612" t="s">
        <v>16</v>
      </c>
      <c r="J612" t="s">
        <v>181</v>
      </c>
      <c r="K612" t="s">
        <v>25</v>
      </c>
      <c r="L612">
        <v>132757294</v>
      </c>
      <c r="R612">
        <v>1376</v>
      </c>
      <c r="S612" t="s">
        <v>214</v>
      </c>
      <c r="T612">
        <v>0</v>
      </c>
      <c r="U612">
        <v>38</v>
      </c>
      <c r="V612">
        <v>0</v>
      </c>
      <c r="W612">
        <v>0</v>
      </c>
      <c r="X612">
        <v>0</v>
      </c>
    </row>
    <row r="613" spans="1:24" x14ac:dyDescent="0.25">
      <c r="A613" t="s">
        <v>15</v>
      </c>
      <c r="B613" t="s">
        <v>24</v>
      </c>
      <c r="C613">
        <v>20150316</v>
      </c>
      <c r="D613">
        <v>0</v>
      </c>
      <c r="F613">
        <v>62500</v>
      </c>
      <c r="G613" t="s">
        <v>17</v>
      </c>
      <c r="I613" t="s">
        <v>16</v>
      </c>
      <c r="J613" t="s">
        <v>181</v>
      </c>
      <c r="K613" t="s">
        <v>25</v>
      </c>
      <c r="L613">
        <v>132757294</v>
      </c>
      <c r="R613">
        <v>1376</v>
      </c>
      <c r="S613" t="s">
        <v>194</v>
      </c>
      <c r="T613">
        <v>0</v>
      </c>
      <c r="U613">
        <v>38</v>
      </c>
      <c r="V613">
        <v>0</v>
      </c>
      <c r="W613">
        <v>0</v>
      </c>
      <c r="X613">
        <v>0</v>
      </c>
    </row>
    <row r="614" spans="1:24" x14ac:dyDescent="0.25">
      <c r="A614" t="s">
        <v>15</v>
      </c>
      <c r="B614" t="s">
        <v>24</v>
      </c>
      <c r="C614">
        <v>20150316</v>
      </c>
      <c r="D614">
        <v>0</v>
      </c>
      <c r="F614">
        <v>62500</v>
      </c>
      <c r="G614" t="s">
        <v>17</v>
      </c>
      <c r="I614" t="s">
        <v>16</v>
      </c>
      <c r="J614" t="s">
        <v>181</v>
      </c>
      <c r="K614" t="s">
        <v>25</v>
      </c>
      <c r="L614">
        <v>132757294</v>
      </c>
      <c r="R614">
        <v>1376</v>
      </c>
      <c r="S614" t="s">
        <v>194</v>
      </c>
      <c r="T614">
        <v>0</v>
      </c>
      <c r="U614">
        <v>38</v>
      </c>
      <c r="V614">
        <v>0</v>
      </c>
      <c r="W614">
        <v>0</v>
      </c>
      <c r="X614">
        <v>0</v>
      </c>
    </row>
    <row r="615" spans="1:24" x14ac:dyDescent="0.25">
      <c r="A615" t="s">
        <v>15</v>
      </c>
      <c r="B615" t="s">
        <v>24</v>
      </c>
      <c r="C615">
        <v>20150316</v>
      </c>
      <c r="D615">
        <v>0</v>
      </c>
      <c r="F615">
        <v>62500</v>
      </c>
      <c r="G615" t="s">
        <v>17</v>
      </c>
      <c r="I615" t="s">
        <v>16</v>
      </c>
      <c r="J615" t="s">
        <v>181</v>
      </c>
      <c r="K615" t="s">
        <v>25</v>
      </c>
      <c r="L615">
        <v>132757294</v>
      </c>
      <c r="R615">
        <v>1376</v>
      </c>
      <c r="S615" t="s">
        <v>194</v>
      </c>
      <c r="T615">
        <v>0</v>
      </c>
      <c r="U615">
        <v>38</v>
      </c>
      <c r="V615">
        <v>0</v>
      </c>
      <c r="W615">
        <v>0</v>
      </c>
      <c r="X615">
        <v>0</v>
      </c>
    </row>
    <row r="616" spans="1:24" x14ac:dyDescent="0.25">
      <c r="A616" t="s">
        <v>15</v>
      </c>
      <c r="B616" t="s">
        <v>24</v>
      </c>
      <c r="C616">
        <v>20150316</v>
      </c>
      <c r="D616">
        <v>0</v>
      </c>
      <c r="F616">
        <v>62500</v>
      </c>
      <c r="G616" t="s">
        <v>17</v>
      </c>
      <c r="I616" t="s">
        <v>16</v>
      </c>
      <c r="J616" t="s">
        <v>181</v>
      </c>
      <c r="K616" t="s">
        <v>25</v>
      </c>
      <c r="L616">
        <v>132757294</v>
      </c>
      <c r="R616">
        <v>1377</v>
      </c>
      <c r="S616" t="s">
        <v>214</v>
      </c>
      <c r="T616">
        <v>0</v>
      </c>
      <c r="U616">
        <v>-38</v>
      </c>
      <c r="V616">
        <v>0</v>
      </c>
      <c r="W616">
        <v>0</v>
      </c>
      <c r="X616">
        <v>0</v>
      </c>
    </row>
    <row r="617" spans="1:24" x14ac:dyDescent="0.25">
      <c r="A617" t="s">
        <v>15</v>
      </c>
      <c r="B617" t="s">
        <v>24</v>
      </c>
      <c r="C617">
        <v>20150316</v>
      </c>
      <c r="D617">
        <v>0</v>
      </c>
      <c r="F617">
        <v>62500</v>
      </c>
      <c r="G617" t="s">
        <v>17</v>
      </c>
      <c r="I617" t="s">
        <v>16</v>
      </c>
      <c r="J617" t="s">
        <v>181</v>
      </c>
      <c r="K617" t="s">
        <v>25</v>
      </c>
      <c r="L617">
        <v>132757294</v>
      </c>
      <c r="R617">
        <v>1377</v>
      </c>
      <c r="S617" t="s">
        <v>194</v>
      </c>
      <c r="T617">
        <v>0</v>
      </c>
      <c r="U617">
        <v>38</v>
      </c>
      <c r="V617">
        <v>0</v>
      </c>
      <c r="W617">
        <v>0</v>
      </c>
      <c r="X617">
        <v>0</v>
      </c>
    </row>
    <row r="618" spans="1:24" x14ac:dyDescent="0.25">
      <c r="A618" t="s">
        <v>15</v>
      </c>
      <c r="B618" t="s">
        <v>24</v>
      </c>
      <c r="C618">
        <v>20150316</v>
      </c>
      <c r="D618">
        <v>0</v>
      </c>
      <c r="F618">
        <v>62500</v>
      </c>
      <c r="G618" t="s">
        <v>17</v>
      </c>
      <c r="I618" t="s">
        <v>16</v>
      </c>
      <c r="J618" t="s">
        <v>181</v>
      </c>
      <c r="K618" t="s">
        <v>25</v>
      </c>
      <c r="L618">
        <v>132757294</v>
      </c>
      <c r="R618">
        <v>1377</v>
      </c>
      <c r="S618" t="s">
        <v>194</v>
      </c>
      <c r="T618">
        <v>0</v>
      </c>
      <c r="U618">
        <v>38</v>
      </c>
      <c r="V618">
        <v>0</v>
      </c>
      <c r="W618">
        <v>0</v>
      </c>
      <c r="X618">
        <v>0</v>
      </c>
    </row>
    <row r="619" spans="1:24" x14ac:dyDescent="0.25">
      <c r="A619" t="s">
        <v>15</v>
      </c>
      <c r="B619" t="s">
        <v>24</v>
      </c>
      <c r="C619">
        <v>20150316</v>
      </c>
      <c r="D619">
        <v>0</v>
      </c>
      <c r="F619">
        <v>62500</v>
      </c>
      <c r="G619" t="s">
        <v>17</v>
      </c>
      <c r="I619" t="s">
        <v>16</v>
      </c>
      <c r="J619" t="s">
        <v>181</v>
      </c>
      <c r="K619" t="s">
        <v>25</v>
      </c>
      <c r="L619">
        <v>132757294</v>
      </c>
      <c r="R619">
        <v>1377</v>
      </c>
      <c r="S619" t="s">
        <v>194</v>
      </c>
      <c r="T619">
        <v>0</v>
      </c>
      <c r="U619">
        <v>38</v>
      </c>
      <c r="V619">
        <v>0</v>
      </c>
      <c r="W619">
        <v>0</v>
      </c>
      <c r="X619">
        <v>0</v>
      </c>
    </row>
    <row r="620" spans="1:24" x14ac:dyDescent="0.25">
      <c r="A620" t="s">
        <v>15</v>
      </c>
      <c r="B620" t="s">
        <v>24</v>
      </c>
      <c r="C620">
        <v>20150316</v>
      </c>
      <c r="D620">
        <v>0</v>
      </c>
      <c r="F620">
        <v>62500</v>
      </c>
      <c r="G620" t="s">
        <v>17</v>
      </c>
      <c r="I620" t="s">
        <v>16</v>
      </c>
      <c r="J620" t="s">
        <v>181</v>
      </c>
      <c r="K620" t="s">
        <v>25</v>
      </c>
      <c r="L620">
        <v>132757294</v>
      </c>
      <c r="R620">
        <v>1378</v>
      </c>
      <c r="S620" t="s">
        <v>214</v>
      </c>
      <c r="T620">
        <v>0</v>
      </c>
      <c r="U620">
        <v>36</v>
      </c>
      <c r="V620">
        <v>0</v>
      </c>
      <c r="W620">
        <v>0</v>
      </c>
      <c r="X620">
        <v>0</v>
      </c>
    </row>
    <row r="621" spans="1:24" x14ac:dyDescent="0.25">
      <c r="A621" t="s">
        <v>15</v>
      </c>
      <c r="B621" t="s">
        <v>24</v>
      </c>
      <c r="C621">
        <v>20150316</v>
      </c>
      <c r="D621">
        <v>0</v>
      </c>
      <c r="F621">
        <v>62500</v>
      </c>
      <c r="G621" t="s">
        <v>17</v>
      </c>
      <c r="I621" t="s">
        <v>16</v>
      </c>
      <c r="J621" t="s">
        <v>181</v>
      </c>
      <c r="K621" t="s">
        <v>25</v>
      </c>
      <c r="L621">
        <v>132757294</v>
      </c>
      <c r="R621">
        <v>1376</v>
      </c>
      <c r="S621" t="s">
        <v>196</v>
      </c>
      <c r="T621">
        <v>0</v>
      </c>
      <c r="U621">
        <v>38</v>
      </c>
      <c r="V621">
        <v>0</v>
      </c>
      <c r="W621">
        <v>0</v>
      </c>
      <c r="X621">
        <v>0</v>
      </c>
    </row>
    <row r="622" spans="1:24" x14ac:dyDescent="0.25">
      <c r="A622" t="s">
        <v>15</v>
      </c>
      <c r="B622" t="s">
        <v>24</v>
      </c>
      <c r="C622">
        <v>20150316</v>
      </c>
      <c r="D622">
        <v>0</v>
      </c>
      <c r="F622">
        <v>62500</v>
      </c>
      <c r="G622" t="s">
        <v>17</v>
      </c>
      <c r="I622" t="s">
        <v>16</v>
      </c>
      <c r="J622" t="s">
        <v>181</v>
      </c>
      <c r="K622" t="s">
        <v>25</v>
      </c>
      <c r="L622">
        <v>132757294</v>
      </c>
      <c r="R622">
        <v>1376</v>
      </c>
      <c r="S622" t="s">
        <v>201</v>
      </c>
      <c r="T622">
        <v>0</v>
      </c>
      <c r="U622">
        <v>38</v>
      </c>
      <c r="V622">
        <v>0</v>
      </c>
      <c r="W622">
        <v>0</v>
      </c>
      <c r="X622">
        <v>0</v>
      </c>
    </row>
    <row r="623" spans="1:24" x14ac:dyDescent="0.25">
      <c r="A623" t="s">
        <v>15</v>
      </c>
      <c r="B623" t="s">
        <v>24</v>
      </c>
      <c r="C623">
        <v>20150316</v>
      </c>
      <c r="D623">
        <v>0</v>
      </c>
      <c r="F623">
        <v>62500</v>
      </c>
      <c r="G623" t="s">
        <v>17</v>
      </c>
      <c r="I623" t="s">
        <v>16</v>
      </c>
      <c r="J623" t="s">
        <v>181</v>
      </c>
      <c r="K623" t="s">
        <v>25</v>
      </c>
      <c r="L623">
        <v>132757294</v>
      </c>
      <c r="R623">
        <v>1379</v>
      </c>
      <c r="S623" t="s">
        <v>214</v>
      </c>
      <c r="T623">
        <v>0</v>
      </c>
      <c r="U623">
        <v>-36</v>
      </c>
      <c r="V623">
        <v>0</v>
      </c>
      <c r="W623">
        <v>0</v>
      </c>
      <c r="X623">
        <v>0</v>
      </c>
    </row>
    <row r="624" spans="1:24" x14ac:dyDescent="0.25">
      <c r="A624" t="s">
        <v>15</v>
      </c>
      <c r="B624" t="s">
        <v>24</v>
      </c>
      <c r="C624">
        <v>20150316</v>
      </c>
      <c r="D624">
        <v>0</v>
      </c>
      <c r="F624">
        <v>62500</v>
      </c>
      <c r="G624" t="s">
        <v>17</v>
      </c>
      <c r="I624" t="s">
        <v>16</v>
      </c>
      <c r="J624" t="s">
        <v>181</v>
      </c>
      <c r="K624" t="s">
        <v>25</v>
      </c>
      <c r="L624">
        <v>132757294</v>
      </c>
      <c r="R624">
        <v>1378</v>
      </c>
      <c r="S624" t="s">
        <v>214</v>
      </c>
      <c r="T624">
        <v>0</v>
      </c>
      <c r="U624">
        <v>36</v>
      </c>
      <c r="V624">
        <v>0</v>
      </c>
      <c r="W624">
        <v>0</v>
      </c>
      <c r="X624">
        <v>0</v>
      </c>
    </row>
    <row r="625" spans="1:24" x14ac:dyDescent="0.25">
      <c r="A625" t="s">
        <v>15</v>
      </c>
      <c r="B625" t="s">
        <v>24</v>
      </c>
      <c r="C625">
        <v>20150316</v>
      </c>
      <c r="D625">
        <v>0</v>
      </c>
      <c r="F625">
        <v>62500</v>
      </c>
      <c r="G625" t="s">
        <v>17</v>
      </c>
      <c r="I625" t="s">
        <v>16</v>
      </c>
      <c r="J625" t="s">
        <v>181</v>
      </c>
      <c r="K625" t="s">
        <v>25</v>
      </c>
      <c r="L625">
        <v>132757294</v>
      </c>
      <c r="R625">
        <v>1378</v>
      </c>
      <c r="S625" t="s">
        <v>194</v>
      </c>
      <c r="T625">
        <v>0</v>
      </c>
      <c r="U625">
        <v>36</v>
      </c>
      <c r="V625">
        <v>0</v>
      </c>
      <c r="W625">
        <v>0</v>
      </c>
      <c r="X625">
        <v>0</v>
      </c>
    </row>
    <row r="626" spans="1:24" x14ac:dyDescent="0.25">
      <c r="A626" t="s">
        <v>15</v>
      </c>
      <c r="B626" t="s">
        <v>24</v>
      </c>
      <c r="C626">
        <v>20150316</v>
      </c>
      <c r="D626">
        <v>0</v>
      </c>
      <c r="F626">
        <v>62500</v>
      </c>
      <c r="G626" t="s">
        <v>17</v>
      </c>
      <c r="I626" t="s">
        <v>16</v>
      </c>
      <c r="J626" t="s">
        <v>181</v>
      </c>
      <c r="K626" t="s">
        <v>25</v>
      </c>
      <c r="L626">
        <v>132757294</v>
      </c>
      <c r="R626">
        <v>1377</v>
      </c>
      <c r="S626" t="s">
        <v>196</v>
      </c>
      <c r="T626">
        <v>0</v>
      </c>
      <c r="U626">
        <v>38</v>
      </c>
      <c r="V626">
        <v>0</v>
      </c>
      <c r="W626">
        <v>0</v>
      </c>
      <c r="X626">
        <v>0</v>
      </c>
    </row>
    <row r="627" spans="1:24" x14ac:dyDescent="0.25">
      <c r="A627" t="s">
        <v>15</v>
      </c>
      <c r="B627" t="s">
        <v>24</v>
      </c>
      <c r="C627">
        <v>20150316</v>
      </c>
      <c r="D627">
        <v>0</v>
      </c>
      <c r="F627">
        <v>62500</v>
      </c>
      <c r="G627" t="s">
        <v>17</v>
      </c>
      <c r="I627" t="s">
        <v>16</v>
      </c>
      <c r="J627" t="s">
        <v>181</v>
      </c>
      <c r="K627" t="s">
        <v>25</v>
      </c>
      <c r="L627">
        <v>132757294</v>
      </c>
      <c r="R627">
        <v>1377</v>
      </c>
      <c r="S627" t="s">
        <v>201</v>
      </c>
      <c r="T627">
        <v>0</v>
      </c>
      <c r="U627">
        <v>38</v>
      </c>
      <c r="V627">
        <v>0</v>
      </c>
      <c r="W627">
        <v>0</v>
      </c>
      <c r="X627">
        <v>0</v>
      </c>
    </row>
    <row r="628" spans="1:24" x14ac:dyDescent="0.25">
      <c r="A628" t="s">
        <v>15</v>
      </c>
      <c r="B628" t="s">
        <v>24</v>
      </c>
      <c r="C628">
        <v>20150316</v>
      </c>
      <c r="D628">
        <v>0</v>
      </c>
      <c r="F628">
        <v>62500</v>
      </c>
      <c r="G628" t="s">
        <v>17</v>
      </c>
      <c r="I628" t="s">
        <v>16</v>
      </c>
      <c r="J628" t="s">
        <v>181</v>
      </c>
      <c r="K628" t="s">
        <v>25</v>
      </c>
      <c r="L628">
        <v>132757294</v>
      </c>
      <c r="R628">
        <v>1378</v>
      </c>
      <c r="S628" t="s">
        <v>194</v>
      </c>
      <c r="T628">
        <v>0</v>
      </c>
      <c r="U628">
        <v>36</v>
      </c>
      <c r="V628">
        <v>0</v>
      </c>
      <c r="W628">
        <v>0</v>
      </c>
      <c r="X628">
        <v>0</v>
      </c>
    </row>
    <row r="629" spans="1:24" x14ac:dyDescent="0.25">
      <c r="A629" t="s">
        <v>15</v>
      </c>
      <c r="B629" t="s">
        <v>24</v>
      </c>
      <c r="C629">
        <v>20150316</v>
      </c>
      <c r="D629">
        <v>0</v>
      </c>
      <c r="F629">
        <v>62500</v>
      </c>
      <c r="G629" t="s">
        <v>17</v>
      </c>
      <c r="I629" t="s">
        <v>16</v>
      </c>
      <c r="J629" t="s">
        <v>181</v>
      </c>
      <c r="K629" t="s">
        <v>25</v>
      </c>
      <c r="L629">
        <v>132757294</v>
      </c>
      <c r="R629">
        <v>1378</v>
      </c>
      <c r="S629" t="s">
        <v>194</v>
      </c>
      <c r="T629">
        <v>0</v>
      </c>
      <c r="U629">
        <v>36</v>
      </c>
      <c r="V629">
        <v>0</v>
      </c>
      <c r="W629">
        <v>0</v>
      </c>
      <c r="X629">
        <v>0</v>
      </c>
    </row>
    <row r="630" spans="1:24" x14ac:dyDescent="0.25">
      <c r="A630" t="s">
        <v>15</v>
      </c>
      <c r="B630" t="s">
        <v>24</v>
      </c>
      <c r="C630">
        <v>20150316</v>
      </c>
      <c r="D630">
        <v>0</v>
      </c>
      <c r="F630">
        <v>62500</v>
      </c>
      <c r="G630" t="s">
        <v>17</v>
      </c>
      <c r="I630" t="s">
        <v>16</v>
      </c>
      <c r="J630" t="s">
        <v>181</v>
      </c>
      <c r="K630" t="s">
        <v>25</v>
      </c>
      <c r="L630">
        <v>132757294</v>
      </c>
      <c r="R630">
        <v>1379</v>
      </c>
      <c r="S630" t="s">
        <v>214</v>
      </c>
      <c r="T630">
        <v>0</v>
      </c>
      <c r="U630">
        <v>-36</v>
      </c>
      <c r="V630">
        <v>0</v>
      </c>
      <c r="W630">
        <v>0</v>
      </c>
      <c r="X630">
        <v>0</v>
      </c>
    </row>
    <row r="631" spans="1:24" x14ac:dyDescent="0.25">
      <c r="A631" t="s">
        <v>15</v>
      </c>
      <c r="B631" t="s">
        <v>24</v>
      </c>
      <c r="C631">
        <v>20150316</v>
      </c>
      <c r="D631">
        <v>0</v>
      </c>
      <c r="F631">
        <v>62500</v>
      </c>
      <c r="G631" t="s">
        <v>17</v>
      </c>
      <c r="I631" t="s">
        <v>16</v>
      </c>
      <c r="J631" t="s">
        <v>181</v>
      </c>
      <c r="K631" t="s">
        <v>25</v>
      </c>
      <c r="L631">
        <v>132757294</v>
      </c>
      <c r="R631">
        <v>1379</v>
      </c>
      <c r="S631" t="s">
        <v>194</v>
      </c>
      <c r="T631">
        <v>0</v>
      </c>
      <c r="U631">
        <v>36</v>
      </c>
      <c r="V631">
        <v>0</v>
      </c>
      <c r="W631">
        <v>0</v>
      </c>
      <c r="X631">
        <v>0</v>
      </c>
    </row>
    <row r="632" spans="1:24" x14ac:dyDescent="0.25">
      <c r="A632" t="s">
        <v>15</v>
      </c>
      <c r="B632" t="s">
        <v>24</v>
      </c>
      <c r="C632">
        <v>20150316</v>
      </c>
      <c r="D632">
        <v>0</v>
      </c>
      <c r="F632">
        <v>62500</v>
      </c>
      <c r="G632" t="s">
        <v>17</v>
      </c>
      <c r="I632" t="s">
        <v>16</v>
      </c>
      <c r="J632" t="s">
        <v>181</v>
      </c>
      <c r="K632" t="s">
        <v>25</v>
      </c>
      <c r="L632">
        <v>132757294</v>
      </c>
      <c r="R632">
        <v>1379</v>
      </c>
      <c r="S632" t="s">
        <v>194</v>
      </c>
      <c r="T632">
        <v>0</v>
      </c>
      <c r="U632">
        <v>36</v>
      </c>
      <c r="V632">
        <v>0</v>
      </c>
      <c r="W632">
        <v>0</v>
      </c>
      <c r="X632">
        <v>0</v>
      </c>
    </row>
    <row r="633" spans="1:24" x14ac:dyDescent="0.25">
      <c r="A633" t="s">
        <v>15</v>
      </c>
      <c r="B633" t="s">
        <v>24</v>
      </c>
      <c r="C633">
        <v>20150316</v>
      </c>
      <c r="D633">
        <v>0</v>
      </c>
      <c r="F633">
        <v>62500</v>
      </c>
      <c r="G633" t="s">
        <v>17</v>
      </c>
      <c r="I633" t="s">
        <v>16</v>
      </c>
      <c r="J633" t="s">
        <v>181</v>
      </c>
      <c r="K633" t="s">
        <v>25</v>
      </c>
      <c r="L633">
        <v>132757294</v>
      </c>
      <c r="R633">
        <v>1379</v>
      </c>
      <c r="S633" t="s">
        <v>194</v>
      </c>
      <c r="T633">
        <v>0</v>
      </c>
      <c r="U633">
        <v>36</v>
      </c>
      <c r="V633">
        <v>0</v>
      </c>
      <c r="W633">
        <v>0</v>
      </c>
      <c r="X633">
        <v>0</v>
      </c>
    </row>
    <row r="634" spans="1:24" x14ac:dyDescent="0.25">
      <c r="A634" t="s">
        <v>15</v>
      </c>
      <c r="B634" t="s">
        <v>24</v>
      </c>
      <c r="C634">
        <v>20150316</v>
      </c>
      <c r="D634">
        <v>0</v>
      </c>
      <c r="F634">
        <v>62500</v>
      </c>
      <c r="G634" t="s">
        <v>17</v>
      </c>
      <c r="I634" t="s">
        <v>16</v>
      </c>
      <c r="J634" t="s">
        <v>181</v>
      </c>
      <c r="K634" t="s">
        <v>25</v>
      </c>
      <c r="L634">
        <v>132757294</v>
      </c>
      <c r="R634">
        <v>1380</v>
      </c>
      <c r="S634" t="s">
        <v>214</v>
      </c>
      <c r="T634">
        <v>0</v>
      </c>
      <c r="U634">
        <v>-35</v>
      </c>
      <c r="V634">
        <v>0</v>
      </c>
      <c r="W634">
        <v>0</v>
      </c>
      <c r="X634">
        <v>0</v>
      </c>
    </row>
    <row r="635" spans="1:24" x14ac:dyDescent="0.25">
      <c r="A635" t="s">
        <v>15</v>
      </c>
      <c r="B635" t="s">
        <v>24</v>
      </c>
      <c r="C635">
        <v>20150316</v>
      </c>
      <c r="D635">
        <v>0</v>
      </c>
      <c r="F635">
        <v>62500</v>
      </c>
      <c r="G635" t="s">
        <v>17</v>
      </c>
      <c r="I635" t="s">
        <v>16</v>
      </c>
      <c r="J635" t="s">
        <v>181</v>
      </c>
      <c r="K635" t="s">
        <v>25</v>
      </c>
      <c r="L635">
        <v>132757294</v>
      </c>
      <c r="R635">
        <v>1379</v>
      </c>
      <c r="S635" t="s">
        <v>196</v>
      </c>
      <c r="T635">
        <v>0</v>
      </c>
      <c r="U635">
        <v>36</v>
      </c>
      <c r="V635">
        <v>0</v>
      </c>
      <c r="W635">
        <v>0</v>
      </c>
      <c r="X635">
        <v>0</v>
      </c>
    </row>
    <row r="636" spans="1:24" x14ac:dyDescent="0.25">
      <c r="A636" t="s">
        <v>15</v>
      </c>
      <c r="B636" t="s">
        <v>24</v>
      </c>
      <c r="C636">
        <v>20150316</v>
      </c>
      <c r="D636">
        <v>0</v>
      </c>
      <c r="F636">
        <v>62500</v>
      </c>
      <c r="G636" t="s">
        <v>17</v>
      </c>
      <c r="I636" t="s">
        <v>16</v>
      </c>
      <c r="J636" t="s">
        <v>181</v>
      </c>
      <c r="K636" t="s">
        <v>25</v>
      </c>
      <c r="L636">
        <v>132757294</v>
      </c>
      <c r="R636">
        <v>1379</v>
      </c>
      <c r="S636" t="s">
        <v>201</v>
      </c>
      <c r="T636">
        <v>0</v>
      </c>
      <c r="U636">
        <v>36</v>
      </c>
      <c r="V636">
        <v>0</v>
      </c>
      <c r="W636">
        <v>0</v>
      </c>
      <c r="X636">
        <v>0</v>
      </c>
    </row>
    <row r="637" spans="1:24" x14ac:dyDescent="0.25">
      <c r="A637" t="s">
        <v>15</v>
      </c>
      <c r="B637" t="s">
        <v>24</v>
      </c>
      <c r="C637">
        <v>20150316</v>
      </c>
      <c r="D637">
        <v>0</v>
      </c>
      <c r="F637">
        <v>62500</v>
      </c>
      <c r="G637" t="s">
        <v>17</v>
      </c>
      <c r="I637" t="s">
        <v>16</v>
      </c>
      <c r="J637" t="s">
        <v>181</v>
      </c>
      <c r="K637" t="s">
        <v>25</v>
      </c>
      <c r="L637">
        <v>132757294</v>
      </c>
      <c r="R637">
        <v>1380</v>
      </c>
      <c r="S637" t="s">
        <v>214</v>
      </c>
      <c r="T637">
        <v>0</v>
      </c>
      <c r="U637">
        <v>-35</v>
      </c>
      <c r="V637">
        <v>0</v>
      </c>
      <c r="W637">
        <v>0</v>
      </c>
      <c r="X637">
        <v>0</v>
      </c>
    </row>
    <row r="638" spans="1:24" x14ac:dyDescent="0.25">
      <c r="A638" t="s">
        <v>15</v>
      </c>
      <c r="B638" t="s">
        <v>24</v>
      </c>
      <c r="C638">
        <v>20150316</v>
      </c>
      <c r="D638">
        <v>0</v>
      </c>
      <c r="F638">
        <v>62500</v>
      </c>
      <c r="G638" t="s">
        <v>17</v>
      </c>
      <c r="I638" t="s">
        <v>16</v>
      </c>
      <c r="J638" t="s">
        <v>181</v>
      </c>
      <c r="K638" t="s">
        <v>25</v>
      </c>
      <c r="L638">
        <v>132757294</v>
      </c>
      <c r="R638">
        <v>1380</v>
      </c>
      <c r="S638" t="s">
        <v>194</v>
      </c>
      <c r="T638">
        <v>0</v>
      </c>
      <c r="U638">
        <v>35</v>
      </c>
      <c r="V638">
        <v>0</v>
      </c>
      <c r="W638">
        <v>0</v>
      </c>
      <c r="X638">
        <v>0</v>
      </c>
    </row>
    <row r="639" spans="1:24" x14ac:dyDescent="0.25">
      <c r="A639" t="s">
        <v>15</v>
      </c>
      <c r="B639" t="s">
        <v>24</v>
      </c>
      <c r="C639">
        <v>20150316</v>
      </c>
      <c r="D639">
        <v>0</v>
      </c>
      <c r="F639">
        <v>62500</v>
      </c>
      <c r="G639" t="s">
        <v>17</v>
      </c>
      <c r="I639" t="s">
        <v>16</v>
      </c>
      <c r="J639" t="s">
        <v>181</v>
      </c>
      <c r="K639" t="s">
        <v>25</v>
      </c>
      <c r="L639">
        <v>132757294</v>
      </c>
      <c r="R639">
        <v>1380</v>
      </c>
      <c r="S639" t="s">
        <v>194</v>
      </c>
      <c r="T639">
        <v>0</v>
      </c>
      <c r="U639">
        <v>35</v>
      </c>
      <c r="V639">
        <v>0</v>
      </c>
      <c r="W639">
        <v>0</v>
      </c>
      <c r="X639">
        <v>0</v>
      </c>
    </row>
    <row r="640" spans="1:24" x14ac:dyDescent="0.25">
      <c r="A640" t="s">
        <v>15</v>
      </c>
      <c r="B640" t="s">
        <v>24</v>
      </c>
      <c r="C640">
        <v>20150316</v>
      </c>
      <c r="D640">
        <v>0</v>
      </c>
      <c r="F640">
        <v>62500</v>
      </c>
      <c r="G640" t="s">
        <v>17</v>
      </c>
      <c r="I640" t="s">
        <v>16</v>
      </c>
      <c r="J640" t="s">
        <v>181</v>
      </c>
      <c r="K640" t="s">
        <v>25</v>
      </c>
      <c r="L640">
        <v>132757294</v>
      </c>
      <c r="R640">
        <v>1380</v>
      </c>
      <c r="S640" t="s">
        <v>194</v>
      </c>
      <c r="T640">
        <v>0</v>
      </c>
      <c r="U640">
        <v>35</v>
      </c>
      <c r="V640">
        <v>0</v>
      </c>
      <c r="W640">
        <v>0</v>
      </c>
      <c r="X640">
        <v>0</v>
      </c>
    </row>
    <row r="641" spans="1:24" x14ac:dyDescent="0.25">
      <c r="A641" t="s">
        <v>15</v>
      </c>
      <c r="B641" t="s">
        <v>24</v>
      </c>
      <c r="C641">
        <v>20150316</v>
      </c>
      <c r="D641">
        <v>0</v>
      </c>
      <c r="F641">
        <v>62500</v>
      </c>
      <c r="G641" t="s">
        <v>17</v>
      </c>
      <c r="I641" t="s">
        <v>16</v>
      </c>
      <c r="J641" t="s">
        <v>181</v>
      </c>
      <c r="K641" t="s">
        <v>25</v>
      </c>
      <c r="L641">
        <v>132757294</v>
      </c>
      <c r="R641">
        <v>1381</v>
      </c>
      <c r="S641" t="s">
        <v>214</v>
      </c>
      <c r="T641">
        <v>0</v>
      </c>
      <c r="U641">
        <v>33</v>
      </c>
      <c r="V641">
        <v>0</v>
      </c>
      <c r="W641">
        <v>0</v>
      </c>
      <c r="X641">
        <v>0</v>
      </c>
    </row>
    <row r="642" spans="1:24" x14ac:dyDescent="0.25">
      <c r="A642" t="s">
        <v>15</v>
      </c>
      <c r="B642" t="s">
        <v>24</v>
      </c>
      <c r="C642">
        <v>20150316</v>
      </c>
      <c r="D642">
        <v>0</v>
      </c>
      <c r="F642">
        <v>62500</v>
      </c>
      <c r="G642" t="s">
        <v>17</v>
      </c>
      <c r="I642" t="s">
        <v>16</v>
      </c>
      <c r="J642" t="s">
        <v>181</v>
      </c>
      <c r="K642" t="s">
        <v>25</v>
      </c>
      <c r="L642">
        <v>132757294</v>
      </c>
      <c r="R642">
        <v>1378</v>
      </c>
      <c r="S642" t="s">
        <v>196</v>
      </c>
      <c r="T642">
        <v>0</v>
      </c>
      <c r="U642">
        <v>36</v>
      </c>
      <c r="V642">
        <v>0</v>
      </c>
      <c r="W642">
        <v>0</v>
      </c>
      <c r="X642">
        <v>0</v>
      </c>
    </row>
    <row r="643" spans="1:24" x14ac:dyDescent="0.25">
      <c r="A643" t="s">
        <v>15</v>
      </c>
      <c r="B643" t="s">
        <v>24</v>
      </c>
      <c r="C643">
        <v>20150316</v>
      </c>
      <c r="D643">
        <v>0</v>
      </c>
      <c r="F643">
        <v>62500</v>
      </c>
      <c r="G643" t="s">
        <v>17</v>
      </c>
      <c r="I643" t="s">
        <v>16</v>
      </c>
      <c r="J643" t="s">
        <v>181</v>
      </c>
      <c r="K643" t="s">
        <v>25</v>
      </c>
      <c r="L643">
        <v>132757294</v>
      </c>
      <c r="R643">
        <v>1378</v>
      </c>
      <c r="S643" t="s">
        <v>201</v>
      </c>
      <c r="T643">
        <v>0</v>
      </c>
      <c r="U643">
        <v>36</v>
      </c>
      <c r="V643">
        <v>0</v>
      </c>
      <c r="W643">
        <v>0</v>
      </c>
      <c r="X643">
        <v>0</v>
      </c>
    </row>
    <row r="644" spans="1:24" x14ac:dyDescent="0.25">
      <c r="A644" t="s">
        <v>15</v>
      </c>
      <c r="B644" t="s">
        <v>24</v>
      </c>
      <c r="C644">
        <v>20150316</v>
      </c>
      <c r="D644">
        <v>0</v>
      </c>
      <c r="F644">
        <v>62500</v>
      </c>
      <c r="G644" t="s">
        <v>17</v>
      </c>
      <c r="I644" t="s">
        <v>16</v>
      </c>
      <c r="J644" t="s">
        <v>181</v>
      </c>
      <c r="K644" t="s">
        <v>25</v>
      </c>
      <c r="L644">
        <v>132757294</v>
      </c>
      <c r="R644">
        <v>1381</v>
      </c>
      <c r="S644" t="s">
        <v>214</v>
      </c>
      <c r="T644">
        <v>0</v>
      </c>
      <c r="U644">
        <v>33</v>
      </c>
      <c r="V644">
        <v>0</v>
      </c>
      <c r="W644">
        <v>0</v>
      </c>
      <c r="X644">
        <v>0</v>
      </c>
    </row>
    <row r="645" spans="1:24" x14ac:dyDescent="0.25">
      <c r="A645" t="s">
        <v>15</v>
      </c>
      <c r="B645" t="s">
        <v>24</v>
      </c>
      <c r="C645">
        <v>20150316</v>
      </c>
      <c r="D645">
        <v>0</v>
      </c>
      <c r="F645">
        <v>62500</v>
      </c>
      <c r="G645" t="s">
        <v>17</v>
      </c>
      <c r="I645" t="s">
        <v>16</v>
      </c>
      <c r="J645" t="s">
        <v>181</v>
      </c>
      <c r="K645" t="s">
        <v>25</v>
      </c>
      <c r="L645">
        <v>132757294</v>
      </c>
      <c r="R645">
        <v>1381</v>
      </c>
      <c r="S645" t="s">
        <v>194</v>
      </c>
      <c r="T645">
        <v>0</v>
      </c>
      <c r="U645">
        <v>33</v>
      </c>
      <c r="V645">
        <v>0</v>
      </c>
      <c r="W645">
        <v>0</v>
      </c>
      <c r="X645">
        <v>0</v>
      </c>
    </row>
    <row r="646" spans="1:24" x14ac:dyDescent="0.25">
      <c r="A646" t="s">
        <v>15</v>
      </c>
      <c r="B646" t="s">
        <v>24</v>
      </c>
      <c r="C646">
        <v>20150316</v>
      </c>
      <c r="D646">
        <v>0</v>
      </c>
      <c r="F646">
        <v>62500</v>
      </c>
      <c r="G646" t="s">
        <v>17</v>
      </c>
      <c r="I646" t="s">
        <v>16</v>
      </c>
      <c r="J646" t="s">
        <v>181</v>
      </c>
      <c r="K646" t="s">
        <v>25</v>
      </c>
      <c r="L646">
        <v>132757294</v>
      </c>
      <c r="R646">
        <v>1380</v>
      </c>
      <c r="S646" t="s">
        <v>196</v>
      </c>
      <c r="T646">
        <v>0</v>
      </c>
      <c r="U646">
        <v>35</v>
      </c>
      <c r="V646">
        <v>0</v>
      </c>
      <c r="W646">
        <v>0</v>
      </c>
      <c r="X646">
        <v>0</v>
      </c>
    </row>
    <row r="647" spans="1:24" x14ac:dyDescent="0.25">
      <c r="A647" t="s">
        <v>15</v>
      </c>
      <c r="B647" t="s">
        <v>24</v>
      </c>
      <c r="C647">
        <v>20150316</v>
      </c>
      <c r="D647">
        <v>0</v>
      </c>
      <c r="F647">
        <v>62500</v>
      </c>
      <c r="G647" t="s">
        <v>17</v>
      </c>
      <c r="I647" t="s">
        <v>16</v>
      </c>
      <c r="J647" t="s">
        <v>181</v>
      </c>
      <c r="K647" t="s">
        <v>25</v>
      </c>
      <c r="L647">
        <v>132757294</v>
      </c>
      <c r="R647">
        <v>1380</v>
      </c>
      <c r="S647" t="s">
        <v>201</v>
      </c>
      <c r="T647">
        <v>0</v>
      </c>
      <c r="U647">
        <v>35</v>
      </c>
      <c r="V647">
        <v>0</v>
      </c>
      <c r="W647">
        <v>0</v>
      </c>
      <c r="X647">
        <v>0</v>
      </c>
    </row>
    <row r="648" spans="1:24" x14ac:dyDescent="0.25">
      <c r="A648" t="s">
        <v>15</v>
      </c>
      <c r="B648" t="s">
        <v>24</v>
      </c>
      <c r="C648">
        <v>20150316</v>
      </c>
      <c r="D648">
        <v>0</v>
      </c>
      <c r="F648">
        <v>62500</v>
      </c>
      <c r="G648" t="s">
        <v>17</v>
      </c>
      <c r="I648" t="s">
        <v>16</v>
      </c>
      <c r="J648" t="s">
        <v>181</v>
      </c>
      <c r="K648" t="s">
        <v>25</v>
      </c>
      <c r="L648">
        <v>132757294</v>
      </c>
      <c r="R648">
        <v>1381</v>
      </c>
      <c r="S648" t="s">
        <v>194</v>
      </c>
      <c r="T648">
        <v>0</v>
      </c>
      <c r="U648">
        <v>33</v>
      </c>
      <c r="V648">
        <v>0</v>
      </c>
      <c r="W648">
        <v>0</v>
      </c>
      <c r="X648">
        <v>0</v>
      </c>
    </row>
    <row r="649" spans="1:24" x14ac:dyDescent="0.25">
      <c r="A649" t="s">
        <v>15</v>
      </c>
      <c r="B649" t="s">
        <v>24</v>
      </c>
      <c r="C649">
        <v>20150316</v>
      </c>
      <c r="D649">
        <v>0</v>
      </c>
      <c r="F649">
        <v>62500</v>
      </c>
      <c r="G649" t="s">
        <v>17</v>
      </c>
      <c r="I649" t="s">
        <v>16</v>
      </c>
      <c r="J649" t="s">
        <v>181</v>
      </c>
      <c r="K649" t="s">
        <v>25</v>
      </c>
      <c r="L649">
        <v>132757294</v>
      </c>
      <c r="R649">
        <v>1381</v>
      </c>
      <c r="S649" t="s">
        <v>194</v>
      </c>
      <c r="T649">
        <v>0</v>
      </c>
      <c r="U649">
        <v>33</v>
      </c>
      <c r="V649">
        <v>0</v>
      </c>
      <c r="W649">
        <v>0</v>
      </c>
      <c r="X649">
        <v>0</v>
      </c>
    </row>
    <row r="650" spans="1:24" x14ac:dyDescent="0.25">
      <c r="A650" t="s">
        <v>15</v>
      </c>
      <c r="B650" t="s">
        <v>24</v>
      </c>
      <c r="C650">
        <v>20150316</v>
      </c>
      <c r="D650">
        <v>0</v>
      </c>
      <c r="F650">
        <v>62500</v>
      </c>
      <c r="G650" t="s">
        <v>17</v>
      </c>
      <c r="I650" t="s">
        <v>16</v>
      </c>
      <c r="J650" t="s">
        <v>181</v>
      </c>
      <c r="K650" t="s">
        <v>25</v>
      </c>
      <c r="L650">
        <v>132757294</v>
      </c>
      <c r="R650">
        <v>1382</v>
      </c>
      <c r="S650" t="s">
        <v>214</v>
      </c>
      <c r="T650">
        <v>0</v>
      </c>
      <c r="U650">
        <v>-33</v>
      </c>
      <c r="V650">
        <v>0</v>
      </c>
      <c r="W650">
        <v>0</v>
      </c>
      <c r="X650">
        <v>0</v>
      </c>
    </row>
    <row r="651" spans="1:24" x14ac:dyDescent="0.25">
      <c r="A651" t="s">
        <v>15</v>
      </c>
      <c r="B651" t="s">
        <v>24</v>
      </c>
      <c r="C651">
        <v>20150316</v>
      </c>
      <c r="D651">
        <v>0</v>
      </c>
      <c r="F651">
        <v>62500</v>
      </c>
      <c r="G651" t="s">
        <v>17</v>
      </c>
      <c r="I651" t="s">
        <v>16</v>
      </c>
      <c r="J651" t="s">
        <v>181</v>
      </c>
      <c r="K651" t="s">
        <v>25</v>
      </c>
      <c r="L651">
        <v>132757294</v>
      </c>
      <c r="R651">
        <v>1382</v>
      </c>
      <c r="S651" t="s">
        <v>214</v>
      </c>
      <c r="T651">
        <v>0</v>
      </c>
      <c r="U651">
        <v>-33</v>
      </c>
      <c r="V651">
        <v>0</v>
      </c>
      <c r="W651">
        <v>0</v>
      </c>
      <c r="X651">
        <v>0</v>
      </c>
    </row>
    <row r="652" spans="1:24" x14ac:dyDescent="0.25">
      <c r="A652" t="s">
        <v>15</v>
      </c>
      <c r="B652" t="s">
        <v>24</v>
      </c>
      <c r="C652">
        <v>20150316</v>
      </c>
      <c r="D652">
        <v>0</v>
      </c>
      <c r="F652">
        <v>62500</v>
      </c>
      <c r="G652" t="s">
        <v>17</v>
      </c>
      <c r="I652" t="s">
        <v>16</v>
      </c>
      <c r="J652" t="s">
        <v>181</v>
      </c>
      <c r="K652" t="s">
        <v>25</v>
      </c>
      <c r="L652">
        <v>132757294</v>
      </c>
      <c r="R652">
        <v>1382</v>
      </c>
      <c r="S652" t="s">
        <v>194</v>
      </c>
      <c r="T652">
        <v>0</v>
      </c>
      <c r="U652">
        <v>33</v>
      </c>
      <c r="V652">
        <v>0</v>
      </c>
      <c r="W652">
        <v>0</v>
      </c>
      <c r="X652">
        <v>0</v>
      </c>
    </row>
    <row r="653" spans="1:24" x14ac:dyDescent="0.25">
      <c r="A653" t="s">
        <v>15</v>
      </c>
      <c r="B653" t="s">
        <v>24</v>
      </c>
      <c r="C653">
        <v>20150316</v>
      </c>
      <c r="D653">
        <v>0</v>
      </c>
      <c r="F653">
        <v>62500</v>
      </c>
      <c r="G653" t="s">
        <v>17</v>
      </c>
      <c r="I653" t="s">
        <v>16</v>
      </c>
      <c r="J653" t="s">
        <v>181</v>
      </c>
      <c r="K653" t="s">
        <v>25</v>
      </c>
      <c r="L653">
        <v>132757294</v>
      </c>
      <c r="R653">
        <v>1382</v>
      </c>
      <c r="S653" t="s">
        <v>194</v>
      </c>
      <c r="T653">
        <v>0</v>
      </c>
      <c r="U653">
        <v>33</v>
      </c>
      <c r="V653">
        <v>0</v>
      </c>
      <c r="W653">
        <v>0</v>
      </c>
      <c r="X653">
        <v>0</v>
      </c>
    </row>
    <row r="654" spans="1:24" x14ac:dyDescent="0.25">
      <c r="A654" t="s">
        <v>15</v>
      </c>
      <c r="B654" t="s">
        <v>24</v>
      </c>
      <c r="C654">
        <v>20150316</v>
      </c>
      <c r="D654">
        <v>0</v>
      </c>
      <c r="F654">
        <v>62500</v>
      </c>
      <c r="G654" t="s">
        <v>17</v>
      </c>
      <c r="I654" t="s">
        <v>16</v>
      </c>
      <c r="J654" t="s">
        <v>181</v>
      </c>
      <c r="K654" t="s">
        <v>25</v>
      </c>
      <c r="L654">
        <v>132757294</v>
      </c>
      <c r="R654">
        <v>1382</v>
      </c>
      <c r="S654" t="s">
        <v>194</v>
      </c>
      <c r="T654">
        <v>0</v>
      </c>
      <c r="U654">
        <v>33</v>
      </c>
      <c r="V654">
        <v>0</v>
      </c>
      <c r="W654">
        <v>0</v>
      </c>
      <c r="X654">
        <v>0</v>
      </c>
    </row>
    <row r="655" spans="1:24" x14ac:dyDescent="0.25">
      <c r="A655" t="s">
        <v>15</v>
      </c>
      <c r="B655" t="s">
        <v>24</v>
      </c>
      <c r="C655">
        <v>20150316</v>
      </c>
      <c r="D655">
        <v>0</v>
      </c>
      <c r="F655">
        <v>62500</v>
      </c>
      <c r="G655" t="s">
        <v>17</v>
      </c>
      <c r="I655" t="s">
        <v>16</v>
      </c>
      <c r="J655" t="s">
        <v>181</v>
      </c>
      <c r="K655" t="s">
        <v>25</v>
      </c>
      <c r="L655">
        <v>132757294</v>
      </c>
      <c r="R655">
        <v>1383</v>
      </c>
      <c r="S655" t="s">
        <v>214</v>
      </c>
      <c r="T655">
        <v>0</v>
      </c>
      <c r="U655">
        <v>33</v>
      </c>
      <c r="V655">
        <v>0</v>
      </c>
      <c r="W655">
        <v>0</v>
      </c>
      <c r="X655">
        <v>0</v>
      </c>
    </row>
    <row r="656" spans="1:24" x14ac:dyDescent="0.25">
      <c r="A656" t="s">
        <v>15</v>
      </c>
      <c r="B656" t="s">
        <v>24</v>
      </c>
      <c r="C656">
        <v>20150316</v>
      </c>
      <c r="D656">
        <v>0</v>
      </c>
      <c r="F656">
        <v>62500</v>
      </c>
      <c r="G656" t="s">
        <v>17</v>
      </c>
      <c r="I656" t="s">
        <v>16</v>
      </c>
      <c r="J656" t="s">
        <v>181</v>
      </c>
      <c r="K656" t="s">
        <v>25</v>
      </c>
      <c r="L656">
        <v>132757294</v>
      </c>
      <c r="R656">
        <v>1381</v>
      </c>
      <c r="S656" t="s">
        <v>196</v>
      </c>
      <c r="T656">
        <v>0</v>
      </c>
      <c r="U656">
        <v>33</v>
      </c>
      <c r="V656">
        <v>0</v>
      </c>
      <c r="W656">
        <v>0</v>
      </c>
      <c r="X656">
        <v>0</v>
      </c>
    </row>
    <row r="657" spans="1:24" x14ac:dyDescent="0.25">
      <c r="A657" t="s">
        <v>15</v>
      </c>
      <c r="B657" t="s">
        <v>24</v>
      </c>
      <c r="C657">
        <v>20150316</v>
      </c>
      <c r="D657">
        <v>0</v>
      </c>
      <c r="F657">
        <v>62500</v>
      </c>
      <c r="G657" t="s">
        <v>17</v>
      </c>
      <c r="I657" t="s">
        <v>16</v>
      </c>
      <c r="J657" t="s">
        <v>181</v>
      </c>
      <c r="K657" t="s">
        <v>25</v>
      </c>
      <c r="L657">
        <v>132757294</v>
      </c>
      <c r="R657">
        <v>1381</v>
      </c>
      <c r="S657" t="s">
        <v>201</v>
      </c>
      <c r="T657">
        <v>0</v>
      </c>
      <c r="U657">
        <v>33</v>
      </c>
      <c r="V657">
        <v>0</v>
      </c>
      <c r="W657">
        <v>0</v>
      </c>
      <c r="X657">
        <v>0</v>
      </c>
    </row>
    <row r="658" spans="1:24" x14ac:dyDescent="0.25">
      <c r="A658" t="s">
        <v>15</v>
      </c>
      <c r="B658" t="s">
        <v>24</v>
      </c>
      <c r="C658">
        <v>20150316</v>
      </c>
      <c r="D658">
        <v>0</v>
      </c>
      <c r="F658">
        <v>62500</v>
      </c>
      <c r="G658" t="s">
        <v>17</v>
      </c>
      <c r="I658" t="s">
        <v>16</v>
      </c>
      <c r="J658" t="s">
        <v>181</v>
      </c>
      <c r="K658" t="s">
        <v>25</v>
      </c>
      <c r="L658">
        <v>132757294</v>
      </c>
      <c r="R658">
        <v>1383</v>
      </c>
      <c r="S658" t="s">
        <v>214</v>
      </c>
      <c r="T658">
        <v>0</v>
      </c>
      <c r="U658">
        <v>33</v>
      </c>
      <c r="V658">
        <v>0</v>
      </c>
      <c r="W658">
        <v>0</v>
      </c>
      <c r="X658">
        <v>0</v>
      </c>
    </row>
    <row r="659" spans="1:24" x14ac:dyDescent="0.25">
      <c r="A659" t="s">
        <v>15</v>
      </c>
      <c r="B659" t="s">
        <v>24</v>
      </c>
      <c r="C659">
        <v>20150316</v>
      </c>
      <c r="D659">
        <v>0</v>
      </c>
      <c r="F659">
        <v>62500</v>
      </c>
      <c r="G659" t="s">
        <v>17</v>
      </c>
      <c r="I659" t="s">
        <v>16</v>
      </c>
      <c r="J659" t="s">
        <v>181</v>
      </c>
      <c r="K659" t="s">
        <v>25</v>
      </c>
      <c r="L659">
        <v>132757294</v>
      </c>
      <c r="R659">
        <v>1383</v>
      </c>
      <c r="S659" t="s">
        <v>194</v>
      </c>
      <c r="T659">
        <v>0</v>
      </c>
      <c r="U659">
        <v>33</v>
      </c>
      <c r="V659">
        <v>0</v>
      </c>
      <c r="W659">
        <v>0</v>
      </c>
      <c r="X659">
        <v>0</v>
      </c>
    </row>
    <row r="660" spans="1:24" x14ac:dyDescent="0.25">
      <c r="A660" t="s">
        <v>15</v>
      </c>
      <c r="B660" t="s">
        <v>24</v>
      </c>
      <c r="C660">
        <v>20150316</v>
      </c>
      <c r="D660">
        <v>0</v>
      </c>
      <c r="F660">
        <v>62500</v>
      </c>
      <c r="G660" t="s">
        <v>17</v>
      </c>
      <c r="I660" t="s">
        <v>16</v>
      </c>
      <c r="J660" t="s">
        <v>181</v>
      </c>
      <c r="K660" t="s">
        <v>25</v>
      </c>
      <c r="L660">
        <v>132757294</v>
      </c>
      <c r="R660">
        <v>1383</v>
      </c>
      <c r="S660" t="s">
        <v>194</v>
      </c>
      <c r="T660">
        <v>0</v>
      </c>
      <c r="U660">
        <v>33</v>
      </c>
      <c r="V660">
        <v>0</v>
      </c>
      <c r="W660">
        <v>0</v>
      </c>
      <c r="X660">
        <v>0</v>
      </c>
    </row>
    <row r="661" spans="1:24" x14ac:dyDescent="0.25">
      <c r="A661" t="s">
        <v>15</v>
      </c>
      <c r="B661" t="s">
        <v>24</v>
      </c>
      <c r="C661">
        <v>20150316</v>
      </c>
      <c r="D661">
        <v>0</v>
      </c>
      <c r="F661">
        <v>62500</v>
      </c>
      <c r="G661" t="s">
        <v>17</v>
      </c>
      <c r="I661" t="s">
        <v>16</v>
      </c>
      <c r="J661" t="s">
        <v>181</v>
      </c>
      <c r="K661" t="s">
        <v>25</v>
      </c>
      <c r="L661">
        <v>132757294</v>
      </c>
      <c r="R661">
        <v>1383</v>
      </c>
      <c r="S661" t="s">
        <v>194</v>
      </c>
      <c r="T661">
        <v>0</v>
      </c>
      <c r="U661">
        <v>33</v>
      </c>
      <c r="V661">
        <v>0</v>
      </c>
      <c r="W661">
        <v>0</v>
      </c>
      <c r="X661">
        <v>0</v>
      </c>
    </row>
    <row r="662" spans="1:24" x14ac:dyDescent="0.25">
      <c r="A662" t="s">
        <v>15</v>
      </c>
      <c r="B662" t="s">
        <v>24</v>
      </c>
      <c r="C662">
        <v>20150316</v>
      </c>
      <c r="D662">
        <v>0</v>
      </c>
      <c r="F662">
        <v>62500</v>
      </c>
      <c r="G662" t="s">
        <v>17</v>
      </c>
      <c r="I662" t="s">
        <v>16</v>
      </c>
      <c r="J662" t="s">
        <v>181</v>
      </c>
      <c r="K662" t="s">
        <v>25</v>
      </c>
      <c r="L662">
        <v>132757294</v>
      </c>
      <c r="R662">
        <v>1384</v>
      </c>
      <c r="S662" t="s">
        <v>214</v>
      </c>
      <c r="T662">
        <v>0</v>
      </c>
      <c r="U662">
        <v>34</v>
      </c>
      <c r="V662">
        <v>0</v>
      </c>
      <c r="W662">
        <v>0</v>
      </c>
      <c r="X662">
        <v>0</v>
      </c>
    </row>
    <row r="663" spans="1:24" x14ac:dyDescent="0.25">
      <c r="A663" t="s">
        <v>15</v>
      </c>
      <c r="B663" t="s">
        <v>24</v>
      </c>
      <c r="C663">
        <v>20150316</v>
      </c>
      <c r="D663">
        <v>0</v>
      </c>
      <c r="F663">
        <v>62500</v>
      </c>
      <c r="G663" t="s">
        <v>17</v>
      </c>
      <c r="I663" t="s">
        <v>16</v>
      </c>
      <c r="J663" t="s">
        <v>181</v>
      </c>
      <c r="K663" t="s">
        <v>25</v>
      </c>
      <c r="L663">
        <v>132757294</v>
      </c>
      <c r="R663">
        <v>1383</v>
      </c>
      <c r="S663" t="s">
        <v>196</v>
      </c>
      <c r="T663">
        <v>0</v>
      </c>
      <c r="U663">
        <v>33</v>
      </c>
      <c r="V663">
        <v>0</v>
      </c>
      <c r="W663">
        <v>0</v>
      </c>
      <c r="X663">
        <v>0</v>
      </c>
    </row>
    <row r="664" spans="1:24" x14ac:dyDescent="0.25">
      <c r="A664" t="s">
        <v>15</v>
      </c>
      <c r="B664" t="s">
        <v>24</v>
      </c>
      <c r="C664">
        <v>20150316</v>
      </c>
      <c r="D664">
        <v>0</v>
      </c>
      <c r="F664">
        <v>62500</v>
      </c>
      <c r="G664" t="s">
        <v>17</v>
      </c>
      <c r="I664" t="s">
        <v>16</v>
      </c>
      <c r="J664" t="s">
        <v>181</v>
      </c>
      <c r="K664" t="s">
        <v>25</v>
      </c>
      <c r="L664">
        <v>132757294</v>
      </c>
      <c r="R664">
        <v>1383</v>
      </c>
      <c r="S664" t="s">
        <v>201</v>
      </c>
      <c r="T664">
        <v>0</v>
      </c>
      <c r="U664">
        <v>33</v>
      </c>
      <c r="V664">
        <v>0</v>
      </c>
      <c r="W664">
        <v>0</v>
      </c>
      <c r="X664">
        <v>0</v>
      </c>
    </row>
    <row r="665" spans="1:24" x14ac:dyDescent="0.25">
      <c r="A665" t="s">
        <v>15</v>
      </c>
      <c r="B665" t="s">
        <v>24</v>
      </c>
      <c r="C665">
        <v>20150316</v>
      </c>
      <c r="D665">
        <v>0</v>
      </c>
      <c r="F665">
        <v>62500</v>
      </c>
      <c r="G665" t="s">
        <v>17</v>
      </c>
      <c r="I665" t="s">
        <v>16</v>
      </c>
      <c r="J665" t="s">
        <v>181</v>
      </c>
      <c r="K665" t="s">
        <v>25</v>
      </c>
      <c r="L665">
        <v>132757294</v>
      </c>
      <c r="R665">
        <v>1384</v>
      </c>
      <c r="S665" t="s">
        <v>214</v>
      </c>
      <c r="T665">
        <v>0</v>
      </c>
      <c r="U665">
        <v>34</v>
      </c>
      <c r="V665">
        <v>0</v>
      </c>
      <c r="W665">
        <v>0</v>
      </c>
      <c r="X665">
        <v>0</v>
      </c>
    </row>
    <row r="666" spans="1:24" x14ac:dyDescent="0.25">
      <c r="A666" t="s">
        <v>15</v>
      </c>
      <c r="B666" t="s">
        <v>24</v>
      </c>
      <c r="C666">
        <v>20150316</v>
      </c>
      <c r="D666">
        <v>0</v>
      </c>
      <c r="F666">
        <v>62500</v>
      </c>
      <c r="G666" t="s">
        <v>17</v>
      </c>
      <c r="I666" t="s">
        <v>16</v>
      </c>
      <c r="J666" t="s">
        <v>181</v>
      </c>
      <c r="K666" t="s">
        <v>25</v>
      </c>
      <c r="L666">
        <v>132757294</v>
      </c>
      <c r="R666">
        <v>1384</v>
      </c>
      <c r="S666" t="s">
        <v>194</v>
      </c>
      <c r="T666">
        <v>0</v>
      </c>
      <c r="U666">
        <v>34</v>
      </c>
      <c r="V666">
        <v>0</v>
      </c>
      <c r="W666">
        <v>0</v>
      </c>
      <c r="X666">
        <v>0</v>
      </c>
    </row>
    <row r="667" spans="1:24" x14ac:dyDescent="0.25">
      <c r="A667" t="s">
        <v>15</v>
      </c>
      <c r="B667" t="s">
        <v>24</v>
      </c>
      <c r="C667">
        <v>20150316</v>
      </c>
      <c r="D667">
        <v>0</v>
      </c>
      <c r="F667">
        <v>62500</v>
      </c>
      <c r="G667" t="s">
        <v>17</v>
      </c>
      <c r="I667" t="s">
        <v>16</v>
      </c>
      <c r="J667" t="s">
        <v>181</v>
      </c>
      <c r="K667" t="s">
        <v>25</v>
      </c>
      <c r="L667">
        <v>132757294</v>
      </c>
      <c r="R667">
        <v>1382</v>
      </c>
      <c r="S667" t="s">
        <v>196</v>
      </c>
      <c r="T667">
        <v>0</v>
      </c>
      <c r="U667">
        <v>33</v>
      </c>
      <c r="V667">
        <v>0</v>
      </c>
      <c r="W667">
        <v>0</v>
      </c>
      <c r="X667">
        <v>0</v>
      </c>
    </row>
    <row r="668" spans="1:24" x14ac:dyDescent="0.25">
      <c r="A668" t="s">
        <v>15</v>
      </c>
      <c r="B668" t="s">
        <v>24</v>
      </c>
      <c r="C668">
        <v>20150316</v>
      </c>
      <c r="D668">
        <v>0</v>
      </c>
      <c r="F668">
        <v>62500</v>
      </c>
      <c r="G668" t="s">
        <v>17</v>
      </c>
      <c r="I668" t="s">
        <v>16</v>
      </c>
      <c r="J668" t="s">
        <v>181</v>
      </c>
      <c r="K668" t="s">
        <v>25</v>
      </c>
      <c r="L668">
        <v>132757294</v>
      </c>
      <c r="R668">
        <v>1382</v>
      </c>
      <c r="S668" t="s">
        <v>201</v>
      </c>
      <c r="T668">
        <v>0</v>
      </c>
      <c r="U668">
        <v>33</v>
      </c>
      <c r="V668">
        <v>0</v>
      </c>
      <c r="W668">
        <v>0</v>
      </c>
      <c r="X668">
        <v>0</v>
      </c>
    </row>
    <row r="669" spans="1:24" x14ac:dyDescent="0.25">
      <c r="A669" t="s">
        <v>15</v>
      </c>
      <c r="B669" t="s">
        <v>24</v>
      </c>
      <c r="C669">
        <v>20150316</v>
      </c>
      <c r="D669">
        <v>0</v>
      </c>
      <c r="F669">
        <v>62500</v>
      </c>
      <c r="G669" t="s">
        <v>17</v>
      </c>
      <c r="I669" t="s">
        <v>16</v>
      </c>
      <c r="J669" t="s">
        <v>181</v>
      </c>
      <c r="K669" t="s">
        <v>25</v>
      </c>
      <c r="L669">
        <v>132757294</v>
      </c>
      <c r="R669">
        <v>1384</v>
      </c>
      <c r="S669" t="s">
        <v>194</v>
      </c>
      <c r="T669">
        <v>0</v>
      </c>
      <c r="U669">
        <v>34</v>
      </c>
      <c r="V669">
        <v>0</v>
      </c>
      <c r="W669">
        <v>0</v>
      </c>
      <c r="X669">
        <v>0</v>
      </c>
    </row>
    <row r="670" spans="1:24" x14ac:dyDescent="0.25">
      <c r="A670" t="s">
        <v>15</v>
      </c>
      <c r="B670" t="s">
        <v>24</v>
      </c>
      <c r="C670">
        <v>20150316</v>
      </c>
      <c r="D670">
        <v>0</v>
      </c>
      <c r="F670">
        <v>62500</v>
      </c>
      <c r="G670" t="s">
        <v>17</v>
      </c>
      <c r="I670" t="s">
        <v>16</v>
      </c>
      <c r="J670" t="s">
        <v>181</v>
      </c>
      <c r="K670" t="s">
        <v>25</v>
      </c>
      <c r="L670">
        <v>132757294</v>
      </c>
      <c r="R670">
        <v>1384</v>
      </c>
      <c r="S670" t="s">
        <v>194</v>
      </c>
      <c r="T670">
        <v>0</v>
      </c>
      <c r="U670">
        <v>34</v>
      </c>
      <c r="V670">
        <v>0</v>
      </c>
      <c r="W670">
        <v>0</v>
      </c>
      <c r="X670">
        <v>0</v>
      </c>
    </row>
    <row r="671" spans="1:24" x14ac:dyDescent="0.25">
      <c r="A671" t="s">
        <v>15</v>
      </c>
      <c r="B671" t="s">
        <v>24</v>
      </c>
      <c r="C671">
        <v>20150316</v>
      </c>
      <c r="D671">
        <v>0</v>
      </c>
      <c r="F671">
        <v>62500</v>
      </c>
      <c r="G671" t="s">
        <v>17</v>
      </c>
      <c r="I671" t="s">
        <v>16</v>
      </c>
      <c r="J671" t="s">
        <v>181</v>
      </c>
      <c r="K671" t="s">
        <v>25</v>
      </c>
      <c r="L671">
        <v>132757294</v>
      </c>
      <c r="R671">
        <v>1385</v>
      </c>
      <c r="S671" t="s">
        <v>214</v>
      </c>
      <c r="T671">
        <v>0</v>
      </c>
      <c r="U671">
        <v>-33</v>
      </c>
      <c r="V671">
        <v>0</v>
      </c>
      <c r="W671">
        <v>0</v>
      </c>
      <c r="X671">
        <v>0</v>
      </c>
    </row>
    <row r="672" spans="1:24" x14ac:dyDescent="0.25">
      <c r="A672" t="s">
        <v>15</v>
      </c>
      <c r="B672" t="s">
        <v>24</v>
      </c>
      <c r="C672">
        <v>20150316</v>
      </c>
      <c r="D672">
        <v>0</v>
      </c>
      <c r="F672">
        <v>62500</v>
      </c>
      <c r="G672" t="s">
        <v>17</v>
      </c>
      <c r="I672" t="s">
        <v>16</v>
      </c>
      <c r="J672" t="s">
        <v>181</v>
      </c>
      <c r="K672" t="s">
        <v>25</v>
      </c>
      <c r="L672">
        <v>132757294</v>
      </c>
      <c r="R672">
        <v>1385</v>
      </c>
      <c r="S672" t="s">
        <v>214</v>
      </c>
      <c r="T672">
        <v>0</v>
      </c>
      <c r="U672">
        <v>-33</v>
      </c>
      <c r="V672">
        <v>0</v>
      </c>
      <c r="W672">
        <v>0</v>
      </c>
      <c r="X672">
        <v>0</v>
      </c>
    </row>
    <row r="673" spans="1:24" x14ac:dyDescent="0.25">
      <c r="A673" t="s">
        <v>15</v>
      </c>
      <c r="B673" t="s">
        <v>24</v>
      </c>
      <c r="C673">
        <v>20150316</v>
      </c>
      <c r="D673">
        <v>0</v>
      </c>
      <c r="F673">
        <v>62500</v>
      </c>
      <c r="G673" t="s">
        <v>17</v>
      </c>
      <c r="I673" t="s">
        <v>16</v>
      </c>
      <c r="J673" t="s">
        <v>181</v>
      </c>
      <c r="K673" t="s">
        <v>25</v>
      </c>
      <c r="L673">
        <v>132757294</v>
      </c>
      <c r="R673">
        <v>1385</v>
      </c>
      <c r="S673" t="s">
        <v>194</v>
      </c>
      <c r="T673">
        <v>0</v>
      </c>
      <c r="U673">
        <v>33</v>
      </c>
      <c r="V673">
        <v>0</v>
      </c>
      <c r="W673">
        <v>0</v>
      </c>
      <c r="X673">
        <v>0</v>
      </c>
    </row>
    <row r="674" spans="1:24" x14ac:dyDescent="0.25">
      <c r="A674" t="s">
        <v>15</v>
      </c>
      <c r="B674" t="s">
        <v>24</v>
      </c>
      <c r="C674">
        <v>20150316</v>
      </c>
      <c r="D674">
        <v>0</v>
      </c>
      <c r="F674">
        <v>62500</v>
      </c>
      <c r="G674" t="s">
        <v>17</v>
      </c>
      <c r="I674" t="s">
        <v>16</v>
      </c>
      <c r="J674" t="s">
        <v>181</v>
      </c>
      <c r="K674" t="s">
        <v>25</v>
      </c>
      <c r="L674">
        <v>132757294</v>
      </c>
      <c r="R674">
        <v>1385</v>
      </c>
      <c r="S674" t="s">
        <v>194</v>
      </c>
      <c r="T674">
        <v>0</v>
      </c>
      <c r="U674">
        <v>33</v>
      </c>
      <c r="V674">
        <v>0</v>
      </c>
      <c r="W674">
        <v>0</v>
      </c>
      <c r="X674">
        <v>0</v>
      </c>
    </row>
    <row r="675" spans="1:24" x14ac:dyDescent="0.25">
      <c r="A675" t="s">
        <v>15</v>
      </c>
      <c r="B675" t="s">
        <v>24</v>
      </c>
      <c r="C675">
        <v>20150316</v>
      </c>
      <c r="D675">
        <v>0</v>
      </c>
      <c r="F675">
        <v>62500</v>
      </c>
      <c r="G675" t="s">
        <v>17</v>
      </c>
      <c r="I675" t="s">
        <v>16</v>
      </c>
      <c r="J675" t="s">
        <v>181</v>
      </c>
      <c r="K675" t="s">
        <v>25</v>
      </c>
      <c r="L675">
        <v>132757294</v>
      </c>
      <c r="R675">
        <v>1385</v>
      </c>
      <c r="S675" t="s">
        <v>194</v>
      </c>
      <c r="T675">
        <v>0</v>
      </c>
      <c r="U675">
        <v>33</v>
      </c>
      <c r="V675">
        <v>0</v>
      </c>
      <c r="W675">
        <v>0</v>
      </c>
      <c r="X675">
        <v>0</v>
      </c>
    </row>
    <row r="676" spans="1:24" x14ac:dyDescent="0.25">
      <c r="A676" t="s">
        <v>15</v>
      </c>
      <c r="B676" t="s">
        <v>24</v>
      </c>
      <c r="C676">
        <v>20150316</v>
      </c>
      <c r="D676">
        <v>0</v>
      </c>
      <c r="F676">
        <v>62500</v>
      </c>
      <c r="G676" t="s">
        <v>17</v>
      </c>
      <c r="I676" t="s">
        <v>16</v>
      </c>
      <c r="J676" t="s">
        <v>181</v>
      </c>
      <c r="K676" t="s">
        <v>25</v>
      </c>
      <c r="L676">
        <v>132757294</v>
      </c>
      <c r="R676">
        <v>1386</v>
      </c>
      <c r="S676" t="s">
        <v>214</v>
      </c>
      <c r="T676">
        <v>0</v>
      </c>
      <c r="U676">
        <v>31</v>
      </c>
      <c r="V676">
        <v>0</v>
      </c>
      <c r="W676">
        <v>0</v>
      </c>
      <c r="X676">
        <v>0</v>
      </c>
    </row>
    <row r="677" spans="1:24" x14ac:dyDescent="0.25">
      <c r="A677" t="s">
        <v>15</v>
      </c>
      <c r="B677" t="s">
        <v>24</v>
      </c>
      <c r="C677">
        <v>20150316</v>
      </c>
      <c r="D677">
        <v>0</v>
      </c>
      <c r="F677">
        <v>62500</v>
      </c>
      <c r="G677" t="s">
        <v>17</v>
      </c>
      <c r="I677" t="s">
        <v>16</v>
      </c>
      <c r="J677" t="s">
        <v>181</v>
      </c>
      <c r="K677" t="s">
        <v>25</v>
      </c>
      <c r="L677">
        <v>132757294</v>
      </c>
      <c r="R677">
        <v>1384</v>
      </c>
      <c r="S677" t="s">
        <v>196</v>
      </c>
      <c r="T677">
        <v>0</v>
      </c>
      <c r="U677">
        <v>34</v>
      </c>
      <c r="V677">
        <v>0</v>
      </c>
      <c r="W677">
        <v>0</v>
      </c>
      <c r="X677">
        <v>0</v>
      </c>
    </row>
    <row r="678" spans="1:24" x14ac:dyDescent="0.25">
      <c r="A678" t="s">
        <v>15</v>
      </c>
      <c r="B678" t="s">
        <v>24</v>
      </c>
      <c r="C678">
        <v>20150316</v>
      </c>
      <c r="D678">
        <v>0</v>
      </c>
      <c r="F678">
        <v>62500</v>
      </c>
      <c r="G678" t="s">
        <v>17</v>
      </c>
      <c r="I678" t="s">
        <v>16</v>
      </c>
      <c r="J678" t="s">
        <v>181</v>
      </c>
      <c r="K678" t="s">
        <v>25</v>
      </c>
      <c r="L678">
        <v>132757294</v>
      </c>
      <c r="R678">
        <v>1384</v>
      </c>
      <c r="S678" t="s">
        <v>201</v>
      </c>
      <c r="T678">
        <v>0</v>
      </c>
      <c r="U678">
        <v>34</v>
      </c>
      <c r="V678">
        <v>0</v>
      </c>
      <c r="W678">
        <v>0</v>
      </c>
      <c r="X678">
        <v>0</v>
      </c>
    </row>
    <row r="679" spans="1:24" x14ac:dyDescent="0.25">
      <c r="A679" t="s">
        <v>15</v>
      </c>
      <c r="B679" t="s">
        <v>24</v>
      </c>
      <c r="C679">
        <v>20150316</v>
      </c>
      <c r="D679">
        <v>0</v>
      </c>
      <c r="F679">
        <v>62500</v>
      </c>
      <c r="G679" t="s">
        <v>17</v>
      </c>
      <c r="I679" t="s">
        <v>16</v>
      </c>
      <c r="J679" t="s">
        <v>181</v>
      </c>
      <c r="K679" t="s">
        <v>25</v>
      </c>
      <c r="L679">
        <v>132757294</v>
      </c>
      <c r="R679">
        <v>1386</v>
      </c>
      <c r="S679" t="s">
        <v>214</v>
      </c>
      <c r="T679">
        <v>0</v>
      </c>
      <c r="U679">
        <v>31</v>
      </c>
      <c r="V679">
        <v>0</v>
      </c>
      <c r="W679">
        <v>0</v>
      </c>
      <c r="X679">
        <v>0</v>
      </c>
    </row>
    <row r="680" spans="1:24" x14ac:dyDescent="0.25">
      <c r="A680" t="s">
        <v>15</v>
      </c>
      <c r="B680" t="s">
        <v>24</v>
      </c>
      <c r="C680">
        <v>20150316</v>
      </c>
      <c r="D680">
        <v>0</v>
      </c>
      <c r="F680">
        <v>62500</v>
      </c>
      <c r="G680" t="s">
        <v>17</v>
      </c>
      <c r="I680" t="s">
        <v>16</v>
      </c>
      <c r="J680" t="s">
        <v>181</v>
      </c>
      <c r="K680" t="s">
        <v>25</v>
      </c>
      <c r="L680">
        <v>132757294</v>
      </c>
      <c r="R680">
        <v>1386</v>
      </c>
      <c r="S680" t="s">
        <v>194</v>
      </c>
      <c r="T680">
        <v>0</v>
      </c>
      <c r="U680">
        <v>31</v>
      </c>
      <c r="V680">
        <v>0</v>
      </c>
      <c r="W680">
        <v>0</v>
      </c>
      <c r="X680">
        <v>0</v>
      </c>
    </row>
    <row r="681" spans="1:24" x14ac:dyDescent="0.25">
      <c r="A681" t="s">
        <v>15</v>
      </c>
      <c r="B681" t="s">
        <v>24</v>
      </c>
      <c r="C681">
        <v>20150316</v>
      </c>
      <c r="D681">
        <v>0</v>
      </c>
      <c r="F681">
        <v>62500</v>
      </c>
      <c r="G681" t="s">
        <v>17</v>
      </c>
      <c r="I681" t="s">
        <v>16</v>
      </c>
      <c r="J681" t="s">
        <v>181</v>
      </c>
      <c r="K681" t="s">
        <v>25</v>
      </c>
      <c r="L681">
        <v>132757294</v>
      </c>
      <c r="R681">
        <v>1385</v>
      </c>
      <c r="S681" t="s">
        <v>196</v>
      </c>
      <c r="T681">
        <v>0</v>
      </c>
      <c r="U681">
        <v>33</v>
      </c>
      <c r="V681">
        <v>0</v>
      </c>
      <c r="W681">
        <v>0</v>
      </c>
      <c r="X681">
        <v>0</v>
      </c>
    </row>
    <row r="682" spans="1:24" x14ac:dyDescent="0.25">
      <c r="A682" t="s">
        <v>15</v>
      </c>
      <c r="B682" t="s">
        <v>24</v>
      </c>
      <c r="C682">
        <v>20150316</v>
      </c>
      <c r="D682">
        <v>0</v>
      </c>
      <c r="F682">
        <v>62500</v>
      </c>
      <c r="G682" t="s">
        <v>17</v>
      </c>
      <c r="I682" t="s">
        <v>16</v>
      </c>
      <c r="J682" t="s">
        <v>181</v>
      </c>
      <c r="K682" t="s">
        <v>25</v>
      </c>
      <c r="L682">
        <v>132757294</v>
      </c>
      <c r="R682">
        <v>1385</v>
      </c>
      <c r="S682" t="s">
        <v>201</v>
      </c>
      <c r="T682">
        <v>0</v>
      </c>
      <c r="U682">
        <v>33</v>
      </c>
      <c r="V682">
        <v>0</v>
      </c>
      <c r="W682">
        <v>0</v>
      </c>
      <c r="X682">
        <v>0</v>
      </c>
    </row>
    <row r="683" spans="1:24" x14ac:dyDescent="0.25">
      <c r="A683" t="s">
        <v>15</v>
      </c>
      <c r="B683" t="s">
        <v>24</v>
      </c>
      <c r="C683">
        <v>20150316</v>
      </c>
      <c r="D683">
        <v>0</v>
      </c>
      <c r="F683">
        <v>62500</v>
      </c>
      <c r="G683" t="s">
        <v>17</v>
      </c>
      <c r="I683" t="s">
        <v>16</v>
      </c>
      <c r="J683" t="s">
        <v>181</v>
      </c>
      <c r="K683" t="s">
        <v>25</v>
      </c>
      <c r="L683">
        <v>132757294</v>
      </c>
      <c r="R683">
        <v>1386</v>
      </c>
      <c r="S683" t="s">
        <v>194</v>
      </c>
      <c r="T683">
        <v>0</v>
      </c>
      <c r="U683">
        <v>31</v>
      </c>
      <c r="V683">
        <v>0</v>
      </c>
      <c r="W683">
        <v>0</v>
      </c>
      <c r="X683">
        <v>0</v>
      </c>
    </row>
    <row r="684" spans="1:24" x14ac:dyDescent="0.25">
      <c r="A684" t="s">
        <v>15</v>
      </c>
      <c r="B684" t="s">
        <v>24</v>
      </c>
      <c r="C684">
        <v>20150316</v>
      </c>
      <c r="D684">
        <v>0</v>
      </c>
      <c r="F684">
        <v>62500</v>
      </c>
      <c r="G684" t="s">
        <v>17</v>
      </c>
      <c r="I684" t="s">
        <v>16</v>
      </c>
      <c r="J684" t="s">
        <v>181</v>
      </c>
      <c r="K684" t="s">
        <v>25</v>
      </c>
      <c r="L684">
        <v>132757294</v>
      </c>
      <c r="R684">
        <v>1386</v>
      </c>
      <c r="S684" t="s">
        <v>194</v>
      </c>
      <c r="T684">
        <v>0</v>
      </c>
      <c r="U684">
        <v>31</v>
      </c>
      <c r="V684">
        <v>0</v>
      </c>
      <c r="W684">
        <v>0</v>
      </c>
      <c r="X684">
        <v>0</v>
      </c>
    </row>
    <row r="685" spans="1:24" x14ac:dyDescent="0.25">
      <c r="A685" t="s">
        <v>15</v>
      </c>
      <c r="B685" t="s">
        <v>24</v>
      </c>
      <c r="C685">
        <v>20150316</v>
      </c>
      <c r="D685">
        <v>0</v>
      </c>
      <c r="F685">
        <v>62500</v>
      </c>
      <c r="G685" t="s">
        <v>17</v>
      </c>
      <c r="I685" t="s">
        <v>16</v>
      </c>
      <c r="J685" t="s">
        <v>181</v>
      </c>
      <c r="K685" t="s">
        <v>25</v>
      </c>
      <c r="L685">
        <v>132757294</v>
      </c>
      <c r="R685">
        <v>1387</v>
      </c>
      <c r="S685" t="s">
        <v>214</v>
      </c>
      <c r="T685">
        <v>0</v>
      </c>
      <c r="U685">
        <v>-31</v>
      </c>
      <c r="V685">
        <v>0</v>
      </c>
      <c r="W685">
        <v>0</v>
      </c>
      <c r="X685">
        <v>0</v>
      </c>
    </row>
    <row r="686" spans="1:24" x14ac:dyDescent="0.25">
      <c r="A686" t="s">
        <v>15</v>
      </c>
      <c r="B686" t="s">
        <v>24</v>
      </c>
      <c r="C686">
        <v>20150316</v>
      </c>
      <c r="D686">
        <v>0</v>
      </c>
      <c r="F686">
        <v>62500</v>
      </c>
      <c r="G686" t="s">
        <v>17</v>
      </c>
      <c r="I686" t="s">
        <v>16</v>
      </c>
      <c r="J686" t="s">
        <v>181</v>
      </c>
      <c r="K686" t="s">
        <v>25</v>
      </c>
      <c r="L686">
        <v>132757294</v>
      </c>
      <c r="R686">
        <v>1387</v>
      </c>
      <c r="S686" t="s">
        <v>214</v>
      </c>
      <c r="T686">
        <v>0</v>
      </c>
      <c r="U686">
        <v>-31</v>
      </c>
      <c r="V686">
        <v>0</v>
      </c>
      <c r="W686">
        <v>0</v>
      </c>
      <c r="X686">
        <v>0</v>
      </c>
    </row>
    <row r="687" spans="1:24" x14ac:dyDescent="0.25">
      <c r="A687" t="s">
        <v>15</v>
      </c>
      <c r="B687" t="s">
        <v>24</v>
      </c>
      <c r="C687">
        <v>20150316</v>
      </c>
      <c r="D687">
        <v>0</v>
      </c>
      <c r="F687">
        <v>62500</v>
      </c>
      <c r="G687" t="s">
        <v>17</v>
      </c>
      <c r="I687" t="s">
        <v>16</v>
      </c>
      <c r="J687" t="s">
        <v>181</v>
      </c>
      <c r="K687" t="s">
        <v>25</v>
      </c>
      <c r="L687">
        <v>132757294</v>
      </c>
      <c r="R687">
        <v>1387</v>
      </c>
      <c r="S687" t="s">
        <v>194</v>
      </c>
      <c r="T687">
        <v>0</v>
      </c>
      <c r="U687">
        <v>31</v>
      </c>
      <c r="V687">
        <v>0</v>
      </c>
      <c r="W687">
        <v>0</v>
      </c>
      <c r="X687">
        <v>0</v>
      </c>
    </row>
    <row r="688" spans="1:24" x14ac:dyDescent="0.25">
      <c r="A688" t="s">
        <v>15</v>
      </c>
      <c r="B688" t="s">
        <v>24</v>
      </c>
      <c r="C688">
        <v>20150316</v>
      </c>
      <c r="D688">
        <v>0</v>
      </c>
      <c r="F688">
        <v>62500</v>
      </c>
      <c r="G688" t="s">
        <v>17</v>
      </c>
      <c r="I688" t="s">
        <v>16</v>
      </c>
      <c r="J688" t="s">
        <v>181</v>
      </c>
      <c r="K688" t="s">
        <v>25</v>
      </c>
      <c r="L688">
        <v>132757294</v>
      </c>
      <c r="R688">
        <v>1387</v>
      </c>
      <c r="S688" t="s">
        <v>194</v>
      </c>
      <c r="T688">
        <v>0</v>
      </c>
      <c r="U688">
        <v>31</v>
      </c>
      <c r="V688">
        <v>0</v>
      </c>
      <c r="W688">
        <v>0</v>
      </c>
      <c r="X688">
        <v>0</v>
      </c>
    </row>
    <row r="689" spans="1:24" x14ac:dyDescent="0.25">
      <c r="A689" t="s">
        <v>15</v>
      </c>
      <c r="B689" t="s">
        <v>24</v>
      </c>
      <c r="C689">
        <v>20150316</v>
      </c>
      <c r="D689">
        <v>0</v>
      </c>
      <c r="F689">
        <v>62500</v>
      </c>
      <c r="G689" t="s">
        <v>17</v>
      </c>
      <c r="I689" t="s">
        <v>16</v>
      </c>
      <c r="J689" t="s">
        <v>181</v>
      </c>
      <c r="K689" t="s">
        <v>25</v>
      </c>
      <c r="L689">
        <v>132757294</v>
      </c>
      <c r="R689">
        <v>1387</v>
      </c>
      <c r="S689" t="s">
        <v>194</v>
      </c>
      <c r="T689">
        <v>0</v>
      </c>
      <c r="U689">
        <v>31</v>
      </c>
      <c r="V689">
        <v>0</v>
      </c>
      <c r="W689">
        <v>0</v>
      </c>
      <c r="X689">
        <v>0</v>
      </c>
    </row>
    <row r="690" spans="1:24" x14ac:dyDescent="0.25">
      <c r="A690" t="s">
        <v>15</v>
      </c>
      <c r="B690" t="s">
        <v>24</v>
      </c>
      <c r="C690">
        <v>20150316</v>
      </c>
      <c r="D690">
        <v>0</v>
      </c>
      <c r="F690">
        <v>62500</v>
      </c>
      <c r="G690" t="s">
        <v>17</v>
      </c>
      <c r="I690" t="s">
        <v>16</v>
      </c>
      <c r="J690" t="s">
        <v>181</v>
      </c>
      <c r="K690" t="s">
        <v>25</v>
      </c>
      <c r="L690">
        <v>132757294</v>
      </c>
      <c r="R690">
        <v>1388</v>
      </c>
      <c r="S690" t="s">
        <v>214</v>
      </c>
      <c r="T690">
        <v>0</v>
      </c>
      <c r="U690">
        <v>30</v>
      </c>
      <c r="V690">
        <v>0</v>
      </c>
      <c r="W690">
        <v>0</v>
      </c>
      <c r="X690">
        <v>0</v>
      </c>
    </row>
    <row r="691" spans="1:24" x14ac:dyDescent="0.25">
      <c r="A691" t="s">
        <v>15</v>
      </c>
      <c r="B691" t="s">
        <v>24</v>
      </c>
      <c r="C691">
        <v>20150316</v>
      </c>
      <c r="D691">
        <v>0</v>
      </c>
      <c r="F691">
        <v>62500</v>
      </c>
      <c r="G691" t="s">
        <v>17</v>
      </c>
      <c r="I691" t="s">
        <v>16</v>
      </c>
      <c r="J691" t="s">
        <v>181</v>
      </c>
      <c r="K691" t="s">
        <v>25</v>
      </c>
      <c r="L691">
        <v>132757294</v>
      </c>
      <c r="R691">
        <v>1386</v>
      </c>
      <c r="S691" t="s">
        <v>196</v>
      </c>
      <c r="T691">
        <v>0</v>
      </c>
      <c r="U691">
        <v>31</v>
      </c>
      <c r="V691">
        <v>0</v>
      </c>
      <c r="W691">
        <v>0</v>
      </c>
      <c r="X691">
        <v>0</v>
      </c>
    </row>
    <row r="692" spans="1:24" x14ac:dyDescent="0.25">
      <c r="A692" t="s">
        <v>15</v>
      </c>
      <c r="B692" t="s">
        <v>24</v>
      </c>
      <c r="C692">
        <v>20150316</v>
      </c>
      <c r="D692">
        <v>0</v>
      </c>
      <c r="F692">
        <v>62500</v>
      </c>
      <c r="G692" t="s">
        <v>17</v>
      </c>
      <c r="I692" t="s">
        <v>16</v>
      </c>
      <c r="J692" t="s">
        <v>181</v>
      </c>
      <c r="K692" t="s">
        <v>25</v>
      </c>
      <c r="L692">
        <v>132757294</v>
      </c>
      <c r="R692">
        <v>1386</v>
      </c>
      <c r="S692" t="s">
        <v>201</v>
      </c>
      <c r="T692">
        <v>0</v>
      </c>
      <c r="U692">
        <v>31</v>
      </c>
      <c r="V692">
        <v>0</v>
      </c>
      <c r="W692">
        <v>0</v>
      </c>
      <c r="X692">
        <v>0</v>
      </c>
    </row>
    <row r="693" spans="1:24" x14ac:dyDescent="0.25">
      <c r="A693" t="s">
        <v>15</v>
      </c>
      <c r="B693" t="s">
        <v>24</v>
      </c>
      <c r="C693">
        <v>20150316</v>
      </c>
      <c r="D693">
        <v>0</v>
      </c>
      <c r="F693">
        <v>62500</v>
      </c>
      <c r="G693" t="s">
        <v>17</v>
      </c>
      <c r="I693" t="s">
        <v>16</v>
      </c>
      <c r="J693" t="s">
        <v>181</v>
      </c>
      <c r="K693" t="s">
        <v>25</v>
      </c>
      <c r="L693">
        <v>132757294</v>
      </c>
      <c r="R693">
        <v>1388</v>
      </c>
      <c r="S693" t="s">
        <v>214</v>
      </c>
      <c r="T693">
        <v>0</v>
      </c>
      <c r="U693">
        <v>30</v>
      </c>
      <c r="V693">
        <v>0</v>
      </c>
      <c r="W693">
        <v>0</v>
      </c>
      <c r="X693">
        <v>0</v>
      </c>
    </row>
    <row r="694" spans="1:24" x14ac:dyDescent="0.25">
      <c r="A694" t="s">
        <v>15</v>
      </c>
      <c r="B694" t="s">
        <v>24</v>
      </c>
      <c r="C694">
        <v>20150316</v>
      </c>
      <c r="D694">
        <v>0</v>
      </c>
      <c r="F694">
        <v>62500</v>
      </c>
      <c r="G694" t="s">
        <v>17</v>
      </c>
      <c r="I694" t="s">
        <v>16</v>
      </c>
      <c r="J694" t="s">
        <v>181</v>
      </c>
      <c r="K694" t="s">
        <v>25</v>
      </c>
      <c r="L694">
        <v>132757294</v>
      </c>
      <c r="R694">
        <v>1388</v>
      </c>
      <c r="S694" t="s">
        <v>194</v>
      </c>
      <c r="T694">
        <v>0</v>
      </c>
      <c r="U694">
        <v>30</v>
      </c>
      <c r="V694">
        <v>0</v>
      </c>
      <c r="W694">
        <v>0</v>
      </c>
      <c r="X694">
        <v>0</v>
      </c>
    </row>
    <row r="695" spans="1:24" x14ac:dyDescent="0.25">
      <c r="A695" t="s">
        <v>15</v>
      </c>
      <c r="B695" t="s">
        <v>24</v>
      </c>
      <c r="C695">
        <v>20150316</v>
      </c>
      <c r="D695">
        <v>0</v>
      </c>
      <c r="F695">
        <v>62500</v>
      </c>
      <c r="G695" t="s">
        <v>17</v>
      </c>
      <c r="I695" t="s">
        <v>16</v>
      </c>
      <c r="J695" t="s">
        <v>181</v>
      </c>
      <c r="K695" t="s">
        <v>25</v>
      </c>
      <c r="L695">
        <v>132757294</v>
      </c>
      <c r="R695">
        <v>1388</v>
      </c>
      <c r="S695" t="s">
        <v>194</v>
      </c>
      <c r="T695">
        <v>0</v>
      </c>
      <c r="U695">
        <v>30</v>
      </c>
      <c r="V695">
        <v>0</v>
      </c>
      <c r="W695">
        <v>0</v>
      </c>
      <c r="X695">
        <v>0</v>
      </c>
    </row>
    <row r="696" spans="1:24" x14ac:dyDescent="0.25">
      <c r="A696" t="s">
        <v>15</v>
      </c>
      <c r="B696" t="s">
        <v>24</v>
      </c>
      <c r="C696">
        <v>20150316</v>
      </c>
      <c r="D696">
        <v>0</v>
      </c>
      <c r="F696">
        <v>62500</v>
      </c>
      <c r="G696" t="s">
        <v>17</v>
      </c>
      <c r="I696" t="s">
        <v>16</v>
      </c>
      <c r="J696" t="s">
        <v>181</v>
      </c>
      <c r="K696" t="s">
        <v>25</v>
      </c>
      <c r="L696">
        <v>132757294</v>
      </c>
      <c r="R696">
        <v>1388</v>
      </c>
      <c r="S696" t="s">
        <v>194</v>
      </c>
      <c r="T696">
        <v>0</v>
      </c>
      <c r="U696">
        <v>30</v>
      </c>
      <c r="V696">
        <v>0</v>
      </c>
      <c r="W696">
        <v>0</v>
      </c>
      <c r="X696">
        <v>0</v>
      </c>
    </row>
    <row r="697" spans="1:24" x14ac:dyDescent="0.25">
      <c r="A697" t="s">
        <v>15</v>
      </c>
      <c r="B697" t="s">
        <v>24</v>
      </c>
      <c r="C697">
        <v>20150316</v>
      </c>
      <c r="D697">
        <v>0</v>
      </c>
      <c r="F697">
        <v>62500</v>
      </c>
      <c r="G697" t="s">
        <v>17</v>
      </c>
      <c r="I697" t="s">
        <v>16</v>
      </c>
      <c r="J697" t="s">
        <v>181</v>
      </c>
      <c r="K697" t="s">
        <v>25</v>
      </c>
      <c r="L697">
        <v>132757294</v>
      </c>
      <c r="R697">
        <v>1389</v>
      </c>
      <c r="S697" t="s">
        <v>214</v>
      </c>
      <c r="T697">
        <v>0</v>
      </c>
      <c r="U697">
        <v>33</v>
      </c>
      <c r="V697">
        <v>0</v>
      </c>
      <c r="W697">
        <v>0</v>
      </c>
      <c r="X697">
        <v>0</v>
      </c>
    </row>
    <row r="698" spans="1:24" x14ac:dyDescent="0.25">
      <c r="A698" t="s">
        <v>15</v>
      </c>
      <c r="B698" t="s">
        <v>24</v>
      </c>
      <c r="C698">
        <v>20150316</v>
      </c>
      <c r="D698">
        <v>0</v>
      </c>
      <c r="F698">
        <v>62500</v>
      </c>
      <c r="G698" t="s">
        <v>17</v>
      </c>
      <c r="I698" t="s">
        <v>16</v>
      </c>
      <c r="J698" t="s">
        <v>181</v>
      </c>
      <c r="K698" t="s">
        <v>25</v>
      </c>
      <c r="L698">
        <v>132757294</v>
      </c>
      <c r="R698">
        <v>1388</v>
      </c>
      <c r="S698" t="s">
        <v>196</v>
      </c>
      <c r="T698">
        <v>0</v>
      </c>
      <c r="U698">
        <v>30</v>
      </c>
      <c r="V698">
        <v>0</v>
      </c>
      <c r="W698">
        <v>0</v>
      </c>
      <c r="X698">
        <v>0</v>
      </c>
    </row>
    <row r="699" spans="1:24" x14ac:dyDescent="0.25">
      <c r="A699" t="s">
        <v>15</v>
      </c>
      <c r="B699" t="s">
        <v>24</v>
      </c>
      <c r="C699">
        <v>20150316</v>
      </c>
      <c r="D699">
        <v>0</v>
      </c>
      <c r="F699">
        <v>62500</v>
      </c>
      <c r="G699" t="s">
        <v>17</v>
      </c>
      <c r="I699" t="s">
        <v>16</v>
      </c>
      <c r="J699" t="s">
        <v>181</v>
      </c>
      <c r="K699" t="s">
        <v>25</v>
      </c>
      <c r="L699">
        <v>132757294</v>
      </c>
      <c r="R699">
        <v>1388</v>
      </c>
      <c r="S699" t="s">
        <v>201</v>
      </c>
      <c r="T699">
        <v>0</v>
      </c>
      <c r="U699">
        <v>30</v>
      </c>
      <c r="V699">
        <v>0</v>
      </c>
      <c r="W699">
        <v>0</v>
      </c>
      <c r="X699">
        <v>0</v>
      </c>
    </row>
    <row r="700" spans="1:24" x14ac:dyDescent="0.25">
      <c r="A700" t="s">
        <v>15</v>
      </c>
      <c r="B700" t="s">
        <v>24</v>
      </c>
      <c r="C700">
        <v>20150316</v>
      </c>
      <c r="D700">
        <v>0</v>
      </c>
      <c r="F700">
        <v>62500</v>
      </c>
      <c r="G700" t="s">
        <v>17</v>
      </c>
      <c r="I700" t="s">
        <v>16</v>
      </c>
      <c r="J700" t="s">
        <v>181</v>
      </c>
      <c r="K700" t="s">
        <v>25</v>
      </c>
      <c r="L700">
        <v>132757294</v>
      </c>
      <c r="R700">
        <v>1389</v>
      </c>
      <c r="S700" t="s">
        <v>214</v>
      </c>
      <c r="T700">
        <v>0</v>
      </c>
      <c r="U700">
        <v>33</v>
      </c>
      <c r="V700">
        <v>0</v>
      </c>
      <c r="W700">
        <v>0</v>
      </c>
      <c r="X700">
        <v>0</v>
      </c>
    </row>
    <row r="701" spans="1:24" x14ac:dyDescent="0.25">
      <c r="A701" t="s">
        <v>15</v>
      </c>
      <c r="B701" t="s">
        <v>24</v>
      </c>
      <c r="C701">
        <v>20150316</v>
      </c>
      <c r="D701">
        <v>0</v>
      </c>
      <c r="F701">
        <v>62500</v>
      </c>
      <c r="G701" t="s">
        <v>17</v>
      </c>
      <c r="I701" t="s">
        <v>16</v>
      </c>
      <c r="J701" t="s">
        <v>181</v>
      </c>
      <c r="K701" t="s">
        <v>25</v>
      </c>
      <c r="L701">
        <v>132757294</v>
      </c>
      <c r="R701">
        <v>1389</v>
      </c>
      <c r="S701" t="s">
        <v>194</v>
      </c>
      <c r="T701">
        <v>0</v>
      </c>
      <c r="U701">
        <v>33</v>
      </c>
      <c r="V701">
        <v>0</v>
      </c>
      <c r="W701">
        <v>0</v>
      </c>
      <c r="X701">
        <v>0</v>
      </c>
    </row>
    <row r="702" spans="1:24" x14ac:dyDescent="0.25">
      <c r="A702" t="s">
        <v>15</v>
      </c>
      <c r="B702" t="s">
        <v>24</v>
      </c>
      <c r="C702">
        <v>20150316</v>
      </c>
      <c r="D702">
        <v>0</v>
      </c>
      <c r="F702">
        <v>62500</v>
      </c>
      <c r="G702" t="s">
        <v>17</v>
      </c>
      <c r="I702" t="s">
        <v>16</v>
      </c>
      <c r="J702" t="s">
        <v>181</v>
      </c>
      <c r="K702" t="s">
        <v>25</v>
      </c>
      <c r="L702">
        <v>132757294</v>
      </c>
      <c r="R702">
        <v>1390</v>
      </c>
      <c r="S702" t="s">
        <v>214</v>
      </c>
      <c r="T702">
        <v>0</v>
      </c>
      <c r="U702">
        <v>-33</v>
      </c>
      <c r="V702">
        <v>0</v>
      </c>
      <c r="W702">
        <v>0</v>
      </c>
      <c r="X702">
        <v>0</v>
      </c>
    </row>
    <row r="703" spans="1:24" x14ac:dyDescent="0.25">
      <c r="A703" t="s">
        <v>15</v>
      </c>
      <c r="B703" t="s">
        <v>24</v>
      </c>
      <c r="C703">
        <v>20150316</v>
      </c>
      <c r="D703">
        <v>0</v>
      </c>
      <c r="F703">
        <v>62500</v>
      </c>
      <c r="G703" t="s">
        <v>17</v>
      </c>
      <c r="I703" t="s">
        <v>16</v>
      </c>
      <c r="J703" t="s">
        <v>181</v>
      </c>
      <c r="K703" t="s">
        <v>25</v>
      </c>
      <c r="L703">
        <v>132757294</v>
      </c>
      <c r="R703">
        <v>1387</v>
      </c>
      <c r="S703" t="s">
        <v>196</v>
      </c>
      <c r="T703">
        <v>0</v>
      </c>
      <c r="U703">
        <v>31</v>
      </c>
      <c r="V703">
        <v>0</v>
      </c>
      <c r="W703">
        <v>0</v>
      </c>
      <c r="X703">
        <v>0</v>
      </c>
    </row>
    <row r="704" spans="1:24" x14ac:dyDescent="0.25">
      <c r="A704" t="s">
        <v>15</v>
      </c>
      <c r="B704" t="s">
        <v>24</v>
      </c>
      <c r="C704">
        <v>20150316</v>
      </c>
      <c r="D704">
        <v>0</v>
      </c>
      <c r="F704">
        <v>62500</v>
      </c>
      <c r="G704" t="s">
        <v>17</v>
      </c>
      <c r="I704" t="s">
        <v>16</v>
      </c>
      <c r="J704" t="s">
        <v>181</v>
      </c>
      <c r="K704" t="s">
        <v>25</v>
      </c>
      <c r="L704">
        <v>132757294</v>
      </c>
      <c r="R704">
        <v>1387</v>
      </c>
      <c r="S704" t="s">
        <v>201</v>
      </c>
      <c r="T704">
        <v>0</v>
      </c>
      <c r="U704">
        <v>31</v>
      </c>
      <c r="V704">
        <v>0</v>
      </c>
      <c r="W704">
        <v>0</v>
      </c>
      <c r="X704">
        <v>0</v>
      </c>
    </row>
    <row r="705" spans="1:24" x14ac:dyDescent="0.25">
      <c r="A705" t="s">
        <v>15</v>
      </c>
      <c r="B705" t="s">
        <v>24</v>
      </c>
      <c r="C705">
        <v>20150316</v>
      </c>
      <c r="D705">
        <v>0</v>
      </c>
      <c r="F705">
        <v>62500</v>
      </c>
      <c r="G705" t="s">
        <v>17</v>
      </c>
      <c r="I705" t="s">
        <v>16</v>
      </c>
      <c r="J705" t="s">
        <v>181</v>
      </c>
      <c r="K705" t="s">
        <v>25</v>
      </c>
      <c r="L705">
        <v>132757294</v>
      </c>
      <c r="R705">
        <v>1389</v>
      </c>
      <c r="S705" t="s">
        <v>194</v>
      </c>
      <c r="T705">
        <v>0</v>
      </c>
      <c r="U705">
        <v>33</v>
      </c>
      <c r="V705">
        <v>0</v>
      </c>
      <c r="W705">
        <v>0</v>
      </c>
      <c r="X705">
        <v>0</v>
      </c>
    </row>
    <row r="706" spans="1:24" x14ac:dyDescent="0.25">
      <c r="A706" t="s">
        <v>15</v>
      </c>
      <c r="B706" t="s">
        <v>24</v>
      </c>
      <c r="C706">
        <v>20150316</v>
      </c>
      <c r="D706">
        <v>0</v>
      </c>
      <c r="F706">
        <v>62500</v>
      </c>
      <c r="G706" t="s">
        <v>17</v>
      </c>
      <c r="I706" t="s">
        <v>16</v>
      </c>
      <c r="J706" t="s">
        <v>181</v>
      </c>
      <c r="K706" t="s">
        <v>25</v>
      </c>
      <c r="L706">
        <v>132757294</v>
      </c>
      <c r="R706">
        <v>1389</v>
      </c>
      <c r="S706" t="s">
        <v>194</v>
      </c>
      <c r="T706">
        <v>0</v>
      </c>
      <c r="U706">
        <v>33</v>
      </c>
      <c r="V706">
        <v>0</v>
      </c>
      <c r="W706">
        <v>0</v>
      </c>
      <c r="X706">
        <v>0</v>
      </c>
    </row>
    <row r="707" spans="1:24" x14ac:dyDescent="0.25">
      <c r="A707" t="s">
        <v>15</v>
      </c>
      <c r="B707" t="s">
        <v>24</v>
      </c>
      <c r="C707">
        <v>20150316</v>
      </c>
      <c r="D707">
        <v>0</v>
      </c>
      <c r="F707">
        <v>62500</v>
      </c>
      <c r="G707" t="s">
        <v>17</v>
      </c>
      <c r="I707" t="s">
        <v>16</v>
      </c>
      <c r="J707" t="s">
        <v>181</v>
      </c>
      <c r="K707" t="s">
        <v>25</v>
      </c>
      <c r="L707">
        <v>132757294</v>
      </c>
      <c r="R707">
        <v>1390</v>
      </c>
      <c r="S707" t="s">
        <v>214</v>
      </c>
      <c r="T707">
        <v>0</v>
      </c>
      <c r="U707">
        <v>-33</v>
      </c>
      <c r="V707">
        <v>0</v>
      </c>
      <c r="W707">
        <v>0</v>
      </c>
      <c r="X707">
        <v>0</v>
      </c>
    </row>
    <row r="708" spans="1:24" x14ac:dyDescent="0.25">
      <c r="A708" t="s">
        <v>15</v>
      </c>
      <c r="B708" t="s">
        <v>24</v>
      </c>
      <c r="C708">
        <v>20150316</v>
      </c>
      <c r="D708">
        <v>0</v>
      </c>
      <c r="F708">
        <v>62500</v>
      </c>
      <c r="G708" t="s">
        <v>17</v>
      </c>
      <c r="I708" t="s">
        <v>16</v>
      </c>
      <c r="J708" t="s">
        <v>181</v>
      </c>
      <c r="K708" t="s">
        <v>25</v>
      </c>
      <c r="L708">
        <v>132757294</v>
      </c>
      <c r="R708">
        <v>1390</v>
      </c>
      <c r="S708" t="s">
        <v>194</v>
      </c>
      <c r="T708">
        <v>0</v>
      </c>
      <c r="U708">
        <v>33</v>
      </c>
      <c r="V708">
        <v>0</v>
      </c>
      <c r="W708">
        <v>0</v>
      </c>
      <c r="X708">
        <v>0</v>
      </c>
    </row>
    <row r="709" spans="1:24" x14ac:dyDescent="0.25">
      <c r="A709" t="s">
        <v>15</v>
      </c>
      <c r="B709" t="s">
        <v>24</v>
      </c>
      <c r="C709">
        <v>20150316</v>
      </c>
      <c r="D709">
        <v>0</v>
      </c>
      <c r="F709">
        <v>62500</v>
      </c>
      <c r="G709" t="s">
        <v>17</v>
      </c>
      <c r="I709" t="s">
        <v>16</v>
      </c>
      <c r="J709" t="s">
        <v>181</v>
      </c>
      <c r="K709" t="s">
        <v>25</v>
      </c>
      <c r="L709">
        <v>132757294</v>
      </c>
      <c r="R709">
        <v>1390</v>
      </c>
      <c r="S709" t="s">
        <v>194</v>
      </c>
      <c r="T709">
        <v>0</v>
      </c>
      <c r="U709">
        <v>33</v>
      </c>
      <c r="V709">
        <v>0</v>
      </c>
      <c r="W709">
        <v>0</v>
      </c>
      <c r="X709">
        <v>0</v>
      </c>
    </row>
    <row r="710" spans="1:24" x14ac:dyDescent="0.25">
      <c r="A710" t="s">
        <v>15</v>
      </c>
      <c r="B710" t="s">
        <v>24</v>
      </c>
      <c r="C710">
        <v>20150316</v>
      </c>
      <c r="D710">
        <v>0</v>
      </c>
      <c r="F710">
        <v>62500</v>
      </c>
      <c r="G710" t="s">
        <v>17</v>
      </c>
      <c r="I710" t="s">
        <v>16</v>
      </c>
      <c r="J710" t="s">
        <v>181</v>
      </c>
      <c r="K710" t="s">
        <v>25</v>
      </c>
      <c r="L710">
        <v>132757294</v>
      </c>
      <c r="R710">
        <v>1390</v>
      </c>
      <c r="S710" t="s">
        <v>194</v>
      </c>
      <c r="T710">
        <v>0</v>
      </c>
      <c r="U710">
        <v>33</v>
      </c>
      <c r="V710">
        <v>0</v>
      </c>
      <c r="W710">
        <v>0</v>
      </c>
      <c r="X710">
        <v>0</v>
      </c>
    </row>
    <row r="711" spans="1:24" x14ac:dyDescent="0.25">
      <c r="A711" t="s">
        <v>15</v>
      </c>
      <c r="B711" t="s">
        <v>24</v>
      </c>
      <c r="C711">
        <v>20150316</v>
      </c>
      <c r="D711">
        <v>0</v>
      </c>
      <c r="F711">
        <v>62500</v>
      </c>
      <c r="G711" t="s">
        <v>17</v>
      </c>
      <c r="I711" t="s">
        <v>16</v>
      </c>
      <c r="J711" t="s">
        <v>181</v>
      </c>
      <c r="K711" t="s">
        <v>25</v>
      </c>
      <c r="L711">
        <v>132757294</v>
      </c>
      <c r="R711">
        <v>1391</v>
      </c>
      <c r="S711" t="s">
        <v>214</v>
      </c>
      <c r="T711">
        <v>0</v>
      </c>
      <c r="U711">
        <v>33</v>
      </c>
      <c r="V711">
        <v>0</v>
      </c>
      <c r="W711">
        <v>0</v>
      </c>
      <c r="X711">
        <v>0</v>
      </c>
    </row>
    <row r="712" spans="1:24" x14ac:dyDescent="0.25">
      <c r="A712" t="s">
        <v>15</v>
      </c>
      <c r="B712" t="s">
        <v>24</v>
      </c>
      <c r="C712">
        <v>20150316</v>
      </c>
      <c r="D712">
        <v>0</v>
      </c>
      <c r="F712">
        <v>62500</v>
      </c>
      <c r="G712" t="s">
        <v>17</v>
      </c>
      <c r="I712" t="s">
        <v>16</v>
      </c>
      <c r="J712" t="s">
        <v>181</v>
      </c>
      <c r="K712" t="s">
        <v>25</v>
      </c>
      <c r="L712">
        <v>132757294</v>
      </c>
      <c r="R712">
        <v>1389</v>
      </c>
      <c r="S712" t="s">
        <v>196</v>
      </c>
      <c r="T712">
        <v>0</v>
      </c>
      <c r="U712">
        <v>33</v>
      </c>
      <c r="V712">
        <v>0</v>
      </c>
      <c r="W712">
        <v>0</v>
      </c>
      <c r="X712">
        <v>0</v>
      </c>
    </row>
    <row r="713" spans="1:24" x14ac:dyDescent="0.25">
      <c r="A713" t="s">
        <v>15</v>
      </c>
      <c r="B713" t="s">
        <v>24</v>
      </c>
      <c r="C713">
        <v>20150316</v>
      </c>
      <c r="D713">
        <v>0</v>
      </c>
      <c r="F713">
        <v>62500</v>
      </c>
      <c r="G713" t="s">
        <v>17</v>
      </c>
      <c r="I713" t="s">
        <v>16</v>
      </c>
      <c r="J713" t="s">
        <v>181</v>
      </c>
      <c r="K713" t="s">
        <v>25</v>
      </c>
      <c r="L713">
        <v>132757294</v>
      </c>
      <c r="R713">
        <v>1389</v>
      </c>
      <c r="S713" t="s">
        <v>201</v>
      </c>
      <c r="T713">
        <v>0</v>
      </c>
      <c r="U713">
        <v>33</v>
      </c>
      <c r="V713">
        <v>0</v>
      </c>
      <c r="W713">
        <v>0</v>
      </c>
      <c r="X713">
        <v>0</v>
      </c>
    </row>
    <row r="714" spans="1:24" x14ac:dyDescent="0.25">
      <c r="A714" t="s">
        <v>15</v>
      </c>
      <c r="B714" t="s">
        <v>24</v>
      </c>
      <c r="C714">
        <v>20150316</v>
      </c>
      <c r="D714">
        <v>0</v>
      </c>
      <c r="F714">
        <v>62500</v>
      </c>
      <c r="G714" t="s">
        <v>17</v>
      </c>
      <c r="I714" t="s">
        <v>16</v>
      </c>
      <c r="J714" t="s">
        <v>181</v>
      </c>
      <c r="K714" t="s">
        <v>25</v>
      </c>
      <c r="L714">
        <v>132757294</v>
      </c>
      <c r="R714">
        <v>1391</v>
      </c>
      <c r="S714" t="s">
        <v>214</v>
      </c>
      <c r="T714">
        <v>0</v>
      </c>
      <c r="U714">
        <v>33</v>
      </c>
      <c r="V714">
        <v>0</v>
      </c>
      <c r="W714">
        <v>0</v>
      </c>
      <c r="X714">
        <v>0</v>
      </c>
    </row>
    <row r="715" spans="1:24" x14ac:dyDescent="0.25">
      <c r="A715" t="s">
        <v>15</v>
      </c>
      <c r="B715" t="s">
        <v>24</v>
      </c>
      <c r="C715">
        <v>20150316</v>
      </c>
      <c r="D715">
        <v>0</v>
      </c>
      <c r="F715">
        <v>62500</v>
      </c>
      <c r="G715" t="s">
        <v>17</v>
      </c>
      <c r="I715" t="s">
        <v>16</v>
      </c>
      <c r="J715" t="s">
        <v>181</v>
      </c>
      <c r="K715" t="s">
        <v>25</v>
      </c>
      <c r="L715">
        <v>132757294</v>
      </c>
      <c r="R715">
        <v>1391</v>
      </c>
      <c r="S715" t="s">
        <v>194</v>
      </c>
      <c r="T715">
        <v>0</v>
      </c>
      <c r="U715">
        <v>33</v>
      </c>
      <c r="V715">
        <v>0</v>
      </c>
      <c r="W715">
        <v>0</v>
      </c>
      <c r="X715">
        <v>0</v>
      </c>
    </row>
    <row r="716" spans="1:24" x14ac:dyDescent="0.25">
      <c r="A716" t="s">
        <v>15</v>
      </c>
      <c r="B716" t="s">
        <v>24</v>
      </c>
      <c r="C716">
        <v>20150316</v>
      </c>
      <c r="D716">
        <v>0</v>
      </c>
      <c r="F716">
        <v>62500</v>
      </c>
      <c r="G716" t="s">
        <v>17</v>
      </c>
      <c r="I716" t="s">
        <v>16</v>
      </c>
      <c r="J716" t="s">
        <v>181</v>
      </c>
      <c r="K716" t="s">
        <v>25</v>
      </c>
      <c r="L716">
        <v>132757294</v>
      </c>
      <c r="R716">
        <v>1391</v>
      </c>
      <c r="S716" t="s">
        <v>194</v>
      </c>
      <c r="T716">
        <v>0</v>
      </c>
      <c r="U716">
        <v>33</v>
      </c>
      <c r="V716">
        <v>0</v>
      </c>
      <c r="W716">
        <v>0</v>
      </c>
      <c r="X716">
        <v>0</v>
      </c>
    </row>
    <row r="717" spans="1:24" x14ac:dyDescent="0.25">
      <c r="A717" t="s">
        <v>15</v>
      </c>
      <c r="B717" t="s">
        <v>24</v>
      </c>
      <c r="C717">
        <v>20150316</v>
      </c>
      <c r="D717">
        <v>0</v>
      </c>
      <c r="F717">
        <v>62500</v>
      </c>
      <c r="G717" t="s">
        <v>17</v>
      </c>
      <c r="I717" t="s">
        <v>16</v>
      </c>
      <c r="J717" t="s">
        <v>181</v>
      </c>
      <c r="K717" t="s">
        <v>25</v>
      </c>
      <c r="L717">
        <v>132757294</v>
      </c>
      <c r="R717">
        <v>1391</v>
      </c>
      <c r="S717" t="s">
        <v>194</v>
      </c>
      <c r="T717">
        <v>0</v>
      </c>
      <c r="U717">
        <v>33</v>
      </c>
      <c r="V717">
        <v>0</v>
      </c>
      <c r="W717">
        <v>0</v>
      </c>
      <c r="X717">
        <v>0</v>
      </c>
    </row>
    <row r="718" spans="1:24" x14ac:dyDescent="0.25">
      <c r="A718" t="s">
        <v>15</v>
      </c>
      <c r="B718" t="s">
        <v>24</v>
      </c>
      <c r="C718">
        <v>20150316</v>
      </c>
      <c r="D718">
        <v>0</v>
      </c>
      <c r="F718">
        <v>62500</v>
      </c>
      <c r="G718" t="s">
        <v>17</v>
      </c>
      <c r="I718" t="s">
        <v>16</v>
      </c>
      <c r="J718" t="s">
        <v>181</v>
      </c>
      <c r="K718" t="s">
        <v>25</v>
      </c>
      <c r="L718">
        <v>132757294</v>
      </c>
      <c r="R718">
        <v>1392</v>
      </c>
      <c r="S718" t="s">
        <v>214</v>
      </c>
      <c r="T718">
        <v>0</v>
      </c>
      <c r="U718">
        <v>-33</v>
      </c>
      <c r="V718">
        <v>0</v>
      </c>
      <c r="W718">
        <v>0</v>
      </c>
      <c r="X718">
        <v>0</v>
      </c>
    </row>
    <row r="719" spans="1:24" x14ac:dyDescent="0.25">
      <c r="A719" t="s">
        <v>15</v>
      </c>
      <c r="B719" t="s">
        <v>24</v>
      </c>
      <c r="C719">
        <v>20150316</v>
      </c>
      <c r="D719">
        <v>0</v>
      </c>
      <c r="F719">
        <v>62500</v>
      </c>
      <c r="G719" t="s">
        <v>17</v>
      </c>
      <c r="I719" t="s">
        <v>16</v>
      </c>
      <c r="J719" t="s">
        <v>181</v>
      </c>
      <c r="K719" t="s">
        <v>25</v>
      </c>
      <c r="L719">
        <v>132757294</v>
      </c>
      <c r="R719">
        <v>1390</v>
      </c>
      <c r="S719" t="s">
        <v>196</v>
      </c>
      <c r="T719">
        <v>0</v>
      </c>
      <c r="U719">
        <v>33</v>
      </c>
      <c r="V719">
        <v>0</v>
      </c>
      <c r="W719">
        <v>0</v>
      </c>
      <c r="X719">
        <v>0</v>
      </c>
    </row>
    <row r="720" spans="1:24" x14ac:dyDescent="0.25">
      <c r="A720" t="s">
        <v>15</v>
      </c>
      <c r="B720" t="s">
        <v>24</v>
      </c>
      <c r="C720">
        <v>20150316</v>
      </c>
      <c r="D720">
        <v>0</v>
      </c>
      <c r="F720">
        <v>62500</v>
      </c>
      <c r="G720" t="s">
        <v>17</v>
      </c>
      <c r="I720" t="s">
        <v>16</v>
      </c>
      <c r="J720" t="s">
        <v>181</v>
      </c>
      <c r="K720" t="s">
        <v>25</v>
      </c>
      <c r="L720">
        <v>132757294</v>
      </c>
      <c r="R720">
        <v>1390</v>
      </c>
      <c r="S720" t="s">
        <v>201</v>
      </c>
      <c r="T720">
        <v>0</v>
      </c>
      <c r="U720">
        <v>33</v>
      </c>
      <c r="V720">
        <v>0</v>
      </c>
      <c r="W720">
        <v>0</v>
      </c>
      <c r="X720">
        <v>0</v>
      </c>
    </row>
    <row r="721" spans="1:24" x14ac:dyDescent="0.25">
      <c r="A721" t="s">
        <v>15</v>
      </c>
      <c r="B721" t="s">
        <v>24</v>
      </c>
      <c r="C721">
        <v>20150316</v>
      </c>
      <c r="D721">
        <v>0</v>
      </c>
      <c r="F721">
        <v>62500</v>
      </c>
      <c r="G721" t="s">
        <v>17</v>
      </c>
      <c r="I721" t="s">
        <v>16</v>
      </c>
      <c r="J721" t="s">
        <v>181</v>
      </c>
      <c r="K721" t="s">
        <v>25</v>
      </c>
      <c r="L721">
        <v>132757294</v>
      </c>
      <c r="R721">
        <v>1392</v>
      </c>
      <c r="S721" t="s">
        <v>214</v>
      </c>
      <c r="T721">
        <v>0</v>
      </c>
      <c r="U721">
        <v>-33</v>
      </c>
      <c r="V721">
        <v>0</v>
      </c>
      <c r="W721">
        <v>0</v>
      </c>
      <c r="X721">
        <v>0</v>
      </c>
    </row>
    <row r="722" spans="1:24" x14ac:dyDescent="0.25">
      <c r="A722" t="s">
        <v>15</v>
      </c>
      <c r="B722" t="s">
        <v>24</v>
      </c>
      <c r="C722">
        <v>20150316</v>
      </c>
      <c r="D722">
        <v>0</v>
      </c>
      <c r="F722">
        <v>62500</v>
      </c>
      <c r="G722" t="s">
        <v>17</v>
      </c>
      <c r="I722" t="s">
        <v>16</v>
      </c>
      <c r="J722" t="s">
        <v>181</v>
      </c>
      <c r="K722" t="s">
        <v>25</v>
      </c>
      <c r="L722">
        <v>132757294</v>
      </c>
      <c r="R722">
        <v>1392</v>
      </c>
      <c r="S722" t="s">
        <v>194</v>
      </c>
      <c r="T722">
        <v>0</v>
      </c>
      <c r="U722">
        <v>33</v>
      </c>
      <c r="V722">
        <v>0</v>
      </c>
      <c r="W722">
        <v>0</v>
      </c>
      <c r="X722">
        <v>0</v>
      </c>
    </row>
    <row r="723" spans="1:24" x14ac:dyDescent="0.25">
      <c r="A723" t="s">
        <v>15</v>
      </c>
      <c r="B723" t="s">
        <v>24</v>
      </c>
      <c r="C723">
        <v>20150316</v>
      </c>
      <c r="D723">
        <v>0</v>
      </c>
      <c r="F723">
        <v>62500</v>
      </c>
      <c r="G723" t="s">
        <v>17</v>
      </c>
      <c r="I723" t="s">
        <v>16</v>
      </c>
      <c r="J723" t="s">
        <v>181</v>
      </c>
      <c r="K723" t="s">
        <v>25</v>
      </c>
      <c r="L723">
        <v>132757294</v>
      </c>
      <c r="R723">
        <v>1392</v>
      </c>
      <c r="S723" t="s">
        <v>194</v>
      </c>
      <c r="T723">
        <v>0</v>
      </c>
      <c r="U723">
        <v>33</v>
      </c>
      <c r="V723">
        <v>0</v>
      </c>
      <c r="W723">
        <v>0</v>
      </c>
      <c r="X723">
        <v>0</v>
      </c>
    </row>
    <row r="724" spans="1:24" x14ac:dyDescent="0.25">
      <c r="A724" t="s">
        <v>15</v>
      </c>
      <c r="B724" t="s">
        <v>24</v>
      </c>
      <c r="C724">
        <v>20150316</v>
      </c>
      <c r="D724">
        <v>0</v>
      </c>
      <c r="F724">
        <v>62500</v>
      </c>
      <c r="G724" t="s">
        <v>17</v>
      </c>
      <c r="I724" t="s">
        <v>16</v>
      </c>
      <c r="J724" t="s">
        <v>181</v>
      </c>
      <c r="K724" t="s">
        <v>25</v>
      </c>
      <c r="L724">
        <v>132757294</v>
      </c>
      <c r="R724">
        <v>1392</v>
      </c>
      <c r="S724" t="s">
        <v>194</v>
      </c>
      <c r="T724">
        <v>0</v>
      </c>
      <c r="U724">
        <v>33</v>
      </c>
      <c r="V724">
        <v>0</v>
      </c>
      <c r="W724">
        <v>0</v>
      </c>
      <c r="X724">
        <v>0</v>
      </c>
    </row>
    <row r="725" spans="1:24" x14ac:dyDescent="0.25">
      <c r="A725" t="s">
        <v>15</v>
      </c>
      <c r="B725" t="s">
        <v>24</v>
      </c>
      <c r="C725">
        <v>20150316</v>
      </c>
      <c r="D725">
        <v>0</v>
      </c>
      <c r="F725">
        <v>62500</v>
      </c>
      <c r="G725" t="s">
        <v>17</v>
      </c>
      <c r="I725" t="s">
        <v>16</v>
      </c>
      <c r="J725" t="s">
        <v>181</v>
      </c>
      <c r="K725" t="s">
        <v>25</v>
      </c>
      <c r="L725">
        <v>132757294</v>
      </c>
      <c r="R725">
        <v>1393</v>
      </c>
      <c r="S725" t="s">
        <v>214</v>
      </c>
      <c r="T725">
        <v>0</v>
      </c>
      <c r="U725">
        <v>-32</v>
      </c>
      <c r="V725">
        <v>0</v>
      </c>
      <c r="W725">
        <v>0</v>
      </c>
      <c r="X725">
        <v>0</v>
      </c>
    </row>
    <row r="726" spans="1:24" x14ac:dyDescent="0.25">
      <c r="A726" t="s">
        <v>15</v>
      </c>
      <c r="B726" t="s">
        <v>24</v>
      </c>
      <c r="C726">
        <v>20150316</v>
      </c>
      <c r="D726">
        <v>0</v>
      </c>
      <c r="F726">
        <v>62500</v>
      </c>
      <c r="G726" t="s">
        <v>17</v>
      </c>
      <c r="I726" t="s">
        <v>16</v>
      </c>
      <c r="J726" t="s">
        <v>181</v>
      </c>
      <c r="K726" t="s">
        <v>25</v>
      </c>
      <c r="L726">
        <v>132757294</v>
      </c>
      <c r="R726">
        <v>1392</v>
      </c>
      <c r="S726" t="s">
        <v>196</v>
      </c>
      <c r="T726">
        <v>0</v>
      </c>
      <c r="U726">
        <v>33</v>
      </c>
      <c r="V726">
        <v>0</v>
      </c>
      <c r="W726">
        <v>0</v>
      </c>
      <c r="X726">
        <v>0</v>
      </c>
    </row>
    <row r="727" spans="1:24" x14ac:dyDescent="0.25">
      <c r="A727" t="s">
        <v>15</v>
      </c>
      <c r="B727" t="s">
        <v>24</v>
      </c>
      <c r="C727">
        <v>20150316</v>
      </c>
      <c r="D727">
        <v>0</v>
      </c>
      <c r="F727">
        <v>62500</v>
      </c>
      <c r="G727" t="s">
        <v>17</v>
      </c>
      <c r="I727" t="s">
        <v>16</v>
      </c>
      <c r="J727" t="s">
        <v>181</v>
      </c>
      <c r="K727" t="s">
        <v>25</v>
      </c>
      <c r="L727">
        <v>132757294</v>
      </c>
      <c r="R727">
        <v>1392</v>
      </c>
      <c r="S727" t="s">
        <v>201</v>
      </c>
      <c r="T727">
        <v>0</v>
      </c>
      <c r="U727">
        <v>33</v>
      </c>
      <c r="V727">
        <v>0</v>
      </c>
      <c r="W727">
        <v>0</v>
      </c>
      <c r="X727">
        <v>0</v>
      </c>
    </row>
    <row r="728" spans="1:24" x14ac:dyDescent="0.25">
      <c r="A728" t="s">
        <v>15</v>
      </c>
      <c r="B728" t="s">
        <v>24</v>
      </c>
      <c r="C728">
        <v>20150316</v>
      </c>
      <c r="D728">
        <v>0</v>
      </c>
      <c r="F728">
        <v>62500</v>
      </c>
      <c r="G728" t="s">
        <v>17</v>
      </c>
      <c r="I728" t="s">
        <v>16</v>
      </c>
      <c r="J728" t="s">
        <v>181</v>
      </c>
      <c r="K728" t="s">
        <v>25</v>
      </c>
      <c r="L728">
        <v>132757294</v>
      </c>
      <c r="R728">
        <v>1393</v>
      </c>
      <c r="S728" t="s">
        <v>214</v>
      </c>
      <c r="T728">
        <v>0</v>
      </c>
      <c r="U728">
        <v>-32</v>
      </c>
      <c r="V728">
        <v>0</v>
      </c>
      <c r="W728">
        <v>0</v>
      </c>
      <c r="X728">
        <v>0</v>
      </c>
    </row>
    <row r="729" spans="1:24" x14ac:dyDescent="0.25">
      <c r="A729" t="s">
        <v>15</v>
      </c>
      <c r="B729" t="s">
        <v>24</v>
      </c>
      <c r="C729">
        <v>20150316</v>
      </c>
      <c r="D729">
        <v>0</v>
      </c>
      <c r="F729">
        <v>62500</v>
      </c>
      <c r="G729" t="s">
        <v>17</v>
      </c>
      <c r="I729" t="s">
        <v>16</v>
      </c>
      <c r="J729" t="s">
        <v>181</v>
      </c>
      <c r="K729" t="s">
        <v>25</v>
      </c>
      <c r="L729">
        <v>132757294</v>
      </c>
      <c r="R729">
        <v>1393</v>
      </c>
      <c r="S729" t="s">
        <v>194</v>
      </c>
      <c r="T729">
        <v>0</v>
      </c>
      <c r="U729">
        <v>32</v>
      </c>
      <c r="V729">
        <v>0</v>
      </c>
      <c r="W729">
        <v>0</v>
      </c>
      <c r="X729">
        <v>0</v>
      </c>
    </row>
    <row r="730" spans="1:24" x14ac:dyDescent="0.25">
      <c r="A730" t="s">
        <v>15</v>
      </c>
      <c r="B730" t="s">
        <v>24</v>
      </c>
      <c r="C730">
        <v>20150316</v>
      </c>
      <c r="D730">
        <v>0</v>
      </c>
      <c r="F730">
        <v>62500</v>
      </c>
      <c r="G730" t="s">
        <v>17</v>
      </c>
      <c r="I730" t="s">
        <v>16</v>
      </c>
      <c r="J730" t="s">
        <v>181</v>
      </c>
      <c r="K730" t="s">
        <v>25</v>
      </c>
      <c r="L730">
        <v>132757294</v>
      </c>
      <c r="R730">
        <v>1393</v>
      </c>
      <c r="S730" t="s">
        <v>194</v>
      </c>
      <c r="T730">
        <v>0</v>
      </c>
      <c r="U730">
        <v>32</v>
      </c>
      <c r="V730">
        <v>0</v>
      </c>
      <c r="W730">
        <v>0</v>
      </c>
      <c r="X730">
        <v>0</v>
      </c>
    </row>
    <row r="731" spans="1:24" x14ac:dyDescent="0.25">
      <c r="A731" t="s">
        <v>15</v>
      </c>
      <c r="B731" t="s">
        <v>24</v>
      </c>
      <c r="C731">
        <v>20150316</v>
      </c>
      <c r="D731">
        <v>0</v>
      </c>
      <c r="F731">
        <v>62500</v>
      </c>
      <c r="G731" t="s">
        <v>17</v>
      </c>
      <c r="I731" t="s">
        <v>16</v>
      </c>
      <c r="J731" t="s">
        <v>181</v>
      </c>
      <c r="K731" t="s">
        <v>25</v>
      </c>
      <c r="L731">
        <v>132757294</v>
      </c>
      <c r="R731">
        <v>1393</v>
      </c>
      <c r="S731" t="s">
        <v>194</v>
      </c>
      <c r="T731">
        <v>0</v>
      </c>
      <c r="U731">
        <v>32</v>
      </c>
      <c r="V731">
        <v>0</v>
      </c>
      <c r="W731">
        <v>0</v>
      </c>
      <c r="X731">
        <v>0</v>
      </c>
    </row>
    <row r="732" spans="1:24" x14ac:dyDescent="0.25">
      <c r="A732" t="s">
        <v>15</v>
      </c>
      <c r="B732" t="s">
        <v>24</v>
      </c>
      <c r="C732">
        <v>20150316</v>
      </c>
      <c r="D732">
        <v>0</v>
      </c>
      <c r="F732">
        <v>62500</v>
      </c>
      <c r="G732" t="s">
        <v>17</v>
      </c>
      <c r="I732" t="s">
        <v>16</v>
      </c>
      <c r="J732" t="s">
        <v>181</v>
      </c>
      <c r="K732" t="s">
        <v>25</v>
      </c>
      <c r="L732">
        <v>132757294</v>
      </c>
      <c r="R732">
        <v>1394</v>
      </c>
      <c r="S732" t="s">
        <v>214</v>
      </c>
      <c r="T732">
        <v>0</v>
      </c>
      <c r="U732">
        <v>29</v>
      </c>
      <c r="V732">
        <v>0</v>
      </c>
      <c r="W732">
        <v>0</v>
      </c>
      <c r="X732">
        <v>0</v>
      </c>
    </row>
    <row r="733" spans="1:24" x14ac:dyDescent="0.25">
      <c r="A733" t="s">
        <v>15</v>
      </c>
      <c r="B733" t="s">
        <v>24</v>
      </c>
      <c r="C733">
        <v>20150316</v>
      </c>
      <c r="D733">
        <v>0</v>
      </c>
      <c r="F733">
        <v>62500</v>
      </c>
      <c r="G733" t="s">
        <v>17</v>
      </c>
      <c r="I733" t="s">
        <v>16</v>
      </c>
      <c r="J733" t="s">
        <v>181</v>
      </c>
      <c r="K733" t="s">
        <v>25</v>
      </c>
      <c r="L733">
        <v>132757294</v>
      </c>
      <c r="R733">
        <v>1391</v>
      </c>
      <c r="S733" t="s">
        <v>196</v>
      </c>
      <c r="T733">
        <v>0</v>
      </c>
      <c r="U733">
        <v>33</v>
      </c>
      <c r="V733">
        <v>0</v>
      </c>
      <c r="W733">
        <v>0</v>
      </c>
      <c r="X733">
        <v>0</v>
      </c>
    </row>
    <row r="734" spans="1:24" x14ac:dyDescent="0.25">
      <c r="A734" t="s">
        <v>15</v>
      </c>
      <c r="B734" t="s">
        <v>24</v>
      </c>
      <c r="C734">
        <v>20150316</v>
      </c>
      <c r="D734">
        <v>0</v>
      </c>
      <c r="F734">
        <v>62500</v>
      </c>
      <c r="G734" t="s">
        <v>17</v>
      </c>
      <c r="I734" t="s">
        <v>16</v>
      </c>
      <c r="J734" t="s">
        <v>181</v>
      </c>
      <c r="K734" t="s">
        <v>25</v>
      </c>
      <c r="L734">
        <v>132757294</v>
      </c>
      <c r="R734">
        <v>1391</v>
      </c>
      <c r="S734" t="s">
        <v>201</v>
      </c>
      <c r="T734">
        <v>0</v>
      </c>
      <c r="U734">
        <v>33</v>
      </c>
      <c r="V734">
        <v>0</v>
      </c>
      <c r="W734">
        <v>0</v>
      </c>
      <c r="X734">
        <v>0</v>
      </c>
    </row>
    <row r="735" spans="1:24" x14ac:dyDescent="0.25">
      <c r="A735" t="s">
        <v>15</v>
      </c>
      <c r="B735" t="s">
        <v>24</v>
      </c>
      <c r="C735">
        <v>20150316</v>
      </c>
      <c r="D735">
        <v>0</v>
      </c>
      <c r="F735">
        <v>62500</v>
      </c>
      <c r="G735" t="s">
        <v>17</v>
      </c>
      <c r="I735" t="s">
        <v>16</v>
      </c>
      <c r="J735" t="s">
        <v>181</v>
      </c>
      <c r="K735" t="s">
        <v>25</v>
      </c>
      <c r="L735">
        <v>132757294</v>
      </c>
      <c r="R735">
        <v>1394</v>
      </c>
      <c r="S735" t="s">
        <v>214</v>
      </c>
      <c r="T735">
        <v>0</v>
      </c>
      <c r="U735">
        <v>29</v>
      </c>
      <c r="V735">
        <v>0</v>
      </c>
      <c r="W735">
        <v>0</v>
      </c>
      <c r="X735">
        <v>0</v>
      </c>
    </row>
    <row r="736" spans="1:24" x14ac:dyDescent="0.25">
      <c r="A736" t="s">
        <v>15</v>
      </c>
      <c r="B736" t="s">
        <v>24</v>
      </c>
      <c r="C736">
        <v>20150316</v>
      </c>
      <c r="D736">
        <v>0</v>
      </c>
      <c r="F736">
        <v>62500</v>
      </c>
      <c r="G736" t="s">
        <v>17</v>
      </c>
      <c r="I736" t="s">
        <v>16</v>
      </c>
      <c r="J736" t="s">
        <v>181</v>
      </c>
      <c r="K736" t="s">
        <v>25</v>
      </c>
      <c r="L736">
        <v>132757294</v>
      </c>
      <c r="R736">
        <v>1394</v>
      </c>
      <c r="S736" t="s">
        <v>194</v>
      </c>
      <c r="T736">
        <v>0</v>
      </c>
      <c r="U736">
        <v>29</v>
      </c>
      <c r="V736">
        <v>0</v>
      </c>
      <c r="W736">
        <v>0</v>
      </c>
      <c r="X736">
        <v>0</v>
      </c>
    </row>
    <row r="737" spans="1:24" x14ac:dyDescent="0.25">
      <c r="A737" t="s">
        <v>15</v>
      </c>
      <c r="B737" t="s">
        <v>24</v>
      </c>
      <c r="C737">
        <v>20150316</v>
      </c>
      <c r="D737">
        <v>0</v>
      </c>
      <c r="F737">
        <v>62500</v>
      </c>
      <c r="G737" t="s">
        <v>17</v>
      </c>
      <c r="I737" t="s">
        <v>16</v>
      </c>
      <c r="J737" t="s">
        <v>181</v>
      </c>
      <c r="K737" t="s">
        <v>25</v>
      </c>
      <c r="L737">
        <v>132757294</v>
      </c>
      <c r="R737">
        <v>1393</v>
      </c>
      <c r="S737" t="s">
        <v>196</v>
      </c>
      <c r="T737">
        <v>0</v>
      </c>
      <c r="U737">
        <v>32</v>
      </c>
      <c r="V737">
        <v>0</v>
      </c>
      <c r="W737">
        <v>0</v>
      </c>
      <c r="X737">
        <v>0</v>
      </c>
    </row>
    <row r="738" spans="1:24" x14ac:dyDescent="0.25">
      <c r="A738" t="s">
        <v>15</v>
      </c>
      <c r="B738" t="s">
        <v>24</v>
      </c>
      <c r="C738">
        <v>20150316</v>
      </c>
      <c r="D738">
        <v>0</v>
      </c>
      <c r="F738">
        <v>62500</v>
      </c>
      <c r="G738" t="s">
        <v>17</v>
      </c>
      <c r="I738" t="s">
        <v>16</v>
      </c>
      <c r="J738" t="s">
        <v>181</v>
      </c>
      <c r="K738" t="s">
        <v>25</v>
      </c>
      <c r="L738">
        <v>132757294</v>
      </c>
      <c r="R738">
        <v>1393</v>
      </c>
      <c r="S738" t="s">
        <v>201</v>
      </c>
      <c r="T738">
        <v>0</v>
      </c>
      <c r="U738">
        <v>32</v>
      </c>
      <c r="V738">
        <v>0</v>
      </c>
      <c r="W738">
        <v>0</v>
      </c>
      <c r="X738">
        <v>0</v>
      </c>
    </row>
    <row r="739" spans="1:24" x14ac:dyDescent="0.25">
      <c r="A739" t="s">
        <v>15</v>
      </c>
      <c r="B739" t="s">
        <v>24</v>
      </c>
      <c r="C739">
        <v>20150316</v>
      </c>
      <c r="D739">
        <v>0</v>
      </c>
      <c r="F739">
        <v>62500</v>
      </c>
      <c r="G739" t="s">
        <v>17</v>
      </c>
      <c r="I739" t="s">
        <v>16</v>
      </c>
      <c r="J739" t="s">
        <v>181</v>
      </c>
      <c r="K739" t="s">
        <v>25</v>
      </c>
      <c r="L739">
        <v>132757294</v>
      </c>
      <c r="R739">
        <v>1394</v>
      </c>
      <c r="S739" t="s">
        <v>194</v>
      </c>
      <c r="T739">
        <v>0</v>
      </c>
      <c r="U739">
        <v>29</v>
      </c>
      <c r="V739">
        <v>0</v>
      </c>
      <c r="W739">
        <v>0</v>
      </c>
      <c r="X739">
        <v>0</v>
      </c>
    </row>
    <row r="740" spans="1:24" x14ac:dyDescent="0.25">
      <c r="A740" t="s">
        <v>15</v>
      </c>
      <c r="B740" t="s">
        <v>24</v>
      </c>
      <c r="C740">
        <v>20150316</v>
      </c>
      <c r="D740">
        <v>0</v>
      </c>
      <c r="F740">
        <v>62500</v>
      </c>
      <c r="G740" t="s">
        <v>17</v>
      </c>
      <c r="I740" t="s">
        <v>16</v>
      </c>
      <c r="J740" t="s">
        <v>181</v>
      </c>
      <c r="K740" t="s">
        <v>25</v>
      </c>
      <c r="L740">
        <v>132757294</v>
      </c>
      <c r="R740">
        <v>1394</v>
      </c>
      <c r="S740" t="s">
        <v>194</v>
      </c>
      <c r="T740">
        <v>0</v>
      </c>
      <c r="U740">
        <v>29</v>
      </c>
      <c r="V740">
        <v>0</v>
      </c>
      <c r="W740">
        <v>0</v>
      </c>
      <c r="X740">
        <v>0</v>
      </c>
    </row>
    <row r="741" spans="1:24" x14ac:dyDescent="0.25">
      <c r="A741" t="s">
        <v>15</v>
      </c>
      <c r="B741" t="s">
        <v>24</v>
      </c>
      <c r="C741">
        <v>20150316</v>
      </c>
      <c r="D741">
        <v>0</v>
      </c>
      <c r="F741">
        <v>62500</v>
      </c>
      <c r="G741" t="s">
        <v>17</v>
      </c>
      <c r="I741" t="s">
        <v>16</v>
      </c>
      <c r="J741" t="s">
        <v>181</v>
      </c>
      <c r="K741" t="s">
        <v>25</v>
      </c>
      <c r="L741">
        <v>132757294</v>
      </c>
      <c r="R741">
        <v>1394</v>
      </c>
      <c r="S741" t="s">
        <v>196</v>
      </c>
      <c r="T741">
        <v>0</v>
      </c>
      <c r="U741">
        <v>29</v>
      </c>
      <c r="V741">
        <v>0</v>
      </c>
      <c r="W741">
        <v>0</v>
      </c>
      <c r="X741">
        <v>0</v>
      </c>
    </row>
    <row r="742" spans="1:24" x14ac:dyDescent="0.25">
      <c r="A742" t="s">
        <v>15</v>
      </c>
      <c r="B742" t="s">
        <v>24</v>
      </c>
      <c r="C742">
        <v>20150316</v>
      </c>
      <c r="D742">
        <v>0</v>
      </c>
      <c r="F742">
        <v>62500</v>
      </c>
      <c r="G742" t="s">
        <v>17</v>
      </c>
      <c r="I742" t="s">
        <v>16</v>
      </c>
      <c r="J742" t="s">
        <v>181</v>
      </c>
      <c r="K742" t="s">
        <v>25</v>
      </c>
      <c r="L742">
        <v>132757294</v>
      </c>
      <c r="R742">
        <v>1394</v>
      </c>
      <c r="S742" t="s">
        <v>201</v>
      </c>
      <c r="T742">
        <v>0</v>
      </c>
      <c r="U742">
        <v>29</v>
      </c>
      <c r="V742">
        <v>0</v>
      </c>
      <c r="W742">
        <v>0</v>
      </c>
      <c r="X742">
        <v>0</v>
      </c>
    </row>
    <row r="743" spans="1:24" x14ac:dyDescent="0.25">
      <c r="A743" t="s">
        <v>15</v>
      </c>
      <c r="B743" t="s">
        <v>24</v>
      </c>
      <c r="C743">
        <v>20150316</v>
      </c>
      <c r="D743">
        <v>0</v>
      </c>
      <c r="F743">
        <v>62500</v>
      </c>
      <c r="G743" t="s">
        <v>17</v>
      </c>
      <c r="I743" t="s">
        <v>16</v>
      </c>
      <c r="J743" t="s">
        <v>181</v>
      </c>
      <c r="K743" t="s">
        <v>25</v>
      </c>
      <c r="L743">
        <v>132757294</v>
      </c>
      <c r="R743">
        <v>1395</v>
      </c>
      <c r="S743" t="s">
        <v>214</v>
      </c>
      <c r="T743">
        <v>0</v>
      </c>
      <c r="U743">
        <v>32</v>
      </c>
      <c r="V743">
        <v>0</v>
      </c>
      <c r="W743">
        <v>0</v>
      </c>
      <c r="X743">
        <v>0</v>
      </c>
    </row>
    <row r="744" spans="1:24" x14ac:dyDescent="0.25">
      <c r="A744" t="s">
        <v>15</v>
      </c>
      <c r="B744" t="s">
        <v>24</v>
      </c>
      <c r="C744">
        <v>20150316</v>
      </c>
      <c r="D744">
        <v>0</v>
      </c>
      <c r="F744">
        <v>62500</v>
      </c>
      <c r="G744" t="s">
        <v>17</v>
      </c>
      <c r="I744" t="s">
        <v>16</v>
      </c>
      <c r="J744" t="s">
        <v>181</v>
      </c>
      <c r="K744" t="s">
        <v>25</v>
      </c>
      <c r="L744">
        <v>132757294</v>
      </c>
      <c r="R744">
        <v>1395</v>
      </c>
      <c r="S744" t="s">
        <v>214</v>
      </c>
      <c r="T744">
        <v>0</v>
      </c>
      <c r="U744">
        <v>32</v>
      </c>
      <c r="V744">
        <v>0</v>
      </c>
      <c r="W744">
        <v>0</v>
      </c>
      <c r="X744">
        <v>0</v>
      </c>
    </row>
    <row r="745" spans="1:24" x14ac:dyDescent="0.25">
      <c r="A745" t="s">
        <v>15</v>
      </c>
      <c r="B745" t="s">
        <v>24</v>
      </c>
      <c r="C745">
        <v>20150316</v>
      </c>
      <c r="D745">
        <v>0</v>
      </c>
      <c r="F745">
        <v>62500</v>
      </c>
      <c r="G745" t="s">
        <v>17</v>
      </c>
      <c r="I745" t="s">
        <v>16</v>
      </c>
      <c r="J745" t="s">
        <v>181</v>
      </c>
      <c r="K745" t="s">
        <v>25</v>
      </c>
      <c r="L745">
        <v>132757294</v>
      </c>
      <c r="R745">
        <v>1395</v>
      </c>
      <c r="S745" t="s">
        <v>194</v>
      </c>
      <c r="T745">
        <v>0</v>
      </c>
      <c r="U745">
        <v>32</v>
      </c>
      <c r="V745">
        <v>0</v>
      </c>
      <c r="W745">
        <v>0</v>
      </c>
      <c r="X745">
        <v>0</v>
      </c>
    </row>
    <row r="746" spans="1:24" x14ac:dyDescent="0.25">
      <c r="A746" t="s">
        <v>15</v>
      </c>
      <c r="B746" t="s">
        <v>24</v>
      </c>
      <c r="C746">
        <v>20150316</v>
      </c>
      <c r="D746">
        <v>0</v>
      </c>
      <c r="F746">
        <v>62500</v>
      </c>
      <c r="G746" t="s">
        <v>17</v>
      </c>
      <c r="I746" t="s">
        <v>16</v>
      </c>
      <c r="J746" t="s">
        <v>181</v>
      </c>
      <c r="K746" t="s">
        <v>25</v>
      </c>
      <c r="L746">
        <v>132757294</v>
      </c>
      <c r="R746">
        <v>1395</v>
      </c>
      <c r="S746" t="s">
        <v>194</v>
      </c>
      <c r="T746">
        <v>0</v>
      </c>
      <c r="U746">
        <v>32</v>
      </c>
      <c r="V746">
        <v>0</v>
      </c>
      <c r="W746">
        <v>0</v>
      </c>
      <c r="X746">
        <v>0</v>
      </c>
    </row>
    <row r="747" spans="1:24" x14ac:dyDescent="0.25">
      <c r="A747" t="s">
        <v>15</v>
      </c>
      <c r="B747" t="s">
        <v>24</v>
      </c>
      <c r="C747">
        <v>20150316</v>
      </c>
      <c r="D747">
        <v>0</v>
      </c>
      <c r="F747">
        <v>62500</v>
      </c>
      <c r="G747" t="s">
        <v>17</v>
      </c>
      <c r="I747" t="s">
        <v>16</v>
      </c>
      <c r="J747" t="s">
        <v>181</v>
      </c>
      <c r="K747" t="s">
        <v>25</v>
      </c>
      <c r="L747">
        <v>132757294</v>
      </c>
      <c r="R747">
        <v>1395</v>
      </c>
      <c r="S747" t="s">
        <v>194</v>
      </c>
      <c r="T747">
        <v>0</v>
      </c>
      <c r="U747">
        <v>32</v>
      </c>
      <c r="V747">
        <v>0</v>
      </c>
      <c r="W747">
        <v>0</v>
      </c>
      <c r="X747">
        <v>0</v>
      </c>
    </row>
    <row r="748" spans="1:24" x14ac:dyDescent="0.25">
      <c r="A748" t="s">
        <v>15</v>
      </c>
      <c r="B748" t="s">
        <v>24</v>
      </c>
      <c r="C748">
        <v>20150316</v>
      </c>
      <c r="D748">
        <v>0</v>
      </c>
      <c r="F748">
        <v>62500</v>
      </c>
      <c r="G748" t="s">
        <v>17</v>
      </c>
      <c r="I748" t="s">
        <v>16</v>
      </c>
      <c r="J748" t="s">
        <v>181</v>
      </c>
      <c r="K748" t="s">
        <v>25</v>
      </c>
      <c r="L748">
        <v>132757294</v>
      </c>
      <c r="R748">
        <v>1396</v>
      </c>
      <c r="S748" t="s">
        <v>214</v>
      </c>
      <c r="T748">
        <v>0</v>
      </c>
      <c r="U748">
        <v>28</v>
      </c>
      <c r="V748">
        <v>0</v>
      </c>
      <c r="W748">
        <v>0</v>
      </c>
      <c r="X748">
        <v>0</v>
      </c>
    </row>
    <row r="749" spans="1:24" x14ac:dyDescent="0.25">
      <c r="A749" t="s">
        <v>15</v>
      </c>
      <c r="B749" t="s">
        <v>24</v>
      </c>
      <c r="C749">
        <v>20150316</v>
      </c>
      <c r="D749">
        <v>0</v>
      </c>
      <c r="F749">
        <v>62500</v>
      </c>
      <c r="G749" t="s">
        <v>17</v>
      </c>
      <c r="I749" t="s">
        <v>16</v>
      </c>
      <c r="J749" t="s">
        <v>181</v>
      </c>
      <c r="K749" t="s">
        <v>25</v>
      </c>
      <c r="L749">
        <v>132757294</v>
      </c>
      <c r="R749">
        <v>1395</v>
      </c>
      <c r="S749" t="s">
        <v>196</v>
      </c>
      <c r="T749">
        <v>0</v>
      </c>
      <c r="U749">
        <v>32</v>
      </c>
      <c r="V749">
        <v>0</v>
      </c>
      <c r="W749">
        <v>0</v>
      </c>
      <c r="X749">
        <v>0</v>
      </c>
    </row>
    <row r="750" spans="1:24" x14ac:dyDescent="0.25">
      <c r="A750" t="s">
        <v>15</v>
      </c>
      <c r="B750" t="s">
        <v>24</v>
      </c>
      <c r="C750">
        <v>20150316</v>
      </c>
      <c r="D750">
        <v>0</v>
      </c>
      <c r="F750">
        <v>62500</v>
      </c>
      <c r="G750" t="s">
        <v>17</v>
      </c>
      <c r="I750" t="s">
        <v>16</v>
      </c>
      <c r="J750" t="s">
        <v>181</v>
      </c>
      <c r="K750" t="s">
        <v>25</v>
      </c>
      <c r="L750">
        <v>132757294</v>
      </c>
      <c r="R750">
        <v>1395</v>
      </c>
      <c r="S750" t="s">
        <v>201</v>
      </c>
      <c r="T750">
        <v>0</v>
      </c>
      <c r="U750">
        <v>32</v>
      </c>
      <c r="V750">
        <v>0</v>
      </c>
      <c r="W750">
        <v>0</v>
      </c>
      <c r="X750">
        <v>0</v>
      </c>
    </row>
    <row r="751" spans="1:24" x14ac:dyDescent="0.25">
      <c r="A751" t="s">
        <v>15</v>
      </c>
      <c r="B751" t="s">
        <v>24</v>
      </c>
      <c r="C751">
        <v>20150316</v>
      </c>
      <c r="D751">
        <v>0</v>
      </c>
      <c r="F751">
        <v>62500</v>
      </c>
      <c r="G751" t="s">
        <v>17</v>
      </c>
      <c r="I751" t="s">
        <v>16</v>
      </c>
      <c r="J751" t="s">
        <v>181</v>
      </c>
      <c r="K751" t="s">
        <v>25</v>
      </c>
      <c r="L751">
        <v>132757294</v>
      </c>
      <c r="R751">
        <v>1396</v>
      </c>
      <c r="S751" t="s">
        <v>214</v>
      </c>
      <c r="T751">
        <v>0</v>
      </c>
      <c r="U751">
        <v>28</v>
      </c>
      <c r="V751">
        <v>0</v>
      </c>
      <c r="W751">
        <v>0</v>
      </c>
      <c r="X751">
        <v>0</v>
      </c>
    </row>
    <row r="752" spans="1:24" x14ac:dyDescent="0.25">
      <c r="A752" t="s">
        <v>15</v>
      </c>
      <c r="B752" t="s">
        <v>24</v>
      </c>
      <c r="C752">
        <v>20150316</v>
      </c>
      <c r="D752">
        <v>0</v>
      </c>
      <c r="F752">
        <v>62500</v>
      </c>
      <c r="G752" t="s">
        <v>17</v>
      </c>
      <c r="I752" t="s">
        <v>16</v>
      </c>
      <c r="J752" t="s">
        <v>181</v>
      </c>
      <c r="K752" t="s">
        <v>25</v>
      </c>
      <c r="L752">
        <v>132757294</v>
      </c>
      <c r="R752">
        <v>1396</v>
      </c>
      <c r="S752" t="s">
        <v>194</v>
      </c>
      <c r="T752">
        <v>0</v>
      </c>
      <c r="U752">
        <v>28</v>
      </c>
      <c r="V752">
        <v>0</v>
      </c>
      <c r="W752">
        <v>0</v>
      </c>
      <c r="X752">
        <v>0</v>
      </c>
    </row>
    <row r="753" spans="1:24" x14ac:dyDescent="0.25">
      <c r="A753" t="s">
        <v>15</v>
      </c>
      <c r="B753" t="s">
        <v>24</v>
      </c>
      <c r="C753">
        <v>20150316</v>
      </c>
      <c r="D753">
        <v>0</v>
      </c>
      <c r="F753">
        <v>62500</v>
      </c>
      <c r="G753" t="s">
        <v>17</v>
      </c>
      <c r="I753" t="s">
        <v>16</v>
      </c>
      <c r="J753" t="s">
        <v>181</v>
      </c>
      <c r="K753" t="s">
        <v>25</v>
      </c>
      <c r="L753">
        <v>132757294</v>
      </c>
      <c r="R753">
        <v>1396</v>
      </c>
      <c r="S753" t="s">
        <v>194</v>
      </c>
      <c r="T753">
        <v>0</v>
      </c>
      <c r="U753">
        <v>28</v>
      </c>
      <c r="V753">
        <v>0</v>
      </c>
      <c r="W753">
        <v>0</v>
      </c>
      <c r="X753">
        <v>0</v>
      </c>
    </row>
    <row r="754" spans="1:24" x14ac:dyDescent="0.25">
      <c r="A754" t="s">
        <v>15</v>
      </c>
      <c r="B754" t="s">
        <v>24</v>
      </c>
      <c r="C754">
        <v>20150316</v>
      </c>
      <c r="D754">
        <v>0</v>
      </c>
      <c r="F754">
        <v>62500</v>
      </c>
      <c r="G754" t="s">
        <v>17</v>
      </c>
      <c r="I754" t="s">
        <v>16</v>
      </c>
      <c r="J754" t="s">
        <v>181</v>
      </c>
      <c r="K754" t="s">
        <v>25</v>
      </c>
      <c r="L754">
        <v>132757294</v>
      </c>
      <c r="R754">
        <v>1396</v>
      </c>
      <c r="S754" t="s">
        <v>194</v>
      </c>
      <c r="T754">
        <v>0</v>
      </c>
      <c r="U754">
        <v>28</v>
      </c>
      <c r="V754">
        <v>0</v>
      </c>
      <c r="W754">
        <v>0</v>
      </c>
      <c r="X754">
        <v>0</v>
      </c>
    </row>
    <row r="755" spans="1:24" x14ac:dyDescent="0.25">
      <c r="A755" t="s">
        <v>15</v>
      </c>
      <c r="B755" t="s">
        <v>24</v>
      </c>
      <c r="C755">
        <v>20150316</v>
      </c>
      <c r="D755">
        <v>0</v>
      </c>
      <c r="F755">
        <v>62500</v>
      </c>
      <c r="G755" t="s">
        <v>17</v>
      </c>
      <c r="I755" t="s">
        <v>16</v>
      </c>
      <c r="J755" t="s">
        <v>181</v>
      </c>
      <c r="K755" t="s">
        <v>25</v>
      </c>
      <c r="L755">
        <v>132757294</v>
      </c>
      <c r="R755">
        <v>1397</v>
      </c>
      <c r="S755" t="s">
        <v>214</v>
      </c>
      <c r="T755">
        <v>0</v>
      </c>
      <c r="U755">
        <v>-28</v>
      </c>
      <c r="V755">
        <v>0</v>
      </c>
      <c r="W755">
        <v>0</v>
      </c>
      <c r="X755">
        <v>0</v>
      </c>
    </row>
    <row r="756" spans="1:24" x14ac:dyDescent="0.25">
      <c r="A756" t="s">
        <v>15</v>
      </c>
      <c r="B756" t="s">
        <v>24</v>
      </c>
      <c r="C756">
        <v>20150316</v>
      </c>
      <c r="D756">
        <v>0</v>
      </c>
      <c r="F756">
        <v>62500</v>
      </c>
      <c r="G756" t="s">
        <v>17</v>
      </c>
      <c r="I756" t="s">
        <v>16</v>
      </c>
      <c r="J756" t="s">
        <v>181</v>
      </c>
      <c r="K756" t="s">
        <v>25</v>
      </c>
      <c r="L756">
        <v>132757294</v>
      </c>
      <c r="R756">
        <v>1397</v>
      </c>
      <c r="S756" t="s">
        <v>214</v>
      </c>
      <c r="T756">
        <v>0</v>
      </c>
      <c r="U756">
        <v>-28</v>
      </c>
      <c r="V756">
        <v>0</v>
      </c>
      <c r="W756">
        <v>0</v>
      </c>
      <c r="X756">
        <v>0</v>
      </c>
    </row>
    <row r="757" spans="1:24" x14ac:dyDescent="0.25">
      <c r="A757" t="s">
        <v>15</v>
      </c>
      <c r="B757" t="s">
        <v>24</v>
      </c>
      <c r="C757">
        <v>20150316</v>
      </c>
      <c r="D757">
        <v>0</v>
      </c>
      <c r="F757">
        <v>62500</v>
      </c>
      <c r="G757" t="s">
        <v>17</v>
      </c>
      <c r="I757" t="s">
        <v>16</v>
      </c>
      <c r="J757" t="s">
        <v>181</v>
      </c>
      <c r="K757" t="s">
        <v>25</v>
      </c>
      <c r="L757">
        <v>132757294</v>
      </c>
      <c r="R757">
        <v>1397</v>
      </c>
      <c r="S757" t="s">
        <v>194</v>
      </c>
      <c r="T757">
        <v>0</v>
      </c>
      <c r="U757">
        <v>28</v>
      </c>
      <c r="V757">
        <v>0</v>
      </c>
      <c r="W757">
        <v>0</v>
      </c>
      <c r="X757">
        <v>0</v>
      </c>
    </row>
    <row r="758" spans="1:24" x14ac:dyDescent="0.25">
      <c r="A758" t="s">
        <v>15</v>
      </c>
      <c r="B758" t="s">
        <v>24</v>
      </c>
      <c r="C758">
        <v>20150316</v>
      </c>
      <c r="D758">
        <v>0</v>
      </c>
      <c r="F758">
        <v>62500</v>
      </c>
      <c r="G758" t="s">
        <v>17</v>
      </c>
      <c r="I758" t="s">
        <v>16</v>
      </c>
      <c r="J758" t="s">
        <v>181</v>
      </c>
      <c r="K758" t="s">
        <v>25</v>
      </c>
      <c r="L758">
        <v>132757294</v>
      </c>
      <c r="R758">
        <v>1397</v>
      </c>
      <c r="S758" t="s">
        <v>194</v>
      </c>
      <c r="T758">
        <v>0</v>
      </c>
      <c r="U758">
        <v>28</v>
      </c>
      <c r="V758">
        <v>0</v>
      </c>
      <c r="W758">
        <v>0</v>
      </c>
      <c r="X758">
        <v>0</v>
      </c>
    </row>
    <row r="759" spans="1:24" x14ac:dyDescent="0.25">
      <c r="A759" t="s">
        <v>15</v>
      </c>
      <c r="B759" t="s">
        <v>24</v>
      </c>
      <c r="C759">
        <v>20150316</v>
      </c>
      <c r="D759">
        <v>0</v>
      </c>
      <c r="F759">
        <v>62500</v>
      </c>
      <c r="G759" t="s">
        <v>17</v>
      </c>
      <c r="I759" t="s">
        <v>16</v>
      </c>
      <c r="J759" t="s">
        <v>181</v>
      </c>
      <c r="K759" t="s">
        <v>25</v>
      </c>
      <c r="L759">
        <v>132757294</v>
      </c>
      <c r="R759">
        <v>1397</v>
      </c>
      <c r="S759" t="s">
        <v>194</v>
      </c>
      <c r="T759">
        <v>0</v>
      </c>
      <c r="U759">
        <v>28</v>
      </c>
      <c r="V759">
        <v>0</v>
      </c>
      <c r="W759">
        <v>0</v>
      </c>
      <c r="X759">
        <v>0</v>
      </c>
    </row>
    <row r="760" spans="1:24" x14ac:dyDescent="0.25">
      <c r="A760" t="s">
        <v>15</v>
      </c>
      <c r="B760" t="s">
        <v>24</v>
      </c>
      <c r="C760">
        <v>20150316</v>
      </c>
      <c r="D760">
        <v>0</v>
      </c>
      <c r="F760">
        <v>62500</v>
      </c>
      <c r="G760" t="s">
        <v>17</v>
      </c>
      <c r="I760" t="s">
        <v>16</v>
      </c>
      <c r="J760" t="s">
        <v>181</v>
      </c>
      <c r="K760" t="s">
        <v>25</v>
      </c>
      <c r="L760">
        <v>132757294</v>
      </c>
      <c r="R760">
        <v>1398</v>
      </c>
      <c r="S760" t="s">
        <v>214</v>
      </c>
      <c r="T760">
        <v>0</v>
      </c>
      <c r="U760">
        <v>-27</v>
      </c>
      <c r="V760">
        <v>0</v>
      </c>
      <c r="W760">
        <v>0</v>
      </c>
      <c r="X760">
        <v>0</v>
      </c>
    </row>
    <row r="761" spans="1:24" x14ac:dyDescent="0.25">
      <c r="A761" t="s">
        <v>15</v>
      </c>
      <c r="B761" t="s">
        <v>24</v>
      </c>
      <c r="C761">
        <v>20150316</v>
      </c>
      <c r="D761">
        <v>0</v>
      </c>
      <c r="F761">
        <v>62500</v>
      </c>
      <c r="G761" t="s">
        <v>17</v>
      </c>
      <c r="I761" t="s">
        <v>16</v>
      </c>
      <c r="J761" t="s">
        <v>181</v>
      </c>
      <c r="K761" t="s">
        <v>25</v>
      </c>
      <c r="L761">
        <v>132757294</v>
      </c>
      <c r="R761">
        <v>1397</v>
      </c>
      <c r="S761" t="s">
        <v>196</v>
      </c>
      <c r="T761">
        <v>0</v>
      </c>
      <c r="U761">
        <v>28</v>
      </c>
      <c r="V761">
        <v>0</v>
      </c>
      <c r="W761">
        <v>0</v>
      </c>
      <c r="X761">
        <v>0</v>
      </c>
    </row>
    <row r="762" spans="1:24" x14ac:dyDescent="0.25">
      <c r="A762" t="s">
        <v>15</v>
      </c>
      <c r="B762" t="s">
        <v>24</v>
      </c>
      <c r="C762">
        <v>20150316</v>
      </c>
      <c r="D762">
        <v>0</v>
      </c>
      <c r="F762">
        <v>62500</v>
      </c>
      <c r="G762" t="s">
        <v>17</v>
      </c>
      <c r="I762" t="s">
        <v>16</v>
      </c>
      <c r="J762" t="s">
        <v>181</v>
      </c>
      <c r="K762" t="s">
        <v>25</v>
      </c>
      <c r="L762">
        <v>132757294</v>
      </c>
      <c r="R762">
        <v>1397</v>
      </c>
      <c r="S762" t="s">
        <v>201</v>
      </c>
      <c r="T762">
        <v>0</v>
      </c>
      <c r="U762">
        <v>28</v>
      </c>
      <c r="V762">
        <v>0</v>
      </c>
      <c r="W762">
        <v>0</v>
      </c>
      <c r="X762">
        <v>0</v>
      </c>
    </row>
    <row r="763" spans="1:24" x14ac:dyDescent="0.25">
      <c r="A763" t="s">
        <v>15</v>
      </c>
      <c r="B763" t="s">
        <v>24</v>
      </c>
      <c r="C763">
        <v>20150316</v>
      </c>
      <c r="D763">
        <v>0</v>
      </c>
      <c r="F763">
        <v>62500</v>
      </c>
      <c r="G763" t="s">
        <v>17</v>
      </c>
      <c r="I763" t="s">
        <v>16</v>
      </c>
      <c r="J763" t="s">
        <v>181</v>
      </c>
      <c r="K763" t="s">
        <v>25</v>
      </c>
      <c r="L763">
        <v>132757294</v>
      </c>
      <c r="R763">
        <v>1398</v>
      </c>
      <c r="S763" t="s">
        <v>214</v>
      </c>
      <c r="T763">
        <v>0</v>
      </c>
      <c r="U763">
        <v>-27</v>
      </c>
      <c r="V763">
        <v>0</v>
      </c>
      <c r="W763">
        <v>0</v>
      </c>
      <c r="X763">
        <v>0</v>
      </c>
    </row>
    <row r="764" spans="1:24" x14ac:dyDescent="0.25">
      <c r="A764" t="s">
        <v>15</v>
      </c>
      <c r="B764" t="s">
        <v>24</v>
      </c>
      <c r="C764">
        <v>20150316</v>
      </c>
      <c r="D764">
        <v>0</v>
      </c>
      <c r="F764">
        <v>62500</v>
      </c>
      <c r="G764" t="s">
        <v>17</v>
      </c>
      <c r="I764" t="s">
        <v>16</v>
      </c>
      <c r="J764" t="s">
        <v>181</v>
      </c>
      <c r="K764" t="s">
        <v>25</v>
      </c>
      <c r="L764">
        <v>132757294</v>
      </c>
      <c r="R764">
        <v>1398</v>
      </c>
      <c r="S764" t="s">
        <v>194</v>
      </c>
      <c r="T764">
        <v>0</v>
      </c>
      <c r="U764">
        <v>27</v>
      </c>
      <c r="V764">
        <v>0</v>
      </c>
      <c r="W764">
        <v>0</v>
      </c>
      <c r="X764">
        <v>0</v>
      </c>
    </row>
    <row r="765" spans="1:24" x14ac:dyDescent="0.25">
      <c r="A765" t="s">
        <v>15</v>
      </c>
      <c r="B765" t="s">
        <v>24</v>
      </c>
      <c r="C765">
        <v>20150316</v>
      </c>
      <c r="D765">
        <v>0</v>
      </c>
      <c r="F765">
        <v>62500</v>
      </c>
      <c r="G765" t="s">
        <v>17</v>
      </c>
      <c r="I765" t="s">
        <v>16</v>
      </c>
      <c r="J765" t="s">
        <v>181</v>
      </c>
      <c r="K765" t="s">
        <v>25</v>
      </c>
      <c r="L765">
        <v>132757294</v>
      </c>
      <c r="R765">
        <v>1398</v>
      </c>
      <c r="S765" t="s">
        <v>194</v>
      </c>
      <c r="T765">
        <v>0</v>
      </c>
      <c r="U765">
        <v>27</v>
      </c>
      <c r="V765">
        <v>0</v>
      </c>
      <c r="W765">
        <v>0</v>
      </c>
      <c r="X765">
        <v>0</v>
      </c>
    </row>
    <row r="766" spans="1:24" x14ac:dyDescent="0.25">
      <c r="A766" t="s">
        <v>15</v>
      </c>
      <c r="B766" t="s">
        <v>24</v>
      </c>
      <c r="C766">
        <v>20150316</v>
      </c>
      <c r="D766">
        <v>0</v>
      </c>
      <c r="F766">
        <v>62500</v>
      </c>
      <c r="G766" t="s">
        <v>17</v>
      </c>
      <c r="I766" t="s">
        <v>16</v>
      </c>
      <c r="J766" t="s">
        <v>181</v>
      </c>
      <c r="K766" t="s">
        <v>25</v>
      </c>
      <c r="L766">
        <v>132757294</v>
      </c>
      <c r="R766">
        <v>1398</v>
      </c>
      <c r="S766" t="s">
        <v>194</v>
      </c>
      <c r="T766">
        <v>0</v>
      </c>
      <c r="U766">
        <v>27</v>
      </c>
      <c r="V766">
        <v>0</v>
      </c>
      <c r="W766">
        <v>0</v>
      </c>
      <c r="X766">
        <v>0</v>
      </c>
    </row>
    <row r="767" spans="1:24" x14ac:dyDescent="0.25">
      <c r="A767" t="s">
        <v>15</v>
      </c>
      <c r="B767" t="s">
        <v>24</v>
      </c>
      <c r="C767">
        <v>20150316</v>
      </c>
      <c r="D767">
        <v>0</v>
      </c>
      <c r="F767">
        <v>62500</v>
      </c>
      <c r="G767" t="s">
        <v>17</v>
      </c>
      <c r="I767" t="s">
        <v>16</v>
      </c>
      <c r="J767" t="s">
        <v>181</v>
      </c>
      <c r="K767" t="s">
        <v>25</v>
      </c>
      <c r="L767">
        <v>132757294</v>
      </c>
      <c r="R767">
        <v>1399</v>
      </c>
      <c r="S767" t="s">
        <v>214</v>
      </c>
      <c r="T767">
        <v>0</v>
      </c>
      <c r="U767">
        <v>28</v>
      </c>
      <c r="V767">
        <v>0</v>
      </c>
      <c r="W767">
        <v>0</v>
      </c>
      <c r="X767">
        <v>0</v>
      </c>
    </row>
    <row r="768" spans="1:24" x14ac:dyDescent="0.25">
      <c r="A768" t="s">
        <v>15</v>
      </c>
      <c r="B768" t="s">
        <v>24</v>
      </c>
      <c r="C768">
        <v>20150316</v>
      </c>
      <c r="D768">
        <v>0</v>
      </c>
      <c r="F768">
        <v>62500</v>
      </c>
      <c r="G768" t="s">
        <v>17</v>
      </c>
      <c r="I768" t="s">
        <v>16</v>
      </c>
      <c r="J768" t="s">
        <v>181</v>
      </c>
      <c r="K768" t="s">
        <v>25</v>
      </c>
      <c r="L768">
        <v>132757294</v>
      </c>
      <c r="R768">
        <v>1396</v>
      </c>
      <c r="S768" t="s">
        <v>196</v>
      </c>
      <c r="T768">
        <v>0</v>
      </c>
      <c r="U768">
        <v>28</v>
      </c>
      <c r="V768">
        <v>0</v>
      </c>
      <c r="W768">
        <v>0</v>
      </c>
      <c r="X768">
        <v>0</v>
      </c>
    </row>
    <row r="769" spans="1:24" x14ac:dyDescent="0.25">
      <c r="A769" t="s">
        <v>15</v>
      </c>
      <c r="B769" t="s">
        <v>24</v>
      </c>
      <c r="C769">
        <v>20150316</v>
      </c>
      <c r="D769">
        <v>0</v>
      </c>
      <c r="F769">
        <v>62500</v>
      </c>
      <c r="G769" t="s">
        <v>17</v>
      </c>
      <c r="I769" t="s">
        <v>16</v>
      </c>
      <c r="J769" t="s">
        <v>181</v>
      </c>
      <c r="K769" t="s">
        <v>25</v>
      </c>
      <c r="L769">
        <v>132757294</v>
      </c>
      <c r="R769">
        <v>1396</v>
      </c>
      <c r="S769" t="s">
        <v>201</v>
      </c>
      <c r="T769">
        <v>0</v>
      </c>
      <c r="U769">
        <v>28</v>
      </c>
      <c r="V769">
        <v>0</v>
      </c>
      <c r="W769">
        <v>0</v>
      </c>
      <c r="X769">
        <v>0</v>
      </c>
    </row>
    <row r="770" spans="1:24" x14ac:dyDescent="0.25">
      <c r="A770" t="s">
        <v>15</v>
      </c>
      <c r="B770" t="s">
        <v>24</v>
      </c>
      <c r="C770">
        <v>20150316</v>
      </c>
      <c r="D770">
        <v>0</v>
      </c>
      <c r="F770">
        <v>62500</v>
      </c>
      <c r="G770" t="s">
        <v>17</v>
      </c>
      <c r="I770" t="s">
        <v>16</v>
      </c>
      <c r="J770" t="s">
        <v>181</v>
      </c>
      <c r="K770" t="s">
        <v>25</v>
      </c>
      <c r="L770">
        <v>132757294</v>
      </c>
      <c r="R770">
        <v>1399</v>
      </c>
      <c r="S770" t="s">
        <v>214</v>
      </c>
      <c r="T770">
        <v>0</v>
      </c>
      <c r="U770">
        <v>28</v>
      </c>
      <c r="V770">
        <v>0</v>
      </c>
      <c r="W770">
        <v>0</v>
      </c>
      <c r="X770">
        <v>0</v>
      </c>
    </row>
    <row r="771" spans="1:24" x14ac:dyDescent="0.25">
      <c r="A771" t="s">
        <v>15</v>
      </c>
      <c r="B771" t="s">
        <v>24</v>
      </c>
      <c r="C771">
        <v>20150316</v>
      </c>
      <c r="D771">
        <v>0</v>
      </c>
      <c r="F771">
        <v>62500</v>
      </c>
      <c r="G771" t="s">
        <v>17</v>
      </c>
      <c r="I771" t="s">
        <v>16</v>
      </c>
      <c r="J771" t="s">
        <v>181</v>
      </c>
      <c r="K771" t="s">
        <v>25</v>
      </c>
      <c r="L771">
        <v>132757294</v>
      </c>
      <c r="R771">
        <v>1399</v>
      </c>
      <c r="S771" t="s">
        <v>194</v>
      </c>
      <c r="T771">
        <v>0</v>
      </c>
      <c r="U771">
        <v>28</v>
      </c>
      <c r="V771">
        <v>0</v>
      </c>
      <c r="W771">
        <v>0</v>
      </c>
      <c r="X771">
        <v>0</v>
      </c>
    </row>
    <row r="772" spans="1:24" x14ac:dyDescent="0.25">
      <c r="A772" t="s">
        <v>15</v>
      </c>
      <c r="B772" t="s">
        <v>24</v>
      </c>
      <c r="C772">
        <v>20150316</v>
      </c>
      <c r="D772">
        <v>0</v>
      </c>
      <c r="F772">
        <v>62500</v>
      </c>
      <c r="G772" t="s">
        <v>17</v>
      </c>
      <c r="I772" t="s">
        <v>16</v>
      </c>
      <c r="J772" t="s">
        <v>181</v>
      </c>
      <c r="K772" t="s">
        <v>25</v>
      </c>
      <c r="L772">
        <v>132757294</v>
      </c>
      <c r="R772">
        <v>1399</v>
      </c>
      <c r="S772" t="s">
        <v>194</v>
      </c>
      <c r="T772">
        <v>0</v>
      </c>
      <c r="U772">
        <v>28</v>
      </c>
      <c r="V772">
        <v>0</v>
      </c>
      <c r="W772">
        <v>0</v>
      </c>
      <c r="X772">
        <v>0</v>
      </c>
    </row>
    <row r="773" spans="1:24" x14ac:dyDescent="0.25">
      <c r="A773" t="s">
        <v>15</v>
      </c>
      <c r="B773" t="s">
        <v>24</v>
      </c>
      <c r="C773">
        <v>20150316</v>
      </c>
      <c r="D773">
        <v>0</v>
      </c>
      <c r="F773">
        <v>62500</v>
      </c>
      <c r="G773" t="s">
        <v>17</v>
      </c>
      <c r="I773" t="s">
        <v>16</v>
      </c>
      <c r="J773" t="s">
        <v>181</v>
      </c>
      <c r="K773" t="s">
        <v>25</v>
      </c>
      <c r="L773">
        <v>132757294</v>
      </c>
      <c r="R773">
        <v>1399</v>
      </c>
      <c r="S773" t="s">
        <v>194</v>
      </c>
      <c r="T773">
        <v>0</v>
      </c>
      <c r="U773">
        <v>28</v>
      </c>
      <c r="V773">
        <v>0</v>
      </c>
      <c r="W773">
        <v>0</v>
      </c>
      <c r="X773">
        <v>0</v>
      </c>
    </row>
    <row r="774" spans="1:24" x14ac:dyDescent="0.25">
      <c r="A774" t="s">
        <v>15</v>
      </c>
      <c r="B774" t="s">
        <v>24</v>
      </c>
      <c r="C774">
        <v>20150316</v>
      </c>
      <c r="D774">
        <v>0</v>
      </c>
      <c r="F774">
        <v>62500</v>
      </c>
      <c r="G774" t="s">
        <v>17</v>
      </c>
      <c r="I774" t="s">
        <v>16</v>
      </c>
      <c r="J774" t="s">
        <v>181</v>
      </c>
      <c r="K774" t="s">
        <v>25</v>
      </c>
      <c r="L774">
        <v>132757294</v>
      </c>
      <c r="R774">
        <v>1400</v>
      </c>
      <c r="S774" t="s">
        <v>214</v>
      </c>
      <c r="T774">
        <v>0</v>
      </c>
      <c r="U774">
        <v>-29</v>
      </c>
      <c r="V774">
        <v>0</v>
      </c>
      <c r="W774">
        <v>0</v>
      </c>
      <c r="X774">
        <v>0</v>
      </c>
    </row>
    <row r="775" spans="1:24" x14ac:dyDescent="0.25">
      <c r="A775" t="s">
        <v>15</v>
      </c>
      <c r="B775" t="s">
        <v>24</v>
      </c>
      <c r="C775">
        <v>20150316</v>
      </c>
      <c r="D775">
        <v>0</v>
      </c>
      <c r="F775">
        <v>62500</v>
      </c>
      <c r="G775" t="s">
        <v>17</v>
      </c>
      <c r="I775" t="s">
        <v>16</v>
      </c>
      <c r="J775" t="s">
        <v>181</v>
      </c>
      <c r="K775" t="s">
        <v>25</v>
      </c>
      <c r="L775">
        <v>132757294</v>
      </c>
      <c r="R775">
        <v>1398</v>
      </c>
      <c r="S775" t="s">
        <v>196</v>
      </c>
      <c r="T775">
        <v>0</v>
      </c>
      <c r="U775">
        <v>27</v>
      </c>
      <c r="V775">
        <v>0</v>
      </c>
      <c r="W775">
        <v>0</v>
      </c>
      <c r="X775">
        <v>0</v>
      </c>
    </row>
    <row r="776" spans="1:24" x14ac:dyDescent="0.25">
      <c r="A776" t="s">
        <v>15</v>
      </c>
      <c r="B776" t="s">
        <v>24</v>
      </c>
      <c r="C776">
        <v>20150316</v>
      </c>
      <c r="D776">
        <v>0</v>
      </c>
      <c r="F776">
        <v>62500</v>
      </c>
      <c r="G776" t="s">
        <v>17</v>
      </c>
      <c r="I776" t="s">
        <v>16</v>
      </c>
      <c r="J776" t="s">
        <v>181</v>
      </c>
      <c r="K776" t="s">
        <v>25</v>
      </c>
      <c r="L776">
        <v>132757294</v>
      </c>
      <c r="R776">
        <v>1398</v>
      </c>
      <c r="S776" t="s">
        <v>201</v>
      </c>
      <c r="T776">
        <v>0</v>
      </c>
      <c r="U776">
        <v>27</v>
      </c>
      <c r="V776">
        <v>0</v>
      </c>
      <c r="W776">
        <v>0</v>
      </c>
      <c r="X776">
        <v>0</v>
      </c>
    </row>
    <row r="777" spans="1:24" x14ac:dyDescent="0.25">
      <c r="A777" t="s">
        <v>15</v>
      </c>
      <c r="B777" t="s">
        <v>24</v>
      </c>
      <c r="C777">
        <v>20150316</v>
      </c>
      <c r="D777">
        <v>0</v>
      </c>
      <c r="F777">
        <v>62500</v>
      </c>
      <c r="G777" t="s">
        <v>17</v>
      </c>
      <c r="I777" t="s">
        <v>16</v>
      </c>
      <c r="J777" t="s">
        <v>181</v>
      </c>
      <c r="K777" t="s">
        <v>25</v>
      </c>
      <c r="L777">
        <v>132757294</v>
      </c>
      <c r="R777">
        <v>1400</v>
      </c>
      <c r="S777" t="s">
        <v>214</v>
      </c>
      <c r="T777">
        <v>0</v>
      </c>
      <c r="U777">
        <v>-29</v>
      </c>
      <c r="V777">
        <v>0</v>
      </c>
      <c r="W777">
        <v>0</v>
      </c>
      <c r="X777">
        <v>0</v>
      </c>
    </row>
    <row r="778" spans="1:24" x14ac:dyDescent="0.25">
      <c r="A778" t="s">
        <v>15</v>
      </c>
      <c r="B778" t="s">
        <v>24</v>
      </c>
      <c r="C778">
        <v>20150316</v>
      </c>
      <c r="D778">
        <v>0</v>
      </c>
      <c r="F778">
        <v>62500</v>
      </c>
      <c r="G778" t="s">
        <v>17</v>
      </c>
      <c r="I778" t="s">
        <v>16</v>
      </c>
      <c r="J778" t="s">
        <v>181</v>
      </c>
      <c r="K778" t="s">
        <v>25</v>
      </c>
      <c r="L778">
        <v>132757294</v>
      </c>
      <c r="R778">
        <v>1400</v>
      </c>
      <c r="S778" t="s">
        <v>194</v>
      </c>
      <c r="T778">
        <v>0</v>
      </c>
      <c r="U778">
        <v>29</v>
      </c>
      <c r="V778">
        <v>0</v>
      </c>
      <c r="W778">
        <v>0</v>
      </c>
      <c r="X778">
        <v>0</v>
      </c>
    </row>
    <row r="779" spans="1:24" x14ac:dyDescent="0.25">
      <c r="A779" t="s">
        <v>15</v>
      </c>
      <c r="B779" t="s">
        <v>24</v>
      </c>
      <c r="C779">
        <v>20150316</v>
      </c>
      <c r="D779">
        <v>0</v>
      </c>
      <c r="F779">
        <v>62500</v>
      </c>
      <c r="G779" t="s">
        <v>17</v>
      </c>
      <c r="I779" t="s">
        <v>16</v>
      </c>
      <c r="J779" t="s">
        <v>181</v>
      </c>
      <c r="K779" t="s">
        <v>25</v>
      </c>
      <c r="L779">
        <v>132757294</v>
      </c>
      <c r="R779">
        <v>1401</v>
      </c>
      <c r="S779" t="s">
        <v>214</v>
      </c>
      <c r="T779">
        <v>0</v>
      </c>
      <c r="U779">
        <v>32</v>
      </c>
      <c r="V779">
        <v>0</v>
      </c>
      <c r="W779">
        <v>0</v>
      </c>
      <c r="X779">
        <v>0</v>
      </c>
    </row>
    <row r="780" spans="1:24" x14ac:dyDescent="0.25">
      <c r="A780" t="s">
        <v>15</v>
      </c>
      <c r="B780" t="s">
        <v>24</v>
      </c>
      <c r="C780">
        <v>20150316</v>
      </c>
      <c r="D780">
        <v>0</v>
      </c>
      <c r="F780">
        <v>62500</v>
      </c>
      <c r="G780" t="s">
        <v>17</v>
      </c>
      <c r="I780" t="s">
        <v>16</v>
      </c>
      <c r="J780" t="s">
        <v>181</v>
      </c>
      <c r="K780" t="s">
        <v>25</v>
      </c>
      <c r="L780">
        <v>132757294</v>
      </c>
      <c r="R780">
        <v>1400</v>
      </c>
      <c r="S780" t="s">
        <v>194</v>
      </c>
      <c r="T780">
        <v>0</v>
      </c>
      <c r="U780">
        <v>29</v>
      </c>
      <c r="V780">
        <v>0</v>
      </c>
      <c r="W780">
        <v>0</v>
      </c>
      <c r="X780">
        <v>0</v>
      </c>
    </row>
    <row r="781" spans="1:24" x14ac:dyDescent="0.25">
      <c r="A781" t="s">
        <v>15</v>
      </c>
      <c r="B781" t="s">
        <v>24</v>
      </c>
      <c r="C781">
        <v>20150316</v>
      </c>
      <c r="D781">
        <v>0</v>
      </c>
      <c r="F781">
        <v>62500</v>
      </c>
      <c r="G781" t="s">
        <v>17</v>
      </c>
      <c r="I781" t="s">
        <v>16</v>
      </c>
      <c r="J781" t="s">
        <v>181</v>
      </c>
      <c r="K781" t="s">
        <v>25</v>
      </c>
      <c r="L781">
        <v>132757294</v>
      </c>
      <c r="R781">
        <v>1400</v>
      </c>
      <c r="S781" t="s">
        <v>194</v>
      </c>
      <c r="T781">
        <v>0</v>
      </c>
      <c r="U781">
        <v>29</v>
      </c>
      <c r="V781">
        <v>0</v>
      </c>
      <c r="W781">
        <v>0</v>
      </c>
      <c r="X781">
        <v>0</v>
      </c>
    </row>
    <row r="782" spans="1:24" x14ac:dyDescent="0.25">
      <c r="A782" t="s">
        <v>15</v>
      </c>
      <c r="B782" t="s">
        <v>24</v>
      </c>
      <c r="C782">
        <v>20150316</v>
      </c>
      <c r="D782">
        <v>0</v>
      </c>
      <c r="F782">
        <v>62500</v>
      </c>
      <c r="G782" t="s">
        <v>17</v>
      </c>
      <c r="I782" t="s">
        <v>16</v>
      </c>
      <c r="J782" t="s">
        <v>181</v>
      </c>
      <c r="K782" t="s">
        <v>25</v>
      </c>
      <c r="L782">
        <v>132757294</v>
      </c>
      <c r="R782">
        <v>1399</v>
      </c>
      <c r="S782" t="s">
        <v>196</v>
      </c>
      <c r="T782">
        <v>0</v>
      </c>
      <c r="U782">
        <v>28</v>
      </c>
      <c r="V782">
        <v>0</v>
      </c>
      <c r="W782">
        <v>0</v>
      </c>
      <c r="X782">
        <v>0</v>
      </c>
    </row>
    <row r="783" spans="1:24" x14ac:dyDescent="0.25">
      <c r="A783" t="s">
        <v>15</v>
      </c>
      <c r="B783" t="s">
        <v>24</v>
      </c>
      <c r="C783">
        <v>20150316</v>
      </c>
      <c r="D783">
        <v>0</v>
      </c>
      <c r="F783">
        <v>62500</v>
      </c>
      <c r="G783" t="s">
        <v>17</v>
      </c>
      <c r="I783" t="s">
        <v>16</v>
      </c>
      <c r="J783" t="s">
        <v>181</v>
      </c>
      <c r="K783" t="s">
        <v>25</v>
      </c>
      <c r="L783">
        <v>132757294</v>
      </c>
      <c r="R783">
        <v>1399</v>
      </c>
      <c r="S783" t="s">
        <v>201</v>
      </c>
      <c r="T783">
        <v>0</v>
      </c>
      <c r="U783">
        <v>28</v>
      </c>
      <c r="V783">
        <v>0</v>
      </c>
      <c r="W783">
        <v>0</v>
      </c>
      <c r="X783">
        <v>0</v>
      </c>
    </row>
    <row r="784" spans="1:24" x14ac:dyDescent="0.25">
      <c r="A784" t="s">
        <v>15</v>
      </c>
      <c r="B784" t="s">
        <v>24</v>
      </c>
      <c r="C784">
        <v>20150316</v>
      </c>
      <c r="D784">
        <v>0</v>
      </c>
      <c r="F784">
        <v>62500</v>
      </c>
      <c r="G784" t="s">
        <v>17</v>
      </c>
      <c r="I784" t="s">
        <v>16</v>
      </c>
      <c r="J784" t="s">
        <v>181</v>
      </c>
      <c r="K784" t="s">
        <v>25</v>
      </c>
      <c r="L784">
        <v>132757294</v>
      </c>
      <c r="R784">
        <v>1401</v>
      </c>
      <c r="S784" t="s">
        <v>214</v>
      </c>
      <c r="T784">
        <v>0</v>
      </c>
      <c r="U784">
        <v>32</v>
      </c>
      <c r="V784">
        <v>0</v>
      </c>
      <c r="W784">
        <v>0</v>
      </c>
      <c r="X784">
        <v>0</v>
      </c>
    </row>
    <row r="785" spans="1:24" x14ac:dyDescent="0.25">
      <c r="A785" t="s">
        <v>15</v>
      </c>
      <c r="B785" t="s">
        <v>24</v>
      </c>
      <c r="C785">
        <v>20150316</v>
      </c>
      <c r="D785">
        <v>0</v>
      </c>
      <c r="F785">
        <v>62500</v>
      </c>
      <c r="G785" t="s">
        <v>17</v>
      </c>
      <c r="I785" t="s">
        <v>16</v>
      </c>
      <c r="J785" t="s">
        <v>181</v>
      </c>
      <c r="K785" t="s">
        <v>25</v>
      </c>
      <c r="L785">
        <v>132757294</v>
      </c>
      <c r="R785">
        <v>1401</v>
      </c>
      <c r="S785" t="s">
        <v>194</v>
      </c>
      <c r="T785">
        <v>0</v>
      </c>
      <c r="U785">
        <v>32</v>
      </c>
      <c r="V785">
        <v>0</v>
      </c>
      <c r="W785">
        <v>0</v>
      </c>
      <c r="X785">
        <v>0</v>
      </c>
    </row>
    <row r="786" spans="1:24" x14ac:dyDescent="0.25">
      <c r="A786" t="s">
        <v>15</v>
      </c>
      <c r="B786" t="s">
        <v>24</v>
      </c>
      <c r="C786">
        <v>20150316</v>
      </c>
      <c r="D786">
        <v>0</v>
      </c>
      <c r="F786">
        <v>62500</v>
      </c>
      <c r="G786" t="s">
        <v>17</v>
      </c>
      <c r="I786" t="s">
        <v>16</v>
      </c>
      <c r="J786" t="s">
        <v>181</v>
      </c>
      <c r="K786" t="s">
        <v>25</v>
      </c>
      <c r="L786">
        <v>132757294</v>
      </c>
      <c r="R786">
        <v>1400</v>
      </c>
      <c r="S786" t="s">
        <v>196</v>
      </c>
      <c r="T786">
        <v>0</v>
      </c>
      <c r="U786">
        <v>29</v>
      </c>
      <c r="V786">
        <v>0</v>
      </c>
      <c r="W786">
        <v>0</v>
      </c>
      <c r="X786">
        <v>0</v>
      </c>
    </row>
    <row r="787" spans="1:24" x14ac:dyDescent="0.25">
      <c r="A787" t="s">
        <v>15</v>
      </c>
      <c r="B787" t="s">
        <v>24</v>
      </c>
      <c r="C787">
        <v>20150316</v>
      </c>
      <c r="D787">
        <v>0</v>
      </c>
      <c r="F787">
        <v>62500</v>
      </c>
      <c r="G787" t="s">
        <v>17</v>
      </c>
      <c r="I787" t="s">
        <v>16</v>
      </c>
      <c r="J787" t="s">
        <v>181</v>
      </c>
      <c r="K787" t="s">
        <v>25</v>
      </c>
      <c r="L787">
        <v>132757294</v>
      </c>
      <c r="R787">
        <v>1400</v>
      </c>
      <c r="S787" t="s">
        <v>201</v>
      </c>
      <c r="T787">
        <v>0</v>
      </c>
      <c r="U787">
        <v>29</v>
      </c>
      <c r="V787">
        <v>0</v>
      </c>
      <c r="W787">
        <v>0</v>
      </c>
      <c r="X787">
        <v>0</v>
      </c>
    </row>
    <row r="788" spans="1:24" x14ac:dyDescent="0.25">
      <c r="A788" t="s">
        <v>15</v>
      </c>
      <c r="B788" t="s">
        <v>24</v>
      </c>
      <c r="C788">
        <v>20150316</v>
      </c>
      <c r="D788">
        <v>0</v>
      </c>
      <c r="F788">
        <v>62500</v>
      </c>
      <c r="G788" t="s">
        <v>17</v>
      </c>
      <c r="I788" t="s">
        <v>16</v>
      </c>
      <c r="J788" t="s">
        <v>181</v>
      </c>
      <c r="K788" t="s">
        <v>25</v>
      </c>
      <c r="L788">
        <v>132757294</v>
      </c>
      <c r="R788">
        <v>1401</v>
      </c>
      <c r="S788" t="s">
        <v>194</v>
      </c>
      <c r="T788">
        <v>0</v>
      </c>
      <c r="U788">
        <v>32</v>
      </c>
      <c r="V788">
        <v>0</v>
      </c>
      <c r="W788">
        <v>0</v>
      </c>
      <c r="X788">
        <v>0</v>
      </c>
    </row>
    <row r="789" spans="1:24" x14ac:dyDescent="0.25">
      <c r="A789" t="s">
        <v>15</v>
      </c>
      <c r="B789" t="s">
        <v>24</v>
      </c>
      <c r="C789">
        <v>20150316</v>
      </c>
      <c r="D789">
        <v>0</v>
      </c>
      <c r="F789">
        <v>62500</v>
      </c>
      <c r="G789" t="s">
        <v>17</v>
      </c>
      <c r="I789" t="s">
        <v>16</v>
      </c>
      <c r="J789" t="s">
        <v>181</v>
      </c>
      <c r="K789" t="s">
        <v>25</v>
      </c>
      <c r="L789">
        <v>132757294</v>
      </c>
      <c r="R789">
        <v>1401</v>
      </c>
      <c r="S789" t="s">
        <v>194</v>
      </c>
      <c r="T789">
        <v>0</v>
      </c>
      <c r="U789">
        <v>32</v>
      </c>
      <c r="V789">
        <v>0</v>
      </c>
      <c r="W789">
        <v>0</v>
      </c>
      <c r="X789">
        <v>0</v>
      </c>
    </row>
    <row r="790" spans="1:24" x14ac:dyDescent="0.25">
      <c r="A790" t="s">
        <v>15</v>
      </c>
      <c r="B790" t="s">
        <v>24</v>
      </c>
      <c r="C790">
        <v>20150316</v>
      </c>
      <c r="D790">
        <v>0</v>
      </c>
      <c r="F790">
        <v>62500</v>
      </c>
      <c r="G790" t="s">
        <v>17</v>
      </c>
      <c r="I790" t="s">
        <v>16</v>
      </c>
      <c r="J790" t="s">
        <v>181</v>
      </c>
      <c r="K790" t="s">
        <v>25</v>
      </c>
      <c r="L790">
        <v>132757294</v>
      </c>
      <c r="R790">
        <v>1402</v>
      </c>
      <c r="S790" t="s">
        <v>214</v>
      </c>
      <c r="T790">
        <v>0</v>
      </c>
      <c r="U790">
        <v>30</v>
      </c>
      <c r="V790">
        <v>0</v>
      </c>
      <c r="W790">
        <v>0</v>
      </c>
      <c r="X790">
        <v>0</v>
      </c>
    </row>
    <row r="791" spans="1:24" x14ac:dyDescent="0.25">
      <c r="A791" t="s">
        <v>15</v>
      </c>
      <c r="B791" t="s">
        <v>24</v>
      </c>
      <c r="C791">
        <v>20150316</v>
      </c>
      <c r="D791">
        <v>0</v>
      </c>
      <c r="F791">
        <v>62500</v>
      </c>
      <c r="G791" t="s">
        <v>17</v>
      </c>
      <c r="I791" t="s">
        <v>16</v>
      </c>
      <c r="J791" t="s">
        <v>181</v>
      </c>
      <c r="K791" t="s">
        <v>25</v>
      </c>
      <c r="L791">
        <v>132757294</v>
      </c>
      <c r="R791">
        <v>1401</v>
      </c>
      <c r="S791" t="s">
        <v>196</v>
      </c>
      <c r="T791">
        <v>0</v>
      </c>
      <c r="U791">
        <v>32</v>
      </c>
      <c r="V791">
        <v>0</v>
      </c>
      <c r="W791">
        <v>0</v>
      </c>
      <c r="X791">
        <v>0</v>
      </c>
    </row>
    <row r="792" spans="1:24" x14ac:dyDescent="0.25">
      <c r="A792" t="s">
        <v>15</v>
      </c>
      <c r="B792" t="s">
        <v>24</v>
      </c>
      <c r="C792">
        <v>20150316</v>
      </c>
      <c r="D792">
        <v>0</v>
      </c>
      <c r="F792">
        <v>62500</v>
      </c>
      <c r="G792" t="s">
        <v>17</v>
      </c>
      <c r="I792" t="s">
        <v>16</v>
      </c>
      <c r="J792" t="s">
        <v>181</v>
      </c>
      <c r="K792" t="s">
        <v>25</v>
      </c>
      <c r="L792">
        <v>132757294</v>
      </c>
      <c r="R792">
        <v>1401</v>
      </c>
      <c r="S792" t="s">
        <v>201</v>
      </c>
      <c r="T792">
        <v>0</v>
      </c>
      <c r="U792">
        <v>32</v>
      </c>
      <c r="V792">
        <v>0</v>
      </c>
      <c r="W792">
        <v>0</v>
      </c>
      <c r="X792">
        <v>0</v>
      </c>
    </row>
    <row r="793" spans="1:24" x14ac:dyDescent="0.25">
      <c r="A793" t="s">
        <v>15</v>
      </c>
      <c r="B793" t="s">
        <v>24</v>
      </c>
      <c r="C793">
        <v>20150316</v>
      </c>
      <c r="D793">
        <v>0</v>
      </c>
      <c r="F793">
        <v>62500</v>
      </c>
      <c r="G793" t="s">
        <v>17</v>
      </c>
      <c r="I793" t="s">
        <v>16</v>
      </c>
      <c r="J793" t="s">
        <v>181</v>
      </c>
      <c r="K793" t="s">
        <v>25</v>
      </c>
      <c r="L793">
        <v>132757294</v>
      </c>
      <c r="R793">
        <v>1402</v>
      </c>
      <c r="S793" t="s">
        <v>214</v>
      </c>
      <c r="T793">
        <v>0</v>
      </c>
      <c r="U793">
        <v>30</v>
      </c>
      <c r="V793">
        <v>0</v>
      </c>
      <c r="W793">
        <v>0</v>
      </c>
      <c r="X793">
        <v>0</v>
      </c>
    </row>
    <row r="794" spans="1:24" x14ac:dyDescent="0.25">
      <c r="A794" t="s">
        <v>15</v>
      </c>
      <c r="B794" t="s">
        <v>24</v>
      </c>
      <c r="C794">
        <v>20150316</v>
      </c>
      <c r="D794">
        <v>0</v>
      </c>
      <c r="F794">
        <v>62500</v>
      </c>
      <c r="G794" t="s">
        <v>17</v>
      </c>
      <c r="I794" t="s">
        <v>16</v>
      </c>
      <c r="J794" t="s">
        <v>181</v>
      </c>
      <c r="K794" t="s">
        <v>25</v>
      </c>
      <c r="L794">
        <v>132757294</v>
      </c>
      <c r="R794">
        <v>1402</v>
      </c>
      <c r="S794" t="s">
        <v>194</v>
      </c>
      <c r="T794">
        <v>0</v>
      </c>
      <c r="U794">
        <v>30</v>
      </c>
      <c r="V794">
        <v>0</v>
      </c>
      <c r="W794">
        <v>0</v>
      </c>
      <c r="X794">
        <v>0</v>
      </c>
    </row>
    <row r="795" spans="1:24" x14ac:dyDescent="0.25">
      <c r="A795" t="s">
        <v>15</v>
      </c>
      <c r="B795" t="s">
        <v>24</v>
      </c>
      <c r="C795">
        <v>20150316</v>
      </c>
      <c r="D795">
        <v>0</v>
      </c>
      <c r="F795">
        <v>62500</v>
      </c>
      <c r="G795" t="s">
        <v>17</v>
      </c>
      <c r="I795" t="s">
        <v>16</v>
      </c>
      <c r="J795" t="s">
        <v>181</v>
      </c>
      <c r="K795" t="s">
        <v>25</v>
      </c>
      <c r="L795">
        <v>132757294</v>
      </c>
      <c r="R795">
        <v>1402</v>
      </c>
      <c r="S795" t="s">
        <v>194</v>
      </c>
      <c r="T795">
        <v>0</v>
      </c>
      <c r="U795">
        <v>30</v>
      </c>
      <c r="V795">
        <v>0</v>
      </c>
      <c r="W795">
        <v>0</v>
      </c>
      <c r="X795">
        <v>0</v>
      </c>
    </row>
    <row r="796" spans="1:24" x14ac:dyDescent="0.25">
      <c r="A796" t="s">
        <v>15</v>
      </c>
      <c r="B796" t="s">
        <v>24</v>
      </c>
      <c r="C796">
        <v>20150316</v>
      </c>
      <c r="D796">
        <v>0</v>
      </c>
      <c r="F796">
        <v>62500</v>
      </c>
      <c r="G796" t="s">
        <v>17</v>
      </c>
      <c r="I796" t="s">
        <v>16</v>
      </c>
      <c r="J796" t="s">
        <v>181</v>
      </c>
      <c r="K796" t="s">
        <v>25</v>
      </c>
      <c r="L796">
        <v>132757294</v>
      </c>
      <c r="R796">
        <v>1402</v>
      </c>
      <c r="S796" t="s">
        <v>194</v>
      </c>
      <c r="T796">
        <v>0</v>
      </c>
      <c r="U796">
        <v>30</v>
      </c>
      <c r="V796">
        <v>0</v>
      </c>
      <c r="W796">
        <v>0</v>
      </c>
      <c r="X796">
        <v>0</v>
      </c>
    </row>
    <row r="797" spans="1:24" x14ac:dyDescent="0.25">
      <c r="A797" t="s">
        <v>15</v>
      </c>
      <c r="B797" t="s">
        <v>24</v>
      </c>
      <c r="C797">
        <v>20150316</v>
      </c>
      <c r="D797">
        <v>0</v>
      </c>
      <c r="F797">
        <v>62500</v>
      </c>
      <c r="G797" t="s">
        <v>17</v>
      </c>
      <c r="I797" t="s">
        <v>16</v>
      </c>
      <c r="J797" t="s">
        <v>181</v>
      </c>
      <c r="K797" t="s">
        <v>25</v>
      </c>
      <c r="L797">
        <v>132757294</v>
      </c>
      <c r="R797">
        <v>1403</v>
      </c>
      <c r="S797" t="s">
        <v>214</v>
      </c>
      <c r="T797">
        <v>0</v>
      </c>
      <c r="U797">
        <v>32</v>
      </c>
      <c r="V797">
        <v>0</v>
      </c>
      <c r="W797">
        <v>0</v>
      </c>
      <c r="X797">
        <v>0</v>
      </c>
    </row>
    <row r="798" spans="1:24" x14ac:dyDescent="0.25">
      <c r="A798" t="s">
        <v>15</v>
      </c>
      <c r="B798" t="s">
        <v>24</v>
      </c>
      <c r="C798">
        <v>20150316</v>
      </c>
      <c r="D798">
        <v>0</v>
      </c>
      <c r="F798">
        <v>62500</v>
      </c>
      <c r="G798" t="s">
        <v>17</v>
      </c>
      <c r="I798" t="s">
        <v>16</v>
      </c>
      <c r="J798" t="s">
        <v>181</v>
      </c>
      <c r="K798" t="s">
        <v>25</v>
      </c>
      <c r="L798">
        <v>132757294</v>
      </c>
      <c r="R798">
        <v>1402</v>
      </c>
      <c r="S798" t="s">
        <v>196</v>
      </c>
      <c r="T798">
        <v>0</v>
      </c>
      <c r="U798">
        <v>30</v>
      </c>
      <c r="V798">
        <v>0</v>
      </c>
      <c r="W798">
        <v>0</v>
      </c>
      <c r="X798">
        <v>0</v>
      </c>
    </row>
    <row r="799" spans="1:24" x14ac:dyDescent="0.25">
      <c r="A799" t="s">
        <v>15</v>
      </c>
      <c r="B799" t="s">
        <v>24</v>
      </c>
      <c r="C799">
        <v>20150316</v>
      </c>
      <c r="D799">
        <v>0</v>
      </c>
      <c r="F799">
        <v>62500</v>
      </c>
      <c r="G799" t="s">
        <v>17</v>
      </c>
      <c r="I799" t="s">
        <v>16</v>
      </c>
      <c r="J799" t="s">
        <v>181</v>
      </c>
      <c r="K799" t="s">
        <v>25</v>
      </c>
      <c r="L799">
        <v>132757294</v>
      </c>
      <c r="R799">
        <v>1402</v>
      </c>
      <c r="S799" t="s">
        <v>201</v>
      </c>
      <c r="T799">
        <v>0</v>
      </c>
      <c r="U799">
        <v>30</v>
      </c>
      <c r="V799">
        <v>0</v>
      </c>
      <c r="W799">
        <v>0</v>
      </c>
      <c r="X799">
        <v>0</v>
      </c>
    </row>
    <row r="800" spans="1:24" x14ac:dyDescent="0.25">
      <c r="A800" t="s">
        <v>15</v>
      </c>
      <c r="B800" t="s">
        <v>24</v>
      </c>
      <c r="C800">
        <v>20150316</v>
      </c>
      <c r="D800">
        <v>0</v>
      </c>
      <c r="F800">
        <v>62500</v>
      </c>
      <c r="G800" t="s">
        <v>17</v>
      </c>
      <c r="I800" t="s">
        <v>16</v>
      </c>
      <c r="J800" t="s">
        <v>181</v>
      </c>
      <c r="K800" t="s">
        <v>25</v>
      </c>
      <c r="L800">
        <v>132757294</v>
      </c>
      <c r="R800">
        <v>1403</v>
      </c>
      <c r="S800" t="s">
        <v>214</v>
      </c>
      <c r="T800">
        <v>0</v>
      </c>
      <c r="U800">
        <v>32</v>
      </c>
      <c r="V800">
        <v>0</v>
      </c>
      <c r="W800">
        <v>0</v>
      </c>
      <c r="X800">
        <v>0</v>
      </c>
    </row>
    <row r="801" spans="1:24" x14ac:dyDescent="0.25">
      <c r="A801" t="s">
        <v>15</v>
      </c>
      <c r="B801" t="s">
        <v>24</v>
      </c>
      <c r="C801">
        <v>20150316</v>
      </c>
      <c r="D801">
        <v>0</v>
      </c>
      <c r="F801">
        <v>62500</v>
      </c>
      <c r="G801" t="s">
        <v>17</v>
      </c>
      <c r="I801" t="s">
        <v>16</v>
      </c>
      <c r="J801" t="s">
        <v>181</v>
      </c>
      <c r="K801" t="s">
        <v>25</v>
      </c>
      <c r="L801">
        <v>132757294</v>
      </c>
      <c r="R801">
        <v>1403</v>
      </c>
      <c r="S801" t="s">
        <v>194</v>
      </c>
      <c r="T801">
        <v>0</v>
      </c>
      <c r="U801">
        <v>32</v>
      </c>
      <c r="V801">
        <v>0</v>
      </c>
      <c r="W801">
        <v>0</v>
      </c>
      <c r="X801">
        <v>0</v>
      </c>
    </row>
    <row r="802" spans="1:24" x14ac:dyDescent="0.25">
      <c r="A802" t="s">
        <v>15</v>
      </c>
      <c r="B802" t="s">
        <v>24</v>
      </c>
      <c r="C802">
        <v>20150316</v>
      </c>
      <c r="D802">
        <v>0</v>
      </c>
      <c r="F802">
        <v>62500</v>
      </c>
      <c r="G802" t="s">
        <v>17</v>
      </c>
      <c r="I802" t="s">
        <v>16</v>
      </c>
      <c r="J802" t="s">
        <v>181</v>
      </c>
      <c r="K802" t="s">
        <v>25</v>
      </c>
      <c r="L802">
        <v>132757294</v>
      </c>
      <c r="R802">
        <v>1403</v>
      </c>
      <c r="S802" t="s">
        <v>194</v>
      </c>
      <c r="T802">
        <v>0</v>
      </c>
      <c r="U802">
        <v>32</v>
      </c>
      <c r="V802">
        <v>0</v>
      </c>
      <c r="W802">
        <v>0</v>
      </c>
      <c r="X802">
        <v>0</v>
      </c>
    </row>
    <row r="803" spans="1:24" x14ac:dyDescent="0.25">
      <c r="A803" t="s">
        <v>15</v>
      </c>
      <c r="B803" t="s">
        <v>24</v>
      </c>
      <c r="C803">
        <v>20150316</v>
      </c>
      <c r="D803">
        <v>0</v>
      </c>
      <c r="F803">
        <v>62500</v>
      </c>
      <c r="G803" t="s">
        <v>17</v>
      </c>
      <c r="I803" t="s">
        <v>16</v>
      </c>
      <c r="J803" t="s">
        <v>181</v>
      </c>
      <c r="K803" t="s">
        <v>25</v>
      </c>
      <c r="L803">
        <v>132757294</v>
      </c>
      <c r="R803">
        <v>1403</v>
      </c>
      <c r="S803" t="s">
        <v>194</v>
      </c>
      <c r="T803">
        <v>0</v>
      </c>
      <c r="U803">
        <v>32</v>
      </c>
      <c r="V803">
        <v>0</v>
      </c>
      <c r="W803">
        <v>0</v>
      </c>
      <c r="X803">
        <v>0</v>
      </c>
    </row>
    <row r="804" spans="1:24" x14ac:dyDescent="0.25">
      <c r="A804" t="s">
        <v>15</v>
      </c>
      <c r="B804" t="s">
        <v>24</v>
      </c>
      <c r="C804">
        <v>20150316</v>
      </c>
      <c r="D804">
        <v>0</v>
      </c>
      <c r="F804">
        <v>62500</v>
      </c>
      <c r="G804" t="s">
        <v>17</v>
      </c>
      <c r="I804" t="s">
        <v>16</v>
      </c>
      <c r="J804" t="s">
        <v>181</v>
      </c>
      <c r="K804" t="s">
        <v>25</v>
      </c>
      <c r="L804">
        <v>132757294</v>
      </c>
      <c r="R804">
        <v>1404</v>
      </c>
      <c r="S804" t="s">
        <v>214</v>
      </c>
      <c r="T804">
        <v>0</v>
      </c>
      <c r="U804">
        <v>-32</v>
      </c>
      <c r="V804">
        <v>0</v>
      </c>
      <c r="W804">
        <v>0</v>
      </c>
      <c r="X804">
        <v>0</v>
      </c>
    </row>
    <row r="805" spans="1:24" x14ac:dyDescent="0.25">
      <c r="A805" t="s">
        <v>15</v>
      </c>
      <c r="B805" t="s">
        <v>24</v>
      </c>
      <c r="C805">
        <v>20150316</v>
      </c>
      <c r="D805">
        <v>0</v>
      </c>
      <c r="F805">
        <v>62500</v>
      </c>
      <c r="G805" t="s">
        <v>17</v>
      </c>
      <c r="I805" t="s">
        <v>16</v>
      </c>
      <c r="J805" t="s">
        <v>181</v>
      </c>
      <c r="K805" t="s">
        <v>25</v>
      </c>
      <c r="L805">
        <v>132757294</v>
      </c>
      <c r="R805">
        <v>1404</v>
      </c>
      <c r="S805" t="s">
        <v>214</v>
      </c>
      <c r="T805">
        <v>0</v>
      </c>
      <c r="U805">
        <v>-32</v>
      </c>
      <c r="V805">
        <v>0</v>
      </c>
      <c r="W805">
        <v>0</v>
      </c>
      <c r="X805">
        <v>0</v>
      </c>
    </row>
    <row r="806" spans="1:24" x14ac:dyDescent="0.25">
      <c r="A806" t="s">
        <v>15</v>
      </c>
      <c r="B806" t="s">
        <v>24</v>
      </c>
      <c r="C806">
        <v>20150316</v>
      </c>
      <c r="D806">
        <v>0</v>
      </c>
      <c r="F806">
        <v>62500</v>
      </c>
      <c r="G806" t="s">
        <v>17</v>
      </c>
      <c r="I806" t="s">
        <v>16</v>
      </c>
      <c r="J806" t="s">
        <v>181</v>
      </c>
      <c r="K806" t="s">
        <v>25</v>
      </c>
      <c r="L806">
        <v>132757294</v>
      </c>
      <c r="R806">
        <v>1404</v>
      </c>
      <c r="S806" t="s">
        <v>194</v>
      </c>
      <c r="T806">
        <v>0</v>
      </c>
      <c r="U806">
        <v>32</v>
      </c>
      <c r="V806">
        <v>0</v>
      </c>
      <c r="W806">
        <v>0</v>
      </c>
      <c r="X806">
        <v>0</v>
      </c>
    </row>
    <row r="807" spans="1:24" x14ac:dyDescent="0.25">
      <c r="A807" t="s">
        <v>15</v>
      </c>
      <c r="B807" t="s">
        <v>24</v>
      </c>
      <c r="C807">
        <v>20150316</v>
      </c>
      <c r="D807">
        <v>0</v>
      </c>
      <c r="F807">
        <v>62500</v>
      </c>
      <c r="G807" t="s">
        <v>17</v>
      </c>
      <c r="I807" t="s">
        <v>16</v>
      </c>
      <c r="J807" t="s">
        <v>181</v>
      </c>
      <c r="K807" t="s">
        <v>25</v>
      </c>
      <c r="L807">
        <v>132757294</v>
      </c>
      <c r="R807">
        <v>1404</v>
      </c>
      <c r="S807" t="s">
        <v>194</v>
      </c>
      <c r="T807">
        <v>0</v>
      </c>
      <c r="U807">
        <v>32</v>
      </c>
      <c r="V807">
        <v>0</v>
      </c>
      <c r="W807">
        <v>0</v>
      </c>
      <c r="X807">
        <v>0</v>
      </c>
    </row>
    <row r="808" spans="1:24" x14ac:dyDescent="0.25">
      <c r="A808" t="s">
        <v>15</v>
      </c>
      <c r="B808" t="s">
        <v>24</v>
      </c>
      <c r="C808">
        <v>20150316</v>
      </c>
      <c r="D808">
        <v>0</v>
      </c>
      <c r="F808">
        <v>62500</v>
      </c>
      <c r="G808" t="s">
        <v>17</v>
      </c>
      <c r="I808" t="s">
        <v>16</v>
      </c>
      <c r="J808" t="s">
        <v>181</v>
      </c>
      <c r="K808" t="s">
        <v>25</v>
      </c>
      <c r="L808">
        <v>132757294</v>
      </c>
      <c r="R808">
        <v>1404</v>
      </c>
      <c r="S808" t="s">
        <v>194</v>
      </c>
      <c r="T808">
        <v>0</v>
      </c>
      <c r="U808">
        <v>32</v>
      </c>
      <c r="V808">
        <v>0</v>
      </c>
      <c r="W808">
        <v>0</v>
      </c>
      <c r="X808">
        <v>0</v>
      </c>
    </row>
    <row r="809" spans="1:24" x14ac:dyDescent="0.25">
      <c r="A809" t="s">
        <v>15</v>
      </c>
      <c r="B809" t="s">
        <v>24</v>
      </c>
      <c r="C809">
        <v>20150316</v>
      </c>
      <c r="D809">
        <v>0</v>
      </c>
      <c r="F809">
        <v>62500</v>
      </c>
      <c r="G809" t="s">
        <v>17</v>
      </c>
      <c r="I809" t="s">
        <v>16</v>
      </c>
      <c r="J809" t="s">
        <v>181</v>
      </c>
      <c r="K809" t="s">
        <v>25</v>
      </c>
      <c r="L809">
        <v>132757294</v>
      </c>
      <c r="R809">
        <v>1405</v>
      </c>
      <c r="S809" t="s">
        <v>214</v>
      </c>
      <c r="T809">
        <v>0</v>
      </c>
      <c r="U809">
        <v>33</v>
      </c>
      <c r="V809">
        <v>0</v>
      </c>
      <c r="W809">
        <v>0</v>
      </c>
      <c r="X809">
        <v>0</v>
      </c>
    </row>
    <row r="810" spans="1:24" x14ac:dyDescent="0.25">
      <c r="A810" t="s">
        <v>15</v>
      </c>
      <c r="B810" t="s">
        <v>24</v>
      </c>
      <c r="C810">
        <v>20150316</v>
      </c>
      <c r="D810">
        <v>0</v>
      </c>
      <c r="F810">
        <v>62500</v>
      </c>
      <c r="G810" t="s">
        <v>17</v>
      </c>
      <c r="I810" t="s">
        <v>16</v>
      </c>
      <c r="J810" t="s">
        <v>181</v>
      </c>
      <c r="K810" t="s">
        <v>25</v>
      </c>
      <c r="L810">
        <v>132757294</v>
      </c>
      <c r="R810">
        <v>1403</v>
      </c>
      <c r="S810" t="s">
        <v>196</v>
      </c>
      <c r="T810">
        <v>0</v>
      </c>
      <c r="U810">
        <v>32</v>
      </c>
      <c r="V810">
        <v>0</v>
      </c>
      <c r="W810">
        <v>0</v>
      </c>
      <c r="X810">
        <v>0</v>
      </c>
    </row>
    <row r="811" spans="1:24" x14ac:dyDescent="0.25">
      <c r="A811" t="s">
        <v>15</v>
      </c>
      <c r="B811" t="s">
        <v>24</v>
      </c>
      <c r="C811">
        <v>20150316</v>
      </c>
      <c r="D811">
        <v>0</v>
      </c>
      <c r="F811">
        <v>62500</v>
      </c>
      <c r="G811" t="s">
        <v>17</v>
      </c>
      <c r="I811" t="s">
        <v>16</v>
      </c>
      <c r="J811" t="s">
        <v>181</v>
      </c>
      <c r="K811" t="s">
        <v>25</v>
      </c>
      <c r="L811">
        <v>132757294</v>
      </c>
      <c r="R811">
        <v>1403</v>
      </c>
      <c r="S811" t="s">
        <v>201</v>
      </c>
      <c r="T811">
        <v>0</v>
      </c>
      <c r="U811">
        <v>32</v>
      </c>
      <c r="V811">
        <v>0</v>
      </c>
      <c r="W811">
        <v>0</v>
      </c>
      <c r="X811">
        <v>0</v>
      </c>
    </row>
    <row r="812" spans="1:24" x14ac:dyDescent="0.25">
      <c r="A812" t="s">
        <v>15</v>
      </c>
      <c r="B812" t="s">
        <v>24</v>
      </c>
      <c r="C812">
        <v>20150316</v>
      </c>
      <c r="D812">
        <v>0</v>
      </c>
      <c r="F812">
        <v>62500</v>
      </c>
      <c r="G812" t="s">
        <v>17</v>
      </c>
      <c r="I812" t="s">
        <v>16</v>
      </c>
      <c r="J812" t="s">
        <v>181</v>
      </c>
      <c r="K812" t="s">
        <v>25</v>
      </c>
      <c r="L812">
        <v>132757294</v>
      </c>
      <c r="R812">
        <v>1405</v>
      </c>
      <c r="S812" t="s">
        <v>214</v>
      </c>
      <c r="T812">
        <v>0</v>
      </c>
      <c r="U812">
        <v>33</v>
      </c>
      <c r="V812">
        <v>0</v>
      </c>
      <c r="W812">
        <v>0</v>
      </c>
      <c r="X812">
        <v>0</v>
      </c>
    </row>
    <row r="813" spans="1:24" x14ac:dyDescent="0.25">
      <c r="A813" t="s">
        <v>15</v>
      </c>
      <c r="B813" t="s">
        <v>24</v>
      </c>
      <c r="C813">
        <v>20150316</v>
      </c>
      <c r="D813">
        <v>0</v>
      </c>
      <c r="F813">
        <v>62500</v>
      </c>
      <c r="G813" t="s">
        <v>17</v>
      </c>
      <c r="I813" t="s">
        <v>16</v>
      </c>
      <c r="J813" t="s">
        <v>181</v>
      </c>
      <c r="K813" t="s">
        <v>25</v>
      </c>
      <c r="L813">
        <v>132757294</v>
      </c>
      <c r="R813">
        <v>1405</v>
      </c>
      <c r="S813" t="s">
        <v>194</v>
      </c>
      <c r="T813">
        <v>0</v>
      </c>
      <c r="U813">
        <v>33</v>
      </c>
      <c r="V813">
        <v>0</v>
      </c>
      <c r="W813">
        <v>0</v>
      </c>
      <c r="X813">
        <v>0</v>
      </c>
    </row>
    <row r="814" spans="1:24" x14ac:dyDescent="0.25">
      <c r="A814" t="s">
        <v>15</v>
      </c>
      <c r="B814" t="s">
        <v>24</v>
      </c>
      <c r="C814">
        <v>20150316</v>
      </c>
      <c r="D814">
        <v>0</v>
      </c>
      <c r="F814">
        <v>62500</v>
      </c>
      <c r="G814" t="s">
        <v>17</v>
      </c>
      <c r="I814" t="s">
        <v>16</v>
      </c>
      <c r="J814" t="s">
        <v>181</v>
      </c>
      <c r="K814" t="s">
        <v>25</v>
      </c>
      <c r="L814">
        <v>132757294</v>
      </c>
      <c r="R814">
        <v>1405</v>
      </c>
      <c r="S814" t="s">
        <v>194</v>
      </c>
      <c r="T814">
        <v>0</v>
      </c>
      <c r="U814">
        <v>33</v>
      </c>
      <c r="V814">
        <v>0</v>
      </c>
      <c r="W814">
        <v>0</v>
      </c>
      <c r="X814">
        <v>0</v>
      </c>
    </row>
    <row r="815" spans="1:24" x14ac:dyDescent="0.25">
      <c r="A815" t="s">
        <v>15</v>
      </c>
      <c r="B815" t="s">
        <v>24</v>
      </c>
      <c r="C815">
        <v>20150316</v>
      </c>
      <c r="D815">
        <v>0</v>
      </c>
      <c r="F815">
        <v>62500</v>
      </c>
      <c r="G815" t="s">
        <v>17</v>
      </c>
      <c r="I815" t="s">
        <v>16</v>
      </c>
      <c r="J815" t="s">
        <v>181</v>
      </c>
      <c r="K815" t="s">
        <v>25</v>
      </c>
      <c r="L815">
        <v>132757294</v>
      </c>
      <c r="R815">
        <v>1405</v>
      </c>
      <c r="S815" t="s">
        <v>194</v>
      </c>
      <c r="T815">
        <v>0</v>
      </c>
      <c r="U815">
        <v>33</v>
      </c>
      <c r="V815">
        <v>0</v>
      </c>
      <c r="W815">
        <v>0</v>
      </c>
      <c r="X815">
        <v>0</v>
      </c>
    </row>
    <row r="816" spans="1:24" x14ac:dyDescent="0.25">
      <c r="A816" t="s">
        <v>15</v>
      </c>
      <c r="B816" t="s">
        <v>24</v>
      </c>
      <c r="C816">
        <v>20150316</v>
      </c>
      <c r="D816">
        <v>0</v>
      </c>
      <c r="F816">
        <v>62500</v>
      </c>
      <c r="G816" t="s">
        <v>17</v>
      </c>
      <c r="I816" t="s">
        <v>16</v>
      </c>
      <c r="J816" t="s">
        <v>181</v>
      </c>
      <c r="K816" t="s">
        <v>25</v>
      </c>
      <c r="L816">
        <v>132757294</v>
      </c>
      <c r="R816">
        <v>1406</v>
      </c>
      <c r="S816" t="s">
        <v>214</v>
      </c>
      <c r="T816">
        <v>0</v>
      </c>
      <c r="U816">
        <v>31</v>
      </c>
      <c r="V816">
        <v>0</v>
      </c>
      <c r="W816">
        <v>0</v>
      </c>
      <c r="X816">
        <v>0</v>
      </c>
    </row>
    <row r="817" spans="1:24" x14ac:dyDescent="0.25">
      <c r="A817" t="s">
        <v>15</v>
      </c>
      <c r="B817" t="s">
        <v>24</v>
      </c>
      <c r="C817">
        <v>20150316</v>
      </c>
      <c r="D817">
        <v>0</v>
      </c>
      <c r="F817">
        <v>62500</v>
      </c>
      <c r="G817" t="s">
        <v>17</v>
      </c>
      <c r="I817" t="s">
        <v>16</v>
      </c>
      <c r="J817" t="s">
        <v>181</v>
      </c>
      <c r="K817" t="s">
        <v>25</v>
      </c>
      <c r="L817">
        <v>132757294</v>
      </c>
      <c r="R817">
        <v>1405</v>
      </c>
      <c r="S817" t="s">
        <v>196</v>
      </c>
      <c r="T817">
        <v>0</v>
      </c>
      <c r="U817">
        <v>33</v>
      </c>
      <c r="V817">
        <v>0</v>
      </c>
      <c r="W817">
        <v>0</v>
      </c>
      <c r="X817">
        <v>0</v>
      </c>
    </row>
    <row r="818" spans="1:24" x14ac:dyDescent="0.25">
      <c r="A818" t="s">
        <v>15</v>
      </c>
      <c r="B818" t="s">
        <v>24</v>
      </c>
      <c r="C818">
        <v>20150316</v>
      </c>
      <c r="D818">
        <v>0</v>
      </c>
      <c r="F818">
        <v>62500</v>
      </c>
      <c r="G818" t="s">
        <v>17</v>
      </c>
      <c r="I818" t="s">
        <v>16</v>
      </c>
      <c r="J818" t="s">
        <v>181</v>
      </c>
      <c r="K818" t="s">
        <v>25</v>
      </c>
      <c r="L818">
        <v>132757294</v>
      </c>
      <c r="R818">
        <v>1405</v>
      </c>
      <c r="S818" t="s">
        <v>201</v>
      </c>
      <c r="T818">
        <v>0</v>
      </c>
      <c r="U818">
        <v>33</v>
      </c>
      <c r="V818">
        <v>0</v>
      </c>
      <c r="W818">
        <v>0</v>
      </c>
      <c r="X818">
        <v>0</v>
      </c>
    </row>
    <row r="819" spans="1:24" x14ac:dyDescent="0.25">
      <c r="A819" t="s">
        <v>15</v>
      </c>
      <c r="B819" t="s">
        <v>24</v>
      </c>
      <c r="C819">
        <v>20150316</v>
      </c>
      <c r="D819">
        <v>0</v>
      </c>
      <c r="F819">
        <v>62500</v>
      </c>
      <c r="G819" t="s">
        <v>17</v>
      </c>
      <c r="I819" t="s">
        <v>16</v>
      </c>
      <c r="J819" t="s">
        <v>181</v>
      </c>
      <c r="K819" t="s">
        <v>25</v>
      </c>
      <c r="L819">
        <v>132757294</v>
      </c>
      <c r="R819">
        <v>1406</v>
      </c>
      <c r="S819" t="s">
        <v>214</v>
      </c>
      <c r="T819">
        <v>0</v>
      </c>
      <c r="U819">
        <v>31</v>
      </c>
      <c r="V819">
        <v>0</v>
      </c>
      <c r="W819">
        <v>0</v>
      </c>
      <c r="X819">
        <v>0</v>
      </c>
    </row>
    <row r="820" spans="1:24" x14ac:dyDescent="0.25">
      <c r="A820" t="s">
        <v>15</v>
      </c>
      <c r="B820" t="s">
        <v>24</v>
      </c>
      <c r="C820">
        <v>20150316</v>
      </c>
      <c r="D820">
        <v>0</v>
      </c>
      <c r="F820">
        <v>62500</v>
      </c>
      <c r="G820" t="s">
        <v>17</v>
      </c>
      <c r="I820" t="s">
        <v>16</v>
      </c>
      <c r="J820" t="s">
        <v>181</v>
      </c>
      <c r="K820" t="s">
        <v>25</v>
      </c>
      <c r="L820">
        <v>132757294</v>
      </c>
      <c r="R820">
        <v>1406</v>
      </c>
      <c r="S820" t="s">
        <v>194</v>
      </c>
      <c r="T820">
        <v>0</v>
      </c>
      <c r="U820">
        <v>31</v>
      </c>
      <c r="V820">
        <v>0</v>
      </c>
      <c r="W820">
        <v>0</v>
      </c>
      <c r="X820">
        <v>0</v>
      </c>
    </row>
    <row r="821" spans="1:24" x14ac:dyDescent="0.25">
      <c r="A821" t="s">
        <v>15</v>
      </c>
      <c r="B821" t="s">
        <v>24</v>
      </c>
      <c r="C821">
        <v>20150316</v>
      </c>
      <c r="D821">
        <v>0</v>
      </c>
      <c r="F821">
        <v>62500</v>
      </c>
      <c r="G821" t="s">
        <v>17</v>
      </c>
      <c r="I821" t="s">
        <v>16</v>
      </c>
      <c r="J821" t="s">
        <v>181</v>
      </c>
      <c r="K821" t="s">
        <v>25</v>
      </c>
      <c r="L821">
        <v>132757294</v>
      </c>
      <c r="R821">
        <v>1406</v>
      </c>
      <c r="S821" t="s">
        <v>194</v>
      </c>
      <c r="T821">
        <v>0</v>
      </c>
      <c r="U821">
        <v>31</v>
      </c>
      <c r="V821">
        <v>0</v>
      </c>
      <c r="W821">
        <v>0</v>
      </c>
      <c r="X821">
        <v>0</v>
      </c>
    </row>
    <row r="822" spans="1:24" x14ac:dyDescent="0.25">
      <c r="A822" t="s">
        <v>15</v>
      </c>
      <c r="B822" t="s">
        <v>24</v>
      </c>
      <c r="C822">
        <v>20150316</v>
      </c>
      <c r="D822">
        <v>0</v>
      </c>
      <c r="F822">
        <v>62500</v>
      </c>
      <c r="G822" t="s">
        <v>17</v>
      </c>
      <c r="I822" t="s">
        <v>16</v>
      </c>
      <c r="J822" t="s">
        <v>181</v>
      </c>
      <c r="K822" t="s">
        <v>25</v>
      </c>
      <c r="L822">
        <v>132757294</v>
      </c>
      <c r="R822">
        <v>1406</v>
      </c>
      <c r="S822" t="s">
        <v>194</v>
      </c>
      <c r="T822">
        <v>0</v>
      </c>
      <c r="U822">
        <v>31</v>
      </c>
      <c r="V822">
        <v>0</v>
      </c>
      <c r="W822">
        <v>0</v>
      </c>
      <c r="X822">
        <v>0</v>
      </c>
    </row>
    <row r="823" spans="1:24" x14ac:dyDescent="0.25">
      <c r="A823" t="s">
        <v>15</v>
      </c>
      <c r="B823" t="s">
        <v>24</v>
      </c>
      <c r="C823">
        <v>20150316</v>
      </c>
      <c r="D823">
        <v>0</v>
      </c>
      <c r="F823">
        <v>62500</v>
      </c>
      <c r="G823" t="s">
        <v>17</v>
      </c>
      <c r="I823" t="s">
        <v>16</v>
      </c>
      <c r="J823" t="s">
        <v>181</v>
      </c>
      <c r="K823" t="s">
        <v>25</v>
      </c>
      <c r="L823">
        <v>132757294</v>
      </c>
      <c r="R823">
        <v>1407</v>
      </c>
      <c r="S823" t="s">
        <v>214</v>
      </c>
      <c r="T823">
        <v>0</v>
      </c>
      <c r="U823">
        <v>-30</v>
      </c>
      <c r="V823">
        <v>0</v>
      </c>
      <c r="W823">
        <v>0</v>
      </c>
      <c r="X823">
        <v>0</v>
      </c>
    </row>
    <row r="824" spans="1:24" x14ac:dyDescent="0.25">
      <c r="A824" t="s">
        <v>15</v>
      </c>
      <c r="B824" t="s">
        <v>24</v>
      </c>
      <c r="C824">
        <v>20150316</v>
      </c>
      <c r="D824">
        <v>0</v>
      </c>
      <c r="F824">
        <v>62500</v>
      </c>
      <c r="G824" t="s">
        <v>17</v>
      </c>
      <c r="I824" t="s">
        <v>16</v>
      </c>
      <c r="J824" t="s">
        <v>181</v>
      </c>
      <c r="K824" t="s">
        <v>25</v>
      </c>
      <c r="L824">
        <v>132757294</v>
      </c>
      <c r="R824">
        <v>1404</v>
      </c>
      <c r="S824" t="s">
        <v>196</v>
      </c>
      <c r="T824">
        <v>0</v>
      </c>
      <c r="U824">
        <v>32</v>
      </c>
      <c r="V824">
        <v>0</v>
      </c>
      <c r="W824">
        <v>0</v>
      </c>
      <c r="X824">
        <v>0</v>
      </c>
    </row>
    <row r="825" spans="1:24" x14ac:dyDescent="0.25">
      <c r="A825" t="s">
        <v>15</v>
      </c>
      <c r="B825" t="s">
        <v>24</v>
      </c>
      <c r="C825">
        <v>20150316</v>
      </c>
      <c r="D825">
        <v>0</v>
      </c>
      <c r="F825">
        <v>62500</v>
      </c>
      <c r="G825" t="s">
        <v>17</v>
      </c>
      <c r="I825" t="s">
        <v>16</v>
      </c>
      <c r="J825" t="s">
        <v>181</v>
      </c>
      <c r="K825" t="s">
        <v>25</v>
      </c>
      <c r="L825">
        <v>132757294</v>
      </c>
      <c r="R825">
        <v>1404</v>
      </c>
      <c r="S825" t="s">
        <v>201</v>
      </c>
      <c r="T825">
        <v>0</v>
      </c>
      <c r="U825">
        <v>32</v>
      </c>
      <c r="V825">
        <v>0</v>
      </c>
      <c r="W825">
        <v>0</v>
      </c>
      <c r="X825">
        <v>0</v>
      </c>
    </row>
    <row r="826" spans="1:24" x14ac:dyDescent="0.25">
      <c r="A826" t="s">
        <v>15</v>
      </c>
      <c r="B826" t="s">
        <v>24</v>
      </c>
      <c r="C826">
        <v>20150316</v>
      </c>
      <c r="D826">
        <v>0</v>
      </c>
      <c r="F826">
        <v>62500</v>
      </c>
      <c r="G826" t="s">
        <v>17</v>
      </c>
      <c r="I826" t="s">
        <v>16</v>
      </c>
      <c r="J826" t="s">
        <v>181</v>
      </c>
      <c r="K826" t="s">
        <v>25</v>
      </c>
      <c r="L826">
        <v>132757294</v>
      </c>
      <c r="R826">
        <v>1407</v>
      </c>
      <c r="S826" t="s">
        <v>214</v>
      </c>
      <c r="T826">
        <v>0</v>
      </c>
      <c r="U826">
        <v>-30</v>
      </c>
      <c r="V826">
        <v>0</v>
      </c>
      <c r="W826">
        <v>0</v>
      </c>
      <c r="X826">
        <v>0</v>
      </c>
    </row>
    <row r="827" spans="1:24" x14ac:dyDescent="0.25">
      <c r="A827" t="s">
        <v>15</v>
      </c>
      <c r="B827" t="s">
        <v>24</v>
      </c>
      <c r="C827">
        <v>20150316</v>
      </c>
      <c r="D827">
        <v>0</v>
      </c>
      <c r="F827">
        <v>62500</v>
      </c>
      <c r="G827" t="s">
        <v>17</v>
      </c>
      <c r="I827" t="s">
        <v>16</v>
      </c>
      <c r="J827" t="s">
        <v>181</v>
      </c>
      <c r="K827" t="s">
        <v>25</v>
      </c>
      <c r="L827">
        <v>132757294</v>
      </c>
      <c r="R827">
        <v>1407</v>
      </c>
      <c r="S827" t="s">
        <v>194</v>
      </c>
      <c r="T827">
        <v>0</v>
      </c>
      <c r="U827">
        <v>30</v>
      </c>
      <c r="V827">
        <v>0</v>
      </c>
      <c r="W827">
        <v>0</v>
      </c>
      <c r="X827">
        <v>0</v>
      </c>
    </row>
    <row r="828" spans="1:24" x14ac:dyDescent="0.25">
      <c r="A828" t="s">
        <v>15</v>
      </c>
      <c r="B828" t="s">
        <v>24</v>
      </c>
      <c r="C828">
        <v>20150316</v>
      </c>
      <c r="D828">
        <v>0</v>
      </c>
      <c r="F828">
        <v>62500</v>
      </c>
      <c r="G828" t="s">
        <v>17</v>
      </c>
      <c r="I828" t="s">
        <v>16</v>
      </c>
      <c r="J828" t="s">
        <v>181</v>
      </c>
      <c r="K828" t="s">
        <v>25</v>
      </c>
      <c r="L828">
        <v>132757294</v>
      </c>
      <c r="R828">
        <v>1407</v>
      </c>
      <c r="S828" t="s">
        <v>194</v>
      </c>
      <c r="T828">
        <v>0</v>
      </c>
      <c r="U828">
        <v>30</v>
      </c>
      <c r="V828">
        <v>0</v>
      </c>
      <c r="W828">
        <v>0</v>
      </c>
      <c r="X828">
        <v>0</v>
      </c>
    </row>
    <row r="829" spans="1:24" x14ac:dyDescent="0.25">
      <c r="A829" t="s">
        <v>15</v>
      </c>
      <c r="B829" t="s">
        <v>24</v>
      </c>
      <c r="C829">
        <v>20150316</v>
      </c>
      <c r="D829">
        <v>0</v>
      </c>
      <c r="F829">
        <v>62500</v>
      </c>
      <c r="G829" t="s">
        <v>17</v>
      </c>
      <c r="I829" t="s">
        <v>16</v>
      </c>
      <c r="J829" t="s">
        <v>181</v>
      </c>
      <c r="K829" t="s">
        <v>25</v>
      </c>
      <c r="L829">
        <v>132757294</v>
      </c>
      <c r="R829">
        <v>1407</v>
      </c>
      <c r="S829" t="s">
        <v>194</v>
      </c>
      <c r="T829">
        <v>0</v>
      </c>
      <c r="U829">
        <v>30</v>
      </c>
      <c r="V829">
        <v>0</v>
      </c>
      <c r="W829">
        <v>0</v>
      </c>
      <c r="X829">
        <v>0</v>
      </c>
    </row>
    <row r="830" spans="1:24" x14ac:dyDescent="0.25">
      <c r="A830" t="s">
        <v>15</v>
      </c>
      <c r="B830" t="s">
        <v>24</v>
      </c>
      <c r="C830">
        <v>20150316</v>
      </c>
      <c r="D830">
        <v>0</v>
      </c>
      <c r="F830">
        <v>62500</v>
      </c>
      <c r="G830" t="s">
        <v>17</v>
      </c>
      <c r="I830" t="s">
        <v>16</v>
      </c>
      <c r="J830" t="s">
        <v>181</v>
      </c>
      <c r="K830" t="s">
        <v>25</v>
      </c>
      <c r="L830">
        <v>132757294</v>
      </c>
      <c r="R830">
        <v>1408</v>
      </c>
      <c r="S830" t="s">
        <v>214</v>
      </c>
      <c r="T830">
        <v>0</v>
      </c>
      <c r="U830">
        <v>25</v>
      </c>
      <c r="V830">
        <v>0</v>
      </c>
      <c r="W830">
        <v>0</v>
      </c>
      <c r="X830">
        <v>0</v>
      </c>
    </row>
    <row r="831" spans="1:24" x14ac:dyDescent="0.25">
      <c r="A831" t="s">
        <v>15</v>
      </c>
      <c r="B831" t="s">
        <v>24</v>
      </c>
      <c r="C831">
        <v>20150316</v>
      </c>
      <c r="D831">
        <v>0</v>
      </c>
      <c r="F831">
        <v>62500</v>
      </c>
      <c r="G831" t="s">
        <v>17</v>
      </c>
      <c r="I831" t="s">
        <v>16</v>
      </c>
      <c r="J831" t="s">
        <v>181</v>
      </c>
      <c r="K831" t="s">
        <v>25</v>
      </c>
      <c r="L831">
        <v>132757294</v>
      </c>
      <c r="R831">
        <v>1406</v>
      </c>
      <c r="S831" t="s">
        <v>196</v>
      </c>
      <c r="T831">
        <v>0</v>
      </c>
      <c r="U831">
        <v>31</v>
      </c>
      <c r="V831">
        <v>0</v>
      </c>
      <c r="W831">
        <v>0</v>
      </c>
      <c r="X831">
        <v>0</v>
      </c>
    </row>
    <row r="832" spans="1:24" x14ac:dyDescent="0.25">
      <c r="A832" t="s">
        <v>15</v>
      </c>
      <c r="B832" t="s">
        <v>24</v>
      </c>
      <c r="C832">
        <v>20150316</v>
      </c>
      <c r="D832">
        <v>0</v>
      </c>
      <c r="F832">
        <v>62500</v>
      </c>
      <c r="G832" t="s">
        <v>17</v>
      </c>
      <c r="I832" t="s">
        <v>16</v>
      </c>
      <c r="J832" t="s">
        <v>181</v>
      </c>
      <c r="K832" t="s">
        <v>25</v>
      </c>
      <c r="L832">
        <v>132757294</v>
      </c>
      <c r="R832">
        <v>1406</v>
      </c>
      <c r="S832" t="s">
        <v>201</v>
      </c>
      <c r="T832">
        <v>0</v>
      </c>
      <c r="U832">
        <v>31</v>
      </c>
      <c r="V832">
        <v>0</v>
      </c>
      <c r="W832">
        <v>0</v>
      </c>
      <c r="X832">
        <v>0</v>
      </c>
    </row>
    <row r="833" spans="1:24" x14ac:dyDescent="0.25">
      <c r="A833" t="s">
        <v>15</v>
      </c>
      <c r="B833" t="s">
        <v>24</v>
      </c>
      <c r="C833">
        <v>20150316</v>
      </c>
      <c r="D833">
        <v>0</v>
      </c>
      <c r="F833">
        <v>62500</v>
      </c>
      <c r="G833" t="s">
        <v>17</v>
      </c>
      <c r="I833" t="s">
        <v>16</v>
      </c>
      <c r="J833" t="s">
        <v>181</v>
      </c>
      <c r="K833" t="s">
        <v>25</v>
      </c>
      <c r="L833">
        <v>132757294</v>
      </c>
      <c r="R833">
        <v>1408</v>
      </c>
      <c r="S833" t="s">
        <v>214</v>
      </c>
      <c r="T833">
        <v>0</v>
      </c>
      <c r="U833">
        <v>25</v>
      </c>
      <c r="V833">
        <v>0</v>
      </c>
      <c r="W833">
        <v>0</v>
      </c>
      <c r="X833">
        <v>0</v>
      </c>
    </row>
    <row r="834" spans="1:24" x14ac:dyDescent="0.25">
      <c r="A834" t="s">
        <v>15</v>
      </c>
      <c r="B834" t="s">
        <v>24</v>
      </c>
      <c r="C834">
        <v>20150316</v>
      </c>
      <c r="D834">
        <v>0</v>
      </c>
      <c r="F834">
        <v>62500</v>
      </c>
      <c r="G834" t="s">
        <v>17</v>
      </c>
      <c r="I834" t="s">
        <v>16</v>
      </c>
      <c r="J834" t="s">
        <v>181</v>
      </c>
      <c r="K834" t="s">
        <v>25</v>
      </c>
      <c r="L834">
        <v>132757294</v>
      </c>
      <c r="R834">
        <v>1408</v>
      </c>
      <c r="S834" t="s">
        <v>194</v>
      </c>
      <c r="T834">
        <v>0</v>
      </c>
      <c r="U834">
        <v>25</v>
      </c>
      <c r="V834">
        <v>0</v>
      </c>
      <c r="W834">
        <v>0</v>
      </c>
      <c r="X834">
        <v>0</v>
      </c>
    </row>
    <row r="835" spans="1:24" x14ac:dyDescent="0.25">
      <c r="A835" t="s">
        <v>15</v>
      </c>
      <c r="B835" t="s">
        <v>24</v>
      </c>
      <c r="C835">
        <v>20150316</v>
      </c>
      <c r="D835">
        <v>0</v>
      </c>
      <c r="F835">
        <v>62500</v>
      </c>
      <c r="G835" t="s">
        <v>17</v>
      </c>
      <c r="I835" t="s">
        <v>16</v>
      </c>
      <c r="J835" t="s">
        <v>181</v>
      </c>
      <c r="K835" t="s">
        <v>25</v>
      </c>
      <c r="L835">
        <v>132757294</v>
      </c>
      <c r="R835">
        <v>1407</v>
      </c>
      <c r="S835" t="s">
        <v>196</v>
      </c>
      <c r="T835">
        <v>0</v>
      </c>
      <c r="U835">
        <v>30</v>
      </c>
      <c r="V835">
        <v>0</v>
      </c>
      <c r="W835">
        <v>0</v>
      </c>
      <c r="X835">
        <v>0</v>
      </c>
    </row>
    <row r="836" spans="1:24" x14ac:dyDescent="0.25">
      <c r="A836" t="s">
        <v>15</v>
      </c>
      <c r="B836" t="s">
        <v>24</v>
      </c>
      <c r="C836">
        <v>20150316</v>
      </c>
      <c r="D836">
        <v>0</v>
      </c>
      <c r="F836">
        <v>62500</v>
      </c>
      <c r="G836" t="s">
        <v>17</v>
      </c>
      <c r="I836" t="s">
        <v>16</v>
      </c>
      <c r="J836" t="s">
        <v>181</v>
      </c>
      <c r="K836" t="s">
        <v>25</v>
      </c>
      <c r="L836">
        <v>132757294</v>
      </c>
      <c r="R836">
        <v>1407</v>
      </c>
      <c r="S836" t="s">
        <v>201</v>
      </c>
      <c r="T836">
        <v>0</v>
      </c>
      <c r="U836">
        <v>30</v>
      </c>
      <c r="V836">
        <v>0</v>
      </c>
      <c r="W836">
        <v>0</v>
      </c>
      <c r="X836">
        <v>0</v>
      </c>
    </row>
    <row r="837" spans="1:24" x14ac:dyDescent="0.25">
      <c r="A837" t="s">
        <v>15</v>
      </c>
      <c r="B837" t="s">
        <v>24</v>
      </c>
      <c r="C837">
        <v>20150316</v>
      </c>
      <c r="D837">
        <v>0</v>
      </c>
      <c r="F837">
        <v>62500</v>
      </c>
      <c r="G837" t="s">
        <v>17</v>
      </c>
      <c r="I837" t="s">
        <v>16</v>
      </c>
      <c r="J837" t="s">
        <v>181</v>
      </c>
      <c r="K837" t="s">
        <v>25</v>
      </c>
      <c r="L837">
        <v>132757294</v>
      </c>
      <c r="R837">
        <v>1408</v>
      </c>
      <c r="S837" t="s">
        <v>194</v>
      </c>
      <c r="T837">
        <v>0</v>
      </c>
      <c r="U837">
        <v>25</v>
      </c>
      <c r="V837">
        <v>0</v>
      </c>
      <c r="W837">
        <v>0</v>
      </c>
      <c r="X837">
        <v>0</v>
      </c>
    </row>
    <row r="838" spans="1:24" x14ac:dyDescent="0.25">
      <c r="A838" t="s">
        <v>15</v>
      </c>
      <c r="B838" t="s">
        <v>24</v>
      </c>
      <c r="C838">
        <v>20150316</v>
      </c>
      <c r="D838">
        <v>0</v>
      </c>
      <c r="F838">
        <v>62500</v>
      </c>
      <c r="G838" t="s">
        <v>17</v>
      </c>
      <c r="I838" t="s">
        <v>16</v>
      </c>
      <c r="J838" t="s">
        <v>181</v>
      </c>
      <c r="K838" t="s">
        <v>25</v>
      </c>
      <c r="L838">
        <v>132757294</v>
      </c>
      <c r="R838">
        <v>1408</v>
      </c>
      <c r="S838" t="s">
        <v>194</v>
      </c>
      <c r="T838">
        <v>0</v>
      </c>
      <c r="U838">
        <v>25</v>
      </c>
      <c r="V838">
        <v>0</v>
      </c>
      <c r="W838">
        <v>0</v>
      </c>
      <c r="X838">
        <v>0</v>
      </c>
    </row>
    <row r="839" spans="1:24" x14ac:dyDescent="0.25">
      <c r="A839" t="s">
        <v>15</v>
      </c>
      <c r="B839" t="s">
        <v>24</v>
      </c>
      <c r="C839">
        <v>20150316</v>
      </c>
      <c r="D839">
        <v>0</v>
      </c>
      <c r="F839">
        <v>62500</v>
      </c>
      <c r="G839" t="s">
        <v>17</v>
      </c>
      <c r="I839" t="s">
        <v>16</v>
      </c>
      <c r="J839" t="s">
        <v>181</v>
      </c>
      <c r="K839" t="s">
        <v>25</v>
      </c>
      <c r="L839">
        <v>132757294</v>
      </c>
      <c r="R839">
        <v>1409</v>
      </c>
      <c r="S839" t="s">
        <v>214</v>
      </c>
      <c r="T839">
        <v>0</v>
      </c>
      <c r="U839">
        <v>27</v>
      </c>
      <c r="V839">
        <v>0</v>
      </c>
      <c r="W839">
        <v>0</v>
      </c>
      <c r="X839">
        <v>0</v>
      </c>
    </row>
    <row r="840" spans="1:24" x14ac:dyDescent="0.25">
      <c r="A840" t="s">
        <v>15</v>
      </c>
      <c r="B840" t="s">
        <v>24</v>
      </c>
      <c r="C840">
        <v>20150316</v>
      </c>
      <c r="D840">
        <v>0</v>
      </c>
      <c r="F840">
        <v>62500</v>
      </c>
      <c r="G840" t="s">
        <v>17</v>
      </c>
      <c r="I840" t="s">
        <v>16</v>
      </c>
      <c r="J840" t="s">
        <v>181</v>
      </c>
      <c r="K840" t="s">
        <v>25</v>
      </c>
      <c r="L840">
        <v>132757294</v>
      </c>
      <c r="R840">
        <v>1408</v>
      </c>
      <c r="S840" t="s">
        <v>196</v>
      </c>
      <c r="T840">
        <v>0</v>
      </c>
      <c r="U840">
        <v>25</v>
      </c>
      <c r="V840">
        <v>0</v>
      </c>
      <c r="W840">
        <v>0</v>
      </c>
      <c r="X840">
        <v>0</v>
      </c>
    </row>
    <row r="841" spans="1:24" x14ac:dyDescent="0.25">
      <c r="A841" t="s">
        <v>15</v>
      </c>
      <c r="B841" t="s">
        <v>24</v>
      </c>
      <c r="C841">
        <v>20150316</v>
      </c>
      <c r="D841">
        <v>0</v>
      </c>
      <c r="F841">
        <v>62500</v>
      </c>
      <c r="G841" t="s">
        <v>17</v>
      </c>
      <c r="I841" t="s">
        <v>16</v>
      </c>
      <c r="J841" t="s">
        <v>181</v>
      </c>
      <c r="K841" t="s">
        <v>25</v>
      </c>
      <c r="L841">
        <v>132757294</v>
      </c>
      <c r="R841">
        <v>1408</v>
      </c>
      <c r="S841" t="s">
        <v>201</v>
      </c>
      <c r="T841">
        <v>0</v>
      </c>
      <c r="U841">
        <v>25</v>
      </c>
      <c r="V841">
        <v>0</v>
      </c>
      <c r="W841">
        <v>0</v>
      </c>
      <c r="X841">
        <v>0</v>
      </c>
    </row>
    <row r="842" spans="1:24" x14ac:dyDescent="0.25">
      <c r="A842" t="s">
        <v>15</v>
      </c>
      <c r="B842" t="s">
        <v>24</v>
      </c>
      <c r="C842">
        <v>20150316</v>
      </c>
      <c r="D842">
        <v>0</v>
      </c>
      <c r="F842">
        <v>62500</v>
      </c>
      <c r="G842" t="s">
        <v>17</v>
      </c>
      <c r="I842" t="s">
        <v>16</v>
      </c>
      <c r="J842" t="s">
        <v>181</v>
      </c>
      <c r="K842" t="s">
        <v>25</v>
      </c>
      <c r="L842">
        <v>132757294</v>
      </c>
      <c r="R842">
        <v>1409</v>
      </c>
      <c r="S842" t="s">
        <v>214</v>
      </c>
      <c r="T842">
        <v>0</v>
      </c>
      <c r="U842">
        <v>27</v>
      </c>
      <c r="V842">
        <v>0</v>
      </c>
      <c r="W842">
        <v>0</v>
      </c>
      <c r="X842">
        <v>0</v>
      </c>
    </row>
    <row r="843" spans="1:24" x14ac:dyDescent="0.25">
      <c r="A843" t="s">
        <v>15</v>
      </c>
      <c r="B843" t="s">
        <v>24</v>
      </c>
      <c r="C843">
        <v>20150316</v>
      </c>
      <c r="D843">
        <v>0</v>
      </c>
      <c r="F843">
        <v>62500</v>
      </c>
      <c r="G843" t="s">
        <v>17</v>
      </c>
      <c r="I843" t="s">
        <v>16</v>
      </c>
      <c r="J843" t="s">
        <v>181</v>
      </c>
      <c r="K843" t="s">
        <v>25</v>
      </c>
      <c r="L843">
        <v>132757294</v>
      </c>
      <c r="R843">
        <v>1409</v>
      </c>
      <c r="S843" t="s">
        <v>194</v>
      </c>
      <c r="T843">
        <v>0</v>
      </c>
      <c r="U843">
        <v>27</v>
      </c>
      <c r="V843">
        <v>0</v>
      </c>
      <c r="W843">
        <v>0</v>
      </c>
      <c r="X843">
        <v>0</v>
      </c>
    </row>
    <row r="844" spans="1:24" x14ac:dyDescent="0.25">
      <c r="A844" t="s">
        <v>15</v>
      </c>
      <c r="B844" t="s">
        <v>24</v>
      </c>
      <c r="C844">
        <v>20150316</v>
      </c>
      <c r="D844">
        <v>0</v>
      </c>
      <c r="F844">
        <v>62500</v>
      </c>
      <c r="G844" t="s">
        <v>17</v>
      </c>
      <c r="I844" t="s">
        <v>16</v>
      </c>
      <c r="J844" t="s">
        <v>181</v>
      </c>
      <c r="K844" t="s">
        <v>25</v>
      </c>
      <c r="L844">
        <v>132757294</v>
      </c>
      <c r="R844">
        <v>1409</v>
      </c>
      <c r="S844" t="s">
        <v>194</v>
      </c>
      <c r="T844">
        <v>0</v>
      </c>
      <c r="U844">
        <v>27</v>
      </c>
      <c r="V844">
        <v>0</v>
      </c>
      <c r="W844">
        <v>0</v>
      </c>
      <c r="X844">
        <v>0</v>
      </c>
    </row>
    <row r="845" spans="1:24" x14ac:dyDescent="0.25">
      <c r="A845" t="s">
        <v>15</v>
      </c>
      <c r="B845" t="s">
        <v>24</v>
      </c>
      <c r="C845">
        <v>20150316</v>
      </c>
      <c r="D845">
        <v>0</v>
      </c>
      <c r="F845">
        <v>62500</v>
      </c>
      <c r="G845" t="s">
        <v>17</v>
      </c>
      <c r="I845" t="s">
        <v>16</v>
      </c>
      <c r="J845" t="s">
        <v>181</v>
      </c>
      <c r="K845" t="s">
        <v>25</v>
      </c>
      <c r="L845">
        <v>132757294</v>
      </c>
      <c r="R845">
        <v>1409</v>
      </c>
      <c r="S845" t="s">
        <v>194</v>
      </c>
      <c r="T845">
        <v>0</v>
      </c>
      <c r="U845">
        <v>27</v>
      </c>
      <c r="V845">
        <v>0</v>
      </c>
      <c r="W845">
        <v>0</v>
      </c>
      <c r="X845">
        <v>0</v>
      </c>
    </row>
    <row r="846" spans="1:24" x14ac:dyDescent="0.25">
      <c r="A846" t="s">
        <v>15</v>
      </c>
      <c r="B846" t="s">
        <v>24</v>
      </c>
      <c r="C846">
        <v>20150316</v>
      </c>
      <c r="D846">
        <v>0</v>
      </c>
      <c r="F846">
        <v>62500</v>
      </c>
      <c r="G846" t="s">
        <v>17</v>
      </c>
      <c r="I846" t="s">
        <v>16</v>
      </c>
      <c r="J846" t="s">
        <v>181</v>
      </c>
      <c r="K846" t="s">
        <v>25</v>
      </c>
      <c r="L846">
        <v>132757294</v>
      </c>
      <c r="R846">
        <v>1410</v>
      </c>
      <c r="S846" t="s">
        <v>214</v>
      </c>
      <c r="T846">
        <v>0</v>
      </c>
      <c r="U846">
        <v>23</v>
      </c>
      <c r="V846">
        <v>0</v>
      </c>
      <c r="W846">
        <v>0</v>
      </c>
      <c r="X846">
        <v>0</v>
      </c>
    </row>
    <row r="847" spans="1:24" x14ac:dyDescent="0.25">
      <c r="A847" t="s">
        <v>15</v>
      </c>
      <c r="B847" t="s">
        <v>24</v>
      </c>
      <c r="C847">
        <v>20150316</v>
      </c>
      <c r="D847">
        <v>0</v>
      </c>
      <c r="F847">
        <v>62500</v>
      </c>
      <c r="G847" t="s">
        <v>17</v>
      </c>
      <c r="I847" t="s">
        <v>16</v>
      </c>
      <c r="J847" t="s">
        <v>181</v>
      </c>
      <c r="K847" t="s">
        <v>25</v>
      </c>
      <c r="L847">
        <v>132757294</v>
      </c>
      <c r="R847">
        <v>1409</v>
      </c>
      <c r="S847" t="s">
        <v>196</v>
      </c>
      <c r="T847">
        <v>0</v>
      </c>
      <c r="U847">
        <v>27</v>
      </c>
      <c r="V847">
        <v>0</v>
      </c>
      <c r="W847">
        <v>0</v>
      </c>
      <c r="X847">
        <v>0</v>
      </c>
    </row>
    <row r="848" spans="1:24" x14ac:dyDescent="0.25">
      <c r="A848" t="s">
        <v>15</v>
      </c>
      <c r="B848" t="s">
        <v>24</v>
      </c>
      <c r="C848">
        <v>20150316</v>
      </c>
      <c r="D848">
        <v>0</v>
      </c>
      <c r="F848">
        <v>62500</v>
      </c>
      <c r="G848" t="s">
        <v>17</v>
      </c>
      <c r="I848" t="s">
        <v>16</v>
      </c>
      <c r="J848" t="s">
        <v>181</v>
      </c>
      <c r="K848" t="s">
        <v>25</v>
      </c>
      <c r="L848">
        <v>132757294</v>
      </c>
      <c r="R848">
        <v>1409</v>
      </c>
      <c r="S848" t="s">
        <v>201</v>
      </c>
      <c r="T848">
        <v>0</v>
      </c>
      <c r="U848">
        <v>27</v>
      </c>
      <c r="V848">
        <v>0</v>
      </c>
      <c r="W848">
        <v>0</v>
      </c>
      <c r="X848">
        <v>0</v>
      </c>
    </row>
    <row r="849" spans="1:24" x14ac:dyDescent="0.25">
      <c r="A849" t="s">
        <v>15</v>
      </c>
      <c r="B849" t="s">
        <v>24</v>
      </c>
      <c r="C849">
        <v>20150316</v>
      </c>
      <c r="D849">
        <v>0</v>
      </c>
      <c r="F849">
        <v>62500</v>
      </c>
      <c r="G849" t="s">
        <v>17</v>
      </c>
      <c r="I849" t="s">
        <v>16</v>
      </c>
      <c r="J849" t="s">
        <v>181</v>
      </c>
      <c r="K849" t="s">
        <v>25</v>
      </c>
      <c r="L849">
        <v>132757294</v>
      </c>
      <c r="R849">
        <v>1410</v>
      </c>
      <c r="S849" t="s">
        <v>214</v>
      </c>
      <c r="T849">
        <v>0</v>
      </c>
      <c r="U849">
        <v>23</v>
      </c>
      <c r="V849">
        <v>0</v>
      </c>
      <c r="W849">
        <v>0</v>
      </c>
      <c r="X849">
        <v>0</v>
      </c>
    </row>
    <row r="850" spans="1:24" x14ac:dyDescent="0.25">
      <c r="A850" t="s">
        <v>15</v>
      </c>
      <c r="B850" t="s">
        <v>24</v>
      </c>
      <c r="C850">
        <v>20150316</v>
      </c>
      <c r="D850">
        <v>0</v>
      </c>
      <c r="F850">
        <v>62500</v>
      </c>
      <c r="G850" t="s">
        <v>17</v>
      </c>
      <c r="I850" t="s">
        <v>16</v>
      </c>
      <c r="J850" t="s">
        <v>181</v>
      </c>
      <c r="K850" t="s">
        <v>25</v>
      </c>
      <c r="L850">
        <v>132757294</v>
      </c>
      <c r="R850">
        <v>1410</v>
      </c>
      <c r="S850" t="s">
        <v>194</v>
      </c>
      <c r="T850">
        <v>0</v>
      </c>
      <c r="U850">
        <v>23</v>
      </c>
      <c r="V850">
        <v>0</v>
      </c>
      <c r="W850">
        <v>0</v>
      </c>
      <c r="X850">
        <v>0</v>
      </c>
    </row>
    <row r="851" spans="1:24" x14ac:dyDescent="0.25">
      <c r="A851" t="s">
        <v>15</v>
      </c>
      <c r="B851" t="s">
        <v>24</v>
      </c>
      <c r="C851">
        <v>20150316</v>
      </c>
      <c r="D851">
        <v>0</v>
      </c>
      <c r="F851">
        <v>62500</v>
      </c>
      <c r="G851" t="s">
        <v>17</v>
      </c>
      <c r="I851" t="s">
        <v>16</v>
      </c>
      <c r="J851" t="s">
        <v>181</v>
      </c>
      <c r="K851" t="s">
        <v>25</v>
      </c>
      <c r="L851">
        <v>132757294</v>
      </c>
      <c r="R851">
        <v>1410</v>
      </c>
      <c r="S851" t="s">
        <v>194</v>
      </c>
      <c r="T851">
        <v>0</v>
      </c>
      <c r="U851">
        <v>23</v>
      </c>
      <c r="V851">
        <v>0</v>
      </c>
      <c r="W851">
        <v>0</v>
      </c>
      <c r="X851">
        <v>0</v>
      </c>
    </row>
    <row r="852" spans="1:24" x14ac:dyDescent="0.25">
      <c r="A852" t="s">
        <v>15</v>
      </c>
      <c r="B852" t="s">
        <v>24</v>
      </c>
      <c r="C852">
        <v>20150316</v>
      </c>
      <c r="D852">
        <v>0</v>
      </c>
      <c r="F852">
        <v>62500</v>
      </c>
      <c r="G852" t="s">
        <v>17</v>
      </c>
      <c r="I852" t="s">
        <v>16</v>
      </c>
      <c r="J852" t="s">
        <v>181</v>
      </c>
      <c r="K852" t="s">
        <v>25</v>
      </c>
      <c r="L852">
        <v>132757294</v>
      </c>
      <c r="R852">
        <v>1410</v>
      </c>
      <c r="S852" t="s">
        <v>194</v>
      </c>
      <c r="T852">
        <v>0</v>
      </c>
      <c r="U852">
        <v>23</v>
      </c>
      <c r="V852">
        <v>0</v>
      </c>
      <c r="W852">
        <v>0</v>
      </c>
      <c r="X852">
        <v>0</v>
      </c>
    </row>
    <row r="853" spans="1:24" x14ac:dyDescent="0.25">
      <c r="A853" t="s">
        <v>15</v>
      </c>
      <c r="B853" t="s">
        <v>24</v>
      </c>
      <c r="C853">
        <v>20150316</v>
      </c>
      <c r="D853">
        <v>0</v>
      </c>
      <c r="F853">
        <v>62500</v>
      </c>
      <c r="G853" t="s">
        <v>17</v>
      </c>
      <c r="I853" t="s">
        <v>16</v>
      </c>
      <c r="J853" t="s">
        <v>181</v>
      </c>
      <c r="K853" t="s">
        <v>25</v>
      </c>
      <c r="L853">
        <v>132757294</v>
      </c>
      <c r="R853">
        <v>1411</v>
      </c>
      <c r="S853" t="s">
        <v>214</v>
      </c>
      <c r="T853">
        <v>0</v>
      </c>
      <c r="U853">
        <v>-24</v>
      </c>
      <c r="V853">
        <v>0</v>
      </c>
      <c r="W853">
        <v>0</v>
      </c>
      <c r="X853">
        <v>0</v>
      </c>
    </row>
    <row r="854" spans="1:24" x14ac:dyDescent="0.25">
      <c r="A854" t="s">
        <v>15</v>
      </c>
      <c r="B854" t="s">
        <v>24</v>
      </c>
      <c r="C854">
        <v>20150316</v>
      </c>
      <c r="D854">
        <v>0</v>
      </c>
      <c r="F854">
        <v>62500</v>
      </c>
      <c r="G854" t="s">
        <v>17</v>
      </c>
      <c r="I854" t="s">
        <v>16</v>
      </c>
      <c r="J854" t="s">
        <v>181</v>
      </c>
      <c r="K854" t="s">
        <v>25</v>
      </c>
      <c r="L854">
        <v>132757294</v>
      </c>
      <c r="R854">
        <v>1411</v>
      </c>
      <c r="S854" t="s">
        <v>214</v>
      </c>
      <c r="T854">
        <v>0</v>
      </c>
      <c r="U854">
        <v>-24</v>
      </c>
      <c r="V854">
        <v>0</v>
      </c>
      <c r="W854">
        <v>0</v>
      </c>
      <c r="X854">
        <v>0</v>
      </c>
    </row>
    <row r="855" spans="1:24" x14ac:dyDescent="0.25">
      <c r="A855" t="s">
        <v>15</v>
      </c>
      <c r="B855" t="s">
        <v>24</v>
      </c>
      <c r="C855">
        <v>20150316</v>
      </c>
      <c r="D855">
        <v>0</v>
      </c>
      <c r="F855">
        <v>62500</v>
      </c>
      <c r="G855" t="s">
        <v>17</v>
      </c>
      <c r="I855" t="s">
        <v>16</v>
      </c>
      <c r="J855" t="s">
        <v>181</v>
      </c>
      <c r="K855" t="s">
        <v>25</v>
      </c>
      <c r="L855">
        <v>132757294</v>
      </c>
      <c r="R855">
        <v>1411</v>
      </c>
      <c r="S855" t="s">
        <v>194</v>
      </c>
      <c r="T855">
        <v>0</v>
      </c>
      <c r="U855">
        <v>24</v>
      </c>
      <c r="V855">
        <v>0</v>
      </c>
      <c r="W855">
        <v>0</v>
      </c>
      <c r="X855">
        <v>0</v>
      </c>
    </row>
    <row r="856" spans="1:24" x14ac:dyDescent="0.25">
      <c r="A856" t="s">
        <v>15</v>
      </c>
      <c r="B856" t="s">
        <v>24</v>
      </c>
      <c r="C856">
        <v>20150316</v>
      </c>
      <c r="D856">
        <v>0</v>
      </c>
      <c r="F856">
        <v>62500</v>
      </c>
      <c r="G856" t="s">
        <v>17</v>
      </c>
      <c r="I856" t="s">
        <v>16</v>
      </c>
      <c r="J856" t="s">
        <v>181</v>
      </c>
      <c r="K856" t="s">
        <v>25</v>
      </c>
      <c r="L856">
        <v>132757294</v>
      </c>
      <c r="R856">
        <v>1411</v>
      </c>
      <c r="S856" t="s">
        <v>194</v>
      </c>
      <c r="T856">
        <v>0</v>
      </c>
      <c r="U856">
        <v>24</v>
      </c>
      <c r="V856">
        <v>0</v>
      </c>
      <c r="W856">
        <v>0</v>
      </c>
      <c r="X856">
        <v>0</v>
      </c>
    </row>
    <row r="857" spans="1:24" x14ac:dyDescent="0.25">
      <c r="A857" t="s">
        <v>15</v>
      </c>
      <c r="B857" t="s">
        <v>24</v>
      </c>
      <c r="C857">
        <v>20150316</v>
      </c>
      <c r="D857">
        <v>0</v>
      </c>
      <c r="F857">
        <v>62500</v>
      </c>
      <c r="G857" t="s">
        <v>17</v>
      </c>
      <c r="I857" t="s">
        <v>16</v>
      </c>
      <c r="J857" t="s">
        <v>181</v>
      </c>
      <c r="K857" t="s">
        <v>25</v>
      </c>
      <c r="L857">
        <v>132757294</v>
      </c>
      <c r="R857">
        <v>1411</v>
      </c>
      <c r="S857" t="s">
        <v>194</v>
      </c>
      <c r="T857">
        <v>0</v>
      </c>
      <c r="U857">
        <v>24</v>
      </c>
      <c r="V857">
        <v>0</v>
      </c>
      <c r="W857">
        <v>0</v>
      </c>
      <c r="X857">
        <v>0</v>
      </c>
    </row>
    <row r="858" spans="1:24" x14ac:dyDescent="0.25">
      <c r="A858" t="s">
        <v>15</v>
      </c>
      <c r="B858" t="s">
        <v>24</v>
      </c>
      <c r="C858">
        <v>20150316</v>
      </c>
      <c r="D858">
        <v>0</v>
      </c>
      <c r="F858">
        <v>62500</v>
      </c>
      <c r="G858" t="s">
        <v>17</v>
      </c>
      <c r="I858" t="s">
        <v>16</v>
      </c>
      <c r="J858" t="s">
        <v>181</v>
      </c>
      <c r="K858" t="s">
        <v>25</v>
      </c>
      <c r="L858">
        <v>132757294</v>
      </c>
      <c r="R858">
        <v>1412</v>
      </c>
      <c r="S858" t="s">
        <v>214</v>
      </c>
      <c r="T858">
        <v>0</v>
      </c>
      <c r="U858">
        <v>25</v>
      </c>
      <c r="V858">
        <v>0</v>
      </c>
      <c r="W858">
        <v>0</v>
      </c>
      <c r="X858">
        <v>0</v>
      </c>
    </row>
    <row r="859" spans="1:24" x14ac:dyDescent="0.25">
      <c r="A859" t="s">
        <v>15</v>
      </c>
      <c r="B859" t="s">
        <v>24</v>
      </c>
      <c r="C859">
        <v>20150316</v>
      </c>
      <c r="D859">
        <v>0</v>
      </c>
      <c r="F859">
        <v>62500</v>
      </c>
      <c r="G859" t="s">
        <v>17</v>
      </c>
      <c r="I859" t="s">
        <v>16</v>
      </c>
      <c r="J859" t="s">
        <v>181</v>
      </c>
      <c r="K859" t="s">
        <v>25</v>
      </c>
      <c r="L859">
        <v>132757294</v>
      </c>
      <c r="R859">
        <v>1410</v>
      </c>
      <c r="S859" t="s">
        <v>196</v>
      </c>
      <c r="T859">
        <v>0</v>
      </c>
      <c r="U859">
        <v>23</v>
      </c>
      <c r="V859">
        <v>0</v>
      </c>
      <c r="W859">
        <v>0</v>
      </c>
      <c r="X859">
        <v>0</v>
      </c>
    </row>
    <row r="860" spans="1:24" x14ac:dyDescent="0.25">
      <c r="A860" t="s">
        <v>15</v>
      </c>
      <c r="B860" t="s">
        <v>24</v>
      </c>
      <c r="C860">
        <v>20150316</v>
      </c>
      <c r="D860">
        <v>0</v>
      </c>
      <c r="F860">
        <v>62500</v>
      </c>
      <c r="G860" t="s">
        <v>17</v>
      </c>
      <c r="I860" t="s">
        <v>16</v>
      </c>
      <c r="J860" t="s">
        <v>181</v>
      </c>
      <c r="K860" t="s">
        <v>25</v>
      </c>
      <c r="L860">
        <v>132757294</v>
      </c>
      <c r="R860">
        <v>1410</v>
      </c>
      <c r="S860" t="s">
        <v>201</v>
      </c>
      <c r="T860">
        <v>0</v>
      </c>
      <c r="U860">
        <v>23</v>
      </c>
      <c r="V860">
        <v>0</v>
      </c>
      <c r="W860">
        <v>0</v>
      </c>
      <c r="X860">
        <v>0</v>
      </c>
    </row>
    <row r="861" spans="1:24" x14ac:dyDescent="0.25">
      <c r="A861" t="s">
        <v>15</v>
      </c>
      <c r="B861" t="s">
        <v>24</v>
      </c>
      <c r="C861">
        <v>20150316</v>
      </c>
      <c r="D861">
        <v>0</v>
      </c>
      <c r="F861">
        <v>62500</v>
      </c>
      <c r="G861" t="s">
        <v>17</v>
      </c>
      <c r="I861" t="s">
        <v>16</v>
      </c>
      <c r="J861" t="s">
        <v>181</v>
      </c>
      <c r="K861" t="s">
        <v>25</v>
      </c>
      <c r="L861">
        <v>132757294</v>
      </c>
      <c r="R861">
        <v>1412</v>
      </c>
      <c r="S861" t="s">
        <v>214</v>
      </c>
      <c r="T861">
        <v>0</v>
      </c>
      <c r="U861">
        <v>25</v>
      </c>
      <c r="V861">
        <v>0</v>
      </c>
      <c r="W861">
        <v>0</v>
      </c>
      <c r="X861">
        <v>0</v>
      </c>
    </row>
    <row r="862" spans="1:24" x14ac:dyDescent="0.25">
      <c r="A862" t="s">
        <v>15</v>
      </c>
      <c r="B862" t="s">
        <v>24</v>
      </c>
      <c r="C862">
        <v>20150316</v>
      </c>
      <c r="D862">
        <v>0</v>
      </c>
      <c r="F862">
        <v>62500</v>
      </c>
      <c r="G862" t="s">
        <v>17</v>
      </c>
      <c r="I862" t="s">
        <v>16</v>
      </c>
      <c r="J862" t="s">
        <v>181</v>
      </c>
      <c r="K862" t="s">
        <v>25</v>
      </c>
      <c r="L862">
        <v>132757294</v>
      </c>
      <c r="R862">
        <v>1412</v>
      </c>
      <c r="S862" t="s">
        <v>194</v>
      </c>
      <c r="T862">
        <v>0</v>
      </c>
      <c r="U862">
        <v>25</v>
      </c>
      <c r="V862">
        <v>0</v>
      </c>
      <c r="W862">
        <v>0</v>
      </c>
      <c r="X862">
        <v>0</v>
      </c>
    </row>
    <row r="863" spans="1:24" x14ac:dyDescent="0.25">
      <c r="A863" t="s">
        <v>15</v>
      </c>
      <c r="B863" t="s">
        <v>24</v>
      </c>
      <c r="C863">
        <v>20150316</v>
      </c>
      <c r="D863">
        <v>0</v>
      </c>
      <c r="F863">
        <v>62500</v>
      </c>
      <c r="G863" t="s">
        <v>17</v>
      </c>
      <c r="I863" t="s">
        <v>16</v>
      </c>
      <c r="J863" t="s">
        <v>181</v>
      </c>
      <c r="K863" t="s">
        <v>25</v>
      </c>
      <c r="L863">
        <v>132757294</v>
      </c>
      <c r="R863">
        <v>1412</v>
      </c>
      <c r="S863" t="s">
        <v>194</v>
      </c>
      <c r="T863">
        <v>0</v>
      </c>
      <c r="U863">
        <v>25</v>
      </c>
      <c r="V863">
        <v>0</v>
      </c>
      <c r="W863">
        <v>0</v>
      </c>
      <c r="X863">
        <v>0</v>
      </c>
    </row>
    <row r="864" spans="1:24" x14ac:dyDescent="0.25">
      <c r="A864" t="s">
        <v>15</v>
      </c>
      <c r="B864" t="s">
        <v>24</v>
      </c>
      <c r="C864">
        <v>20150316</v>
      </c>
      <c r="D864">
        <v>0</v>
      </c>
      <c r="F864">
        <v>62500</v>
      </c>
      <c r="G864" t="s">
        <v>17</v>
      </c>
      <c r="I864" t="s">
        <v>16</v>
      </c>
      <c r="J864" t="s">
        <v>181</v>
      </c>
      <c r="K864" t="s">
        <v>25</v>
      </c>
      <c r="L864">
        <v>132757294</v>
      </c>
      <c r="R864">
        <v>1412</v>
      </c>
      <c r="S864" t="s">
        <v>194</v>
      </c>
      <c r="T864">
        <v>0</v>
      </c>
      <c r="U864">
        <v>25</v>
      </c>
      <c r="V864">
        <v>0</v>
      </c>
      <c r="W864">
        <v>0</v>
      </c>
      <c r="X864">
        <v>0</v>
      </c>
    </row>
    <row r="865" spans="1:24" x14ac:dyDescent="0.25">
      <c r="A865" t="s">
        <v>15</v>
      </c>
      <c r="B865" t="s">
        <v>24</v>
      </c>
      <c r="C865">
        <v>20150316</v>
      </c>
      <c r="D865">
        <v>0</v>
      </c>
      <c r="F865">
        <v>62500</v>
      </c>
      <c r="G865" t="s">
        <v>17</v>
      </c>
      <c r="I865" t="s">
        <v>16</v>
      </c>
      <c r="J865" t="s">
        <v>181</v>
      </c>
      <c r="K865" t="s">
        <v>25</v>
      </c>
      <c r="L865">
        <v>132757294</v>
      </c>
      <c r="R865">
        <v>1413</v>
      </c>
      <c r="S865" t="s">
        <v>214</v>
      </c>
      <c r="T865">
        <v>0</v>
      </c>
      <c r="U865">
        <v>26</v>
      </c>
      <c r="V865">
        <v>0</v>
      </c>
      <c r="W865">
        <v>0</v>
      </c>
      <c r="X865">
        <v>0</v>
      </c>
    </row>
    <row r="866" spans="1:24" x14ac:dyDescent="0.25">
      <c r="A866" t="s">
        <v>15</v>
      </c>
      <c r="B866" t="s">
        <v>24</v>
      </c>
      <c r="C866">
        <v>20150316</v>
      </c>
      <c r="D866">
        <v>0</v>
      </c>
      <c r="F866">
        <v>62500</v>
      </c>
      <c r="G866" t="s">
        <v>17</v>
      </c>
      <c r="I866" t="s">
        <v>16</v>
      </c>
      <c r="J866" t="s">
        <v>181</v>
      </c>
      <c r="K866" t="s">
        <v>25</v>
      </c>
      <c r="L866">
        <v>132757294</v>
      </c>
      <c r="R866">
        <v>1412</v>
      </c>
      <c r="S866" t="s">
        <v>196</v>
      </c>
      <c r="T866">
        <v>0</v>
      </c>
      <c r="U866">
        <v>25</v>
      </c>
      <c r="V866">
        <v>0</v>
      </c>
      <c r="W866">
        <v>0</v>
      </c>
      <c r="X866">
        <v>0</v>
      </c>
    </row>
    <row r="867" spans="1:24" x14ac:dyDescent="0.25">
      <c r="A867" t="s">
        <v>15</v>
      </c>
      <c r="B867" t="s">
        <v>24</v>
      </c>
      <c r="C867">
        <v>20150316</v>
      </c>
      <c r="D867">
        <v>0</v>
      </c>
      <c r="F867">
        <v>62500</v>
      </c>
      <c r="G867" t="s">
        <v>17</v>
      </c>
      <c r="I867" t="s">
        <v>16</v>
      </c>
      <c r="J867" t="s">
        <v>181</v>
      </c>
      <c r="K867" t="s">
        <v>25</v>
      </c>
      <c r="L867">
        <v>132757294</v>
      </c>
      <c r="R867">
        <v>1412</v>
      </c>
      <c r="S867" t="s">
        <v>201</v>
      </c>
      <c r="T867">
        <v>0</v>
      </c>
      <c r="U867">
        <v>25</v>
      </c>
      <c r="V867">
        <v>0</v>
      </c>
      <c r="W867">
        <v>0</v>
      </c>
      <c r="X867">
        <v>0</v>
      </c>
    </row>
    <row r="868" spans="1:24" x14ac:dyDescent="0.25">
      <c r="A868" t="s">
        <v>15</v>
      </c>
      <c r="B868" t="s">
        <v>24</v>
      </c>
      <c r="C868">
        <v>20150316</v>
      </c>
      <c r="D868">
        <v>0</v>
      </c>
      <c r="F868">
        <v>62500</v>
      </c>
      <c r="G868" t="s">
        <v>17</v>
      </c>
      <c r="I868" t="s">
        <v>16</v>
      </c>
      <c r="J868" t="s">
        <v>181</v>
      </c>
      <c r="K868" t="s">
        <v>25</v>
      </c>
      <c r="L868">
        <v>132757294</v>
      </c>
      <c r="R868">
        <v>1413</v>
      </c>
      <c r="S868" t="s">
        <v>214</v>
      </c>
      <c r="T868">
        <v>0</v>
      </c>
      <c r="U868">
        <v>26</v>
      </c>
      <c r="V868">
        <v>0</v>
      </c>
      <c r="W868">
        <v>0</v>
      </c>
      <c r="X868">
        <v>0</v>
      </c>
    </row>
    <row r="869" spans="1:24" x14ac:dyDescent="0.25">
      <c r="A869" t="s">
        <v>15</v>
      </c>
      <c r="B869" t="s">
        <v>24</v>
      </c>
      <c r="C869">
        <v>20150316</v>
      </c>
      <c r="D869">
        <v>0</v>
      </c>
      <c r="F869">
        <v>62500</v>
      </c>
      <c r="G869" t="s">
        <v>17</v>
      </c>
      <c r="I869" t="s">
        <v>16</v>
      </c>
      <c r="J869" t="s">
        <v>181</v>
      </c>
      <c r="K869" t="s">
        <v>25</v>
      </c>
      <c r="L869">
        <v>132757294</v>
      </c>
      <c r="R869">
        <v>1413</v>
      </c>
      <c r="S869" t="s">
        <v>194</v>
      </c>
      <c r="T869">
        <v>0</v>
      </c>
      <c r="U869">
        <v>26</v>
      </c>
      <c r="V869">
        <v>0</v>
      </c>
      <c r="W869">
        <v>0</v>
      </c>
      <c r="X869">
        <v>0</v>
      </c>
    </row>
    <row r="870" spans="1:24" x14ac:dyDescent="0.25">
      <c r="A870" t="s">
        <v>15</v>
      </c>
      <c r="B870" t="s">
        <v>24</v>
      </c>
      <c r="C870">
        <v>20150316</v>
      </c>
      <c r="D870">
        <v>0</v>
      </c>
      <c r="F870">
        <v>62500</v>
      </c>
      <c r="G870" t="s">
        <v>17</v>
      </c>
      <c r="I870" t="s">
        <v>16</v>
      </c>
      <c r="J870" t="s">
        <v>181</v>
      </c>
      <c r="K870" t="s">
        <v>25</v>
      </c>
      <c r="L870">
        <v>132757294</v>
      </c>
      <c r="R870">
        <v>1411</v>
      </c>
      <c r="S870" t="s">
        <v>196</v>
      </c>
      <c r="T870">
        <v>0</v>
      </c>
      <c r="U870">
        <v>24</v>
      </c>
      <c r="V870">
        <v>0</v>
      </c>
      <c r="W870">
        <v>0</v>
      </c>
      <c r="X870">
        <v>0</v>
      </c>
    </row>
    <row r="871" spans="1:24" x14ac:dyDescent="0.25">
      <c r="A871" t="s">
        <v>15</v>
      </c>
      <c r="B871" t="s">
        <v>24</v>
      </c>
      <c r="C871">
        <v>20150316</v>
      </c>
      <c r="D871">
        <v>0</v>
      </c>
      <c r="F871">
        <v>62500</v>
      </c>
      <c r="G871" t="s">
        <v>17</v>
      </c>
      <c r="I871" t="s">
        <v>16</v>
      </c>
      <c r="J871" t="s">
        <v>181</v>
      </c>
      <c r="K871" t="s">
        <v>25</v>
      </c>
      <c r="L871">
        <v>132757294</v>
      </c>
      <c r="R871">
        <v>1411</v>
      </c>
      <c r="S871" t="s">
        <v>201</v>
      </c>
      <c r="T871">
        <v>0</v>
      </c>
      <c r="U871">
        <v>24</v>
      </c>
      <c r="V871">
        <v>0</v>
      </c>
      <c r="W871">
        <v>0</v>
      </c>
      <c r="X871">
        <v>0</v>
      </c>
    </row>
    <row r="872" spans="1:24" x14ac:dyDescent="0.25">
      <c r="A872" t="s">
        <v>15</v>
      </c>
      <c r="B872" t="s">
        <v>24</v>
      </c>
      <c r="C872">
        <v>20150316</v>
      </c>
      <c r="D872">
        <v>0</v>
      </c>
      <c r="F872">
        <v>62500</v>
      </c>
      <c r="G872" t="s">
        <v>17</v>
      </c>
      <c r="I872" t="s">
        <v>16</v>
      </c>
      <c r="J872" t="s">
        <v>181</v>
      </c>
      <c r="K872" t="s">
        <v>25</v>
      </c>
      <c r="L872">
        <v>132757294</v>
      </c>
      <c r="R872">
        <v>1413</v>
      </c>
      <c r="S872" t="s">
        <v>194</v>
      </c>
      <c r="T872">
        <v>0</v>
      </c>
      <c r="U872">
        <v>26</v>
      </c>
      <c r="V872">
        <v>0</v>
      </c>
      <c r="W872">
        <v>0</v>
      </c>
      <c r="X872">
        <v>0</v>
      </c>
    </row>
    <row r="873" spans="1:24" x14ac:dyDescent="0.25">
      <c r="A873" t="s">
        <v>15</v>
      </c>
      <c r="B873" t="s">
        <v>24</v>
      </c>
      <c r="C873">
        <v>20150316</v>
      </c>
      <c r="D873">
        <v>0</v>
      </c>
      <c r="F873">
        <v>62500</v>
      </c>
      <c r="G873" t="s">
        <v>17</v>
      </c>
      <c r="I873" t="s">
        <v>16</v>
      </c>
      <c r="J873" t="s">
        <v>181</v>
      </c>
      <c r="K873" t="s">
        <v>25</v>
      </c>
      <c r="L873">
        <v>132757294</v>
      </c>
      <c r="R873">
        <v>1413</v>
      </c>
      <c r="S873" t="s">
        <v>194</v>
      </c>
      <c r="T873">
        <v>0</v>
      </c>
      <c r="U873">
        <v>26</v>
      </c>
      <c r="V873">
        <v>0</v>
      </c>
      <c r="W873">
        <v>0</v>
      </c>
      <c r="X873">
        <v>0</v>
      </c>
    </row>
    <row r="874" spans="1:24" x14ac:dyDescent="0.25">
      <c r="A874" t="s">
        <v>15</v>
      </c>
      <c r="B874" t="s">
        <v>24</v>
      </c>
      <c r="C874">
        <v>20150316</v>
      </c>
      <c r="D874">
        <v>0</v>
      </c>
      <c r="F874">
        <v>62500</v>
      </c>
      <c r="G874" t="s">
        <v>17</v>
      </c>
      <c r="I874" t="s">
        <v>16</v>
      </c>
      <c r="J874" t="s">
        <v>181</v>
      </c>
      <c r="K874" t="s">
        <v>25</v>
      </c>
      <c r="L874">
        <v>132757294</v>
      </c>
      <c r="R874">
        <v>1414</v>
      </c>
      <c r="S874" t="s">
        <v>214</v>
      </c>
      <c r="T874">
        <v>0</v>
      </c>
      <c r="U874">
        <v>-26</v>
      </c>
      <c r="V874">
        <v>0</v>
      </c>
      <c r="W874">
        <v>0</v>
      </c>
      <c r="X874">
        <v>0</v>
      </c>
    </row>
    <row r="875" spans="1:24" x14ac:dyDescent="0.25">
      <c r="A875" t="s">
        <v>15</v>
      </c>
      <c r="B875" t="s">
        <v>24</v>
      </c>
      <c r="C875">
        <v>20150316</v>
      </c>
      <c r="D875">
        <v>0</v>
      </c>
      <c r="F875">
        <v>62500</v>
      </c>
      <c r="G875" t="s">
        <v>17</v>
      </c>
      <c r="I875" t="s">
        <v>16</v>
      </c>
      <c r="J875" t="s">
        <v>181</v>
      </c>
      <c r="K875" t="s">
        <v>25</v>
      </c>
      <c r="L875">
        <v>132757294</v>
      </c>
      <c r="R875">
        <v>1414</v>
      </c>
      <c r="S875" t="s">
        <v>214</v>
      </c>
      <c r="T875">
        <v>0</v>
      </c>
      <c r="U875">
        <v>-26</v>
      </c>
      <c r="V875">
        <v>0</v>
      </c>
      <c r="W875">
        <v>0</v>
      </c>
      <c r="X875">
        <v>0</v>
      </c>
    </row>
    <row r="876" spans="1:24" x14ac:dyDescent="0.25">
      <c r="A876" t="s">
        <v>15</v>
      </c>
      <c r="B876" t="s">
        <v>24</v>
      </c>
      <c r="C876">
        <v>20150316</v>
      </c>
      <c r="D876">
        <v>0</v>
      </c>
      <c r="F876">
        <v>62500</v>
      </c>
      <c r="G876" t="s">
        <v>17</v>
      </c>
      <c r="I876" t="s">
        <v>16</v>
      </c>
      <c r="J876" t="s">
        <v>181</v>
      </c>
      <c r="K876" t="s">
        <v>25</v>
      </c>
      <c r="L876">
        <v>132757294</v>
      </c>
      <c r="R876">
        <v>1414</v>
      </c>
      <c r="S876" t="s">
        <v>194</v>
      </c>
      <c r="T876">
        <v>0</v>
      </c>
      <c r="U876">
        <v>26</v>
      </c>
      <c r="V876">
        <v>0</v>
      </c>
      <c r="W876">
        <v>0</v>
      </c>
      <c r="X876">
        <v>0</v>
      </c>
    </row>
    <row r="877" spans="1:24" x14ac:dyDescent="0.25">
      <c r="A877" t="s">
        <v>15</v>
      </c>
      <c r="B877" t="s">
        <v>24</v>
      </c>
      <c r="C877">
        <v>20150316</v>
      </c>
      <c r="D877">
        <v>0</v>
      </c>
      <c r="F877">
        <v>62500</v>
      </c>
      <c r="G877" t="s">
        <v>17</v>
      </c>
      <c r="I877" t="s">
        <v>16</v>
      </c>
      <c r="J877" t="s">
        <v>181</v>
      </c>
      <c r="K877" t="s">
        <v>25</v>
      </c>
      <c r="L877">
        <v>132757294</v>
      </c>
      <c r="R877">
        <v>1414</v>
      </c>
      <c r="S877" t="s">
        <v>194</v>
      </c>
      <c r="T877">
        <v>0</v>
      </c>
      <c r="U877">
        <v>26</v>
      </c>
      <c r="V877">
        <v>0</v>
      </c>
      <c r="W877">
        <v>0</v>
      </c>
      <c r="X877">
        <v>0</v>
      </c>
    </row>
    <row r="878" spans="1:24" x14ac:dyDescent="0.25">
      <c r="A878" t="s">
        <v>15</v>
      </c>
      <c r="B878" t="s">
        <v>24</v>
      </c>
      <c r="C878">
        <v>20150316</v>
      </c>
      <c r="D878">
        <v>0</v>
      </c>
      <c r="F878">
        <v>62500</v>
      </c>
      <c r="G878" t="s">
        <v>17</v>
      </c>
      <c r="I878" t="s">
        <v>16</v>
      </c>
      <c r="J878" t="s">
        <v>181</v>
      </c>
      <c r="K878" t="s">
        <v>25</v>
      </c>
      <c r="L878">
        <v>132757294</v>
      </c>
      <c r="R878">
        <v>1414</v>
      </c>
      <c r="S878" t="s">
        <v>194</v>
      </c>
      <c r="T878">
        <v>0</v>
      </c>
      <c r="U878">
        <v>26</v>
      </c>
      <c r="V878">
        <v>0</v>
      </c>
      <c r="W878">
        <v>0</v>
      </c>
      <c r="X878">
        <v>0</v>
      </c>
    </row>
    <row r="879" spans="1:24" x14ac:dyDescent="0.25">
      <c r="A879" t="s">
        <v>15</v>
      </c>
      <c r="B879" t="s">
        <v>24</v>
      </c>
      <c r="C879">
        <v>20150316</v>
      </c>
      <c r="D879">
        <v>0</v>
      </c>
      <c r="F879">
        <v>62500</v>
      </c>
      <c r="G879" t="s">
        <v>17</v>
      </c>
      <c r="I879" t="s">
        <v>16</v>
      </c>
      <c r="J879" t="s">
        <v>181</v>
      </c>
      <c r="K879" t="s">
        <v>25</v>
      </c>
      <c r="L879">
        <v>132757294</v>
      </c>
      <c r="R879">
        <v>1415</v>
      </c>
      <c r="S879" t="s">
        <v>214</v>
      </c>
      <c r="T879">
        <v>0</v>
      </c>
      <c r="U879">
        <v>28</v>
      </c>
      <c r="V879">
        <v>0</v>
      </c>
      <c r="W879">
        <v>0</v>
      </c>
      <c r="X879">
        <v>0</v>
      </c>
    </row>
    <row r="880" spans="1:24" x14ac:dyDescent="0.25">
      <c r="A880" t="s">
        <v>15</v>
      </c>
      <c r="B880" t="s">
        <v>24</v>
      </c>
      <c r="C880">
        <v>20150316</v>
      </c>
      <c r="D880">
        <v>0</v>
      </c>
      <c r="F880">
        <v>62500</v>
      </c>
      <c r="G880" t="s">
        <v>17</v>
      </c>
      <c r="I880" t="s">
        <v>16</v>
      </c>
      <c r="J880" t="s">
        <v>181</v>
      </c>
      <c r="K880" t="s">
        <v>25</v>
      </c>
      <c r="L880">
        <v>132757294</v>
      </c>
      <c r="R880">
        <v>1413</v>
      </c>
      <c r="S880" t="s">
        <v>196</v>
      </c>
      <c r="T880">
        <v>0</v>
      </c>
      <c r="U880">
        <v>26</v>
      </c>
      <c r="V880">
        <v>0</v>
      </c>
      <c r="W880">
        <v>0</v>
      </c>
      <c r="X880">
        <v>0</v>
      </c>
    </row>
    <row r="881" spans="1:24" x14ac:dyDescent="0.25">
      <c r="A881" t="s">
        <v>15</v>
      </c>
      <c r="B881" t="s">
        <v>24</v>
      </c>
      <c r="C881">
        <v>20150316</v>
      </c>
      <c r="D881">
        <v>0</v>
      </c>
      <c r="F881">
        <v>62500</v>
      </c>
      <c r="G881" t="s">
        <v>17</v>
      </c>
      <c r="I881" t="s">
        <v>16</v>
      </c>
      <c r="J881" t="s">
        <v>181</v>
      </c>
      <c r="K881" t="s">
        <v>25</v>
      </c>
      <c r="L881">
        <v>132757294</v>
      </c>
      <c r="R881">
        <v>1413</v>
      </c>
      <c r="S881" t="s">
        <v>201</v>
      </c>
      <c r="T881">
        <v>0</v>
      </c>
      <c r="U881">
        <v>26</v>
      </c>
      <c r="V881">
        <v>0</v>
      </c>
      <c r="W881">
        <v>0</v>
      </c>
      <c r="X881">
        <v>0</v>
      </c>
    </row>
    <row r="882" spans="1:24" x14ac:dyDescent="0.25">
      <c r="A882" t="s">
        <v>15</v>
      </c>
      <c r="B882" t="s">
        <v>24</v>
      </c>
      <c r="C882">
        <v>20150316</v>
      </c>
      <c r="D882">
        <v>0</v>
      </c>
      <c r="F882">
        <v>62500</v>
      </c>
      <c r="G882" t="s">
        <v>17</v>
      </c>
      <c r="I882" t="s">
        <v>16</v>
      </c>
      <c r="J882" t="s">
        <v>181</v>
      </c>
      <c r="K882" t="s">
        <v>25</v>
      </c>
      <c r="L882">
        <v>132757294</v>
      </c>
      <c r="R882">
        <v>1415</v>
      </c>
      <c r="S882" t="s">
        <v>214</v>
      </c>
      <c r="T882">
        <v>0</v>
      </c>
      <c r="U882">
        <v>28</v>
      </c>
      <c r="V882">
        <v>0</v>
      </c>
      <c r="W882">
        <v>0</v>
      </c>
      <c r="X882">
        <v>0</v>
      </c>
    </row>
    <row r="883" spans="1:24" x14ac:dyDescent="0.25">
      <c r="A883" t="s">
        <v>15</v>
      </c>
      <c r="B883" t="s">
        <v>24</v>
      </c>
      <c r="C883">
        <v>20150316</v>
      </c>
      <c r="D883">
        <v>0</v>
      </c>
      <c r="F883">
        <v>62500</v>
      </c>
      <c r="G883" t="s">
        <v>17</v>
      </c>
      <c r="I883" t="s">
        <v>16</v>
      </c>
      <c r="J883" t="s">
        <v>181</v>
      </c>
      <c r="K883" t="s">
        <v>25</v>
      </c>
      <c r="L883">
        <v>132757294</v>
      </c>
      <c r="R883">
        <v>1415</v>
      </c>
      <c r="S883" t="s">
        <v>194</v>
      </c>
      <c r="T883">
        <v>0</v>
      </c>
      <c r="U883">
        <v>28</v>
      </c>
      <c r="V883">
        <v>0</v>
      </c>
      <c r="W883">
        <v>0</v>
      </c>
      <c r="X883">
        <v>0</v>
      </c>
    </row>
    <row r="884" spans="1:24" x14ac:dyDescent="0.25">
      <c r="A884" t="s">
        <v>15</v>
      </c>
      <c r="B884" t="s">
        <v>24</v>
      </c>
      <c r="C884">
        <v>20150316</v>
      </c>
      <c r="D884">
        <v>0</v>
      </c>
      <c r="F884">
        <v>62500</v>
      </c>
      <c r="G884" t="s">
        <v>17</v>
      </c>
      <c r="I884" t="s">
        <v>16</v>
      </c>
      <c r="J884" t="s">
        <v>181</v>
      </c>
      <c r="K884" t="s">
        <v>25</v>
      </c>
      <c r="L884">
        <v>132757294</v>
      </c>
      <c r="R884">
        <v>1414</v>
      </c>
      <c r="S884" t="s">
        <v>196</v>
      </c>
      <c r="T884">
        <v>0</v>
      </c>
      <c r="U884">
        <v>26</v>
      </c>
      <c r="V884">
        <v>0</v>
      </c>
      <c r="W884">
        <v>0</v>
      </c>
      <c r="X884">
        <v>0</v>
      </c>
    </row>
    <row r="885" spans="1:24" x14ac:dyDescent="0.25">
      <c r="A885" t="s">
        <v>15</v>
      </c>
      <c r="B885" t="s">
        <v>24</v>
      </c>
      <c r="C885">
        <v>20150316</v>
      </c>
      <c r="D885">
        <v>0</v>
      </c>
      <c r="F885">
        <v>62500</v>
      </c>
      <c r="G885" t="s">
        <v>17</v>
      </c>
      <c r="I885" t="s">
        <v>16</v>
      </c>
      <c r="J885" t="s">
        <v>181</v>
      </c>
      <c r="K885" t="s">
        <v>25</v>
      </c>
      <c r="L885">
        <v>132757294</v>
      </c>
      <c r="R885">
        <v>1414</v>
      </c>
      <c r="S885" t="s">
        <v>201</v>
      </c>
      <c r="T885">
        <v>0</v>
      </c>
      <c r="U885">
        <v>26</v>
      </c>
      <c r="V885">
        <v>0</v>
      </c>
      <c r="W885">
        <v>0</v>
      </c>
      <c r="X885">
        <v>0</v>
      </c>
    </row>
    <row r="886" spans="1:24" x14ac:dyDescent="0.25">
      <c r="A886" t="s">
        <v>15</v>
      </c>
      <c r="B886" t="s">
        <v>24</v>
      </c>
      <c r="C886">
        <v>20150316</v>
      </c>
      <c r="D886">
        <v>0</v>
      </c>
      <c r="F886">
        <v>62500</v>
      </c>
      <c r="G886" t="s">
        <v>17</v>
      </c>
      <c r="I886" t="s">
        <v>16</v>
      </c>
      <c r="J886" t="s">
        <v>181</v>
      </c>
      <c r="K886" t="s">
        <v>25</v>
      </c>
      <c r="L886">
        <v>132757294</v>
      </c>
      <c r="R886">
        <v>1415</v>
      </c>
      <c r="S886" t="s">
        <v>194</v>
      </c>
      <c r="T886">
        <v>0</v>
      </c>
      <c r="U886">
        <v>28</v>
      </c>
      <c r="V886">
        <v>0</v>
      </c>
      <c r="W886">
        <v>0</v>
      </c>
      <c r="X886">
        <v>0</v>
      </c>
    </row>
    <row r="887" spans="1:24" x14ac:dyDescent="0.25">
      <c r="A887" t="s">
        <v>15</v>
      </c>
      <c r="B887" t="s">
        <v>24</v>
      </c>
      <c r="C887">
        <v>20150316</v>
      </c>
      <c r="D887">
        <v>0</v>
      </c>
      <c r="F887">
        <v>62500</v>
      </c>
      <c r="G887" t="s">
        <v>17</v>
      </c>
      <c r="I887" t="s">
        <v>16</v>
      </c>
      <c r="J887" t="s">
        <v>181</v>
      </c>
      <c r="K887" t="s">
        <v>25</v>
      </c>
      <c r="L887">
        <v>132757294</v>
      </c>
      <c r="R887">
        <v>1415</v>
      </c>
      <c r="S887" t="s">
        <v>194</v>
      </c>
      <c r="T887">
        <v>0</v>
      </c>
      <c r="U887">
        <v>28</v>
      </c>
      <c r="V887">
        <v>0</v>
      </c>
      <c r="W887">
        <v>0</v>
      </c>
      <c r="X887">
        <v>0</v>
      </c>
    </row>
    <row r="888" spans="1:24" x14ac:dyDescent="0.25">
      <c r="A888" t="s">
        <v>15</v>
      </c>
      <c r="B888" t="s">
        <v>24</v>
      </c>
      <c r="C888">
        <v>20150316</v>
      </c>
      <c r="D888">
        <v>0</v>
      </c>
      <c r="F888">
        <v>62500</v>
      </c>
      <c r="G888" t="s">
        <v>17</v>
      </c>
      <c r="I888" t="s">
        <v>16</v>
      </c>
      <c r="J888" t="s">
        <v>181</v>
      </c>
      <c r="K888" t="s">
        <v>25</v>
      </c>
      <c r="L888">
        <v>132757294</v>
      </c>
      <c r="R888">
        <v>1416</v>
      </c>
      <c r="S888" t="s">
        <v>214</v>
      </c>
      <c r="T888">
        <v>0</v>
      </c>
      <c r="U888">
        <v>25</v>
      </c>
      <c r="V888">
        <v>0</v>
      </c>
      <c r="W888">
        <v>0</v>
      </c>
      <c r="X888">
        <v>0</v>
      </c>
    </row>
    <row r="889" spans="1:24" x14ac:dyDescent="0.25">
      <c r="A889" t="s">
        <v>15</v>
      </c>
      <c r="B889" t="s">
        <v>24</v>
      </c>
      <c r="C889">
        <v>20150316</v>
      </c>
      <c r="D889">
        <v>0</v>
      </c>
      <c r="F889">
        <v>62500</v>
      </c>
      <c r="G889" t="s">
        <v>17</v>
      </c>
      <c r="I889" t="s">
        <v>16</v>
      </c>
      <c r="J889" t="s">
        <v>181</v>
      </c>
      <c r="K889" t="s">
        <v>25</v>
      </c>
      <c r="L889">
        <v>132757294</v>
      </c>
      <c r="R889">
        <v>1415</v>
      </c>
      <c r="S889" t="s">
        <v>196</v>
      </c>
      <c r="T889">
        <v>0</v>
      </c>
      <c r="U889">
        <v>28</v>
      </c>
      <c r="V889">
        <v>0</v>
      </c>
      <c r="W889">
        <v>0</v>
      </c>
      <c r="X889">
        <v>0</v>
      </c>
    </row>
    <row r="890" spans="1:24" x14ac:dyDescent="0.25">
      <c r="A890" t="s">
        <v>15</v>
      </c>
      <c r="B890" t="s">
        <v>24</v>
      </c>
      <c r="C890">
        <v>20150316</v>
      </c>
      <c r="D890">
        <v>0</v>
      </c>
      <c r="F890">
        <v>62500</v>
      </c>
      <c r="G890" t="s">
        <v>17</v>
      </c>
      <c r="I890" t="s">
        <v>16</v>
      </c>
      <c r="J890" t="s">
        <v>181</v>
      </c>
      <c r="K890" t="s">
        <v>25</v>
      </c>
      <c r="L890">
        <v>132757294</v>
      </c>
      <c r="R890">
        <v>1415</v>
      </c>
      <c r="S890" t="s">
        <v>201</v>
      </c>
      <c r="T890">
        <v>0</v>
      </c>
      <c r="U890">
        <v>28</v>
      </c>
      <c r="V890">
        <v>0</v>
      </c>
      <c r="W890">
        <v>0</v>
      </c>
      <c r="X890">
        <v>0</v>
      </c>
    </row>
    <row r="891" spans="1:24" x14ac:dyDescent="0.25">
      <c r="A891" t="s">
        <v>15</v>
      </c>
      <c r="B891" t="s">
        <v>24</v>
      </c>
      <c r="C891">
        <v>20150316</v>
      </c>
      <c r="D891">
        <v>0</v>
      </c>
      <c r="F891">
        <v>62500</v>
      </c>
      <c r="G891" t="s">
        <v>17</v>
      </c>
      <c r="I891" t="s">
        <v>16</v>
      </c>
      <c r="J891" t="s">
        <v>181</v>
      </c>
      <c r="K891" t="s">
        <v>25</v>
      </c>
      <c r="L891">
        <v>132757294</v>
      </c>
      <c r="R891">
        <v>1416</v>
      </c>
      <c r="S891" t="s">
        <v>214</v>
      </c>
      <c r="T891">
        <v>0</v>
      </c>
      <c r="U891">
        <v>25</v>
      </c>
      <c r="V891">
        <v>0</v>
      </c>
      <c r="W891">
        <v>0</v>
      </c>
      <c r="X891">
        <v>0</v>
      </c>
    </row>
    <row r="892" spans="1:24" x14ac:dyDescent="0.25">
      <c r="A892" t="s">
        <v>15</v>
      </c>
      <c r="B892" t="s">
        <v>24</v>
      </c>
      <c r="C892">
        <v>20150316</v>
      </c>
      <c r="D892">
        <v>0</v>
      </c>
      <c r="F892">
        <v>62500</v>
      </c>
      <c r="G892" t="s">
        <v>17</v>
      </c>
      <c r="I892" t="s">
        <v>16</v>
      </c>
      <c r="J892" t="s">
        <v>181</v>
      </c>
      <c r="K892" t="s">
        <v>25</v>
      </c>
      <c r="L892">
        <v>132757294</v>
      </c>
      <c r="R892">
        <v>1416</v>
      </c>
      <c r="S892" t="s">
        <v>194</v>
      </c>
      <c r="T892">
        <v>0</v>
      </c>
      <c r="U892">
        <v>25</v>
      </c>
      <c r="V892">
        <v>0</v>
      </c>
      <c r="W892">
        <v>0</v>
      </c>
      <c r="X892">
        <v>0</v>
      </c>
    </row>
    <row r="893" spans="1:24" x14ac:dyDescent="0.25">
      <c r="A893" t="s">
        <v>15</v>
      </c>
      <c r="B893" t="s">
        <v>24</v>
      </c>
      <c r="C893">
        <v>20150316</v>
      </c>
      <c r="D893">
        <v>0</v>
      </c>
      <c r="F893">
        <v>62500</v>
      </c>
      <c r="G893" t="s">
        <v>17</v>
      </c>
      <c r="I893" t="s">
        <v>16</v>
      </c>
      <c r="J893" t="s">
        <v>181</v>
      </c>
      <c r="K893" t="s">
        <v>25</v>
      </c>
      <c r="L893">
        <v>132757294</v>
      </c>
      <c r="R893">
        <v>1416</v>
      </c>
      <c r="S893" t="s">
        <v>194</v>
      </c>
      <c r="T893">
        <v>0</v>
      </c>
      <c r="U893">
        <v>25</v>
      </c>
      <c r="V893">
        <v>0</v>
      </c>
      <c r="W893">
        <v>0</v>
      </c>
      <c r="X893">
        <v>0</v>
      </c>
    </row>
    <row r="894" spans="1:24" x14ac:dyDescent="0.25">
      <c r="A894" t="s">
        <v>15</v>
      </c>
      <c r="B894" t="s">
        <v>24</v>
      </c>
      <c r="C894">
        <v>20150316</v>
      </c>
      <c r="D894">
        <v>0</v>
      </c>
      <c r="F894">
        <v>62500</v>
      </c>
      <c r="G894" t="s">
        <v>17</v>
      </c>
      <c r="I894" t="s">
        <v>16</v>
      </c>
      <c r="J894" t="s">
        <v>181</v>
      </c>
      <c r="K894" t="s">
        <v>25</v>
      </c>
      <c r="L894">
        <v>132757294</v>
      </c>
      <c r="R894">
        <v>1416</v>
      </c>
      <c r="S894" t="s">
        <v>194</v>
      </c>
      <c r="T894">
        <v>0</v>
      </c>
      <c r="U894">
        <v>25</v>
      </c>
      <c r="V894">
        <v>0</v>
      </c>
      <c r="W894">
        <v>0</v>
      </c>
      <c r="X894">
        <v>0</v>
      </c>
    </row>
    <row r="895" spans="1:24" x14ac:dyDescent="0.25">
      <c r="A895" t="s">
        <v>15</v>
      </c>
      <c r="B895" t="s">
        <v>24</v>
      </c>
      <c r="C895">
        <v>20150316</v>
      </c>
      <c r="D895">
        <v>0</v>
      </c>
      <c r="F895">
        <v>62500</v>
      </c>
      <c r="G895" t="s">
        <v>17</v>
      </c>
      <c r="I895" t="s">
        <v>16</v>
      </c>
      <c r="J895" t="s">
        <v>181</v>
      </c>
      <c r="K895" t="s">
        <v>25</v>
      </c>
      <c r="L895">
        <v>132757294</v>
      </c>
      <c r="R895">
        <v>1417</v>
      </c>
      <c r="S895" t="s">
        <v>214</v>
      </c>
      <c r="T895">
        <v>0</v>
      </c>
      <c r="U895">
        <v>24</v>
      </c>
      <c r="V895">
        <v>0</v>
      </c>
      <c r="W895">
        <v>0</v>
      </c>
      <c r="X895">
        <v>0</v>
      </c>
    </row>
    <row r="896" spans="1:24" x14ac:dyDescent="0.25">
      <c r="A896" t="s">
        <v>15</v>
      </c>
      <c r="B896" t="s">
        <v>24</v>
      </c>
      <c r="C896">
        <v>20150316</v>
      </c>
      <c r="D896">
        <v>0</v>
      </c>
      <c r="F896">
        <v>62500</v>
      </c>
      <c r="G896" t="s">
        <v>17</v>
      </c>
      <c r="I896" t="s">
        <v>16</v>
      </c>
      <c r="J896" t="s">
        <v>181</v>
      </c>
      <c r="K896" t="s">
        <v>25</v>
      </c>
      <c r="L896">
        <v>132757294</v>
      </c>
      <c r="R896">
        <v>1416</v>
      </c>
      <c r="S896" t="s">
        <v>196</v>
      </c>
      <c r="T896">
        <v>0</v>
      </c>
      <c r="U896">
        <v>25</v>
      </c>
      <c r="V896">
        <v>0</v>
      </c>
      <c r="W896">
        <v>0</v>
      </c>
      <c r="X896">
        <v>0</v>
      </c>
    </row>
    <row r="897" spans="1:24" x14ac:dyDescent="0.25">
      <c r="A897" t="s">
        <v>15</v>
      </c>
      <c r="B897" t="s">
        <v>24</v>
      </c>
      <c r="C897">
        <v>20150316</v>
      </c>
      <c r="D897">
        <v>0</v>
      </c>
      <c r="F897">
        <v>62500</v>
      </c>
      <c r="G897" t="s">
        <v>17</v>
      </c>
      <c r="I897" t="s">
        <v>16</v>
      </c>
      <c r="J897" t="s">
        <v>181</v>
      </c>
      <c r="K897" t="s">
        <v>25</v>
      </c>
      <c r="L897">
        <v>132757294</v>
      </c>
      <c r="R897">
        <v>1416</v>
      </c>
      <c r="S897" t="s">
        <v>201</v>
      </c>
      <c r="T897">
        <v>0</v>
      </c>
      <c r="U897">
        <v>25</v>
      </c>
      <c r="V897">
        <v>0</v>
      </c>
      <c r="W897">
        <v>0</v>
      </c>
      <c r="X897">
        <v>0</v>
      </c>
    </row>
    <row r="898" spans="1:24" x14ac:dyDescent="0.25">
      <c r="A898" t="s">
        <v>15</v>
      </c>
      <c r="B898" t="s">
        <v>24</v>
      </c>
      <c r="C898">
        <v>20150316</v>
      </c>
      <c r="D898">
        <v>0</v>
      </c>
      <c r="F898">
        <v>62500</v>
      </c>
      <c r="G898" t="s">
        <v>17</v>
      </c>
      <c r="I898" t="s">
        <v>16</v>
      </c>
      <c r="J898" t="s">
        <v>181</v>
      </c>
      <c r="K898" t="s">
        <v>25</v>
      </c>
      <c r="L898">
        <v>132757294</v>
      </c>
      <c r="R898">
        <v>1417</v>
      </c>
      <c r="S898" t="s">
        <v>214</v>
      </c>
      <c r="T898">
        <v>0</v>
      </c>
      <c r="U898">
        <v>24</v>
      </c>
      <c r="V898">
        <v>0</v>
      </c>
      <c r="W898">
        <v>0</v>
      </c>
      <c r="X898">
        <v>0</v>
      </c>
    </row>
    <row r="899" spans="1:24" x14ac:dyDescent="0.25">
      <c r="A899" t="s">
        <v>15</v>
      </c>
      <c r="B899" t="s">
        <v>24</v>
      </c>
      <c r="C899">
        <v>20150316</v>
      </c>
      <c r="D899">
        <v>0</v>
      </c>
      <c r="F899">
        <v>62500</v>
      </c>
      <c r="G899" t="s">
        <v>17</v>
      </c>
      <c r="I899" t="s">
        <v>16</v>
      </c>
      <c r="J899" t="s">
        <v>181</v>
      </c>
      <c r="K899" t="s">
        <v>25</v>
      </c>
      <c r="L899">
        <v>132757294</v>
      </c>
      <c r="R899">
        <v>1417</v>
      </c>
      <c r="S899" t="s">
        <v>194</v>
      </c>
      <c r="T899">
        <v>0</v>
      </c>
      <c r="U899">
        <v>24</v>
      </c>
      <c r="V899">
        <v>0</v>
      </c>
      <c r="W899">
        <v>0</v>
      </c>
      <c r="X899">
        <v>0</v>
      </c>
    </row>
    <row r="900" spans="1:24" x14ac:dyDescent="0.25">
      <c r="A900" t="s">
        <v>15</v>
      </c>
      <c r="B900" t="s">
        <v>24</v>
      </c>
      <c r="C900">
        <v>20150316</v>
      </c>
      <c r="D900">
        <v>0</v>
      </c>
      <c r="F900">
        <v>62500</v>
      </c>
      <c r="G900" t="s">
        <v>17</v>
      </c>
      <c r="I900" t="s">
        <v>16</v>
      </c>
      <c r="J900" t="s">
        <v>181</v>
      </c>
      <c r="K900" t="s">
        <v>25</v>
      </c>
      <c r="L900">
        <v>132757294</v>
      </c>
      <c r="R900">
        <v>1417</v>
      </c>
      <c r="S900" t="s">
        <v>194</v>
      </c>
      <c r="T900">
        <v>0</v>
      </c>
      <c r="U900">
        <v>24</v>
      </c>
      <c r="V900">
        <v>0</v>
      </c>
      <c r="W900">
        <v>0</v>
      </c>
      <c r="X900">
        <v>0</v>
      </c>
    </row>
    <row r="901" spans="1:24" x14ac:dyDescent="0.25">
      <c r="A901" t="s">
        <v>15</v>
      </c>
      <c r="B901" t="s">
        <v>24</v>
      </c>
      <c r="C901">
        <v>20150316</v>
      </c>
      <c r="D901">
        <v>0</v>
      </c>
      <c r="F901">
        <v>62500</v>
      </c>
      <c r="G901" t="s">
        <v>17</v>
      </c>
      <c r="I901" t="s">
        <v>16</v>
      </c>
      <c r="J901" t="s">
        <v>181</v>
      </c>
      <c r="K901" t="s">
        <v>25</v>
      </c>
      <c r="L901">
        <v>132757294</v>
      </c>
      <c r="R901">
        <v>1417</v>
      </c>
      <c r="S901" t="s">
        <v>194</v>
      </c>
      <c r="T901">
        <v>0</v>
      </c>
      <c r="U901">
        <v>24</v>
      </c>
      <c r="V901">
        <v>0</v>
      </c>
      <c r="W901">
        <v>0</v>
      </c>
      <c r="X901">
        <v>0</v>
      </c>
    </row>
    <row r="902" spans="1:24" x14ac:dyDescent="0.25">
      <c r="A902" t="s">
        <v>15</v>
      </c>
      <c r="B902" t="s">
        <v>24</v>
      </c>
      <c r="C902">
        <v>20150316</v>
      </c>
      <c r="D902">
        <v>0</v>
      </c>
      <c r="F902">
        <v>62500</v>
      </c>
      <c r="G902" t="s">
        <v>17</v>
      </c>
      <c r="I902" t="s">
        <v>16</v>
      </c>
      <c r="J902" t="s">
        <v>181</v>
      </c>
      <c r="K902" t="s">
        <v>25</v>
      </c>
      <c r="L902">
        <v>132757294</v>
      </c>
      <c r="R902">
        <v>1418</v>
      </c>
      <c r="S902" t="s">
        <v>214</v>
      </c>
      <c r="T902">
        <v>0</v>
      </c>
      <c r="U902">
        <v>-24</v>
      </c>
      <c r="V902">
        <v>0</v>
      </c>
      <c r="W902">
        <v>0</v>
      </c>
      <c r="X902">
        <v>0</v>
      </c>
    </row>
    <row r="903" spans="1:24" x14ac:dyDescent="0.25">
      <c r="A903" t="s">
        <v>15</v>
      </c>
      <c r="B903" t="s">
        <v>24</v>
      </c>
      <c r="C903">
        <v>20150316</v>
      </c>
      <c r="D903">
        <v>0</v>
      </c>
      <c r="F903">
        <v>62500</v>
      </c>
      <c r="G903" t="s">
        <v>17</v>
      </c>
      <c r="I903" t="s">
        <v>16</v>
      </c>
      <c r="J903" t="s">
        <v>181</v>
      </c>
      <c r="K903" t="s">
        <v>25</v>
      </c>
      <c r="L903">
        <v>132757294</v>
      </c>
      <c r="R903">
        <v>1419</v>
      </c>
      <c r="S903" t="s">
        <v>214</v>
      </c>
      <c r="T903">
        <v>0</v>
      </c>
      <c r="U903">
        <v>24</v>
      </c>
      <c r="V903">
        <v>0</v>
      </c>
      <c r="W903">
        <v>0</v>
      </c>
      <c r="X903">
        <v>0</v>
      </c>
    </row>
    <row r="904" spans="1:24" x14ac:dyDescent="0.25">
      <c r="A904" t="s">
        <v>15</v>
      </c>
      <c r="B904" t="s">
        <v>24</v>
      </c>
      <c r="C904">
        <v>20150316</v>
      </c>
      <c r="D904">
        <v>0</v>
      </c>
      <c r="F904">
        <v>62500</v>
      </c>
      <c r="G904" t="s">
        <v>17</v>
      </c>
      <c r="I904" t="s">
        <v>16</v>
      </c>
      <c r="J904" t="s">
        <v>181</v>
      </c>
      <c r="K904" t="s">
        <v>25</v>
      </c>
      <c r="L904">
        <v>132757294</v>
      </c>
      <c r="R904">
        <v>1418</v>
      </c>
      <c r="S904" t="s">
        <v>214</v>
      </c>
      <c r="T904">
        <v>0</v>
      </c>
      <c r="U904">
        <v>-24</v>
      </c>
      <c r="V904">
        <v>0</v>
      </c>
      <c r="W904">
        <v>0</v>
      </c>
      <c r="X904">
        <v>0</v>
      </c>
    </row>
    <row r="905" spans="1:24" x14ac:dyDescent="0.25">
      <c r="A905" t="s">
        <v>15</v>
      </c>
      <c r="B905" t="s">
        <v>24</v>
      </c>
      <c r="C905">
        <v>20150316</v>
      </c>
      <c r="D905">
        <v>0</v>
      </c>
      <c r="F905">
        <v>62500</v>
      </c>
      <c r="G905" t="s">
        <v>17</v>
      </c>
      <c r="I905" t="s">
        <v>16</v>
      </c>
      <c r="J905" t="s">
        <v>181</v>
      </c>
      <c r="K905" t="s">
        <v>25</v>
      </c>
      <c r="L905">
        <v>132757294</v>
      </c>
      <c r="R905">
        <v>1418</v>
      </c>
      <c r="S905" t="s">
        <v>194</v>
      </c>
      <c r="T905">
        <v>0</v>
      </c>
      <c r="U905">
        <v>24</v>
      </c>
      <c r="V905">
        <v>0</v>
      </c>
      <c r="W905">
        <v>0</v>
      </c>
      <c r="X905">
        <v>0</v>
      </c>
    </row>
    <row r="906" spans="1:24" x14ac:dyDescent="0.25">
      <c r="A906" t="s">
        <v>15</v>
      </c>
      <c r="B906" t="s">
        <v>24</v>
      </c>
      <c r="C906">
        <v>20150316</v>
      </c>
      <c r="D906">
        <v>0</v>
      </c>
      <c r="F906">
        <v>62500</v>
      </c>
      <c r="G906" t="s">
        <v>17</v>
      </c>
      <c r="I906" t="s">
        <v>16</v>
      </c>
      <c r="J906" t="s">
        <v>181</v>
      </c>
      <c r="K906" t="s">
        <v>25</v>
      </c>
      <c r="L906">
        <v>132757294</v>
      </c>
      <c r="R906">
        <v>1418</v>
      </c>
      <c r="S906" t="s">
        <v>194</v>
      </c>
      <c r="T906">
        <v>0</v>
      </c>
      <c r="U906">
        <v>24</v>
      </c>
      <c r="V906">
        <v>0</v>
      </c>
      <c r="W906">
        <v>0</v>
      </c>
      <c r="X906">
        <v>0</v>
      </c>
    </row>
    <row r="907" spans="1:24" x14ac:dyDescent="0.25">
      <c r="A907" t="s">
        <v>15</v>
      </c>
      <c r="B907" t="s">
        <v>24</v>
      </c>
      <c r="C907">
        <v>20150316</v>
      </c>
      <c r="D907">
        <v>0</v>
      </c>
      <c r="F907">
        <v>62500</v>
      </c>
      <c r="G907" t="s">
        <v>17</v>
      </c>
      <c r="I907" t="s">
        <v>16</v>
      </c>
      <c r="J907" t="s">
        <v>181</v>
      </c>
      <c r="K907" t="s">
        <v>25</v>
      </c>
      <c r="L907">
        <v>132757294</v>
      </c>
      <c r="R907">
        <v>1418</v>
      </c>
      <c r="S907" t="s">
        <v>194</v>
      </c>
      <c r="T907">
        <v>0</v>
      </c>
      <c r="U907">
        <v>24</v>
      </c>
      <c r="V907">
        <v>0</v>
      </c>
      <c r="W907">
        <v>0</v>
      </c>
      <c r="X907">
        <v>0</v>
      </c>
    </row>
    <row r="908" spans="1:24" x14ac:dyDescent="0.25">
      <c r="A908" t="s">
        <v>15</v>
      </c>
      <c r="B908" t="s">
        <v>24</v>
      </c>
      <c r="C908">
        <v>20150316</v>
      </c>
      <c r="D908">
        <v>0</v>
      </c>
      <c r="F908">
        <v>62500</v>
      </c>
      <c r="G908" t="s">
        <v>17</v>
      </c>
      <c r="I908" t="s">
        <v>16</v>
      </c>
      <c r="J908" t="s">
        <v>181</v>
      </c>
      <c r="K908" t="s">
        <v>25</v>
      </c>
      <c r="L908">
        <v>132757294</v>
      </c>
      <c r="R908">
        <v>1417</v>
      </c>
      <c r="S908" t="s">
        <v>196</v>
      </c>
      <c r="T908">
        <v>0</v>
      </c>
      <c r="U908">
        <v>24</v>
      </c>
      <c r="V908">
        <v>0</v>
      </c>
      <c r="W908">
        <v>0</v>
      </c>
      <c r="X908">
        <v>0</v>
      </c>
    </row>
    <row r="909" spans="1:24" x14ac:dyDescent="0.25">
      <c r="A909" t="s">
        <v>15</v>
      </c>
      <c r="B909" t="s">
        <v>24</v>
      </c>
      <c r="C909">
        <v>20150316</v>
      </c>
      <c r="D909">
        <v>0</v>
      </c>
      <c r="F909">
        <v>62500</v>
      </c>
      <c r="G909" t="s">
        <v>17</v>
      </c>
      <c r="I909" t="s">
        <v>16</v>
      </c>
      <c r="J909" t="s">
        <v>181</v>
      </c>
      <c r="K909" t="s">
        <v>25</v>
      </c>
      <c r="L909">
        <v>132757294</v>
      </c>
      <c r="R909">
        <v>1417</v>
      </c>
      <c r="S909" t="s">
        <v>201</v>
      </c>
      <c r="T909">
        <v>0</v>
      </c>
      <c r="U909">
        <v>24</v>
      </c>
      <c r="V909">
        <v>0</v>
      </c>
      <c r="W909">
        <v>0</v>
      </c>
      <c r="X909">
        <v>0</v>
      </c>
    </row>
    <row r="910" spans="1:24" x14ac:dyDescent="0.25">
      <c r="A910" t="s">
        <v>15</v>
      </c>
      <c r="B910" t="s">
        <v>24</v>
      </c>
      <c r="C910">
        <v>20150316</v>
      </c>
      <c r="D910">
        <v>0</v>
      </c>
      <c r="F910">
        <v>62500</v>
      </c>
      <c r="G910" t="s">
        <v>17</v>
      </c>
      <c r="I910" t="s">
        <v>16</v>
      </c>
      <c r="J910" t="s">
        <v>181</v>
      </c>
      <c r="K910" t="s">
        <v>25</v>
      </c>
      <c r="L910">
        <v>132757294</v>
      </c>
      <c r="R910">
        <v>1419</v>
      </c>
      <c r="S910" t="s">
        <v>214</v>
      </c>
      <c r="T910">
        <v>0</v>
      </c>
      <c r="U910">
        <v>24</v>
      </c>
      <c r="V910">
        <v>0</v>
      </c>
      <c r="W910">
        <v>0</v>
      </c>
      <c r="X910">
        <v>0</v>
      </c>
    </row>
    <row r="911" spans="1:24" x14ac:dyDescent="0.25">
      <c r="A911" t="s">
        <v>15</v>
      </c>
      <c r="B911" t="s">
        <v>24</v>
      </c>
      <c r="C911">
        <v>20150316</v>
      </c>
      <c r="D911">
        <v>0</v>
      </c>
      <c r="F911">
        <v>62500</v>
      </c>
      <c r="G911" t="s">
        <v>17</v>
      </c>
      <c r="I911" t="s">
        <v>16</v>
      </c>
      <c r="J911" t="s">
        <v>181</v>
      </c>
      <c r="K911" t="s">
        <v>25</v>
      </c>
      <c r="L911">
        <v>132757294</v>
      </c>
      <c r="R911">
        <v>1419</v>
      </c>
      <c r="S911" t="s">
        <v>194</v>
      </c>
      <c r="T911">
        <v>0</v>
      </c>
      <c r="U911">
        <v>24</v>
      </c>
      <c r="V911">
        <v>0</v>
      </c>
      <c r="W911">
        <v>0</v>
      </c>
      <c r="X911">
        <v>0</v>
      </c>
    </row>
    <row r="912" spans="1:24" x14ac:dyDescent="0.25">
      <c r="A912" t="s">
        <v>15</v>
      </c>
      <c r="B912" t="s">
        <v>24</v>
      </c>
      <c r="C912">
        <v>20150316</v>
      </c>
      <c r="D912">
        <v>0</v>
      </c>
      <c r="F912">
        <v>62500</v>
      </c>
      <c r="G912" t="s">
        <v>17</v>
      </c>
      <c r="I912" t="s">
        <v>16</v>
      </c>
      <c r="J912" t="s">
        <v>181</v>
      </c>
      <c r="K912" t="s">
        <v>25</v>
      </c>
      <c r="L912">
        <v>132757294</v>
      </c>
      <c r="R912">
        <v>1418</v>
      </c>
      <c r="S912" t="s">
        <v>196</v>
      </c>
      <c r="T912">
        <v>0</v>
      </c>
      <c r="U912">
        <v>24</v>
      </c>
      <c r="V912">
        <v>0</v>
      </c>
      <c r="W912">
        <v>0</v>
      </c>
      <c r="X912">
        <v>0</v>
      </c>
    </row>
    <row r="913" spans="1:24" x14ac:dyDescent="0.25">
      <c r="A913" t="s">
        <v>15</v>
      </c>
      <c r="B913" t="s">
        <v>24</v>
      </c>
      <c r="C913">
        <v>20150316</v>
      </c>
      <c r="D913">
        <v>0</v>
      </c>
      <c r="F913">
        <v>62500</v>
      </c>
      <c r="G913" t="s">
        <v>17</v>
      </c>
      <c r="I913" t="s">
        <v>16</v>
      </c>
      <c r="J913" t="s">
        <v>181</v>
      </c>
      <c r="K913" t="s">
        <v>25</v>
      </c>
      <c r="L913">
        <v>132757294</v>
      </c>
      <c r="R913">
        <v>1418</v>
      </c>
      <c r="S913" t="s">
        <v>201</v>
      </c>
      <c r="T913">
        <v>0</v>
      </c>
      <c r="U913">
        <v>24</v>
      </c>
      <c r="V913">
        <v>0</v>
      </c>
      <c r="W913">
        <v>0</v>
      </c>
      <c r="X913">
        <v>0</v>
      </c>
    </row>
    <row r="914" spans="1:24" x14ac:dyDescent="0.25">
      <c r="A914" t="s">
        <v>15</v>
      </c>
      <c r="B914" t="s">
        <v>24</v>
      </c>
      <c r="C914">
        <v>20150316</v>
      </c>
      <c r="D914">
        <v>0</v>
      </c>
      <c r="F914">
        <v>62500</v>
      </c>
      <c r="G914" t="s">
        <v>17</v>
      </c>
      <c r="I914" t="s">
        <v>16</v>
      </c>
      <c r="J914" t="s">
        <v>181</v>
      </c>
      <c r="K914" t="s">
        <v>25</v>
      </c>
      <c r="L914">
        <v>132757294</v>
      </c>
      <c r="R914">
        <v>1419</v>
      </c>
      <c r="S914" t="s">
        <v>194</v>
      </c>
      <c r="T914">
        <v>0</v>
      </c>
      <c r="U914">
        <v>24</v>
      </c>
      <c r="V914">
        <v>0</v>
      </c>
      <c r="W914">
        <v>0</v>
      </c>
      <c r="X914">
        <v>0</v>
      </c>
    </row>
    <row r="915" spans="1:24" x14ac:dyDescent="0.25">
      <c r="A915" t="s">
        <v>15</v>
      </c>
      <c r="B915" t="s">
        <v>24</v>
      </c>
      <c r="C915">
        <v>20150316</v>
      </c>
      <c r="D915">
        <v>0</v>
      </c>
      <c r="F915">
        <v>62500</v>
      </c>
      <c r="G915" t="s">
        <v>17</v>
      </c>
      <c r="I915" t="s">
        <v>16</v>
      </c>
      <c r="J915" t="s">
        <v>181</v>
      </c>
      <c r="K915" t="s">
        <v>25</v>
      </c>
      <c r="L915">
        <v>132757294</v>
      </c>
      <c r="R915">
        <v>1419</v>
      </c>
      <c r="S915" t="s">
        <v>194</v>
      </c>
      <c r="T915">
        <v>0</v>
      </c>
      <c r="U915">
        <v>24</v>
      </c>
      <c r="V915">
        <v>0</v>
      </c>
      <c r="W915">
        <v>0</v>
      </c>
      <c r="X915">
        <v>0</v>
      </c>
    </row>
    <row r="916" spans="1:24" x14ac:dyDescent="0.25">
      <c r="A916" t="s">
        <v>15</v>
      </c>
      <c r="B916" t="s">
        <v>24</v>
      </c>
      <c r="C916">
        <v>20150316</v>
      </c>
      <c r="D916">
        <v>0</v>
      </c>
      <c r="F916">
        <v>62500</v>
      </c>
      <c r="G916" t="s">
        <v>17</v>
      </c>
      <c r="I916" t="s">
        <v>16</v>
      </c>
      <c r="J916" t="s">
        <v>181</v>
      </c>
      <c r="K916" t="s">
        <v>25</v>
      </c>
      <c r="L916">
        <v>132757294</v>
      </c>
      <c r="R916">
        <v>1420</v>
      </c>
      <c r="S916" t="s">
        <v>214</v>
      </c>
      <c r="T916">
        <v>0</v>
      </c>
      <c r="U916">
        <v>-25</v>
      </c>
      <c r="V916">
        <v>0</v>
      </c>
      <c r="W916">
        <v>0</v>
      </c>
      <c r="X916">
        <v>0</v>
      </c>
    </row>
    <row r="917" spans="1:24" x14ac:dyDescent="0.25">
      <c r="A917" t="s">
        <v>15</v>
      </c>
      <c r="B917" t="s">
        <v>24</v>
      </c>
      <c r="C917">
        <v>20150316</v>
      </c>
      <c r="D917">
        <v>0</v>
      </c>
      <c r="F917">
        <v>62500</v>
      </c>
      <c r="G917" t="s">
        <v>17</v>
      </c>
      <c r="I917" t="s">
        <v>16</v>
      </c>
      <c r="J917" t="s">
        <v>181</v>
      </c>
      <c r="K917" t="s">
        <v>25</v>
      </c>
      <c r="L917">
        <v>132757294</v>
      </c>
      <c r="R917">
        <v>1420</v>
      </c>
      <c r="S917" t="s">
        <v>214</v>
      </c>
      <c r="T917">
        <v>0</v>
      </c>
      <c r="U917">
        <v>-25</v>
      </c>
      <c r="V917">
        <v>0</v>
      </c>
      <c r="W917">
        <v>0</v>
      </c>
      <c r="X917">
        <v>0</v>
      </c>
    </row>
    <row r="918" spans="1:24" x14ac:dyDescent="0.25">
      <c r="A918" t="s">
        <v>15</v>
      </c>
      <c r="B918" t="s">
        <v>24</v>
      </c>
      <c r="C918">
        <v>20150316</v>
      </c>
      <c r="D918">
        <v>0</v>
      </c>
      <c r="F918">
        <v>62500</v>
      </c>
      <c r="G918" t="s">
        <v>17</v>
      </c>
      <c r="I918" t="s">
        <v>16</v>
      </c>
      <c r="J918" t="s">
        <v>181</v>
      </c>
      <c r="K918" t="s">
        <v>25</v>
      </c>
      <c r="L918">
        <v>132757294</v>
      </c>
      <c r="R918">
        <v>1420</v>
      </c>
      <c r="S918" t="s">
        <v>194</v>
      </c>
      <c r="T918">
        <v>0</v>
      </c>
      <c r="U918">
        <v>25</v>
      </c>
      <c r="V918">
        <v>0</v>
      </c>
      <c r="W918">
        <v>0</v>
      </c>
      <c r="X918">
        <v>0</v>
      </c>
    </row>
    <row r="919" spans="1:24" x14ac:dyDescent="0.25">
      <c r="A919" t="s">
        <v>15</v>
      </c>
      <c r="B919" t="s">
        <v>24</v>
      </c>
      <c r="C919">
        <v>20150316</v>
      </c>
      <c r="D919">
        <v>0</v>
      </c>
      <c r="F919">
        <v>62500</v>
      </c>
      <c r="G919" t="s">
        <v>17</v>
      </c>
      <c r="I919" t="s">
        <v>16</v>
      </c>
      <c r="J919" t="s">
        <v>181</v>
      </c>
      <c r="K919" t="s">
        <v>25</v>
      </c>
      <c r="L919">
        <v>132757294</v>
      </c>
      <c r="R919">
        <v>1420</v>
      </c>
      <c r="S919" t="s">
        <v>194</v>
      </c>
      <c r="T919">
        <v>0</v>
      </c>
      <c r="U919">
        <v>25</v>
      </c>
      <c r="V919">
        <v>0</v>
      </c>
      <c r="W919">
        <v>0</v>
      </c>
      <c r="X919">
        <v>0</v>
      </c>
    </row>
    <row r="920" spans="1:24" x14ac:dyDescent="0.25">
      <c r="A920" t="s">
        <v>15</v>
      </c>
      <c r="B920" t="s">
        <v>24</v>
      </c>
      <c r="C920">
        <v>20150316</v>
      </c>
      <c r="D920">
        <v>0</v>
      </c>
      <c r="F920">
        <v>62500</v>
      </c>
      <c r="G920" t="s">
        <v>17</v>
      </c>
      <c r="I920" t="s">
        <v>16</v>
      </c>
      <c r="J920" t="s">
        <v>181</v>
      </c>
      <c r="K920" t="s">
        <v>25</v>
      </c>
      <c r="L920">
        <v>132757294</v>
      </c>
      <c r="R920">
        <v>1420</v>
      </c>
      <c r="S920" t="s">
        <v>194</v>
      </c>
      <c r="T920">
        <v>0</v>
      </c>
      <c r="U920">
        <v>25</v>
      </c>
      <c r="V920">
        <v>0</v>
      </c>
      <c r="W920">
        <v>0</v>
      </c>
      <c r="X920">
        <v>0</v>
      </c>
    </row>
    <row r="921" spans="1:24" x14ac:dyDescent="0.25">
      <c r="A921" t="s">
        <v>15</v>
      </c>
      <c r="B921" t="s">
        <v>24</v>
      </c>
      <c r="C921">
        <v>20150316</v>
      </c>
      <c r="D921">
        <v>0</v>
      </c>
      <c r="F921">
        <v>62500</v>
      </c>
      <c r="G921" t="s">
        <v>17</v>
      </c>
      <c r="I921" t="s">
        <v>16</v>
      </c>
      <c r="J921" t="s">
        <v>181</v>
      </c>
      <c r="K921" t="s">
        <v>25</v>
      </c>
      <c r="L921">
        <v>132757294</v>
      </c>
      <c r="R921">
        <v>1421</v>
      </c>
      <c r="S921" t="s">
        <v>214</v>
      </c>
      <c r="T921">
        <v>0</v>
      </c>
      <c r="U921">
        <v>-24</v>
      </c>
      <c r="V921">
        <v>0</v>
      </c>
      <c r="W921">
        <v>0</v>
      </c>
      <c r="X921">
        <v>0</v>
      </c>
    </row>
    <row r="922" spans="1:24" x14ac:dyDescent="0.25">
      <c r="A922" t="s">
        <v>15</v>
      </c>
      <c r="B922" t="s">
        <v>24</v>
      </c>
      <c r="C922">
        <v>20150316</v>
      </c>
      <c r="D922">
        <v>0</v>
      </c>
      <c r="F922">
        <v>62500</v>
      </c>
      <c r="G922" t="s">
        <v>17</v>
      </c>
      <c r="I922" t="s">
        <v>16</v>
      </c>
      <c r="J922" t="s">
        <v>181</v>
      </c>
      <c r="K922" t="s">
        <v>25</v>
      </c>
      <c r="L922">
        <v>132757294</v>
      </c>
      <c r="R922">
        <v>1420</v>
      </c>
      <c r="S922" t="s">
        <v>196</v>
      </c>
      <c r="T922">
        <v>0</v>
      </c>
      <c r="U922">
        <v>25</v>
      </c>
      <c r="V922">
        <v>0</v>
      </c>
      <c r="W922">
        <v>0</v>
      </c>
      <c r="X922">
        <v>0</v>
      </c>
    </row>
    <row r="923" spans="1:24" x14ac:dyDescent="0.25">
      <c r="A923" t="s">
        <v>15</v>
      </c>
      <c r="B923" t="s">
        <v>24</v>
      </c>
      <c r="C923">
        <v>20150316</v>
      </c>
      <c r="D923">
        <v>0</v>
      </c>
      <c r="F923">
        <v>62500</v>
      </c>
      <c r="G923" t="s">
        <v>17</v>
      </c>
      <c r="I923" t="s">
        <v>16</v>
      </c>
      <c r="J923" t="s">
        <v>181</v>
      </c>
      <c r="K923" t="s">
        <v>25</v>
      </c>
      <c r="L923">
        <v>132757294</v>
      </c>
      <c r="R923">
        <v>1420</v>
      </c>
      <c r="S923" t="s">
        <v>201</v>
      </c>
      <c r="T923">
        <v>0</v>
      </c>
      <c r="U923">
        <v>25</v>
      </c>
      <c r="V923">
        <v>0</v>
      </c>
      <c r="W923">
        <v>0</v>
      </c>
      <c r="X923">
        <v>0</v>
      </c>
    </row>
    <row r="924" spans="1:24" x14ac:dyDescent="0.25">
      <c r="A924" t="s">
        <v>15</v>
      </c>
      <c r="B924" t="s">
        <v>24</v>
      </c>
      <c r="C924">
        <v>20150316</v>
      </c>
      <c r="D924">
        <v>0</v>
      </c>
      <c r="F924">
        <v>62500</v>
      </c>
      <c r="G924" t="s">
        <v>17</v>
      </c>
      <c r="I924" t="s">
        <v>16</v>
      </c>
      <c r="J924" t="s">
        <v>181</v>
      </c>
      <c r="K924" t="s">
        <v>25</v>
      </c>
      <c r="L924">
        <v>132757294</v>
      </c>
      <c r="R924">
        <v>1421</v>
      </c>
      <c r="S924" t="s">
        <v>214</v>
      </c>
      <c r="T924">
        <v>0</v>
      </c>
      <c r="U924">
        <v>-24</v>
      </c>
      <c r="V924">
        <v>0</v>
      </c>
      <c r="W924">
        <v>0</v>
      </c>
      <c r="X924">
        <v>0</v>
      </c>
    </row>
    <row r="925" spans="1:24" x14ac:dyDescent="0.25">
      <c r="A925" t="s">
        <v>15</v>
      </c>
      <c r="B925" t="s">
        <v>24</v>
      </c>
      <c r="C925">
        <v>20150316</v>
      </c>
      <c r="D925">
        <v>0</v>
      </c>
      <c r="F925">
        <v>62500</v>
      </c>
      <c r="G925" t="s">
        <v>17</v>
      </c>
      <c r="I925" t="s">
        <v>16</v>
      </c>
      <c r="J925" t="s">
        <v>181</v>
      </c>
      <c r="K925" t="s">
        <v>25</v>
      </c>
      <c r="L925">
        <v>132757294</v>
      </c>
      <c r="R925">
        <v>1421</v>
      </c>
      <c r="S925" t="s">
        <v>194</v>
      </c>
      <c r="T925">
        <v>0</v>
      </c>
      <c r="U925">
        <v>24</v>
      </c>
      <c r="V925">
        <v>0</v>
      </c>
      <c r="W925">
        <v>0</v>
      </c>
      <c r="X925">
        <v>0</v>
      </c>
    </row>
    <row r="926" spans="1:24" x14ac:dyDescent="0.25">
      <c r="A926" t="s">
        <v>15</v>
      </c>
      <c r="B926" t="s">
        <v>24</v>
      </c>
      <c r="C926">
        <v>20150316</v>
      </c>
      <c r="D926">
        <v>0</v>
      </c>
      <c r="F926">
        <v>62500</v>
      </c>
      <c r="G926" t="s">
        <v>17</v>
      </c>
      <c r="I926" t="s">
        <v>16</v>
      </c>
      <c r="J926" t="s">
        <v>181</v>
      </c>
      <c r="K926" t="s">
        <v>25</v>
      </c>
      <c r="L926">
        <v>132757294</v>
      </c>
      <c r="R926">
        <v>1421</v>
      </c>
      <c r="S926" t="s">
        <v>194</v>
      </c>
      <c r="T926">
        <v>0</v>
      </c>
      <c r="U926">
        <v>24</v>
      </c>
      <c r="V926">
        <v>0</v>
      </c>
      <c r="W926">
        <v>0</v>
      </c>
      <c r="X926">
        <v>0</v>
      </c>
    </row>
    <row r="927" spans="1:24" x14ac:dyDescent="0.25">
      <c r="A927" t="s">
        <v>15</v>
      </c>
      <c r="B927" t="s">
        <v>24</v>
      </c>
      <c r="C927">
        <v>20150316</v>
      </c>
      <c r="D927">
        <v>0</v>
      </c>
      <c r="F927">
        <v>62500</v>
      </c>
      <c r="G927" t="s">
        <v>17</v>
      </c>
      <c r="I927" t="s">
        <v>16</v>
      </c>
      <c r="J927" t="s">
        <v>181</v>
      </c>
      <c r="K927" t="s">
        <v>25</v>
      </c>
      <c r="L927">
        <v>132757294</v>
      </c>
      <c r="R927">
        <v>1421</v>
      </c>
      <c r="S927" t="s">
        <v>194</v>
      </c>
      <c r="T927">
        <v>0</v>
      </c>
      <c r="U927">
        <v>24</v>
      </c>
      <c r="V927">
        <v>0</v>
      </c>
      <c r="W927">
        <v>0</v>
      </c>
      <c r="X927">
        <v>0</v>
      </c>
    </row>
    <row r="928" spans="1:24" x14ac:dyDescent="0.25">
      <c r="A928" t="s">
        <v>15</v>
      </c>
      <c r="B928" t="s">
        <v>24</v>
      </c>
      <c r="C928">
        <v>20150316</v>
      </c>
      <c r="D928">
        <v>0</v>
      </c>
      <c r="F928">
        <v>62500</v>
      </c>
      <c r="G928" t="s">
        <v>17</v>
      </c>
      <c r="I928" t="s">
        <v>16</v>
      </c>
      <c r="J928" t="s">
        <v>181</v>
      </c>
      <c r="K928" t="s">
        <v>25</v>
      </c>
      <c r="L928">
        <v>132757294</v>
      </c>
      <c r="R928">
        <v>1422</v>
      </c>
      <c r="S928" t="s">
        <v>214</v>
      </c>
      <c r="T928">
        <v>0</v>
      </c>
      <c r="U928">
        <v>-23</v>
      </c>
      <c r="V928">
        <v>0</v>
      </c>
      <c r="W928">
        <v>0</v>
      </c>
      <c r="X928">
        <v>0</v>
      </c>
    </row>
    <row r="929" spans="1:24" x14ac:dyDescent="0.25">
      <c r="A929" t="s">
        <v>15</v>
      </c>
      <c r="B929" t="s">
        <v>24</v>
      </c>
      <c r="C929">
        <v>20150316</v>
      </c>
      <c r="D929">
        <v>0</v>
      </c>
      <c r="F929">
        <v>62500</v>
      </c>
      <c r="G929" t="s">
        <v>17</v>
      </c>
      <c r="I929" t="s">
        <v>16</v>
      </c>
      <c r="J929" t="s">
        <v>181</v>
      </c>
      <c r="K929" t="s">
        <v>25</v>
      </c>
      <c r="L929">
        <v>132757294</v>
      </c>
      <c r="R929">
        <v>1421</v>
      </c>
      <c r="S929" t="s">
        <v>196</v>
      </c>
      <c r="T929">
        <v>0</v>
      </c>
      <c r="U929">
        <v>24</v>
      </c>
      <c r="V929">
        <v>0</v>
      </c>
      <c r="W929">
        <v>0</v>
      </c>
      <c r="X929">
        <v>0</v>
      </c>
    </row>
    <row r="930" spans="1:24" x14ac:dyDescent="0.25">
      <c r="A930" t="s">
        <v>15</v>
      </c>
      <c r="B930" t="s">
        <v>24</v>
      </c>
      <c r="C930">
        <v>20150316</v>
      </c>
      <c r="D930">
        <v>0</v>
      </c>
      <c r="F930">
        <v>62500</v>
      </c>
      <c r="G930" t="s">
        <v>17</v>
      </c>
      <c r="I930" t="s">
        <v>16</v>
      </c>
      <c r="J930" t="s">
        <v>181</v>
      </c>
      <c r="K930" t="s">
        <v>25</v>
      </c>
      <c r="L930">
        <v>132757294</v>
      </c>
      <c r="R930">
        <v>1421</v>
      </c>
      <c r="S930" t="s">
        <v>201</v>
      </c>
      <c r="T930">
        <v>0</v>
      </c>
      <c r="U930">
        <v>24</v>
      </c>
      <c r="V930">
        <v>0</v>
      </c>
      <c r="W930">
        <v>0</v>
      </c>
      <c r="X930">
        <v>0</v>
      </c>
    </row>
    <row r="931" spans="1:24" x14ac:dyDescent="0.25">
      <c r="A931" t="s">
        <v>15</v>
      </c>
      <c r="B931" t="s">
        <v>24</v>
      </c>
      <c r="C931">
        <v>20150316</v>
      </c>
      <c r="D931">
        <v>0</v>
      </c>
      <c r="F931">
        <v>62500</v>
      </c>
      <c r="G931" t="s">
        <v>17</v>
      </c>
      <c r="I931" t="s">
        <v>16</v>
      </c>
      <c r="J931" t="s">
        <v>181</v>
      </c>
      <c r="K931" t="s">
        <v>25</v>
      </c>
      <c r="L931">
        <v>132757294</v>
      </c>
      <c r="R931">
        <v>1422</v>
      </c>
      <c r="S931" t="s">
        <v>214</v>
      </c>
      <c r="T931">
        <v>0</v>
      </c>
      <c r="U931">
        <v>-23</v>
      </c>
      <c r="V931">
        <v>0</v>
      </c>
      <c r="W931">
        <v>0</v>
      </c>
      <c r="X931">
        <v>0</v>
      </c>
    </row>
    <row r="932" spans="1:24" x14ac:dyDescent="0.25">
      <c r="A932" t="s">
        <v>15</v>
      </c>
      <c r="B932" t="s">
        <v>24</v>
      </c>
      <c r="C932">
        <v>20150316</v>
      </c>
      <c r="D932">
        <v>0</v>
      </c>
      <c r="F932">
        <v>62500</v>
      </c>
      <c r="G932" t="s">
        <v>17</v>
      </c>
      <c r="I932" t="s">
        <v>16</v>
      </c>
      <c r="J932" t="s">
        <v>181</v>
      </c>
      <c r="K932" t="s">
        <v>25</v>
      </c>
      <c r="L932">
        <v>132757294</v>
      </c>
      <c r="R932">
        <v>1422</v>
      </c>
      <c r="S932" t="s">
        <v>194</v>
      </c>
      <c r="T932">
        <v>0</v>
      </c>
      <c r="U932">
        <v>23</v>
      </c>
      <c r="V932">
        <v>0</v>
      </c>
      <c r="W932">
        <v>0</v>
      </c>
      <c r="X932">
        <v>0</v>
      </c>
    </row>
    <row r="933" spans="1:24" x14ac:dyDescent="0.25">
      <c r="A933" t="s">
        <v>15</v>
      </c>
      <c r="B933" t="s">
        <v>24</v>
      </c>
      <c r="C933">
        <v>20150316</v>
      </c>
      <c r="D933">
        <v>0</v>
      </c>
      <c r="F933">
        <v>62500</v>
      </c>
      <c r="G933" t="s">
        <v>17</v>
      </c>
      <c r="I933" t="s">
        <v>16</v>
      </c>
      <c r="J933" t="s">
        <v>181</v>
      </c>
      <c r="K933" t="s">
        <v>25</v>
      </c>
      <c r="L933">
        <v>132757294</v>
      </c>
      <c r="R933">
        <v>1422</v>
      </c>
      <c r="S933" t="s">
        <v>194</v>
      </c>
      <c r="T933">
        <v>0</v>
      </c>
      <c r="U933">
        <v>23</v>
      </c>
      <c r="V933">
        <v>0</v>
      </c>
      <c r="W933">
        <v>0</v>
      </c>
      <c r="X933">
        <v>0</v>
      </c>
    </row>
    <row r="934" spans="1:24" x14ac:dyDescent="0.25">
      <c r="A934" t="s">
        <v>15</v>
      </c>
      <c r="B934" t="s">
        <v>24</v>
      </c>
      <c r="C934">
        <v>20150316</v>
      </c>
      <c r="D934">
        <v>0</v>
      </c>
      <c r="F934">
        <v>62500</v>
      </c>
      <c r="G934" t="s">
        <v>17</v>
      </c>
      <c r="I934" t="s">
        <v>16</v>
      </c>
      <c r="J934" t="s">
        <v>181</v>
      </c>
      <c r="K934" t="s">
        <v>25</v>
      </c>
      <c r="L934">
        <v>132757294</v>
      </c>
      <c r="R934">
        <v>1422</v>
      </c>
      <c r="S934" t="s">
        <v>194</v>
      </c>
      <c r="T934">
        <v>0</v>
      </c>
      <c r="U934">
        <v>23</v>
      </c>
      <c r="V934">
        <v>0</v>
      </c>
      <c r="W934">
        <v>0</v>
      </c>
      <c r="X934">
        <v>0</v>
      </c>
    </row>
    <row r="935" spans="1:24" x14ac:dyDescent="0.25">
      <c r="A935" t="s">
        <v>15</v>
      </c>
      <c r="B935" t="s">
        <v>24</v>
      </c>
      <c r="C935">
        <v>20150316</v>
      </c>
      <c r="D935">
        <v>0</v>
      </c>
      <c r="F935">
        <v>62500</v>
      </c>
      <c r="G935" t="s">
        <v>17</v>
      </c>
      <c r="I935" t="s">
        <v>16</v>
      </c>
      <c r="J935" t="s">
        <v>181</v>
      </c>
      <c r="K935" t="s">
        <v>25</v>
      </c>
      <c r="L935">
        <v>132757294</v>
      </c>
      <c r="R935">
        <v>1423</v>
      </c>
      <c r="S935" t="s">
        <v>214</v>
      </c>
      <c r="T935">
        <v>0</v>
      </c>
      <c r="U935">
        <v>22</v>
      </c>
      <c r="V935">
        <v>0</v>
      </c>
      <c r="W935">
        <v>0</v>
      </c>
      <c r="X935">
        <v>0</v>
      </c>
    </row>
    <row r="936" spans="1:24" x14ac:dyDescent="0.25">
      <c r="A936" t="s">
        <v>15</v>
      </c>
      <c r="B936" t="s">
        <v>24</v>
      </c>
      <c r="C936">
        <v>20150316</v>
      </c>
      <c r="D936">
        <v>0</v>
      </c>
      <c r="F936">
        <v>62500</v>
      </c>
      <c r="G936" t="s">
        <v>17</v>
      </c>
      <c r="I936" t="s">
        <v>16</v>
      </c>
      <c r="J936" t="s">
        <v>181</v>
      </c>
      <c r="K936" t="s">
        <v>25</v>
      </c>
      <c r="L936">
        <v>132757294</v>
      </c>
      <c r="R936">
        <v>1419</v>
      </c>
      <c r="S936" t="s">
        <v>196</v>
      </c>
      <c r="T936">
        <v>0</v>
      </c>
      <c r="U936">
        <v>24</v>
      </c>
      <c r="V936">
        <v>0</v>
      </c>
      <c r="W936">
        <v>0</v>
      </c>
      <c r="X936">
        <v>0</v>
      </c>
    </row>
    <row r="937" spans="1:24" x14ac:dyDescent="0.25">
      <c r="A937" t="s">
        <v>15</v>
      </c>
      <c r="B937" t="s">
        <v>24</v>
      </c>
      <c r="C937">
        <v>20150316</v>
      </c>
      <c r="D937">
        <v>0</v>
      </c>
      <c r="F937">
        <v>62500</v>
      </c>
      <c r="G937" t="s">
        <v>17</v>
      </c>
      <c r="I937" t="s">
        <v>16</v>
      </c>
      <c r="J937" t="s">
        <v>181</v>
      </c>
      <c r="K937" t="s">
        <v>25</v>
      </c>
      <c r="L937">
        <v>132757294</v>
      </c>
      <c r="R937">
        <v>1419</v>
      </c>
      <c r="S937" t="s">
        <v>201</v>
      </c>
      <c r="T937">
        <v>0</v>
      </c>
      <c r="U937">
        <v>24</v>
      </c>
      <c r="V937">
        <v>0</v>
      </c>
      <c r="W937">
        <v>0</v>
      </c>
      <c r="X937">
        <v>0</v>
      </c>
    </row>
    <row r="938" spans="1:24" x14ac:dyDescent="0.25">
      <c r="A938" t="s">
        <v>15</v>
      </c>
      <c r="B938" t="s">
        <v>24</v>
      </c>
      <c r="C938">
        <v>20150316</v>
      </c>
      <c r="D938">
        <v>0</v>
      </c>
      <c r="F938">
        <v>62500</v>
      </c>
      <c r="G938" t="s">
        <v>17</v>
      </c>
      <c r="I938" t="s">
        <v>16</v>
      </c>
      <c r="J938" t="s">
        <v>181</v>
      </c>
      <c r="K938" t="s">
        <v>25</v>
      </c>
      <c r="L938">
        <v>132757294</v>
      </c>
      <c r="R938">
        <v>1423</v>
      </c>
      <c r="S938" t="s">
        <v>214</v>
      </c>
      <c r="T938">
        <v>0</v>
      </c>
      <c r="U938">
        <v>22</v>
      </c>
      <c r="V938">
        <v>0</v>
      </c>
      <c r="W938">
        <v>0</v>
      </c>
      <c r="X938">
        <v>0</v>
      </c>
    </row>
    <row r="939" spans="1:24" x14ac:dyDescent="0.25">
      <c r="A939" t="s">
        <v>15</v>
      </c>
      <c r="B939" t="s">
        <v>24</v>
      </c>
      <c r="C939">
        <v>20150316</v>
      </c>
      <c r="D939">
        <v>0</v>
      </c>
      <c r="F939">
        <v>62500</v>
      </c>
      <c r="G939" t="s">
        <v>17</v>
      </c>
      <c r="I939" t="s">
        <v>16</v>
      </c>
      <c r="J939" t="s">
        <v>181</v>
      </c>
      <c r="K939" t="s">
        <v>25</v>
      </c>
      <c r="L939">
        <v>132757294</v>
      </c>
      <c r="R939">
        <v>1423</v>
      </c>
      <c r="S939" t="s">
        <v>194</v>
      </c>
      <c r="T939">
        <v>0</v>
      </c>
      <c r="U939">
        <v>22</v>
      </c>
      <c r="V939">
        <v>0</v>
      </c>
      <c r="W939">
        <v>0</v>
      </c>
      <c r="X939">
        <v>0</v>
      </c>
    </row>
    <row r="940" spans="1:24" x14ac:dyDescent="0.25">
      <c r="A940" t="s">
        <v>15</v>
      </c>
      <c r="B940" t="s">
        <v>24</v>
      </c>
      <c r="C940">
        <v>20150316</v>
      </c>
      <c r="D940">
        <v>0</v>
      </c>
      <c r="F940">
        <v>62500</v>
      </c>
      <c r="G940" t="s">
        <v>17</v>
      </c>
      <c r="I940" t="s">
        <v>16</v>
      </c>
      <c r="J940" t="s">
        <v>181</v>
      </c>
      <c r="K940" t="s">
        <v>25</v>
      </c>
      <c r="L940">
        <v>132757294</v>
      </c>
      <c r="R940">
        <v>1423</v>
      </c>
      <c r="S940" t="s">
        <v>194</v>
      </c>
      <c r="T940">
        <v>0</v>
      </c>
      <c r="U940">
        <v>22</v>
      </c>
      <c r="V940">
        <v>0</v>
      </c>
      <c r="W940">
        <v>0</v>
      </c>
      <c r="X940">
        <v>0</v>
      </c>
    </row>
    <row r="941" spans="1:24" x14ac:dyDescent="0.25">
      <c r="A941" t="s">
        <v>15</v>
      </c>
      <c r="B941" t="s">
        <v>24</v>
      </c>
      <c r="C941">
        <v>20150316</v>
      </c>
      <c r="D941">
        <v>0</v>
      </c>
      <c r="F941">
        <v>62500</v>
      </c>
      <c r="G941" t="s">
        <v>17</v>
      </c>
      <c r="I941" t="s">
        <v>16</v>
      </c>
      <c r="J941" t="s">
        <v>181</v>
      </c>
      <c r="K941" t="s">
        <v>25</v>
      </c>
      <c r="L941">
        <v>132757294</v>
      </c>
      <c r="R941">
        <v>1423</v>
      </c>
      <c r="S941" t="s">
        <v>194</v>
      </c>
      <c r="T941">
        <v>0</v>
      </c>
      <c r="U941">
        <v>22</v>
      </c>
      <c r="V941">
        <v>0</v>
      </c>
      <c r="W941">
        <v>0</v>
      </c>
      <c r="X941">
        <v>0</v>
      </c>
    </row>
    <row r="942" spans="1:24" x14ac:dyDescent="0.25">
      <c r="A942" t="s">
        <v>15</v>
      </c>
      <c r="B942" t="s">
        <v>24</v>
      </c>
      <c r="C942">
        <v>20150316</v>
      </c>
      <c r="D942">
        <v>0</v>
      </c>
      <c r="F942">
        <v>62500</v>
      </c>
      <c r="G942" t="s">
        <v>17</v>
      </c>
      <c r="I942" t="s">
        <v>16</v>
      </c>
      <c r="J942" t="s">
        <v>181</v>
      </c>
      <c r="K942" t="s">
        <v>25</v>
      </c>
      <c r="L942">
        <v>132757294</v>
      </c>
      <c r="R942">
        <v>1424</v>
      </c>
      <c r="S942" t="s">
        <v>214</v>
      </c>
      <c r="T942">
        <v>0</v>
      </c>
      <c r="U942">
        <v>24</v>
      </c>
      <c r="V942">
        <v>0</v>
      </c>
      <c r="W942">
        <v>0</v>
      </c>
      <c r="X942">
        <v>0</v>
      </c>
    </row>
    <row r="943" spans="1:24" x14ac:dyDescent="0.25">
      <c r="A943" t="s">
        <v>15</v>
      </c>
      <c r="B943" t="s">
        <v>24</v>
      </c>
      <c r="C943">
        <v>20150316</v>
      </c>
      <c r="D943">
        <v>0</v>
      </c>
      <c r="F943">
        <v>62500</v>
      </c>
      <c r="G943" t="s">
        <v>17</v>
      </c>
      <c r="I943" t="s">
        <v>16</v>
      </c>
      <c r="J943" t="s">
        <v>181</v>
      </c>
      <c r="K943" t="s">
        <v>25</v>
      </c>
      <c r="L943">
        <v>132757294</v>
      </c>
      <c r="R943">
        <v>1423</v>
      </c>
      <c r="S943" t="s">
        <v>196</v>
      </c>
      <c r="T943">
        <v>0</v>
      </c>
      <c r="U943">
        <v>22</v>
      </c>
      <c r="V943">
        <v>0</v>
      </c>
      <c r="W943">
        <v>0</v>
      </c>
      <c r="X943">
        <v>0</v>
      </c>
    </row>
    <row r="944" spans="1:24" x14ac:dyDescent="0.25">
      <c r="A944" t="s">
        <v>15</v>
      </c>
      <c r="B944" t="s">
        <v>24</v>
      </c>
      <c r="C944">
        <v>20150316</v>
      </c>
      <c r="D944">
        <v>0</v>
      </c>
      <c r="F944">
        <v>62500</v>
      </c>
      <c r="G944" t="s">
        <v>17</v>
      </c>
      <c r="I944" t="s">
        <v>16</v>
      </c>
      <c r="J944" t="s">
        <v>181</v>
      </c>
      <c r="K944" t="s">
        <v>25</v>
      </c>
      <c r="L944">
        <v>132757294</v>
      </c>
      <c r="R944">
        <v>1423</v>
      </c>
      <c r="S944" t="s">
        <v>201</v>
      </c>
      <c r="T944">
        <v>0</v>
      </c>
      <c r="U944">
        <v>22</v>
      </c>
      <c r="V944">
        <v>0</v>
      </c>
      <c r="W944">
        <v>0</v>
      </c>
      <c r="X944">
        <v>0</v>
      </c>
    </row>
    <row r="945" spans="1:24" x14ac:dyDescent="0.25">
      <c r="A945" t="s">
        <v>15</v>
      </c>
      <c r="B945" t="s">
        <v>24</v>
      </c>
      <c r="C945">
        <v>20150316</v>
      </c>
      <c r="D945">
        <v>0</v>
      </c>
      <c r="F945">
        <v>62500</v>
      </c>
      <c r="G945" t="s">
        <v>17</v>
      </c>
      <c r="I945" t="s">
        <v>16</v>
      </c>
      <c r="J945" t="s">
        <v>181</v>
      </c>
      <c r="K945" t="s">
        <v>25</v>
      </c>
      <c r="L945">
        <v>132757294</v>
      </c>
      <c r="R945">
        <v>1424</v>
      </c>
      <c r="S945" t="s">
        <v>214</v>
      </c>
      <c r="T945">
        <v>0</v>
      </c>
      <c r="U945">
        <v>24</v>
      </c>
      <c r="V945">
        <v>0</v>
      </c>
      <c r="W945">
        <v>0</v>
      </c>
      <c r="X945">
        <v>0</v>
      </c>
    </row>
    <row r="946" spans="1:24" x14ac:dyDescent="0.25">
      <c r="A946" t="s">
        <v>15</v>
      </c>
      <c r="B946" t="s">
        <v>24</v>
      </c>
      <c r="C946">
        <v>20150316</v>
      </c>
      <c r="D946">
        <v>0</v>
      </c>
      <c r="F946">
        <v>62500</v>
      </c>
      <c r="G946" t="s">
        <v>17</v>
      </c>
      <c r="I946" t="s">
        <v>16</v>
      </c>
      <c r="J946" t="s">
        <v>181</v>
      </c>
      <c r="K946" t="s">
        <v>25</v>
      </c>
      <c r="L946">
        <v>132757294</v>
      </c>
      <c r="R946">
        <v>1424</v>
      </c>
      <c r="S946" t="s">
        <v>194</v>
      </c>
      <c r="T946">
        <v>0</v>
      </c>
      <c r="U946">
        <v>24</v>
      </c>
      <c r="V946">
        <v>0</v>
      </c>
      <c r="W946">
        <v>0</v>
      </c>
      <c r="X946">
        <v>0</v>
      </c>
    </row>
    <row r="947" spans="1:24" x14ac:dyDescent="0.25">
      <c r="A947" t="s">
        <v>15</v>
      </c>
      <c r="B947" t="s">
        <v>24</v>
      </c>
      <c r="C947">
        <v>20150316</v>
      </c>
      <c r="D947">
        <v>0</v>
      </c>
      <c r="F947">
        <v>62500</v>
      </c>
      <c r="G947" t="s">
        <v>17</v>
      </c>
      <c r="I947" t="s">
        <v>16</v>
      </c>
      <c r="J947" t="s">
        <v>181</v>
      </c>
      <c r="K947" t="s">
        <v>25</v>
      </c>
      <c r="L947">
        <v>132757294</v>
      </c>
      <c r="R947">
        <v>1424</v>
      </c>
      <c r="S947" t="s">
        <v>194</v>
      </c>
      <c r="T947">
        <v>0</v>
      </c>
      <c r="U947">
        <v>24</v>
      </c>
      <c r="V947">
        <v>0</v>
      </c>
      <c r="W947">
        <v>0</v>
      </c>
      <c r="X947">
        <v>0</v>
      </c>
    </row>
    <row r="948" spans="1:24" x14ac:dyDescent="0.25">
      <c r="A948" t="s">
        <v>15</v>
      </c>
      <c r="B948" t="s">
        <v>24</v>
      </c>
      <c r="C948">
        <v>20150316</v>
      </c>
      <c r="D948">
        <v>0</v>
      </c>
      <c r="F948">
        <v>62500</v>
      </c>
      <c r="G948" t="s">
        <v>17</v>
      </c>
      <c r="I948" t="s">
        <v>16</v>
      </c>
      <c r="J948" t="s">
        <v>181</v>
      </c>
      <c r="K948" t="s">
        <v>25</v>
      </c>
      <c r="L948">
        <v>132757294</v>
      </c>
      <c r="R948">
        <v>1424</v>
      </c>
      <c r="S948" t="s">
        <v>194</v>
      </c>
      <c r="T948">
        <v>0</v>
      </c>
      <c r="U948">
        <v>24</v>
      </c>
      <c r="V948">
        <v>0</v>
      </c>
      <c r="W948">
        <v>0</v>
      </c>
      <c r="X948">
        <v>0</v>
      </c>
    </row>
    <row r="949" spans="1:24" x14ac:dyDescent="0.25">
      <c r="A949" t="s">
        <v>15</v>
      </c>
      <c r="B949" t="s">
        <v>24</v>
      </c>
      <c r="C949">
        <v>20150316</v>
      </c>
      <c r="D949">
        <v>0</v>
      </c>
      <c r="F949">
        <v>62500</v>
      </c>
      <c r="G949" t="s">
        <v>17</v>
      </c>
      <c r="I949" t="s">
        <v>16</v>
      </c>
      <c r="J949" t="s">
        <v>181</v>
      </c>
      <c r="K949" t="s">
        <v>25</v>
      </c>
      <c r="L949">
        <v>132757294</v>
      </c>
      <c r="R949">
        <v>1425</v>
      </c>
      <c r="S949" t="s">
        <v>214</v>
      </c>
      <c r="T949">
        <v>0</v>
      </c>
      <c r="U949">
        <v>22</v>
      </c>
      <c r="V949">
        <v>0</v>
      </c>
      <c r="W949">
        <v>0</v>
      </c>
      <c r="X949">
        <v>0</v>
      </c>
    </row>
    <row r="950" spans="1:24" x14ac:dyDescent="0.25">
      <c r="A950" t="s">
        <v>15</v>
      </c>
      <c r="B950" t="s">
        <v>24</v>
      </c>
      <c r="C950">
        <v>20150316</v>
      </c>
      <c r="D950">
        <v>0</v>
      </c>
      <c r="F950">
        <v>62500</v>
      </c>
      <c r="G950" t="s">
        <v>17</v>
      </c>
      <c r="I950" t="s">
        <v>16</v>
      </c>
      <c r="J950" t="s">
        <v>181</v>
      </c>
      <c r="K950" t="s">
        <v>25</v>
      </c>
      <c r="L950">
        <v>132757294</v>
      </c>
      <c r="R950">
        <v>1424</v>
      </c>
      <c r="S950" t="s">
        <v>196</v>
      </c>
      <c r="T950">
        <v>0</v>
      </c>
      <c r="U950">
        <v>24</v>
      </c>
      <c r="V950">
        <v>0</v>
      </c>
      <c r="W950">
        <v>0</v>
      </c>
      <c r="X950">
        <v>0</v>
      </c>
    </row>
    <row r="951" spans="1:24" x14ac:dyDescent="0.25">
      <c r="A951" t="s">
        <v>15</v>
      </c>
      <c r="B951" t="s">
        <v>24</v>
      </c>
      <c r="C951">
        <v>20150316</v>
      </c>
      <c r="D951">
        <v>0</v>
      </c>
      <c r="F951">
        <v>62500</v>
      </c>
      <c r="G951" t="s">
        <v>17</v>
      </c>
      <c r="I951" t="s">
        <v>16</v>
      </c>
      <c r="J951" t="s">
        <v>181</v>
      </c>
      <c r="K951" t="s">
        <v>25</v>
      </c>
      <c r="L951">
        <v>132757294</v>
      </c>
      <c r="R951">
        <v>1424</v>
      </c>
      <c r="S951" t="s">
        <v>201</v>
      </c>
      <c r="T951">
        <v>0</v>
      </c>
      <c r="U951">
        <v>24</v>
      </c>
      <c r="V951">
        <v>0</v>
      </c>
      <c r="W951">
        <v>0</v>
      </c>
      <c r="X951">
        <v>0</v>
      </c>
    </row>
    <row r="956" spans="1:24" x14ac:dyDescent="0.25">
      <c r="A956" t="s">
        <v>15</v>
      </c>
      <c r="B956" t="s">
        <v>24</v>
      </c>
      <c r="C956">
        <v>20150316</v>
      </c>
      <c r="D956">
        <v>0</v>
      </c>
      <c r="F956">
        <v>62500</v>
      </c>
      <c r="G956" t="s">
        <v>17</v>
      </c>
      <c r="I956" t="s">
        <v>16</v>
      </c>
      <c r="J956" t="s">
        <v>181</v>
      </c>
      <c r="K956" t="s">
        <v>25</v>
      </c>
      <c r="L956">
        <v>132757294</v>
      </c>
      <c r="R956">
        <v>1426</v>
      </c>
      <c r="S956" t="s">
        <v>214</v>
      </c>
      <c r="T956">
        <v>0</v>
      </c>
      <c r="U956">
        <v>24</v>
      </c>
      <c r="V956">
        <v>0</v>
      </c>
      <c r="W956">
        <v>0</v>
      </c>
      <c r="X956">
        <v>0</v>
      </c>
    </row>
    <row r="957" spans="1:24" x14ac:dyDescent="0.25">
      <c r="A957" t="s">
        <v>15</v>
      </c>
      <c r="B957" t="s">
        <v>24</v>
      </c>
      <c r="C957">
        <v>20150316</v>
      </c>
      <c r="D957">
        <v>0</v>
      </c>
      <c r="F957">
        <v>62500</v>
      </c>
      <c r="G957" t="s">
        <v>17</v>
      </c>
      <c r="I957" t="s">
        <v>16</v>
      </c>
      <c r="J957" t="s">
        <v>181</v>
      </c>
      <c r="K957" t="s">
        <v>25</v>
      </c>
      <c r="L957">
        <v>132757294</v>
      </c>
      <c r="R957">
        <v>1425</v>
      </c>
      <c r="S957" t="s">
        <v>196</v>
      </c>
      <c r="T957">
        <v>0</v>
      </c>
      <c r="U957">
        <v>22</v>
      </c>
      <c r="V957">
        <v>0</v>
      </c>
      <c r="W957">
        <v>0</v>
      </c>
      <c r="X957">
        <v>0</v>
      </c>
    </row>
    <row r="958" spans="1:24" x14ac:dyDescent="0.25">
      <c r="A958" t="s">
        <v>15</v>
      </c>
      <c r="B958" t="s">
        <v>24</v>
      </c>
      <c r="C958">
        <v>20150316</v>
      </c>
      <c r="D958">
        <v>0</v>
      </c>
      <c r="F958">
        <v>62500</v>
      </c>
      <c r="G958" t="s">
        <v>17</v>
      </c>
      <c r="I958" t="s">
        <v>16</v>
      </c>
      <c r="J958" t="s">
        <v>181</v>
      </c>
      <c r="K958" t="s">
        <v>25</v>
      </c>
      <c r="L958">
        <v>132757294</v>
      </c>
      <c r="R958">
        <v>1425</v>
      </c>
      <c r="S958" t="s">
        <v>201</v>
      </c>
      <c r="T958">
        <v>0</v>
      </c>
      <c r="U958">
        <v>22</v>
      </c>
      <c r="V958">
        <v>0</v>
      </c>
      <c r="W958">
        <v>0</v>
      </c>
      <c r="X958">
        <v>0</v>
      </c>
    </row>
    <row r="959" spans="1:24" x14ac:dyDescent="0.25">
      <c r="A959" t="s">
        <v>15</v>
      </c>
      <c r="B959" t="s">
        <v>24</v>
      </c>
      <c r="C959">
        <v>20150316</v>
      </c>
      <c r="D959">
        <v>0</v>
      </c>
      <c r="F959">
        <v>62500</v>
      </c>
      <c r="G959" t="s">
        <v>17</v>
      </c>
      <c r="I959" t="s">
        <v>16</v>
      </c>
      <c r="J959" t="s">
        <v>181</v>
      </c>
      <c r="K959" t="s">
        <v>25</v>
      </c>
      <c r="L959">
        <v>132757294</v>
      </c>
      <c r="R959">
        <v>1426</v>
      </c>
      <c r="S959" t="s">
        <v>214</v>
      </c>
      <c r="T959">
        <v>0</v>
      </c>
      <c r="U959">
        <v>24</v>
      </c>
      <c r="V959">
        <v>0</v>
      </c>
      <c r="W959">
        <v>0</v>
      </c>
      <c r="X959">
        <v>0</v>
      </c>
    </row>
    <row r="960" spans="1:24" x14ac:dyDescent="0.25">
      <c r="A960" t="s">
        <v>15</v>
      </c>
      <c r="B960" t="s">
        <v>24</v>
      </c>
      <c r="C960">
        <v>20150316</v>
      </c>
      <c r="D960">
        <v>0</v>
      </c>
      <c r="F960">
        <v>62500</v>
      </c>
      <c r="G960" t="s">
        <v>17</v>
      </c>
      <c r="I960" t="s">
        <v>16</v>
      </c>
      <c r="J960" t="s">
        <v>181</v>
      </c>
      <c r="K960" t="s">
        <v>25</v>
      </c>
      <c r="L960">
        <v>132757294</v>
      </c>
      <c r="R960">
        <v>1426</v>
      </c>
      <c r="S960" t="s">
        <v>194</v>
      </c>
      <c r="T960">
        <v>0</v>
      </c>
      <c r="U960">
        <v>24</v>
      </c>
      <c r="V960">
        <v>0</v>
      </c>
      <c r="W960">
        <v>0</v>
      </c>
      <c r="X960">
        <v>0</v>
      </c>
    </row>
    <row r="961" spans="1:24" x14ac:dyDescent="0.25">
      <c r="A961" t="s">
        <v>15</v>
      </c>
      <c r="B961" t="s">
        <v>24</v>
      </c>
      <c r="C961">
        <v>20150316</v>
      </c>
      <c r="D961">
        <v>0</v>
      </c>
      <c r="F961">
        <v>62500</v>
      </c>
      <c r="G961" t="s">
        <v>17</v>
      </c>
      <c r="I961" t="s">
        <v>16</v>
      </c>
      <c r="J961" t="s">
        <v>181</v>
      </c>
      <c r="K961" t="s">
        <v>25</v>
      </c>
      <c r="L961">
        <v>132757294</v>
      </c>
      <c r="R961">
        <v>1426</v>
      </c>
      <c r="S961" t="s">
        <v>194</v>
      </c>
      <c r="T961">
        <v>0</v>
      </c>
      <c r="U961">
        <v>24</v>
      </c>
      <c r="V961">
        <v>0</v>
      </c>
      <c r="W961">
        <v>0</v>
      </c>
      <c r="X961">
        <v>0</v>
      </c>
    </row>
    <row r="962" spans="1:24" x14ac:dyDescent="0.25">
      <c r="A962" t="s">
        <v>15</v>
      </c>
      <c r="B962" t="s">
        <v>24</v>
      </c>
      <c r="C962">
        <v>20150316</v>
      </c>
      <c r="D962">
        <v>0</v>
      </c>
      <c r="F962">
        <v>62500</v>
      </c>
      <c r="G962" t="s">
        <v>17</v>
      </c>
      <c r="I962" t="s">
        <v>16</v>
      </c>
      <c r="J962" t="s">
        <v>181</v>
      </c>
      <c r="K962" t="s">
        <v>25</v>
      </c>
      <c r="L962">
        <v>132757294</v>
      </c>
      <c r="R962">
        <v>1426</v>
      </c>
      <c r="S962" t="s">
        <v>194</v>
      </c>
      <c r="T962">
        <v>0</v>
      </c>
      <c r="U962">
        <v>24</v>
      </c>
      <c r="V962">
        <v>0</v>
      </c>
      <c r="W962">
        <v>0</v>
      </c>
      <c r="X962">
        <v>0</v>
      </c>
    </row>
    <row r="963" spans="1:24" x14ac:dyDescent="0.25">
      <c r="A963" t="s">
        <v>15</v>
      </c>
      <c r="B963" t="s">
        <v>24</v>
      </c>
      <c r="C963">
        <v>20150316</v>
      </c>
      <c r="D963">
        <v>0</v>
      </c>
      <c r="F963">
        <v>62500</v>
      </c>
      <c r="G963" t="s">
        <v>17</v>
      </c>
      <c r="I963" t="s">
        <v>16</v>
      </c>
      <c r="J963" t="s">
        <v>181</v>
      </c>
      <c r="K963" t="s">
        <v>25</v>
      </c>
      <c r="L963">
        <v>132757294</v>
      </c>
      <c r="R963">
        <v>1427</v>
      </c>
      <c r="S963" t="s">
        <v>214</v>
      </c>
      <c r="T963">
        <v>0</v>
      </c>
      <c r="U963">
        <v>22</v>
      </c>
      <c r="V963">
        <v>0</v>
      </c>
      <c r="W963">
        <v>0</v>
      </c>
      <c r="X963">
        <v>0</v>
      </c>
    </row>
    <row r="964" spans="1:24" x14ac:dyDescent="0.25">
      <c r="A964" t="s">
        <v>15</v>
      </c>
      <c r="B964" t="s">
        <v>24</v>
      </c>
      <c r="C964">
        <v>20150316</v>
      </c>
      <c r="D964">
        <v>0</v>
      </c>
      <c r="F964">
        <v>62500</v>
      </c>
      <c r="G964" t="s">
        <v>17</v>
      </c>
      <c r="I964" t="s">
        <v>16</v>
      </c>
      <c r="J964" t="s">
        <v>181</v>
      </c>
      <c r="K964" t="s">
        <v>25</v>
      </c>
      <c r="L964">
        <v>132757294</v>
      </c>
      <c r="R964">
        <v>1426</v>
      </c>
      <c r="S964" t="s">
        <v>196</v>
      </c>
      <c r="T964">
        <v>0</v>
      </c>
      <c r="U964">
        <v>24</v>
      </c>
      <c r="V964">
        <v>0</v>
      </c>
      <c r="W964">
        <v>0</v>
      </c>
      <c r="X964">
        <v>0</v>
      </c>
    </row>
    <row r="965" spans="1:24" x14ac:dyDescent="0.25">
      <c r="A965" t="s">
        <v>15</v>
      </c>
      <c r="B965" t="s">
        <v>24</v>
      </c>
      <c r="C965">
        <v>20150316</v>
      </c>
      <c r="D965">
        <v>0</v>
      </c>
      <c r="F965">
        <v>62500</v>
      </c>
      <c r="G965" t="s">
        <v>17</v>
      </c>
      <c r="I965" t="s">
        <v>16</v>
      </c>
      <c r="J965" t="s">
        <v>181</v>
      </c>
      <c r="K965" t="s">
        <v>25</v>
      </c>
      <c r="L965">
        <v>132757294</v>
      </c>
      <c r="R965">
        <v>1426</v>
      </c>
      <c r="S965" t="s">
        <v>201</v>
      </c>
      <c r="T965">
        <v>0</v>
      </c>
      <c r="U965">
        <v>24</v>
      </c>
      <c r="V965">
        <v>0</v>
      </c>
      <c r="W965">
        <v>0</v>
      </c>
      <c r="X965">
        <v>0</v>
      </c>
    </row>
    <row r="966" spans="1:24" x14ac:dyDescent="0.25">
      <c r="A966" t="s">
        <v>15</v>
      </c>
      <c r="B966" t="s">
        <v>24</v>
      </c>
      <c r="C966">
        <v>20150316</v>
      </c>
      <c r="D966">
        <v>0</v>
      </c>
      <c r="F966">
        <v>62500</v>
      </c>
      <c r="G966" t="s">
        <v>17</v>
      </c>
      <c r="I966" t="s">
        <v>16</v>
      </c>
      <c r="J966" t="s">
        <v>181</v>
      </c>
      <c r="K966" t="s">
        <v>25</v>
      </c>
      <c r="L966">
        <v>132757294</v>
      </c>
      <c r="R966">
        <v>1427</v>
      </c>
      <c r="S966" t="s">
        <v>214</v>
      </c>
      <c r="T966">
        <v>0</v>
      </c>
      <c r="U966">
        <v>22</v>
      </c>
      <c r="V966">
        <v>0</v>
      </c>
      <c r="W966">
        <v>0</v>
      </c>
      <c r="X966">
        <v>0</v>
      </c>
    </row>
    <row r="967" spans="1:24" x14ac:dyDescent="0.25">
      <c r="A967" t="s">
        <v>15</v>
      </c>
      <c r="B967" t="s">
        <v>24</v>
      </c>
      <c r="C967">
        <v>20150316</v>
      </c>
      <c r="D967">
        <v>0</v>
      </c>
      <c r="F967">
        <v>62500</v>
      </c>
      <c r="G967" t="s">
        <v>17</v>
      </c>
      <c r="I967" t="s">
        <v>16</v>
      </c>
      <c r="J967" t="s">
        <v>181</v>
      </c>
      <c r="K967" t="s">
        <v>25</v>
      </c>
      <c r="L967">
        <v>132757294</v>
      </c>
      <c r="R967">
        <v>1427</v>
      </c>
      <c r="S967" t="s">
        <v>194</v>
      </c>
      <c r="T967">
        <v>0</v>
      </c>
      <c r="U967">
        <v>22</v>
      </c>
      <c r="V967">
        <v>0</v>
      </c>
      <c r="W967">
        <v>0</v>
      </c>
      <c r="X967">
        <v>0</v>
      </c>
    </row>
    <row r="968" spans="1:24" x14ac:dyDescent="0.25">
      <c r="A968" t="s">
        <v>15</v>
      </c>
      <c r="B968" t="s">
        <v>24</v>
      </c>
      <c r="C968">
        <v>20150316</v>
      </c>
      <c r="D968">
        <v>0</v>
      </c>
      <c r="F968">
        <v>62500</v>
      </c>
      <c r="G968" t="s">
        <v>17</v>
      </c>
      <c r="I968" t="s">
        <v>16</v>
      </c>
      <c r="J968" t="s">
        <v>181</v>
      </c>
      <c r="K968" t="s">
        <v>25</v>
      </c>
      <c r="L968">
        <v>132757294</v>
      </c>
      <c r="R968">
        <v>1427</v>
      </c>
      <c r="S968" t="s">
        <v>194</v>
      </c>
      <c r="T968">
        <v>0</v>
      </c>
      <c r="U968">
        <v>22</v>
      </c>
      <c r="V968">
        <v>0</v>
      </c>
      <c r="W968">
        <v>0</v>
      </c>
      <c r="X968">
        <v>0</v>
      </c>
    </row>
    <row r="969" spans="1:24" x14ac:dyDescent="0.25">
      <c r="A969" t="s">
        <v>15</v>
      </c>
      <c r="B969" t="s">
        <v>24</v>
      </c>
      <c r="C969">
        <v>20150316</v>
      </c>
      <c r="D969">
        <v>0</v>
      </c>
      <c r="F969">
        <v>62500</v>
      </c>
      <c r="G969" t="s">
        <v>17</v>
      </c>
      <c r="I969" t="s">
        <v>16</v>
      </c>
      <c r="J969" t="s">
        <v>181</v>
      </c>
      <c r="K969" t="s">
        <v>25</v>
      </c>
      <c r="L969">
        <v>132757294</v>
      </c>
      <c r="R969">
        <v>1427</v>
      </c>
      <c r="S969" t="s">
        <v>194</v>
      </c>
      <c r="T969">
        <v>0</v>
      </c>
      <c r="U969">
        <v>22</v>
      </c>
      <c r="V969">
        <v>0</v>
      </c>
      <c r="W969">
        <v>0</v>
      </c>
      <c r="X969">
        <v>0</v>
      </c>
    </row>
    <row r="970" spans="1:24" x14ac:dyDescent="0.25">
      <c r="A970" t="s">
        <v>15</v>
      </c>
      <c r="B970" t="s">
        <v>24</v>
      </c>
      <c r="C970">
        <v>20150316</v>
      </c>
      <c r="D970">
        <v>0</v>
      </c>
      <c r="F970">
        <v>62500</v>
      </c>
      <c r="G970" t="s">
        <v>17</v>
      </c>
      <c r="I970" t="s">
        <v>16</v>
      </c>
      <c r="J970" t="s">
        <v>181</v>
      </c>
      <c r="K970" t="s">
        <v>25</v>
      </c>
      <c r="L970">
        <v>132757294</v>
      </c>
      <c r="R970">
        <v>1428</v>
      </c>
      <c r="S970" t="s">
        <v>214</v>
      </c>
      <c r="T970">
        <v>0</v>
      </c>
      <c r="U970">
        <v>24</v>
      </c>
      <c r="V970">
        <v>0</v>
      </c>
      <c r="W970">
        <v>0</v>
      </c>
      <c r="X970">
        <v>0</v>
      </c>
    </row>
    <row r="971" spans="1:24" x14ac:dyDescent="0.25">
      <c r="A971" t="s">
        <v>15</v>
      </c>
      <c r="B971" t="s">
        <v>24</v>
      </c>
      <c r="C971">
        <v>20150316</v>
      </c>
      <c r="D971">
        <v>0</v>
      </c>
      <c r="F971">
        <v>62500</v>
      </c>
      <c r="G971" t="s">
        <v>17</v>
      </c>
      <c r="I971" t="s">
        <v>16</v>
      </c>
      <c r="J971" t="s">
        <v>181</v>
      </c>
      <c r="K971" t="s">
        <v>25</v>
      </c>
      <c r="L971">
        <v>132757294</v>
      </c>
      <c r="R971">
        <v>1427</v>
      </c>
      <c r="S971" t="s">
        <v>196</v>
      </c>
      <c r="T971">
        <v>0</v>
      </c>
      <c r="U971">
        <v>22</v>
      </c>
      <c r="V971">
        <v>0</v>
      </c>
      <c r="W971">
        <v>0</v>
      </c>
      <c r="X971">
        <v>0</v>
      </c>
    </row>
    <row r="972" spans="1:24" x14ac:dyDescent="0.25">
      <c r="A972" t="s">
        <v>15</v>
      </c>
      <c r="B972" t="s">
        <v>24</v>
      </c>
      <c r="C972">
        <v>20150316</v>
      </c>
      <c r="D972">
        <v>0</v>
      </c>
      <c r="F972">
        <v>62500</v>
      </c>
      <c r="G972" t="s">
        <v>17</v>
      </c>
      <c r="I972" t="s">
        <v>16</v>
      </c>
      <c r="J972" t="s">
        <v>181</v>
      </c>
      <c r="K972" t="s">
        <v>25</v>
      </c>
      <c r="L972">
        <v>132757294</v>
      </c>
      <c r="R972">
        <v>1427</v>
      </c>
      <c r="S972" t="s">
        <v>201</v>
      </c>
      <c r="T972">
        <v>0</v>
      </c>
      <c r="U972">
        <v>22</v>
      </c>
      <c r="V972">
        <v>0</v>
      </c>
      <c r="W972">
        <v>0</v>
      </c>
      <c r="X972">
        <v>0</v>
      </c>
    </row>
    <row r="973" spans="1:24" x14ac:dyDescent="0.25">
      <c r="A973" t="s">
        <v>15</v>
      </c>
      <c r="B973" t="s">
        <v>24</v>
      </c>
      <c r="C973">
        <v>20150316</v>
      </c>
      <c r="D973">
        <v>0</v>
      </c>
      <c r="F973">
        <v>62500</v>
      </c>
      <c r="G973" t="s">
        <v>17</v>
      </c>
      <c r="I973" t="s">
        <v>16</v>
      </c>
      <c r="J973" t="s">
        <v>181</v>
      </c>
      <c r="K973" t="s">
        <v>25</v>
      </c>
      <c r="L973">
        <v>132757294</v>
      </c>
      <c r="R973">
        <v>1428</v>
      </c>
      <c r="S973" t="s">
        <v>214</v>
      </c>
      <c r="T973">
        <v>0</v>
      </c>
      <c r="U973">
        <v>24</v>
      </c>
      <c r="V973">
        <v>0</v>
      </c>
      <c r="W973">
        <v>0</v>
      </c>
      <c r="X973">
        <v>0</v>
      </c>
    </row>
    <row r="974" spans="1:24" x14ac:dyDescent="0.25">
      <c r="A974" t="s">
        <v>15</v>
      </c>
      <c r="B974" t="s">
        <v>24</v>
      </c>
      <c r="C974">
        <v>20150316</v>
      </c>
      <c r="D974">
        <v>0</v>
      </c>
      <c r="F974">
        <v>62500</v>
      </c>
      <c r="G974" t="s">
        <v>17</v>
      </c>
      <c r="I974" t="s">
        <v>16</v>
      </c>
      <c r="J974" t="s">
        <v>181</v>
      </c>
      <c r="K974" t="s">
        <v>25</v>
      </c>
      <c r="L974">
        <v>132757294</v>
      </c>
      <c r="R974">
        <v>1428</v>
      </c>
      <c r="S974" t="s">
        <v>194</v>
      </c>
      <c r="T974">
        <v>0</v>
      </c>
      <c r="U974">
        <v>24</v>
      </c>
      <c r="V974">
        <v>0</v>
      </c>
      <c r="W974">
        <v>0</v>
      </c>
      <c r="X974">
        <v>0</v>
      </c>
    </row>
    <row r="975" spans="1:24" x14ac:dyDescent="0.25">
      <c r="A975" t="s">
        <v>15</v>
      </c>
      <c r="B975" t="s">
        <v>24</v>
      </c>
      <c r="C975">
        <v>20150316</v>
      </c>
      <c r="D975">
        <v>0</v>
      </c>
      <c r="F975">
        <v>62500</v>
      </c>
      <c r="G975" t="s">
        <v>17</v>
      </c>
      <c r="I975" t="s">
        <v>16</v>
      </c>
      <c r="J975" t="s">
        <v>181</v>
      </c>
      <c r="K975" t="s">
        <v>25</v>
      </c>
      <c r="L975">
        <v>132757294</v>
      </c>
      <c r="R975">
        <v>1428</v>
      </c>
      <c r="S975" t="s">
        <v>194</v>
      </c>
      <c r="T975">
        <v>0</v>
      </c>
      <c r="U975">
        <v>24</v>
      </c>
      <c r="V975">
        <v>0</v>
      </c>
      <c r="W975">
        <v>0</v>
      </c>
      <c r="X975">
        <v>0</v>
      </c>
    </row>
    <row r="976" spans="1:24" x14ac:dyDescent="0.25">
      <c r="A976" t="s">
        <v>15</v>
      </c>
      <c r="B976" t="s">
        <v>24</v>
      </c>
      <c r="C976">
        <v>20150316</v>
      </c>
      <c r="D976">
        <v>0</v>
      </c>
      <c r="F976">
        <v>62500</v>
      </c>
      <c r="G976" t="s">
        <v>17</v>
      </c>
      <c r="I976" t="s">
        <v>16</v>
      </c>
      <c r="J976" t="s">
        <v>181</v>
      </c>
      <c r="K976" t="s">
        <v>25</v>
      </c>
      <c r="L976">
        <v>132757294</v>
      </c>
      <c r="R976">
        <v>1428</v>
      </c>
      <c r="S976" t="s">
        <v>194</v>
      </c>
      <c r="T976">
        <v>0</v>
      </c>
      <c r="U976">
        <v>24</v>
      </c>
      <c r="V976">
        <v>0</v>
      </c>
      <c r="W976">
        <v>0</v>
      </c>
      <c r="X976">
        <v>0</v>
      </c>
    </row>
    <row r="977" spans="1:24" x14ac:dyDescent="0.25">
      <c r="A977" t="s">
        <v>15</v>
      </c>
      <c r="B977" t="s">
        <v>24</v>
      </c>
      <c r="C977">
        <v>20150316</v>
      </c>
      <c r="D977">
        <v>0</v>
      </c>
      <c r="F977">
        <v>62500</v>
      </c>
      <c r="G977" t="s">
        <v>17</v>
      </c>
      <c r="I977" t="s">
        <v>16</v>
      </c>
      <c r="J977" t="s">
        <v>181</v>
      </c>
      <c r="K977" t="s">
        <v>25</v>
      </c>
      <c r="L977">
        <v>132757294</v>
      </c>
      <c r="R977">
        <v>1429</v>
      </c>
      <c r="S977" t="s">
        <v>214</v>
      </c>
      <c r="T977">
        <v>0</v>
      </c>
      <c r="U977">
        <v>-23</v>
      </c>
      <c r="V977">
        <v>0</v>
      </c>
      <c r="W977">
        <v>0</v>
      </c>
      <c r="X977">
        <v>0</v>
      </c>
    </row>
    <row r="978" spans="1:24" x14ac:dyDescent="0.25">
      <c r="A978" t="s">
        <v>15</v>
      </c>
      <c r="B978" t="s">
        <v>24</v>
      </c>
      <c r="C978">
        <v>20150316</v>
      </c>
      <c r="D978">
        <v>0</v>
      </c>
      <c r="F978">
        <v>62500</v>
      </c>
      <c r="G978" t="s">
        <v>17</v>
      </c>
      <c r="I978" t="s">
        <v>16</v>
      </c>
      <c r="J978" t="s">
        <v>181</v>
      </c>
      <c r="K978" t="s">
        <v>25</v>
      </c>
      <c r="L978">
        <v>132757294</v>
      </c>
      <c r="R978">
        <v>1422</v>
      </c>
      <c r="S978" t="s">
        <v>196</v>
      </c>
      <c r="T978">
        <v>0</v>
      </c>
      <c r="U978">
        <v>23</v>
      </c>
      <c r="V978">
        <v>0</v>
      </c>
      <c r="W978">
        <v>0</v>
      </c>
      <c r="X978">
        <v>0</v>
      </c>
    </row>
    <row r="979" spans="1:24" x14ac:dyDescent="0.25">
      <c r="A979" t="s">
        <v>15</v>
      </c>
      <c r="B979" t="s">
        <v>24</v>
      </c>
      <c r="C979">
        <v>20150316</v>
      </c>
      <c r="D979">
        <v>0</v>
      </c>
      <c r="F979">
        <v>62500</v>
      </c>
      <c r="G979" t="s">
        <v>17</v>
      </c>
      <c r="I979" t="s">
        <v>16</v>
      </c>
      <c r="J979" t="s">
        <v>181</v>
      </c>
      <c r="K979" t="s">
        <v>25</v>
      </c>
      <c r="L979">
        <v>132757294</v>
      </c>
      <c r="R979">
        <v>1422</v>
      </c>
      <c r="S979" t="s">
        <v>201</v>
      </c>
      <c r="T979">
        <v>0</v>
      </c>
      <c r="U979">
        <v>23</v>
      </c>
      <c r="V979">
        <v>0</v>
      </c>
      <c r="W979">
        <v>0</v>
      </c>
      <c r="X979">
        <v>0</v>
      </c>
    </row>
    <row r="980" spans="1:24" x14ac:dyDescent="0.25">
      <c r="A980" t="s">
        <v>15</v>
      </c>
      <c r="B980" t="s">
        <v>24</v>
      </c>
      <c r="C980">
        <v>20150316</v>
      </c>
      <c r="D980">
        <v>0</v>
      </c>
      <c r="F980">
        <v>62500</v>
      </c>
      <c r="G980" t="s">
        <v>17</v>
      </c>
      <c r="I980" t="s">
        <v>16</v>
      </c>
      <c r="J980" t="s">
        <v>181</v>
      </c>
      <c r="K980" t="s">
        <v>25</v>
      </c>
      <c r="L980">
        <v>132757294</v>
      </c>
      <c r="R980">
        <v>1429</v>
      </c>
      <c r="S980" t="s">
        <v>214</v>
      </c>
      <c r="T980">
        <v>0</v>
      </c>
      <c r="U980">
        <v>-23</v>
      </c>
      <c r="V980">
        <v>0</v>
      </c>
      <c r="W980">
        <v>0</v>
      </c>
      <c r="X980">
        <v>0</v>
      </c>
    </row>
    <row r="981" spans="1:24" x14ac:dyDescent="0.25">
      <c r="A981" t="s">
        <v>15</v>
      </c>
      <c r="B981" t="s">
        <v>24</v>
      </c>
      <c r="C981">
        <v>20150316</v>
      </c>
      <c r="D981">
        <v>0</v>
      </c>
      <c r="F981">
        <v>62500</v>
      </c>
      <c r="G981" t="s">
        <v>17</v>
      </c>
      <c r="I981" t="s">
        <v>16</v>
      </c>
      <c r="J981" t="s">
        <v>181</v>
      </c>
      <c r="K981" t="s">
        <v>25</v>
      </c>
      <c r="L981">
        <v>132757294</v>
      </c>
      <c r="R981">
        <v>1429</v>
      </c>
      <c r="S981" t="s">
        <v>194</v>
      </c>
      <c r="T981">
        <v>0</v>
      </c>
      <c r="U981">
        <v>23</v>
      </c>
      <c r="V981">
        <v>0</v>
      </c>
      <c r="W981">
        <v>0</v>
      </c>
      <c r="X981">
        <v>0</v>
      </c>
    </row>
    <row r="982" spans="1:24" x14ac:dyDescent="0.25">
      <c r="A982" t="s">
        <v>15</v>
      </c>
      <c r="B982" t="s">
        <v>24</v>
      </c>
      <c r="C982">
        <v>20150316</v>
      </c>
      <c r="D982">
        <v>0</v>
      </c>
      <c r="F982">
        <v>62500</v>
      </c>
      <c r="G982" t="s">
        <v>17</v>
      </c>
      <c r="I982" t="s">
        <v>16</v>
      </c>
      <c r="J982" t="s">
        <v>181</v>
      </c>
      <c r="K982" t="s">
        <v>25</v>
      </c>
      <c r="L982">
        <v>132757294</v>
      </c>
      <c r="R982">
        <v>1429</v>
      </c>
      <c r="S982" t="s">
        <v>194</v>
      </c>
      <c r="T982">
        <v>0</v>
      </c>
      <c r="U982">
        <v>23</v>
      </c>
      <c r="V982">
        <v>0</v>
      </c>
      <c r="W982">
        <v>0</v>
      </c>
      <c r="X982">
        <v>0</v>
      </c>
    </row>
    <row r="983" spans="1:24" x14ac:dyDescent="0.25">
      <c r="A983" t="s">
        <v>15</v>
      </c>
      <c r="B983" t="s">
        <v>24</v>
      </c>
      <c r="C983">
        <v>20150316</v>
      </c>
      <c r="D983">
        <v>0</v>
      </c>
      <c r="F983">
        <v>62500</v>
      </c>
      <c r="G983" t="s">
        <v>17</v>
      </c>
      <c r="I983" t="s">
        <v>16</v>
      </c>
      <c r="J983" t="s">
        <v>181</v>
      </c>
      <c r="K983" t="s">
        <v>25</v>
      </c>
      <c r="L983">
        <v>132757294</v>
      </c>
      <c r="R983">
        <v>1429</v>
      </c>
      <c r="S983" t="s">
        <v>194</v>
      </c>
      <c r="T983">
        <v>0</v>
      </c>
      <c r="U983">
        <v>23</v>
      </c>
      <c r="V983">
        <v>0</v>
      </c>
      <c r="W983">
        <v>0</v>
      </c>
      <c r="X983">
        <v>0</v>
      </c>
    </row>
    <row r="984" spans="1:24" x14ac:dyDescent="0.25">
      <c r="A984" t="s">
        <v>15</v>
      </c>
      <c r="B984" t="s">
        <v>24</v>
      </c>
      <c r="C984">
        <v>20150316</v>
      </c>
      <c r="D984">
        <v>0</v>
      </c>
      <c r="F984">
        <v>62500</v>
      </c>
      <c r="G984" t="s">
        <v>17</v>
      </c>
      <c r="I984" t="s">
        <v>16</v>
      </c>
      <c r="J984" t="s">
        <v>181</v>
      </c>
      <c r="K984" t="s">
        <v>25</v>
      </c>
      <c r="L984">
        <v>132757294</v>
      </c>
      <c r="R984">
        <v>1430</v>
      </c>
      <c r="S984" t="s">
        <v>214</v>
      </c>
      <c r="T984">
        <v>0</v>
      </c>
      <c r="U984">
        <v>21</v>
      </c>
      <c r="V984">
        <v>0</v>
      </c>
      <c r="W984">
        <v>0</v>
      </c>
      <c r="X984">
        <v>0</v>
      </c>
    </row>
    <row r="985" spans="1:24" x14ac:dyDescent="0.25">
      <c r="A985" t="s">
        <v>15</v>
      </c>
      <c r="B985" t="s">
        <v>24</v>
      </c>
      <c r="C985">
        <v>20150316</v>
      </c>
      <c r="D985">
        <v>0</v>
      </c>
      <c r="F985">
        <v>62500</v>
      </c>
      <c r="G985" t="s">
        <v>17</v>
      </c>
      <c r="I985" t="s">
        <v>16</v>
      </c>
      <c r="J985" t="s">
        <v>181</v>
      </c>
      <c r="K985" t="s">
        <v>25</v>
      </c>
      <c r="L985">
        <v>132757294</v>
      </c>
      <c r="R985">
        <v>1428</v>
      </c>
      <c r="S985" t="s">
        <v>196</v>
      </c>
      <c r="T985">
        <v>0</v>
      </c>
      <c r="U985">
        <v>24</v>
      </c>
      <c r="V985">
        <v>0</v>
      </c>
      <c r="W985">
        <v>0</v>
      </c>
      <c r="X985">
        <v>0</v>
      </c>
    </row>
    <row r="986" spans="1:24" x14ac:dyDescent="0.25">
      <c r="A986" t="s">
        <v>15</v>
      </c>
      <c r="B986" t="s">
        <v>24</v>
      </c>
      <c r="C986">
        <v>20150316</v>
      </c>
      <c r="D986">
        <v>0</v>
      </c>
      <c r="F986">
        <v>62500</v>
      </c>
      <c r="G986" t="s">
        <v>17</v>
      </c>
      <c r="I986" t="s">
        <v>16</v>
      </c>
      <c r="J986" t="s">
        <v>181</v>
      </c>
      <c r="K986" t="s">
        <v>25</v>
      </c>
      <c r="L986">
        <v>132757294</v>
      </c>
      <c r="R986">
        <v>1428</v>
      </c>
      <c r="S986" t="s">
        <v>201</v>
      </c>
      <c r="T986">
        <v>0</v>
      </c>
      <c r="U986">
        <v>24</v>
      </c>
      <c r="V986">
        <v>0</v>
      </c>
      <c r="W986">
        <v>0</v>
      </c>
      <c r="X986">
        <v>0</v>
      </c>
    </row>
    <row r="987" spans="1:24" x14ac:dyDescent="0.25">
      <c r="A987" t="s">
        <v>15</v>
      </c>
      <c r="B987" t="s">
        <v>24</v>
      </c>
      <c r="C987">
        <v>20150316</v>
      </c>
      <c r="D987">
        <v>0</v>
      </c>
      <c r="F987">
        <v>62500</v>
      </c>
      <c r="G987" t="s">
        <v>17</v>
      </c>
      <c r="I987" t="s">
        <v>16</v>
      </c>
      <c r="J987" t="s">
        <v>181</v>
      </c>
      <c r="K987" t="s">
        <v>25</v>
      </c>
      <c r="L987">
        <v>132757294</v>
      </c>
      <c r="R987">
        <v>1430</v>
      </c>
      <c r="S987" t="s">
        <v>214</v>
      </c>
      <c r="T987">
        <v>0</v>
      </c>
      <c r="U987">
        <v>21</v>
      </c>
      <c r="V987">
        <v>0</v>
      </c>
      <c r="W987">
        <v>0</v>
      </c>
      <c r="X987">
        <v>0</v>
      </c>
    </row>
    <row r="988" spans="1:24" x14ac:dyDescent="0.25">
      <c r="A988" t="s">
        <v>15</v>
      </c>
      <c r="B988" t="s">
        <v>24</v>
      </c>
      <c r="C988">
        <v>20150316</v>
      </c>
      <c r="D988">
        <v>0</v>
      </c>
      <c r="F988">
        <v>62500</v>
      </c>
      <c r="G988" t="s">
        <v>17</v>
      </c>
      <c r="I988" t="s">
        <v>16</v>
      </c>
      <c r="J988" t="s">
        <v>181</v>
      </c>
      <c r="K988" t="s">
        <v>25</v>
      </c>
      <c r="L988">
        <v>132757294</v>
      </c>
      <c r="R988">
        <v>1430</v>
      </c>
      <c r="S988" t="s">
        <v>194</v>
      </c>
      <c r="T988">
        <v>0</v>
      </c>
      <c r="U988">
        <v>21</v>
      </c>
      <c r="V988">
        <v>0</v>
      </c>
      <c r="W988">
        <v>0</v>
      </c>
      <c r="X988">
        <v>0</v>
      </c>
    </row>
    <row r="989" spans="1:24" x14ac:dyDescent="0.25">
      <c r="A989" t="s">
        <v>15</v>
      </c>
      <c r="B989" t="s">
        <v>24</v>
      </c>
      <c r="C989">
        <v>20150316</v>
      </c>
      <c r="D989">
        <v>0</v>
      </c>
      <c r="F989">
        <v>62500</v>
      </c>
      <c r="G989" t="s">
        <v>17</v>
      </c>
      <c r="I989" t="s">
        <v>16</v>
      </c>
      <c r="J989" t="s">
        <v>181</v>
      </c>
      <c r="K989" t="s">
        <v>25</v>
      </c>
      <c r="L989">
        <v>132757294</v>
      </c>
      <c r="R989">
        <v>1429</v>
      </c>
      <c r="S989" t="s">
        <v>196</v>
      </c>
      <c r="T989">
        <v>0</v>
      </c>
      <c r="U989">
        <v>23</v>
      </c>
      <c r="V989">
        <v>0</v>
      </c>
      <c r="W989">
        <v>0</v>
      </c>
      <c r="X989">
        <v>0</v>
      </c>
    </row>
    <row r="990" spans="1:24" x14ac:dyDescent="0.25">
      <c r="A990" t="s">
        <v>15</v>
      </c>
      <c r="B990" t="s">
        <v>24</v>
      </c>
      <c r="C990">
        <v>20150316</v>
      </c>
      <c r="D990">
        <v>0</v>
      </c>
      <c r="F990">
        <v>62500</v>
      </c>
      <c r="G990" t="s">
        <v>17</v>
      </c>
      <c r="I990" t="s">
        <v>16</v>
      </c>
      <c r="J990" t="s">
        <v>181</v>
      </c>
      <c r="K990" t="s">
        <v>25</v>
      </c>
      <c r="L990">
        <v>132757294</v>
      </c>
      <c r="R990">
        <v>1429</v>
      </c>
      <c r="S990" t="s">
        <v>201</v>
      </c>
      <c r="T990">
        <v>0</v>
      </c>
      <c r="U990">
        <v>23</v>
      </c>
      <c r="V990">
        <v>0</v>
      </c>
      <c r="W990">
        <v>0</v>
      </c>
      <c r="X990">
        <v>0</v>
      </c>
    </row>
    <row r="991" spans="1:24" x14ac:dyDescent="0.25">
      <c r="A991" t="s">
        <v>15</v>
      </c>
      <c r="B991" t="s">
        <v>24</v>
      </c>
      <c r="C991">
        <v>20150316</v>
      </c>
      <c r="D991">
        <v>0</v>
      </c>
      <c r="F991">
        <v>62500</v>
      </c>
      <c r="G991" t="s">
        <v>17</v>
      </c>
      <c r="I991" t="s">
        <v>16</v>
      </c>
      <c r="J991" t="s">
        <v>181</v>
      </c>
      <c r="K991" t="s">
        <v>25</v>
      </c>
      <c r="L991">
        <v>132757294</v>
      </c>
      <c r="R991">
        <v>1430</v>
      </c>
      <c r="S991" t="s">
        <v>194</v>
      </c>
      <c r="T991">
        <v>0</v>
      </c>
      <c r="U991">
        <v>21</v>
      </c>
      <c r="V991">
        <v>0</v>
      </c>
      <c r="W991">
        <v>0</v>
      </c>
      <c r="X991">
        <v>0</v>
      </c>
    </row>
    <row r="992" spans="1:24" x14ac:dyDescent="0.25">
      <c r="A992" t="s">
        <v>15</v>
      </c>
      <c r="B992" t="s">
        <v>24</v>
      </c>
      <c r="C992">
        <v>20150316</v>
      </c>
      <c r="D992">
        <v>0</v>
      </c>
      <c r="F992">
        <v>62500</v>
      </c>
      <c r="G992" t="s">
        <v>17</v>
      </c>
      <c r="I992" t="s">
        <v>16</v>
      </c>
      <c r="J992" t="s">
        <v>181</v>
      </c>
      <c r="K992" t="s">
        <v>25</v>
      </c>
      <c r="L992">
        <v>132757294</v>
      </c>
      <c r="R992">
        <v>1430</v>
      </c>
      <c r="S992" t="s">
        <v>194</v>
      </c>
      <c r="T992">
        <v>0</v>
      </c>
      <c r="U992">
        <v>21</v>
      </c>
      <c r="V992">
        <v>0</v>
      </c>
      <c r="W992">
        <v>0</v>
      </c>
      <c r="X992">
        <v>0</v>
      </c>
    </row>
    <row r="993" spans="1:24" x14ac:dyDescent="0.25">
      <c r="A993" t="s">
        <v>15</v>
      </c>
      <c r="B993" t="s">
        <v>24</v>
      </c>
      <c r="C993">
        <v>20150316</v>
      </c>
      <c r="D993">
        <v>0</v>
      </c>
      <c r="F993">
        <v>62500</v>
      </c>
      <c r="G993" t="s">
        <v>17</v>
      </c>
      <c r="I993" t="s">
        <v>16</v>
      </c>
      <c r="J993" t="s">
        <v>181</v>
      </c>
      <c r="K993" t="s">
        <v>25</v>
      </c>
      <c r="L993">
        <v>132757294</v>
      </c>
      <c r="R993">
        <v>1431</v>
      </c>
      <c r="S993" t="s">
        <v>214</v>
      </c>
      <c r="T993">
        <v>0</v>
      </c>
      <c r="U993">
        <v>24</v>
      </c>
      <c r="V993">
        <v>0</v>
      </c>
      <c r="W993">
        <v>0</v>
      </c>
      <c r="X993">
        <v>0</v>
      </c>
    </row>
    <row r="994" spans="1:24" x14ac:dyDescent="0.25">
      <c r="A994" t="s">
        <v>15</v>
      </c>
      <c r="B994" t="s">
        <v>24</v>
      </c>
      <c r="C994">
        <v>20150316</v>
      </c>
      <c r="D994">
        <v>0</v>
      </c>
      <c r="F994">
        <v>62500</v>
      </c>
      <c r="G994" t="s">
        <v>17</v>
      </c>
      <c r="I994" t="s">
        <v>16</v>
      </c>
      <c r="J994" t="s">
        <v>181</v>
      </c>
      <c r="K994" t="s">
        <v>25</v>
      </c>
      <c r="L994">
        <v>132757294</v>
      </c>
      <c r="R994">
        <v>1430</v>
      </c>
      <c r="S994" t="s">
        <v>196</v>
      </c>
      <c r="T994">
        <v>0</v>
      </c>
      <c r="U994">
        <v>21</v>
      </c>
      <c r="V994">
        <v>0</v>
      </c>
      <c r="W994">
        <v>0</v>
      </c>
      <c r="X994">
        <v>0</v>
      </c>
    </row>
    <row r="995" spans="1:24" x14ac:dyDescent="0.25">
      <c r="A995" t="s">
        <v>15</v>
      </c>
      <c r="B995" t="s">
        <v>24</v>
      </c>
      <c r="C995">
        <v>20150316</v>
      </c>
      <c r="D995">
        <v>0</v>
      </c>
      <c r="F995">
        <v>62500</v>
      </c>
      <c r="G995" t="s">
        <v>17</v>
      </c>
      <c r="I995" t="s">
        <v>16</v>
      </c>
      <c r="J995" t="s">
        <v>181</v>
      </c>
      <c r="K995" t="s">
        <v>25</v>
      </c>
      <c r="L995">
        <v>132757294</v>
      </c>
      <c r="R995">
        <v>1430</v>
      </c>
      <c r="S995" t="s">
        <v>201</v>
      </c>
      <c r="T995">
        <v>0</v>
      </c>
      <c r="U995">
        <v>21</v>
      </c>
      <c r="V995">
        <v>0</v>
      </c>
      <c r="W995">
        <v>0</v>
      </c>
      <c r="X995">
        <v>0</v>
      </c>
    </row>
    <row r="996" spans="1:24" x14ac:dyDescent="0.25">
      <c r="A996" t="s">
        <v>15</v>
      </c>
      <c r="B996" t="s">
        <v>24</v>
      </c>
      <c r="C996">
        <v>20150316</v>
      </c>
      <c r="D996">
        <v>0</v>
      </c>
      <c r="F996">
        <v>62500</v>
      </c>
      <c r="G996" t="s">
        <v>17</v>
      </c>
      <c r="I996" t="s">
        <v>16</v>
      </c>
      <c r="J996" t="s">
        <v>181</v>
      </c>
      <c r="K996" t="s">
        <v>25</v>
      </c>
      <c r="L996">
        <v>132757294</v>
      </c>
      <c r="R996">
        <v>1431</v>
      </c>
      <c r="S996" t="s">
        <v>214</v>
      </c>
      <c r="T996">
        <v>0</v>
      </c>
      <c r="U996">
        <v>24</v>
      </c>
      <c r="V996">
        <v>0</v>
      </c>
      <c r="W996">
        <v>0</v>
      </c>
      <c r="X996">
        <v>0</v>
      </c>
    </row>
    <row r="997" spans="1:24" x14ac:dyDescent="0.25">
      <c r="A997" t="s">
        <v>15</v>
      </c>
      <c r="B997" t="s">
        <v>24</v>
      </c>
      <c r="C997">
        <v>20150316</v>
      </c>
      <c r="D997">
        <v>0</v>
      </c>
      <c r="F997">
        <v>62500</v>
      </c>
      <c r="G997" t="s">
        <v>17</v>
      </c>
      <c r="I997" t="s">
        <v>16</v>
      </c>
      <c r="J997" t="s">
        <v>181</v>
      </c>
      <c r="K997" t="s">
        <v>25</v>
      </c>
      <c r="L997">
        <v>132757294</v>
      </c>
      <c r="R997">
        <v>1431</v>
      </c>
      <c r="S997" t="s">
        <v>194</v>
      </c>
      <c r="T997">
        <v>0</v>
      </c>
      <c r="U997">
        <v>24</v>
      </c>
      <c r="V997">
        <v>0</v>
      </c>
      <c r="W997">
        <v>0</v>
      </c>
      <c r="X997">
        <v>0</v>
      </c>
    </row>
    <row r="998" spans="1:24" x14ac:dyDescent="0.25">
      <c r="A998" t="s">
        <v>15</v>
      </c>
      <c r="B998" t="s">
        <v>24</v>
      </c>
      <c r="C998">
        <v>20150316</v>
      </c>
      <c r="D998">
        <v>0</v>
      </c>
      <c r="F998">
        <v>62500</v>
      </c>
      <c r="G998" t="s">
        <v>17</v>
      </c>
      <c r="I998" t="s">
        <v>16</v>
      </c>
      <c r="J998" t="s">
        <v>181</v>
      </c>
      <c r="K998" t="s">
        <v>25</v>
      </c>
      <c r="L998">
        <v>132757294</v>
      </c>
      <c r="R998">
        <v>1431</v>
      </c>
      <c r="S998" t="s">
        <v>194</v>
      </c>
      <c r="T998">
        <v>0</v>
      </c>
      <c r="U998">
        <v>24</v>
      </c>
      <c r="V998">
        <v>0</v>
      </c>
      <c r="W998">
        <v>0</v>
      </c>
      <c r="X998">
        <v>0</v>
      </c>
    </row>
    <row r="999" spans="1:24" x14ac:dyDescent="0.25">
      <c r="A999" t="s">
        <v>15</v>
      </c>
      <c r="B999" t="s">
        <v>24</v>
      </c>
      <c r="C999">
        <v>20150316</v>
      </c>
      <c r="D999">
        <v>0</v>
      </c>
      <c r="F999">
        <v>62500</v>
      </c>
      <c r="G999" t="s">
        <v>17</v>
      </c>
      <c r="I999" t="s">
        <v>16</v>
      </c>
      <c r="J999" t="s">
        <v>181</v>
      </c>
      <c r="K999" t="s">
        <v>25</v>
      </c>
      <c r="L999">
        <v>132757294</v>
      </c>
      <c r="R999">
        <v>1431</v>
      </c>
      <c r="S999" t="s">
        <v>194</v>
      </c>
      <c r="T999">
        <v>0</v>
      </c>
      <c r="U999">
        <v>24</v>
      </c>
      <c r="V999">
        <v>0</v>
      </c>
      <c r="W999">
        <v>0</v>
      </c>
      <c r="X999">
        <v>0</v>
      </c>
    </row>
    <row r="1000" spans="1:24" x14ac:dyDescent="0.25">
      <c r="A1000" t="s">
        <v>15</v>
      </c>
      <c r="B1000" t="s">
        <v>24</v>
      </c>
      <c r="C1000">
        <v>20150316</v>
      </c>
      <c r="D1000">
        <v>0</v>
      </c>
      <c r="F1000">
        <v>62500</v>
      </c>
      <c r="G1000" t="s">
        <v>17</v>
      </c>
      <c r="I1000" t="s">
        <v>16</v>
      </c>
      <c r="J1000" t="s">
        <v>181</v>
      </c>
      <c r="K1000" t="s">
        <v>25</v>
      </c>
      <c r="L1000">
        <v>132757294</v>
      </c>
      <c r="R1000">
        <v>1432</v>
      </c>
      <c r="S1000" t="s">
        <v>214</v>
      </c>
      <c r="T1000">
        <v>0</v>
      </c>
      <c r="U1000">
        <v>-24</v>
      </c>
      <c r="V1000">
        <v>0</v>
      </c>
      <c r="W1000">
        <v>0</v>
      </c>
      <c r="X1000">
        <v>0</v>
      </c>
    </row>
    <row r="1001" spans="1:24" x14ac:dyDescent="0.25">
      <c r="A1001" t="s">
        <v>15</v>
      </c>
      <c r="B1001" t="s">
        <v>24</v>
      </c>
      <c r="C1001">
        <v>20150316</v>
      </c>
      <c r="D1001">
        <v>0</v>
      </c>
      <c r="F1001">
        <v>62500</v>
      </c>
      <c r="G1001" t="s">
        <v>17</v>
      </c>
      <c r="I1001" t="s">
        <v>16</v>
      </c>
      <c r="J1001" t="s">
        <v>181</v>
      </c>
      <c r="K1001" t="s">
        <v>25</v>
      </c>
      <c r="L1001">
        <v>132757294</v>
      </c>
      <c r="R1001">
        <v>1432</v>
      </c>
      <c r="S1001" t="s">
        <v>214</v>
      </c>
      <c r="T1001">
        <v>0</v>
      </c>
      <c r="U1001">
        <v>-24</v>
      </c>
      <c r="V1001">
        <v>0</v>
      </c>
      <c r="W1001">
        <v>0</v>
      </c>
      <c r="X1001">
        <v>0</v>
      </c>
    </row>
    <row r="1002" spans="1:24" x14ac:dyDescent="0.25">
      <c r="A1002" t="s">
        <v>15</v>
      </c>
      <c r="B1002" t="s">
        <v>24</v>
      </c>
      <c r="C1002">
        <v>20150316</v>
      </c>
      <c r="D1002">
        <v>0</v>
      </c>
      <c r="F1002">
        <v>62500</v>
      </c>
      <c r="G1002" t="s">
        <v>17</v>
      </c>
      <c r="I1002" t="s">
        <v>16</v>
      </c>
      <c r="J1002" t="s">
        <v>181</v>
      </c>
      <c r="K1002" t="s">
        <v>25</v>
      </c>
      <c r="L1002">
        <v>132757294</v>
      </c>
      <c r="R1002">
        <v>1432</v>
      </c>
      <c r="S1002" t="s">
        <v>194</v>
      </c>
      <c r="T1002">
        <v>0</v>
      </c>
      <c r="U1002">
        <v>24</v>
      </c>
      <c r="V1002">
        <v>0</v>
      </c>
      <c r="W1002">
        <v>0</v>
      </c>
      <c r="X1002">
        <v>0</v>
      </c>
    </row>
    <row r="1003" spans="1:24" x14ac:dyDescent="0.25">
      <c r="A1003" t="s">
        <v>15</v>
      </c>
      <c r="B1003" t="s">
        <v>24</v>
      </c>
      <c r="C1003">
        <v>20150316</v>
      </c>
      <c r="D1003">
        <v>0</v>
      </c>
      <c r="F1003">
        <v>62500</v>
      </c>
      <c r="G1003" t="s">
        <v>17</v>
      </c>
      <c r="I1003" t="s">
        <v>16</v>
      </c>
      <c r="J1003" t="s">
        <v>181</v>
      </c>
      <c r="K1003" t="s">
        <v>25</v>
      </c>
      <c r="L1003">
        <v>132757294</v>
      </c>
      <c r="R1003">
        <v>1432</v>
      </c>
      <c r="S1003" t="s">
        <v>194</v>
      </c>
      <c r="T1003">
        <v>0</v>
      </c>
      <c r="U1003">
        <v>24</v>
      </c>
      <c r="V1003">
        <v>0</v>
      </c>
      <c r="W1003">
        <v>0</v>
      </c>
      <c r="X1003">
        <v>0</v>
      </c>
    </row>
    <row r="1004" spans="1:24" x14ac:dyDescent="0.25">
      <c r="A1004" t="s">
        <v>15</v>
      </c>
      <c r="B1004" t="s">
        <v>24</v>
      </c>
      <c r="C1004">
        <v>20150316</v>
      </c>
      <c r="D1004">
        <v>0</v>
      </c>
      <c r="F1004">
        <v>62500</v>
      </c>
      <c r="G1004" t="s">
        <v>17</v>
      </c>
      <c r="I1004" t="s">
        <v>16</v>
      </c>
      <c r="J1004" t="s">
        <v>181</v>
      </c>
      <c r="K1004" t="s">
        <v>25</v>
      </c>
      <c r="L1004">
        <v>132757294</v>
      </c>
      <c r="R1004">
        <v>1432</v>
      </c>
      <c r="S1004" t="s">
        <v>194</v>
      </c>
      <c r="T1004">
        <v>0</v>
      </c>
      <c r="U1004">
        <v>24</v>
      </c>
      <c r="V1004">
        <v>0</v>
      </c>
      <c r="W1004">
        <v>0</v>
      </c>
      <c r="X1004">
        <v>0</v>
      </c>
    </row>
    <row r="1005" spans="1:24" x14ac:dyDescent="0.25">
      <c r="A1005" t="s">
        <v>15</v>
      </c>
      <c r="B1005" t="s">
        <v>24</v>
      </c>
      <c r="C1005">
        <v>20150316</v>
      </c>
      <c r="D1005">
        <v>0</v>
      </c>
      <c r="F1005">
        <v>62500</v>
      </c>
      <c r="G1005" t="s">
        <v>17</v>
      </c>
      <c r="I1005" t="s">
        <v>16</v>
      </c>
      <c r="J1005" t="s">
        <v>181</v>
      </c>
      <c r="K1005" t="s">
        <v>25</v>
      </c>
      <c r="L1005">
        <v>132757294</v>
      </c>
      <c r="R1005">
        <v>1433</v>
      </c>
      <c r="S1005" t="s">
        <v>214</v>
      </c>
      <c r="T1005">
        <v>0</v>
      </c>
      <c r="U1005">
        <v>24</v>
      </c>
      <c r="V1005">
        <v>0</v>
      </c>
      <c r="W1005">
        <v>0</v>
      </c>
      <c r="X1005">
        <v>0</v>
      </c>
    </row>
    <row r="1006" spans="1:24" x14ac:dyDescent="0.25">
      <c r="A1006" t="s">
        <v>15</v>
      </c>
      <c r="B1006" t="s">
        <v>24</v>
      </c>
      <c r="C1006">
        <v>20150316</v>
      </c>
      <c r="D1006">
        <v>0</v>
      </c>
      <c r="F1006">
        <v>62500</v>
      </c>
      <c r="G1006" t="s">
        <v>17</v>
      </c>
      <c r="I1006" t="s">
        <v>16</v>
      </c>
      <c r="J1006" t="s">
        <v>181</v>
      </c>
      <c r="K1006" t="s">
        <v>25</v>
      </c>
      <c r="L1006">
        <v>132757294</v>
      </c>
      <c r="R1006">
        <v>1431</v>
      </c>
      <c r="S1006" t="s">
        <v>196</v>
      </c>
      <c r="T1006">
        <v>0</v>
      </c>
      <c r="U1006">
        <v>24</v>
      </c>
      <c r="V1006">
        <v>0</v>
      </c>
      <c r="W1006">
        <v>0</v>
      </c>
      <c r="X1006">
        <v>0</v>
      </c>
    </row>
    <row r="1007" spans="1:24" x14ac:dyDescent="0.25">
      <c r="A1007" t="s">
        <v>15</v>
      </c>
      <c r="B1007" t="s">
        <v>24</v>
      </c>
      <c r="C1007">
        <v>20150316</v>
      </c>
      <c r="D1007">
        <v>0</v>
      </c>
      <c r="F1007">
        <v>62500</v>
      </c>
      <c r="G1007" t="s">
        <v>17</v>
      </c>
      <c r="I1007" t="s">
        <v>16</v>
      </c>
      <c r="J1007" t="s">
        <v>181</v>
      </c>
      <c r="K1007" t="s">
        <v>25</v>
      </c>
      <c r="L1007">
        <v>132757294</v>
      </c>
      <c r="R1007">
        <v>1431</v>
      </c>
      <c r="S1007" t="s">
        <v>201</v>
      </c>
      <c r="T1007">
        <v>0</v>
      </c>
      <c r="U1007">
        <v>24</v>
      </c>
      <c r="V1007">
        <v>0</v>
      </c>
      <c r="W1007">
        <v>0</v>
      </c>
      <c r="X1007">
        <v>0</v>
      </c>
    </row>
    <row r="1008" spans="1:24" x14ac:dyDescent="0.25">
      <c r="A1008" t="s">
        <v>15</v>
      </c>
      <c r="B1008" t="s">
        <v>24</v>
      </c>
      <c r="C1008">
        <v>20150316</v>
      </c>
      <c r="D1008">
        <v>0</v>
      </c>
      <c r="F1008">
        <v>62500</v>
      </c>
      <c r="G1008" t="s">
        <v>17</v>
      </c>
      <c r="I1008" t="s">
        <v>16</v>
      </c>
      <c r="J1008" t="s">
        <v>181</v>
      </c>
      <c r="K1008" t="s">
        <v>25</v>
      </c>
      <c r="L1008">
        <v>132757294</v>
      </c>
      <c r="R1008">
        <v>1433</v>
      </c>
      <c r="S1008" t="s">
        <v>214</v>
      </c>
      <c r="T1008">
        <v>0</v>
      </c>
      <c r="U1008">
        <v>24</v>
      </c>
      <c r="V1008">
        <v>0</v>
      </c>
      <c r="W1008">
        <v>0</v>
      </c>
      <c r="X1008">
        <v>0</v>
      </c>
    </row>
    <row r="1009" spans="1:24" x14ac:dyDescent="0.25">
      <c r="A1009" t="s">
        <v>15</v>
      </c>
      <c r="B1009" t="s">
        <v>24</v>
      </c>
      <c r="C1009">
        <v>20150316</v>
      </c>
      <c r="D1009">
        <v>0</v>
      </c>
      <c r="F1009">
        <v>62500</v>
      </c>
      <c r="G1009" t="s">
        <v>17</v>
      </c>
      <c r="I1009" t="s">
        <v>16</v>
      </c>
      <c r="J1009" t="s">
        <v>181</v>
      </c>
      <c r="K1009" t="s">
        <v>25</v>
      </c>
      <c r="L1009">
        <v>132757294</v>
      </c>
      <c r="R1009">
        <v>1433</v>
      </c>
      <c r="S1009" t="s">
        <v>194</v>
      </c>
      <c r="T1009">
        <v>0</v>
      </c>
      <c r="U1009">
        <v>24</v>
      </c>
      <c r="V1009">
        <v>0</v>
      </c>
      <c r="W1009">
        <v>0</v>
      </c>
      <c r="X1009">
        <v>0</v>
      </c>
    </row>
    <row r="1010" spans="1:24" x14ac:dyDescent="0.25">
      <c r="A1010" t="s">
        <v>15</v>
      </c>
      <c r="B1010" t="s">
        <v>24</v>
      </c>
      <c r="C1010">
        <v>20150316</v>
      </c>
      <c r="D1010">
        <v>0</v>
      </c>
      <c r="F1010">
        <v>62500</v>
      </c>
      <c r="G1010" t="s">
        <v>17</v>
      </c>
      <c r="I1010" t="s">
        <v>16</v>
      </c>
      <c r="J1010" t="s">
        <v>181</v>
      </c>
      <c r="K1010" t="s">
        <v>25</v>
      </c>
      <c r="L1010">
        <v>132757294</v>
      </c>
      <c r="R1010">
        <v>1433</v>
      </c>
      <c r="S1010" t="s">
        <v>194</v>
      </c>
      <c r="T1010">
        <v>0</v>
      </c>
      <c r="U1010">
        <v>24</v>
      </c>
      <c r="V1010">
        <v>0</v>
      </c>
      <c r="W1010">
        <v>0</v>
      </c>
      <c r="X1010">
        <v>0</v>
      </c>
    </row>
    <row r="1011" spans="1:24" x14ac:dyDescent="0.25">
      <c r="A1011" t="s">
        <v>15</v>
      </c>
      <c r="B1011" t="s">
        <v>24</v>
      </c>
      <c r="C1011">
        <v>20150316</v>
      </c>
      <c r="D1011">
        <v>0</v>
      </c>
      <c r="F1011">
        <v>62500</v>
      </c>
      <c r="G1011" t="s">
        <v>17</v>
      </c>
      <c r="I1011" t="s">
        <v>16</v>
      </c>
      <c r="J1011" t="s">
        <v>181</v>
      </c>
      <c r="K1011" t="s">
        <v>25</v>
      </c>
      <c r="L1011">
        <v>132757294</v>
      </c>
      <c r="R1011">
        <v>1433</v>
      </c>
      <c r="S1011" t="s">
        <v>194</v>
      </c>
      <c r="T1011">
        <v>0</v>
      </c>
      <c r="U1011">
        <v>24</v>
      </c>
      <c r="V1011">
        <v>0</v>
      </c>
      <c r="W1011">
        <v>0</v>
      </c>
      <c r="X1011">
        <v>0</v>
      </c>
    </row>
    <row r="1012" spans="1:24" x14ac:dyDescent="0.25">
      <c r="A1012" t="s">
        <v>15</v>
      </c>
      <c r="B1012" t="s">
        <v>24</v>
      </c>
      <c r="C1012">
        <v>20150316</v>
      </c>
      <c r="D1012">
        <v>0</v>
      </c>
      <c r="F1012">
        <v>62500</v>
      </c>
      <c r="G1012" t="s">
        <v>17</v>
      </c>
      <c r="I1012" t="s">
        <v>16</v>
      </c>
      <c r="J1012" t="s">
        <v>181</v>
      </c>
      <c r="K1012" t="s">
        <v>25</v>
      </c>
      <c r="L1012">
        <v>132757294</v>
      </c>
      <c r="R1012">
        <v>1434</v>
      </c>
      <c r="S1012" t="s">
        <v>214</v>
      </c>
      <c r="T1012">
        <v>0</v>
      </c>
      <c r="U1012">
        <v>23</v>
      </c>
      <c r="V1012">
        <v>0</v>
      </c>
      <c r="W1012">
        <v>0</v>
      </c>
      <c r="X1012">
        <v>0</v>
      </c>
    </row>
    <row r="1013" spans="1:24" x14ac:dyDescent="0.25">
      <c r="A1013" t="s">
        <v>15</v>
      </c>
      <c r="B1013" t="s">
        <v>24</v>
      </c>
      <c r="C1013">
        <v>20150316</v>
      </c>
      <c r="D1013">
        <v>0</v>
      </c>
      <c r="F1013">
        <v>62500</v>
      </c>
      <c r="G1013" t="s">
        <v>17</v>
      </c>
      <c r="I1013" t="s">
        <v>16</v>
      </c>
      <c r="J1013" t="s">
        <v>181</v>
      </c>
      <c r="K1013" t="s">
        <v>25</v>
      </c>
      <c r="L1013">
        <v>132757294</v>
      </c>
      <c r="R1013">
        <v>1433</v>
      </c>
      <c r="S1013" t="s">
        <v>196</v>
      </c>
      <c r="T1013">
        <v>0</v>
      </c>
      <c r="U1013">
        <v>24</v>
      </c>
      <c r="V1013">
        <v>0</v>
      </c>
      <c r="W1013">
        <v>0</v>
      </c>
      <c r="X1013">
        <v>0</v>
      </c>
    </row>
    <row r="1014" spans="1:24" x14ac:dyDescent="0.25">
      <c r="A1014" t="s">
        <v>15</v>
      </c>
      <c r="B1014" t="s">
        <v>24</v>
      </c>
      <c r="C1014">
        <v>20150316</v>
      </c>
      <c r="D1014">
        <v>0</v>
      </c>
      <c r="F1014">
        <v>62500</v>
      </c>
      <c r="G1014" t="s">
        <v>17</v>
      </c>
      <c r="I1014" t="s">
        <v>16</v>
      </c>
      <c r="J1014" t="s">
        <v>181</v>
      </c>
      <c r="K1014" t="s">
        <v>25</v>
      </c>
      <c r="L1014">
        <v>132757294</v>
      </c>
      <c r="R1014">
        <v>1433</v>
      </c>
      <c r="S1014" t="s">
        <v>201</v>
      </c>
      <c r="T1014">
        <v>0</v>
      </c>
      <c r="U1014">
        <v>24</v>
      </c>
      <c r="V1014">
        <v>0</v>
      </c>
      <c r="W1014">
        <v>0</v>
      </c>
      <c r="X1014">
        <v>0</v>
      </c>
    </row>
    <row r="1015" spans="1:24" x14ac:dyDescent="0.25">
      <c r="A1015" t="s">
        <v>15</v>
      </c>
      <c r="B1015" t="s">
        <v>24</v>
      </c>
      <c r="C1015">
        <v>20150316</v>
      </c>
      <c r="D1015">
        <v>0</v>
      </c>
      <c r="F1015">
        <v>62500</v>
      </c>
      <c r="G1015" t="s">
        <v>17</v>
      </c>
      <c r="I1015" t="s">
        <v>16</v>
      </c>
      <c r="J1015" t="s">
        <v>181</v>
      </c>
      <c r="K1015" t="s">
        <v>25</v>
      </c>
      <c r="L1015">
        <v>132757294</v>
      </c>
      <c r="R1015">
        <v>1434</v>
      </c>
      <c r="S1015" t="s">
        <v>214</v>
      </c>
      <c r="T1015">
        <v>0</v>
      </c>
      <c r="U1015">
        <v>23</v>
      </c>
      <c r="V1015">
        <v>0</v>
      </c>
      <c r="W1015">
        <v>0</v>
      </c>
      <c r="X1015">
        <v>0</v>
      </c>
    </row>
    <row r="1016" spans="1:24" x14ac:dyDescent="0.25">
      <c r="A1016" t="s">
        <v>15</v>
      </c>
      <c r="B1016" t="s">
        <v>24</v>
      </c>
      <c r="C1016">
        <v>20150316</v>
      </c>
      <c r="D1016">
        <v>0</v>
      </c>
      <c r="F1016">
        <v>62500</v>
      </c>
      <c r="G1016" t="s">
        <v>17</v>
      </c>
      <c r="I1016" t="s">
        <v>16</v>
      </c>
      <c r="J1016" t="s">
        <v>181</v>
      </c>
      <c r="K1016" t="s">
        <v>25</v>
      </c>
      <c r="L1016">
        <v>132757294</v>
      </c>
      <c r="R1016">
        <v>1434</v>
      </c>
      <c r="S1016" t="s">
        <v>194</v>
      </c>
      <c r="T1016">
        <v>0</v>
      </c>
      <c r="U1016">
        <v>23</v>
      </c>
      <c r="V1016">
        <v>0</v>
      </c>
      <c r="W1016">
        <v>0</v>
      </c>
      <c r="X1016">
        <v>0</v>
      </c>
    </row>
    <row r="1017" spans="1:24" x14ac:dyDescent="0.25">
      <c r="A1017" t="s">
        <v>15</v>
      </c>
      <c r="B1017" t="s">
        <v>24</v>
      </c>
      <c r="C1017">
        <v>20150316</v>
      </c>
      <c r="D1017">
        <v>0</v>
      </c>
      <c r="F1017">
        <v>62500</v>
      </c>
      <c r="G1017" t="s">
        <v>17</v>
      </c>
      <c r="I1017" t="s">
        <v>16</v>
      </c>
      <c r="J1017" t="s">
        <v>181</v>
      </c>
      <c r="K1017" t="s">
        <v>25</v>
      </c>
      <c r="L1017">
        <v>132757294</v>
      </c>
      <c r="R1017">
        <v>1434</v>
      </c>
      <c r="S1017" t="s">
        <v>194</v>
      </c>
      <c r="T1017">
        <v>0</v>
      </c>
      <c r="U1017">
        <v>23</v>
      </c>
      <c r="V1017">
        <v>0</v>
      </c>
      <c r="W1017">
        <v>0</v>
      </c>
      <c r="X1017">
        <v>0</v>
      </c>
    </row>
    <row r="1018" spans="1:24" x14ac:dyDescent="0.25">
      <c r="A1018" t="s">
        <v>15</v>
      </c>
      <c r="B1018" t="s">
        <v>24</v>
      </c>
      <c r="C1018">
        <v>20150316</v>
      </c>
      <c r="D1018">
        <v>0</v>
      </c>
      <c r="F1018">
        <v>62500</v>
      </c>
      <c r="G1018" t="s">
        <v>17</v>
      </c>
      <c r="I1018" t="s">
        <v>16</v>
      </c>
      <c r="J1018" t="s">
        <v>181</v>
      </c>
      <c r="K1018" t="s">
        <v>25</v>
      </c>
      <c r="L1018">
        <v>132757294</v>
      </c>
      <c r="R1018">
        <v>1434</v>
      </c>
      <c r="S1018" t="s">
        <v>194</v>
      </c>
      <c r="T1018">
        <v>0</v>
      </c>
      <c r="U1018">
        <v>23</v>
      </c>
      <c r="V1018">
        <v>0</v>
      </c>
      <c r="W1018">
        <v>0</v>
      </c>
      <c r="X1018">
        <v>0</v>
      </c>
    </row>
    <row r="1019" spans="1:24" x14ac:dyDescent="0.25">
      <c r="A1019" t="s">
        <v>15</v>
      </c>
      <c r="B1019" t="s">
        <v>24</v>
      </c>
      <c r="C1019">
        <v>20150316</v>
      </c>
      <c r="D1019">
        <v>0</v>
      </c>
      <c r="F1019">
        <v>62500</v>
      </c>
      <c r="G1019" t="s">
        <v>17</v>
      </c>
      <c r="I1019" t="s">
        <v>16</v>
      </c>
      <c r="J1019" t="s">
        <v>181</v>
      </c>
      <c r="K1019" t="s">
        <v>25</v>
      </c>
      <c r="L1019">
        <v>132757294</v>
      </c>
      <c r="R1019">
        <v>1435</v>
      </c>
      <c r="S1019" t="s">
        <v>214</v>
      </c>
      <c r="T1019">
        <v>0</v>
      </c>
      <c r="U1019">
        <v>24</v>
      </c>
      <c r="V1019">
        <v>0</v>
      </c>
      <c r="W1019">
        <v>0</v>
      </c>
      <c r="X1019">
        <v>0</v>
      </c>
    </row>
    <row r="1020" spans="1:24" x14ac:dyDescent="0.25">
      <c r="A1020" t="s">
        <v>15</v>
      </c>
      <c r="B1020" t="s">
        <v>24</v>
      </c>
      <c r="C1020">
        <v>20150316</v>
      </c>
      <c r="D1020">
        <v>0</v>
      </c>
      <c r="F1020">
        <v>62500</v>
      </c>
      <c r="G1020" t="s">
        <v>17</v>
      </c>
      <c r="I1020" t="s">
        <v>16</v>
      </c>
      <c r="J1020" t="s">
        <v>181</v>
      </c>
      <c r="K1020" t="s">
        <v>25</v>
      </c>
      <c r="L1020">
        <v>132757294</v>
      </c>
      <c r="R1020">
        <v>1434</v>
      </c>
      <c r="S1020" t="s">
        <v>196</v>
      </c>
      <c r="T1020">
        <v>0</v>
      </c>
      <c r="U1020">
        <v>23</v>
      </c>
      <c r="V1020">
        <v>0</v>
      </c>
      <c r="W1020">
        <v>0</v>
      </c>
      <c r="X1020">
        <v>0</v>
      </c>
    </row>
    <row r="1021" spans="1:24" x14ac:dyDescent="0.25">
      <c r="A1021" t="s">
        <v>15</v>
      </c>
      <c r="B1021" t="s">
        <v>24</v>
      </c>
      <c r="C1021">
        <v>20150316</v>
      </c>
      <c r="D1021">
        <v>0</v>
      </c>
      <c r="F1021">
        <v>62500</v>
      </c>
      <c r="G1021" t="s">
        <v>17</v>
      </c>
      <c r="I1021" t="s">
        <v>16</v>
      </c>
      <c r="J1021" t="s">
        <v>181</v>
      </c>
      <c r="K1021" t="s">
        <v>25</v>
      </c>
      <c r="L1021">
        <v>132757294</v>
      </c>
      <c r="R1021">
        <v>1434</v>
      </c>
      <c r="S1021" t="s">
        <v>201</v>
      </c>
      <c r="T1021">
        <v>0</v>
      </c>
      <c r="U1021">
        <v>23</v>
      </c>
      <c r="V1021">
        <v>0</v>
      </c>
      <c r="W1021">
        <v>0</v>
      </c>
      <c r="X1021">
        <v>0</v>
      </c>
    </row>
    <row r="1022" spans="1:24" x14ac:dyDescent="0.25">
      <c r="A1022" t="s">
        <v>15</v>
      </c>
      <c r="B1022" t="s">
        <v>24</v>
      </c>
      <c r="C1022">
        <v>20150316</v>
      </c>
      <c r="D1022">
        <v>0</v>
      </c>
      <c r="F1022">
        <v>62500</v>
      </c>
      <c r="G1022" t="s">
        <v>17</v>
      </c>
      <c r="I1022" t="s">
        <v>16</v>
      </c>
      <c r="J1022" t="s">
        <v>181</v>
      </c>
      <c r="K1022" t="s">
        <v>25</v>
      </c>
      <c r="L1022">
        <v>132757294</v>
      </c>
      <c r="R1022">
        <v>1435</v>
      </c>
      <c r="S1022" t="s">
        <v>214</v>
      </c>
      <c r="T1022">
        <v>0</v>
      </c>
      <c r="U1022">
        <v>24</v>
      </c>
      <c r="V1022">
        <v>0</v>
      </c>
      <c r="W1022">
        <v>0</v>
      </c>
      <c r="X1022">
        <v>0</v>
      </c>
    </row>
    <row r="1023" spans="1:24" x14ac:dyDescent="0.25">
      <c r="A1023" t="s">
        <v>15</v>
      </c>
      <c r="B1023" t="s">
        <v>24</v>
      </c>
      <c r="C1023">
        <v>20150316</v>
      </c>
      <c r="D1023">
        <v>0</v>
      </c>
      <c r="F1023">
        <v>62500</v>
      </c>
      <c r="G1023" t="s">
        <v>17</v>
      </c>
      <c r="I1023" t="s">
        <v>16</v>
      </c>
      <c r="J1023" t="s">
        <v>181</v>
      </c>
      <c r="K1023" t="s">
        <v>25</v>
      </c>
      <c r="L1023">
        <v>132757294</v>
      </c>
      <c r="R1023">
        <v>1435</v>
      </c>
      <c r="S1023" t="s">
        <v>194</v>
      </c>
      <c r="T1023">
        <v>0</v>
      </c>
      <c r="U1023">
        <v>24</v>
      </c>
      <c r="V1023">
        <v>0</v>
      </c>
      <c r="W1023">
        <v>0</v>
      </c>
      <c r="X1023">
        <v>0</v>
      </c>
    </row>
    <row r="1024" spans="1:24" x14ac:dyDescent="0.25">
      <c r="A1024" t="s">
        <v>15</v>
      </c>
      <c r="B1024" t="s">
        <v>24</v>
      </c>
      <c r="C1024">
        <v>20150316</v>
      </c>
      <c r="D1024">
        <v>0</v>
      </c>
      <c r="F1024">
        <v>62500</v>
      </c>
      <c r="G1024" t="s">
        <v>17</v>
      </c>
      <c r="I1024" t="s">
        <v>16</v>
      </c>
      <c r="J1024" t="s">
        <v>181</v>
      </c>
      <c r="K1024" t="s">
        <v>25</v>
      </c>
      <c r="L1024">
        <v>132757294</v>
      </c>
      <c r="R1024">
        <v>1435</v>
      </c>
      <c r="S1024" t="s">
        <v>194</v>
      </c>
      <c r="T1024">
        <v>0</v>
      </c>
      <c r="U1024">
        <v>24</v>
      </c>
      <c r="V1024">
        <v>0</v>
      </c>
      <c r="W1024">
        <v>0</v>
      </c>
      <c r="X1024">
        <v>0</v>
      </c>
    </row>
    <row r="1025" spans="1:24" x14ac:dyDescent="0.25">
      <c r="A1025" t="s">
        <v>15</v>
      </c>
      <c r="B1025" t="s">
        <v>24</v>
      </c>
      <c r="C1025">
        <v>20150316</v>
      </c>
      <c r="D1025">
        <v>0</v>
      </c>
      <c r="F1025">
        <v>62500</v>
      </c>
      <c r="G1025" t="s">
        <v>17</v>
      </c>
      <c r="I1025" t="s">
        <v>16</v>
      </c>
      <c r="J1025" t="s">
        <v>181</v>
      </c>
      <c r="K1025" t="s">
        <v>25</v>
      </c>
      <c r="L1025">
        <v>132757294</v>
      </c>
      <c r="R1025">
        <v>1435</v>
      </c>
      <c r="S1025" t="s">
        <v>194</v>
      </c>
      <c r="T1025">
        <v>0</v>
      </c>
      <c r="U1025">
        <v>24</v>
      </c>
      <c r="V1025">
        <v>0</v>
      </c>
      <c r="W1025">
        <v>0</v>
      </c>
      <c r="X1025">
        <v>0</v>
      </c>
    </row>
    <row r="1026" spans="1:24" x14ac:dyDescent="0.25">
      <c r="A1026" t="s">
        <v>15</v>
      </c>
      <c r="B1026" t="s">
        <v>24</v>
      </c>
      <c r="C1026">
        <v>20150316</v>
      </c>
      <c r="D1026">
        <v>0</v>
      </c>
      <c r="F1026">
        <v>62500</v>
      </c>
      <c r="G1026" t="s">
        <v>17</v>
      </c>
      <c r="I1026" t="s">
        <v>16</v>
      </c>
      <c r="J1026" t="s">
        <v>181</v>
      </c>
      <c r="K1026" t="s">
        <v>25</v>
      </c>
      <c r="L1026">
        <v>132757294</v>
      </c>
      <c r="R1026">
        <v>1436</v>
      </c>
      <c r="S1026" t="s">
        <v>214</v>
      </c>
      <c r="T1026">
        <v>0</v>
      </c>
      <c r="U1026">
        <v>22</v>
      </c>
      <c r="V1026">
        <v>0</v>
      </c>
      <c r="W1026">
        <v>0</v>
      </c>
      <c r="X1026">
        <v>0</v>
      </c>
    </row>
    <row r="1027" spans="1:24" x14ac:dyDescent="0.25">
      <c r="A1027" t="s">
        <v>15</v>
      </c>
      <c r="B1027" t="s">
        <v>24</v>
      </c>
      <c r="C1027">
        <v>20150316</v>
      </c>
      <c r="D1027">
        <v>0</v>
      </c>
      <c r="F1027">
        <v>62500</v>
      </c>
      <c r="G1027" t="s">
        <v>17</v>
      </c>
      <c r="I1027" t="s">
        <v>16</v>
      </c>
      <c r="J1027" t="s">
        <v>181</v>
      </c>
      <c r="K1027" t="s">
        <v>25</v>
      </c>
      <c r="L1027">
        <v>132757294</v>
      </c>
      <c r="R1027">
        <v>1435</v>
      </c>
      <c r="S1027" t="s">
        <v>196</v>
      </c>
      <c r="T1027">
        <v>0</v>
      </c>
      <c r="U1027">
        <v>24</v>
      </c>
      <c r="V1027">
        <v>0</v>
      </c>
      <c r="W1027">
        <v>0</v>
      </c>
      <c r="X1027">
        <v>0</v>
      </c>
    </row>
    <row r="1028" spans="1:24" x14ac:dyDescent="0.25">
      <c r="A1028" t="s">
        <v>15</v>
      </c>
      <c r="B1028" t="s">
        <v>24</v>
      </c>
      <c r="C1028">
        <v>20150316</v>
      </c>
      <c r="D1028">
        <v>0</v>
      </c>
      <c r="F1028">
        <v>62500</v>
      </c>
      <c r="G1028" t="s">
        <v>17</v>
      </c>
      <c r="I1028" t="s">
        <v>16</v>
      </c>
      <c r="J1028" t="s">
        <v>181</v>
      </c>
      <c r="K1028" t="s">
        <v>25</v>
      </c>
      <c r="L1028">
        <v>132757294</v>
      </c>
      <c r="R1028">
        <v>1435</v>
      </c>
      <c r="S1028" t="s">
        <v>201</v>
      </c>
      <c r="T1028">
        <v>0</v>
      </c>
      <c r="U1028">
        <v>24</v>
      </c>
      <c r="V1028">
        <v>0</v>
      </c>
      <c r="W1028">
        <v>0</v>
      </c>
      <c r="X1028">
        <v>0</v>
      </c>
    </row>
    <row r="1029" spans="1:24" x14ac:dyDescent="0.25">
      <c r="A1029" t="s">
        <v>15</v>
      </c>
      <c r="B1029" t="s">
        <v>24</v>
      </c>
      <c r="C1029">
        <v>20150316</v>
      </c>
      <c r="D1029">
        <v>0</v>
      </c>
      <c r="F1029">
        <v>62500</v>
      </c>
      <c r="G1029" t="s">
        <v>17</v>
      </c>
      <c r="I1029" t="s">
        <v>16</v>
      </c>
      <c r="J1029" t="s">
        <v>181</v>
      </c>
      <c r="K1029" t="s">
        <v>25</v>
      </c>
      <c r="L1029">
        <v>132757294</v>
      </c>
      <c r="R1029">
        <v>1437</v>
      </c>
      <c r="S1029" t="s">
        <v>214</v>
      </c>
      <c r="T1029">
        <v>0</v>
      </c>
      <c r="U1029">
        <v>-22</v>
      </c>
      <c r="V1029">
        <v>0</v>
      </c>
      <c r="W1029">
        <v>0</v>
      </c>
      <c r="X1029">
        <v>0</v>
      </c>
    </row>
    <row r="1030" spans="1:24" x14ac:dyDescent="0.25">
      <c r="A1030" t="s">
        <v>15</v>
      </c>
      <c r="B1030" t="s">
        <v>24</v>
      </c>
      <c r="C1030">
        <v>20150316</v>
      </c>
      <c r="D1030">
        <v>0</v>
      </c>
      <c r="F1030">
        <v>62500</v>
      </c>
      <c r="G1030" t="s">
        <v>17</v>
      </c>
      <c r="I1030" t="s">
        <v>16</v>
      </c>
      <c r="J1030" t="s">
        <v>181</v>
      </c>
      <c r="K1030" t="s">
        <v>25</v>
      </c>
      <c r="L1030">
        <v>132757294</v>
      </c>
      <c r="R1030">
        <v>1436</v>
      </c>
      <c r="S1030" t="s">
        <v>214</v>
      </c>
      <c r="T1030">
        <v>0</v>
      </c>
      <c r="U1030">
        <v>22</v>
      </c>
      <c r="V1030">
        <v>0</v>
      </c>
      <c r="W1030">
        <v>0</v>
      </c>
      <c r="X1030">
        <v>0</v>
      </c>
    </row>
    <row r="1031" spans="1:24" x14ac:dyDescent="0.25">
      <c r="A1031" t="s">
        <v>15</v>
      </c>
      <c r="B1031" t="s">
        <v>24</v>
      </c>
      <c r="C1031">
        <v>20150316</v>
      </c>
      <c r="D1031">
        <v>0</v>
      </c>
      <c r="F1031">
        <v>62500</v>
      </c>
      <c r="G1031" t="s">
        <v>17</v>
      </c>
      <c r="I1031" t="s">
        <v>16</v>
      </c>
      <c r="J1031" t="s">
        <v>181</v>
      </c>
      <c r="K1031" t="s">
        <v>25</v>
      </c>
      <c r="L1031">
        <v>132757294</v>
      </c>
      <c r="R1031">
        <v>1436</v>
      </c>
      <c r="S1031" t="s">
        <v>194</v>
      </c>
      <c r="T1031">
        <v>0</v>
      </c>
      <c r="U1031">
        <v>22</v>
      </c>
      <c r="V1031">
        <v>0</v>
      </c>
      <c r="W1031">
        <v>0</v>
      </c>
      <c r="X1031">
        <v>0</v>
      </c>
    </row>
    <row r="1032" spans="1:24" x14ac:dyDescent="0.25">
      <c r="A1032" t="s">
        <v>15</v>
      </c>
      <c r="B1032" t="s">
        <v>24</v>
      </c>
      <c r="C1032">
        <v>20150316</v>
      </c>
      <c r="D1032">
        <v>0</v>
      </c>
      <c r="F1032">
        <v>62500</v>
      </c>
      <c r="G1032" t="s">
        <v>17</v>
      </c>
      <c r="I1032" t="s">
        <v>16</v>
      </c>
      <c r="J1032" t="s">
        <v>181</v>
      </c>
      <c r="K1032" t="s">
        <v>25</v>
      </c>
      <c r="L1032">
        <v>132757294</v>
      </c>
      <c r="R1032">
        <v>1432</v>
      </c>
      <c r="S1032" t="s">
        <v>196</v>
      </c>
      <c r="T1032">
        <v>0</v>
      </c>
      <c r="U1032">
        <v>24</v>
      </c>
      <c r="V1032">
        <v>0</v>
      </c>
      <c r="W1032">
        <v>0</v>
      </c>
      <c r="X1032">
        <v>0</v>
      </c>
    </row>
    <row r="1033" spans="1:24" x14ac:dyDescent="0.25">
      <c r="A1033" t="s">
        <v>15</v>
      </c>
      <c r="B1033" t="s">
        <v>24</v>
      </c>
      <c r="C1033">
        <v>20150316</v>
      </c>
      <c r="D1033">
        <v>0</v>
      </c>
      <c r="F1033">
        <v>62500</v>
      </c>
      <c r="G1033" t="s">
        <v>17</v>
      </c>
      <c r="I1033" t="s">
        <v>16</v>
      </c>
      <c r="J1033" t="s">
        <v>181</v>
      </c>
      <c r="K1033" t="s">
        <v>25</v>
      </c>
      <c r="L1033">
        <v>132757294</v>
      </c>
      <c r="R1033">
        <v>1432</v>
      </c>
      <c r="S1033" t="s">
        <v>201</v>
      </c>
      <c r="T1033">
        <v>0</v>
      </c>
      <c r="U1033">
        <v>24</v>
      </c>
      <c r="V1033">
        <v>0</v>
      </c>
      <c r="W1033">
        <v>0</v>
      </c>
      <c r="X1033">
        <v>0</v>
      </c>
    </row>
    <row r="1034" spans="1:24" x14ac:dyDescent="0.25">
      <c r="A1034" t="s">
        <v>15</v>
      </c>
      <c r="B1034" t="s">
        <v>24</v>
      </c>
      <c r="C1034">
        <v>20150316</v>
      </c>
      <c r="D1034">
        <v>0</v>
      </c>
      <c r="F1034">
        <v>62500</v>
      </c>
      <c r="G1034" t="s">
        <v>17</v>
      </c>
      <c r="I1034" t="s">
        <v>16</v>
      </c>
      <c r="J1034" t="s">
        <v>181</v>
      </c>
      <c r="K1034" t="s">
        <v>25</v>
      </c>
      <c r="L1034">
        <v>132757294</v>
      </c>
      <c r="R1034">
        <v>1436</v>
      </c>
      <c r="S1034" t="s">
        <v>194</v>
      </c>
      <c r="T1034">
        <v>0</v>
      </c>
      <c r="U1034">
        <v>22</v>
      </c>
      <c r="V1034">
        <v>0</v>
      </c>
      <c r="W1034">
        <v>0</v>
      </c>
      <c r="X1034">
        <v>0</v>
      </c>
    </row>
    <row r="1035" spans="1:24" x14ac:dyDescent="0.25">
      <c r="A1035" t="s">
        <v>15</v>
      </c>
      <c r="B1035" t="s">
        <v>24</v>
      </c>
      <c r="C1035">
        <v>20150316</v>
      </c>
      <c r="D1035">
        <v>0</v>
      </c>
      <c r="F1035">
        <v>62500</v>
      </c>
      <c r="G1035" t="s">
        <v>17</v>
      </c>
      <c r="I1035" t="s">
        <v>16</v>
      </c>
      <c r="J1035" t="s">
        <v>181</v>
      </c>
      <c r="K1035" t="s">
        <v>25</v>
      </c>
      <c r="L1035">
        <v>132757294</v>
      </c>
      <c r="R1035">
        <v>1436</v>
      </c>
      <c r="S1035" t="s">
        <v>194</v>
      </c>
      <c r="T1035">
        <v>0</v>
      </c>
      <c r="U1035">
        <v>22</v>
      </c>
      <c r="V1035">
        <v>0</v>
      </c>
      <c r="W1035">
        <v>0</v>
      </c>
      <c r="X1035">
        <v>0</v>
      </c>
    </row>
    <row r="1036" spans="1:24" x14ac:dyDescent="0.25">
      <c r="A1036" t="s">
        <v>15</v>
      </c>
      <c r="B1036" t="s">
        <v>24</v>
      </c>
      <c r="C1036">
        <v>20150316</v>
      </c>
      <c r="D1036">
        <v>0</v>
      </c>
      <c r="F1036">
        <v>62500</v>
      </c>
      <c r="G1036" t="s">
        <v>17</v>
      </c>
      <c r="I1036" t="s">
        <v>16</v>
      </c>
      <c r="J1036" t="s">
        <v>181</v>
      </c>
      <c r="K1036" t="s">
        <v>25</v>
      </c>
      <c r="L1036">
        <v>132757294</v>
      </c>
      <c r="R1036">
        <v>1437</v>
      </c>
      <c r="S1036" t="s">
        <v>214</v>
      </c>
      <c r="T1036">
        <v>0</v>
      </c>
      <c r="U1036">
        <v>-22</v>
      </c>
      <c r="V1036">
        <v>0</v>
      </c>
      <c r="W1036">
        <v>0</v>
      </c>
      <c r="X1036">
        <v>0</v>
      </c>
    </row>
    <row r="1037" spans="1:24" x14ac:dyDescent="0.25">
      <c r="A1037" t="s">
        <v>15</v>
      </c>
      <c r="B1037" t="s">
        <v>24</v>
      </c>
      <c r="C1037">
        <v>20150316</v>
      </c>
      <c r="D1037">
        <v>0</v>
      </c>
      <c r="F1037">
        <v>62500</v>
      </c>
      <c r="G1037" t="s">
        <v>17</v>
      </c>
      <c r="I1037" t="s">
        <v>16</v>
      </c>
      <c r="J1037" t="s">
        <v>181</v>
      </c>
      <c r="K1037" t="s">
        <v>25</v>
      </c>
      <c r="L1037">
        <v>132757294</v>
      </c>
      <c r="R1037">
        <v>1437</v>
      </c>
      <c r="S1037" t="s">
        <v>194</v>
      </c>
      <c r="T1037">
        <v>0</v>
      </c>
      <c r="U1037">
        <v>22</v>
      </c>
      <c r="V1037">
        <v>0</v>
      </c>
      <c r="W1037">
        <v>0</v>
      </c>
      <c r="X1037">
        <v>0</v>
      </c>
    </row>
    <row r="1038" spans="1:24" x14ac:dyDescent="0.25">
      <c r="A1038" t="s">
        <v>15</v>
      </c>
      <c r="B1038" t="s">
        <v>24</v>
      </c>
      <c r="C1038">
        <v>20150316</v>
      </c>
      <c r="D1038">
        <v>0</v>
      </c>
      <c r="F1038">
        <v>62500</v>
      </c>
      <c r="G1038" t="s">
        <v>17</v>
      </c>
      <c r="I1038" t="s">
        <v>16</v>
      </c>
      <c r="J1038" t="s">
        <v>181</v>
      </c>
      <c r="K1038" t="s">
        <v>25</v>
      </c>
      <c r="L1038">
        <v>132757294</v>
      </c>
      <c r="R1038">
        <v>1437</v>
      </c>
      <c r="S1038" t="s">
        <v>194</v>
      </c>
      <c r="T1038">
        <v>0</v>
      </c>
      <c r="U1038">
        <v>22</v>
      </c>
      <c r="V1038">
        <v>0</v>
      </c>
      <c r="W1038">
        <v>0</v>
      </c>
      <c r="X1038">
        <v>0</v>
      </c>
    </row>
    <row r="1039" spans="1:24" x14ac:dyDescent="0.25">
      <c r="A1039" t="s">
        <v>15</v>
      </c>
      <c r="B1039" t="s">
        <v>24</v>
      </c>
      <c r="C1039">
        <v>20150316</v>
      </c>
      <c r="D1039">
        <v>0</v>
      </c>
      <c r="F1039">
        <v>62500</v>
      </c>
      <c r="G1039" t="s">
        <v>17</v>
      </c>
      <c r="I1039" t="s">
        <v>16</v>
      </c>
      <c r="J1039" t="s">
        <v>181</v>
      </c>
      <c r="K1039" t="s">
        <v>25</v>
      </c>
      <c r="L1039">
        <v>132757294</v>
      </c>
      <c r="R1039">
        <v>1437</v>
      </c>
      <c r="S1039" t="s">
        <v>194</v>
      </c>
      <c r="T1039">
        <v>0</v>
      </c>
      <c r="U1039">
        <v>22</v>
      </c>
      <c r="V1039">
        <v>0</v>
      </c>
      <c r="W1039">
        <v>0</v>
      </c>
      <c r="X1039">
        <v>0</v>
      </c>
    </row>
    <row r="1040" spans="1:24" x14ac:dyDescent="0.25">
      <c r="A1040" t="s">
        <v>15</v>
      </c>
      <c r="B1040" t="s">
        <v>24</v>
      </c>
      <c r="C1040">
        <v>20150316</v>
      </c>
      <c r="D1040">
        <v>0</v>
      </c>
      <c r="F1040">
        <v>62500</v>
      </c>
      <c r="G1040" t="s">
        <v>17</v>
      </c>
      <c r="I1040" t="s">
        <v>16</v>
      </c>
      <c r="J1040" t="s">
        <v>181</v>
      </c>
      <c r="K1040" t="s">
        <v>25</v>
      </c>
      <c r="L1040">
        <v>132757294</v>
      </c>
      <c r="R1040">
        <v>1438</v>
      </c>
      <c r="S1040" t="s">
        <v>214</v>
      </c>
      <c r="T1040">
        <v>0</v>
      </c>
      <c r="U1040">
        <v>24</v>
      </c>
      <c r="V1040">
        <v>0</v>
      </c>
      <c r="W1040">
        <v>0</v>
      </c>
      <c r="X1040">
        <v>0</v>
      </c>
    </row>
    <row r="1041" spans="1:24" x14ac:dyDescent="0.25">
      <c r="A1041" t="s">
        <v>15</v>
      </c>
      <c r="B1041" t="s">
        <v>24</v>
      </c>
      <c r="C1041">
        <v>20150316</v>
      </c>
      <c r="D1041">
        <v>0</v>
      </c>
      <c r="F1041">
        <v>62500</v>
      </c>
      <c r="G1041" t="s">
        <v>17</v>
      </c>
      <c r="I1041" t="s">
        <v>16</v>
      </c>
      <c r="J1041" t="s">
        <v>181</v>
      </c>
      <c r="K1041" t="s">
        <v>25</v>
      </c>
      <c r="L1041">
        <v>132757294</v>
      </c>
      <c r="R1041">
        <v>1436</v>
      </c>
      <c r="S1041" t="s">
        <v>196</v>
      </c>
      <c r="T1041">
        <v>0</v>
      </c>
      <c r="U1041">
        <v>22</v>
      </c>
      <c r="V1041">
        <v>0</v>
      </c>
      <c r="W1041">
        <v>0</v>
      </c>
      <c r="X1041">
        <v>0</v>
      </c>
    </row>
    <row r="1042" spans="1:24" x14ac:dyDescent="0.25">
      <c r="A1042" t="s">
        <v>15</v>
      </c>
      <c r="B1042" t="s">
        <v>24</v>
      </c>
      <c r="C1042">
        <v>20150316</v>
      </c>
      <c r="D1042">
        <v>0</v>
      </c>
      <c r="F1042">
        <v>62500</v>
      </c>
      <c r="G1042" t="s">
        <v>17</v>
      </c>
      <c r="I1042" t="s">
        <v>16</v>
      </c>
      <c r="J1042" t="s">
        <v>181</v>
      </c>
      <c r="K1042" t="s">
        <v>25</v>
      </c>
      <c r="L1042">
        <v>132757294</v>
      </c>
      <c r="R1042">
        <v>1436</v>
      </c>
      <c r="S1042" t="s">
        <v>201</v>
      </c>
      <c r="T1042">
        <v>0</v>
      </c>
      <c r="U1042">
        <v>22</v>
      </c>
      <c r="V1042">
        <v>0</v>
      </c>
      <c r="W1042">
        <v>0</v>
      </c>
      <c r="X1042">
        <v>0</v>
      </c>
    </row>
    <row r="1043" spans="1:24" x14ac:dyDescent="0.25">
      <c r="A1043" t="s">
        <v>15</v>
      </c>
      <c r="B1043" t="s">
        <v>24</v>
      </c>
      <c r="C1043">
        <v>20150316</v>
      </c>
      <c r="D1043">
        <v>0</v>
      </c>
      <c r="F1043">
        <v>62500</v>
      </c>
      <c r="G1043" t="s">
        <v>17</v>
      </c>
      <c r="I1043" t="s">
        <v>16</v>
      </c>
      <c r="J1043" t="s">
        <v>181</v>
      </c>
      <c r="K1043" t="s">
        <v>25</v>
      </c>
      <c r="L1043">
        <v>132757294</v>
      </c>
      <c r="R1043">
        <v>1438</v>
      </c>
      <c r="S1043" t="s">
        <v>214</v>
      </c>
      <c r="T1043">
        <v>0</v>
      </c>
      <c r="U1043">
        <v>24</v>
      </c>
      <c r="V1043">
        <v>0</v>
      </c>
      <c r="W1043">
        <v>0</v>
      </c>
      <c r="X1043">
        <v>0</v>
      </c>
    </row>
    <row r="1044" spans="1:24" x14ac:dyDescent="0.25">
      <c r="A1044" t="s">
        <v>15</v>
      </c>
      <c r="B1044" t="s">
        <v>24</v>
      </c>
      <c r="C1044">
        <v>20150316</v>
      </c>
      <c r="D1044">
        <v>0</v>
      </c>
      <c r="F1044">
        <v>62500</v>
      </c>
      <c r="G1044" t="s">
        <v>17</v>
      </c>
      <c r="I1044" t="s">
        <v>16</v>
      </c>
      <c r="J1044" t="s">
        <v>181</v>
      </c>
      <c r="K1044" t="s">
        <v>25</v>
      </c>
      <c r="L1044">
        <v>132757294</v>
      </c>
      <c r="R1044">
        <v>1438</v>
      </c>
      <c r="S1044" t="s">
        <v>194</v>
      </c>
      <c r="T1044">
        <v>0</v>
      </c>
      <c r="U1044">
        <v>24</v>
      </c>
      <c r="V1044">
        <v>0</v>
      </c>
      <c r="W1044">
        <v>0</v>
      </c>
      <c r="X1044">
        <v>0</v>
      </c>
    </row>
    <row r="1045" spans="1:24" x14ac:dyDescent="0.25">
      <c r="A1045" t="s">
        <v>15</v>
      </c>
      <c r="B1045" t="s">
        <v>24</v>
      </c>
      <c r="C1045">
        <v>20150316</v>
      </c>
      <c r="D1045">
        <v>0</v>
      </c>
      <c r="F1045">
        <v>62500</v>
      </c>
      <c r="G1045" t="s">
        <v>17</v>
      </c>
      <c r="I1045" t="s">
        <v>16</v>
      </c>
      <c r="J1045" t="s">
        <v>181</v>
      </c>
      <c r="K1045" t="s">
        <v>25</v>
      </c>
      <c r="L1045">
        <v>132757294</v>
      </c>
      <c r="R1045">
        <v>1438</v>
      </c>
      <c r="S1045" t="s">
        <v>194</v>
      </c>
      <c r="T1045">
        <v>0</v>
      </c>
      <c r="U1045">
        <v>24</v>
      </c>
      <c r="V1045">
        <v>0</v>
      </c>
      <c r="W1045">
        <v>0</v>
      </c>
      <c r="X1045">
        <v>0</v>
      </c>
    </row>
    <row r="1046" spans="1:24" x14ac:dyDescent="0.25">
      <c r="A1046" t="s">
        <v>15</v>
      </c>
      <c r="B1046" t="s">
        <v>24</v>
      </c>
      <c r="C1046">
        <v>20150316</v>
      </c>
      <c r="D1046">
        <v>0</v>
      </c>
      <c r="F1046">
        <v>62500</v>
      </c>
      <c r="G1046" t="s">
        <v>17</v>
      </c>
      <c r="I1046" t="s">
        <v>16</v>
      </c>
      <c r="J1046" t="s">
        <v>181</v>
      </c>
      <c r="K1046" t="s">
        <v>25</v>
      </c>
      <c r="L1046">
        <v>132757294</v>
      </c>
      <c r="R1046">
        <v>1438</v>
      </c>
      <c r="S1046" t="s">
        <v>194</v>
      </c>
      <c r="T1046">
        <v>0</v>
      </c>
      <c r="U1046">
        <v>24</v>
      </c>
      <c r="V1046">
        <v>0</v>
      </c>
      <c r="W1046">
        <v>0</v>
      </c>
      <c r="X1046">
        <v>0</v>
      </c>
    </row>
    <row r="1047" spans="1:24" x14ac:dyDescent="0.25">
      <c r="A1047" t="s">
        <v>15</v>
      </c>
      <c r="B1047" t="s">
        <v>24</v>
      </c>
      <c r="C1047">
        <v>20150316</v>
      </c>
      <c r="D1047">
        <v>0</v>
      </c>
      <c r="F1047">
        <v>62500</v>
      </c>
      <c r="G1047" t="s">
        <v>17</v>
      </c>
      <c r="I1047" t="s">
        <v>16</v>
      </c>
      <c r="J1047" t="s">
        <v>181</v>
      </c>
      <c r="K1047" t="s">
        <v>25</v>
      </c>
      <c r="L1047">
        <v>132757294</v>
      </c>
      <c r="R1047">
        <v>1437</v>
      </c>
      <c r="S1047" t="s">
        <v>196</v>
      </c>
      <c r="T1047">
        <v>0</v>
      </c>
      <c r="U1047">
        <v>22</v>
      </c>
      <c r="V1047">
        <v>0</v>
      </c>
      <c r="W1047">
        <v>0</v>
      </c>
      <c r="X1047">
        <v>0</v>
      </c>
    </row>
    <row r="1048" spans="1:24" x14ac:dyDescent="0.25">
      <c r="A1048" t="s">
        <v>15</v>
      </c>
      <c r="B1048" t="s">
        <v>24</v>
      </c>
      <c r="C1048">
        <v>20150316</v>
      </c>
      <c r="D1048">
        <v>0</v>
      </c>
      <c r="F1048">
        <v>62500</v>
      </c>
      <c r="G1048" t="s">
        <v>17</v>
      </c>
      <c r="I1048" t="s">
        <v>16</v>
      </c>
      <c r="J1048" t="s">
        <v>181</v>
      </c>
      <c r="K1048" t="s">
        <v>25</v>
      </c>
      <c r="L1048">
        <v>132757294</v>
      </c>
      <c r="R1048">
        <v>1437</v>
      </c>
      <c r="S1048" t="s">
        <v>201</v>
      </c>
      <c r="T1048">
        <v>0</v>
      </c>
      <c r="U1048">
        <v>22</v>
      </c>
      <c r="V1048">
        <v>0</v>
      </c>
      <c r="W1048">
        <v>0</v>
      </c>
      <c r="X1048">
        <v>0</v>
      </c>
    </row>
    <row r="1049" spans="1:24" x14ac:dyDescent="0.25">
      <c r="A1049" t="s">
        <v>15</v>
      </c>
      <c r="B1049" t="s">
        <v>24</v>
      </c>
      <c r="C1049">
        <v>20150316</v>
      </c>
      <c r="D1049">
        <v>0</v>
      </c>
      <c r="F1049">
        <v>62500</v>
      </c>
      <c r="G1049" t="s">
        <v>17</v>
      </c>
      <c r="I1049" t="s">
        <v>16</v>
      </c>
      <c r="J1049" t="s">
        <v>181</v>
      </c>
      <c r="K1049" t="s">
        <v>25</v>
      </c>
      <c r="L1049">
        <v>132757294</v>
      </c>
      <c r="R1049">
        <v>1439</v>
      </c>
      <c r="S1049" t="s">
        <v>214</v>
      </c>
      <c r="T1049">
        <v>0</v>
      </c>
      <c r="U1049">
        <v>-24</v>
      </c>
      <c r="V1049">
        <v>0</v>
      </c>
      <c r="W1049">
        <v>0</v>
      </c>
      <c r="X1049">
        <v>0</v>
      </c>
    </row>
    <row r="1050" spans="1:24" x14ac:dyDescent="0.25">
      <c r="A1050" t="s">
        <v>15</v>
      </c>
      <c r="B1050" t="s">
        <v>24</v>
      </c>
      <c r="C1050">
        <v>20150316</v>
      </c>
      <c r="D1050">
        <v>0</v>
      </c>
      <c r="F1050">
        <v>62500</v>
      </c>
      <c r="G1050" t="s">
        <v>17</v>
      </c>
      <c r="I1050" t="s">
        <v>16</v>
      </c>
      <c r="J1050" t="s">
        <v>181</v>
      </c>
      <c r="K1050" t="s">
        <v>25</v>
      </c>
      <c r="L1050">
        <v>132757294</v>
      </c>
      <c r="R1050">
        <v>1439</v>
      </c>
      <c r="S1050" t="s">
        <v>214</v>
      </c>
      <c r="T1050">
        <v>0</v>
      </c>
      <c r="U1050">
        <v>-24</v>
      </c>
      <c r="V1050">
        <v>0</v>
      </c>
      <c r="W1050">
        <v>0</v>
      </c>
      <c r="X1050">
        <v>0</v>
      </c>
    </row>
    <row r="1051" spans="1:24" x14ac:dyDescent="0.25">
      <c r="A1051" t="s">
        <v>15</v>
      </c>
      <c r="B1051" t="s">
        <v>24</v>
      </c>
      <c r="C1051">
        <v>20150316</v>
      </c>
      <c r="D1051">
        <v>0</v>
      </c>
      <c r="F1051">
        <v>62500</v>
      </c>
      <c r="G1051" t="s">
        <v>17</v>
      </c>
      <c r="I1051" t="s">
        <v>16</v>
      </c>
      <c r="J1051" t="s">
        <v>181</v>
      </c>
      <c r="K1051" t="s">
        <v>25</v>
      </c>
      <c r="L1051">
        <v>132757294</v>
      </c>
      <c r="R1051">
        <v>1439</v>
      </c>
      <c r="S1051" t="s">
        <v>194</v>
      </c>
      <c r="T1051">
        <v>0</v>
      </c>
      <c r="U1051">
        <v>24</v>
      </c>
      <c r="V1051">
        <v>0</v>
      </c>
      <c r="W1051">
        <v>0</v>
      </c>
      <c r="X1051">
        <v>0</v>
      </c>
    </row>
    <row r="1052" spans="1:24" x14ac:dyDescent="0.25">
      <c r="A1052" t="s">
        <v>15</v>
      </c>
      <c r="B1052" t="s">
        <v>24</v>
      </c>
      <c r="C1052">
        <v>20150316</v>
      </c>
      <c r="D1052">
        <v>0</v>
      </c>
      <c r="F1052">
        <v>62500</v>
      </c>
      <c r="G1052" t="s">
        <v>17</v>
      </c>
      <c r="I1052" t="s">
        <v>16</v>
      </c>
      <c r="J1052" t="s">
        <v>181</v>
      </c>
      <c r="K1052" t="s">
        <v>25</v>
      </c>
      <c r="L1052">
        <v>132757294</v>
      </c>
      <c r="R1052">
        <v>1439</v>
      </c>
      <c r="S1052" t="s">
        <v>194</v>
      </c>
      <c r="T1052">
        <v>0</v>
      </c>
      <c r="U1052">
        <v>24</v>
      </c>
      <c r="V1052">
        <v>0</v>
      </c>
      <c r="W1052">
        <v>0</v>
      </c>
      <c r="X1052">
        <v>0</v>
      </c>
    </row>
    <row r="1053" spans="1:24" x14ac:dyDescent="0.25">
      <c r="A1053" t="s">
        <v>15</v>
      </c>
      <c r="B1053" t="s">
        <v>24</v>
      </c>
      <c r="C1053">
        <v>20150316</v>
      </c>
      <c r="D1053">
        <v>0</v>
      </c>
      <c r="F1053">
        <v>62500</v>
      </c>
      <c r="G1053" t="s">
        <v>17</v>
      </c>
      <c r="I1053" t="s">
        <v>16</v>
      </c>
      <c r="J1053" t="s">
        <v>181</v>
      </c>
      <c r="K1053" t="s">
        <v>25</v>
      </c>
      <c r="L1053">
        <v>132757294</v>
      </c>
      <c r="R1053">
        <v>1439</v>
      </c>
      <c r="S1053" t="s">
        <v>194</v>
      </c>
      <c r="T1053">
        <v>0</v>
      </c>
      <c r="U1053">
        <v>24</v>
      </c>
      <c r="V1053">
        <v>0</v>
      </c>
      <c r="W1053">
        <v>0</v>
      </c>
      <c r="X1053">
        <v>0</v>
      </c>
    </row>
    <row r="1054" spans="1:24" x14ac:dyDescent="0.25">
      <c r="A1054" t="s">
        <v>15</v>
      </c>
      <c r="B1054" t="s">
        <v>24</v>
      </c>
      <c r="C1054">
        <v>20150316</v>
      </c>
      <c r="D1054">
        <v>0</v>
      </c>
      <c r="F1054">
        <v>62500</v>
      </c>
      <c r="G1054" t="s">
        <v>17</v>
      </c>
      <c r="I1054" t="s">
        <v>16</v>
      </c>
      <c r="J1054" t="s">
        <v>181</v>
      </c>
      <c r="K1054" t="s">
        <v>25</v>
      </c>
      <c r="L1054">
        <v>132757294</v>
      </c>
      <c r="R1054">
        <v>1440</v>
      </c>
      <c r="S1054" t="s">
        <v>214</v>
      </c>
      <c r="T1054">
        <v>0</v>
      </c>
      <c r="U1054">
        <v>24</v>
      </c>
      <c r="V1054">
        <v>0</v>
      </c>
      <c r="W1054">
        <v>0</v>
      </c>
      <c r="X1054">
        <v>0</v>
      </c>
    </row>
    <row r="1055" spans="1:24" x14ac:dyDescent="0.25">
      <c r="A1055" t="s">
        <v>15</v>
      </c>
      <c r="B1055" t="s">
        <v>24</v>
      </c>
      <c r="C1055">
        <v>20150316</v>
      </c>
      <c r="D1055">
        <v>0</v>
      </c>
      <c r="F1055">
        <v>62500</v>
      </c>
      <c r="G1055" t="s">
        <v>17</v>
      </c>
      <c r="I1055" t="s">
        <v>16</v>
      </c>
      <c r="J1055" t="s">
        <v>181</v>
      </c>
      <c r="K1055" t="s">
        <v>25</v>
      </c>
      <c r="L1055">
        <v>132757294</v>
      </c>
      <c r="R1055">
        <v>1438</v>
      </c>
      <c r="S1055" t="s">
        <v>196</v>
      </c>
      <c r="T1055">
        <v>0</v>
      </c>
      <c r="U1055">
        <v>24</v>
      </c>
      <c r="V1055">
        <v>0</v>
      </c>
      <c r="W1055">
        <v>0</v>
      </c>
      <c r="X1055">
        <v>0</v>
      </c>
    </row>
    <row r="1056" spans="1:24" x14ac:dyDescent="0.25">
      <c r="A1056" t="s">
        <v>15</v>
      </c>
      <c r="B1056" t="s">
        <v>24</v>
      </c>
      <c r="C1056">
        <v>20150316</v>
      </c>
      <c r="D1056">
        <v>0</v>
      </c>
      <c r="F1056">
        <v>62500</v>
      </c>
      <c r="G1056" t="s">
        <v>17</v>
      </c>
      <c r="I1056" t="s">
        <v>16</v>
      </c>
      <c r="J1056" t="s">
        <v>181</v>
      </c>
      <c r="K1056" t="s">
        <v>25</v>
      </c>
      <c r="L1056">
        <v>132757294</v>
      </c>
      <c r="R1056">
        <v>1438</v>
      </c>
      <c r="S1056" t="s">
        <v>201</v>
      </c>
      <c r="T1056">
        <v>0</v>
      </c>
      <c r="U1056">
        <v>24</v>
      </c>
      <c r="V1056">
        <v>0</v>
      </c>
      <c r="W1056">
        <v>0</v>
      </c>
      <c r="X1056">
        <v>0</v>
      </c>
    </row>
    <row r="1057" spans="1:24" x14ac:dyDescent="0.25">
      <c r="A1057" t="s">
        <v>15</v>
      </c>
      <c r="B1057" t="s">
        <v>24</v>
      </c>
      <c r="C1057">
        <v>20150316</v>
      </c>
      <c r="D1057">
        <v>0</v>
      </c>
      <c r="F1057">
        <v>62500</v>
      </c>
      <c r="G1057" t="s">
        <v>17</v>
      </c>
      <c r="I1057" t="s">
        <v>16</v>
      </c>
      <c r="J1057" t="s">
        <v>181</v>
      </c>
      <c r="K1057" t="s">
        <v>25</v>
      </c>
      <c r="L1057">
        <v>132757294</v>
      </c>
      <c r="R1057">
        <v>1440</v>
      </c>
      <c r="S1057" t="s">
        <v>214</v>
      </c>
      <c r="T1057">
        <v>0</v>
      </c>
      <c r="U1057">
        <v>24</v>
      </c>
      <c r="V1057">
        <v>0</v>
      </c>
      <c r="W1057">
        <v>0</v>
      </c>
      <c r="X1057">
        <v>0</v>
      </c>
    </row>
    <row r="1058" spans="1:24" x14ac:dyDescent="0.25">
      <c r="A1058" t="s">
        <v>15</v>
      </c>
      <c r="B1058" t="s">
        <v>24</v>
      </c>
      <c r="C1058">
        <v>20150316</v>
      </c>
      <c r="D1058">
        <v>0</v>
      </c>
      <c r="F1058">
        <v>62500</v>
      </c>
      <c r="G1058" t="s">
        <v>17</v>
      </c>
      <c r="I1058" t="s">
        <v>16</v>
      </c>
      <c r="J1058" t="s">
        <v>181</v>
      </c>
      <c r="K1058" t="s">
        <v>25</v>
      </c>
      <c r="L1058">
        <v>132757294</v>
      </c>
      <c r="R1058">
        <v>1440</v>
      </c>
      <c r="S1058" t="s">
        <v>194</v>
      </c>
      <c r="T1058">
        <v>0</v>
      </c>
      <c r="U1058">
        <v>24</v>
      </c>
      <c r="V1058">
        <v>0</v>
      </c>
      <c r="W1058">
        <v>0</v>
      </c>
      <c r="X1058">
        <v>0</v>
      </c>
    </row>
    <row r="1059" spans="1:24" x14ac:dyDescent="0.25">
      <c r="A1059" t="s">
        <v>15</v>
      </c>
      <c r="B1059" t="s">
        <v>24</v>
      </c>
      <c r="C1059">
        <v>20150316</v>
      </c>
      <c r="D1059">
        <v>0</v>
      </c>
      <c r="F1059">
        <v>62500</v>
      </c>
      <c r="G1059" t="s">
        <v>17</v>
      </c>
      <c r="I1059" t="s">
        <v>16</v>
      </c>
      <c r="J1059" t="s">
        <v>181</v>
      </c>
      <c r="K1059" t="s">
        <v>25</v>
      </c>
      <c r="L1059">
        <v>132757294</v>
      </c>
      <c r="R1059">
        <v>1441</v>
      </c>
      <c r="S1059" t="s">
        <v>214</v>
      </c>
      <c r="T1059">
        <v>0</v>
      </c>
      <c r="U1059">
        <v>-24</v>
      </c>
      <c r="V1059">
        <v>0</v>
      </c>
      <c r="W1059">
        <v>0</v>
      </c>
      <c r="X1059">
        <v>0</v>
      </c>
    </row>
    <row r="1060" spans="1:24" x14ac:dyDescent="0.25">
      <c r="A1060" t="s">
        <v>15</v>
      </c>
      <c r="B1060" t="s">
        <v>24</v>
      </c>
      <c r="C1060">
        <v>20150316</v>
      </c>
      <c r="D1060">
        <v>0</v>
      </c>
      <c r="F1060">
        <v>62500</v>
      </c>
      <c r="G1060" t="s">
        <v>17</v>
      </c>
      <c r="I1060" t="s">
        <v>16</v>
      </c>
      <c r="J1060" t="s">
        <v>181</v>
      </c>
      <c r="K1060" t="s">
        <v>25</v>
      </c>
      <c r="L1060">
        <v>132757294</v>
      </c>
      <c r="R1060">
        <v>1440</v>
      </c>
      <c r="S1060" t="s">
        <v>194</v>
      </c>
      <c r="T1060">
        <v>0</v>
      </c>
      <c r="U1060">
        <v>24</v>
      </c>
      <c r="V1060">
        <v>0</v>
      </c>
      <c r="W1060">
        <v>0</v>
      </c>
      <c r="X1060">
        <v>0</v>
      </c>
    </row>
    <row r="1061" spans="1:24" x14ac:dyDescent="0.25">
      <c r="A1061" t="s">
        <v>15</v>
      </c>
      <c r="B1061" t="s">
        <v>24</v>
      </c>
      <c r="C1061">
        <v>20150316</v>
      </c>
      <c r="D1061">
        <v>0</v>
      </c>
      <c r="F1061">
        <v>62500</v>
      </c>
      <c r="G1061" t="s">
        <v>17</v>
      </c>
      <c r="I1061" t="s">
        <v>16</v>
      </c>
      <c r="J1061" t="s">
        <v>181</v>
      </c>
      <c r="K1061" t="s">
        <v>25</v>
      </c>
      <c r="L1061">
        <v>132757294</v>
      </c>
      <c r="R1061">
        <v>1440</v>
      </c>
      <c r="S1061" t="s">
        <v>194</v>
      </c>
      <c r="T1061">
        <v>0</v>
      </c>
      <c r="U1061">
        <v>24</v>
      </c>
      <c r="V1061">
        <v>0</v>
      </c>
      <c r="W1061">
        <v>0</v>
      </c>
      <c r="X1061">
        <v>0</v>
      </c>
    </row>
    <row r="1062" spans="1:24" x14ac:dyDescent="0.25">
      <c r="A1062" t="s">
        <v>15</v>
      </c>
      <c r="B1062" t="s">
        <v>24</v>
      </c>
      <c r="C1062">
        <v>20150316</v>
      </c>
      <c r="D1062">
        <v>0</v>
      </c>
      <c r="F1062">
        <v>62500</v>
      </c>
      <c r="G1062" t="s">
        <v>17</v>
      </c>
      <c r="I1062" t="s">
        <v>16</v>
      </c>
      <c r="J1062" t="s">
        <v>181</v>
      </c>
      <c r="K1062" t="s">
        <v>25</v>
      </c>
      <c r="L1062">
        <v>132757294</v>
      </c>
      <c r="R1062">
        <v>1439</v>
      </c>
      <c r="S1062" t="s">
        <v>196</v>
      </c>
      <c r="T1062">
        <v>0</v>
      </c>
      <c r="U1062">
        <v>24</v>
      </c>
      <c r="V1062">
        <v>0</v>
      </c>
      <c r="W1062">
        <v>0</v>
      </c>
      <c r="X1062">
        <v>0</v>
      </c>
    </row>
    <row r="1063" spans="1:24" x14ac:dyDescent="0.25">
      <c r="A1063" t="s">
        <v>15</v>
      </c>
      <c r="B1063" t="s">
        <v>24</v>
      </c>
      <c r="C1063">
        <v>20150316</v>
      </c>
      <c r="D1063">
        <v>0</v>
      </c>
      <c r="F1063">
        <v>62500</v>
      </c>
      <c r="G1063" t="s">
        <v>17</v>
      </c>
      <c r="I1063" t="s">
        <v>16</v>
      </c>
      <c r="J1063" t="s">
        <v>181</v>
      </c>
      <c r="K1063" t="s">
        <v>25</v>
      </c>
      <c r="L1063">
        <v>132757294</v>
      </c>
      <c r="R1063">
        <v>1439</v>
      </c>
      <c r="S1063" t="s">
        <v>201</v>
      </c>
      <c r="T1063">
        <v>0</v>
      </c>
      <c r="U1063">
        <v>24</v>
      </c>
      <c r="V1063">
        <v>0</v>
      </c>
      <c r="W1063">
        <v>0</v>
      </c>
      <c r="X1063">
        <v>0</v>
      </c>
    </row>
    <row r="1064" spans="1:24" x14ac:dyDescent="0.25">
      <c r="A1064" t="s">
        <v>15</v>
      </c>
      <c r="B1064" t="s">
        <v>24</v>
      </c>
      <c r="C1064">
        <v>20150316</v>
      </c>
      <c r="D1064">
        <v>0</v>
      </c>
      <c r="F1064">
        <v>62500</v>
      </c>
      <c r="G1064" t="s">
        <v>17</v>
      </c>
      <c r="I1064" t="s">
        <v>16</v>
      </c>
      <c r="J1064" t="s">
        <v>181</v>
      </c>
      <c r="K1064" t="s">
        <v>25</v>
      </c>
      <c r="L1064">
        <v>132757294</v>
      </c>
      <c r="R1064">
        <v>1441</v>
      </c>
      <c r="S1064" t="s">
        <v>214</v>
      </c>
      <c r="T1064">
        <v>0</v>
      </c>
      <c r="U1064">
        <v>-24</v>
      </c>
      <c r="V1064">
        <v>0</v>
      </c>
      <c r="W1064">
        <v>0</v>
      </c>
      <c r="X1064">
        <v>0</v>
      </c>
    </row>
    <row r="1065" spans="1:24" x14ac:dyDescent="0.25">
      <c r="A1065" t="s">
        <v>15</v>
      </c>
      <c r="B1065" t="s">
        <v>24</v>
      </c>
      <c r="C1065">
        <v>20150316</v>
      </c>
      <c r="D1065">
        <v>0</v>
      </c>
      <c r="F1065">
        <v>62500</v>
      </c>
      <c r="G1065" t="s">
        <v>17</v>
      </c>
      <c r="I1065" t="s">
        <v>16</v>
      </c>
      <c r="J1065" t="s">
        <v>181</v>
      </c>
      <c r="K1065" t="s">
        <v>25</v>
      </c>
      <c r="L1065">
        <v>132757294</v>
      </c>
      <c r="R1065">
        <v>1441</v>
      </c>
      <c r="S1065" t="s">
        <v>194</v>
      </c>
      <c r="T1065">
        <v>0</v>
      </c>
      <c r="U1065">
        <v>24</v>
      </c>
      <c r="V1065">
        <v>0</v>
      </c>
      <c r="W1065">
        <v>0</v>
      </c>
      <c r="X1065">
        <v>0</v>
      </c>
    </row>
    <row r="1066" spans="1:24" x14ac:dyDescent="0.25">
      <c r="A1066" t="s">
        <v>15</v>
      </c>
      <c r="B1066" t="s">
        <v>24</v>
      </c>
      <c r="C1066">
        <v>20150316</v>
      </c>
      <c r="D1066">
        <v>0</v>
      </c>
      <c r="F1066">
        <v>62500</v>
      </c>
      <c r="G1066" t="s">
        <v>17</v>
      </c>
      <c r="I1066" t="s">
        <v>16</v>
      </c>
      <c r="J1066" t="s">
        <v>181</v>
      </c>
      <c r="K1066" t="s">
        <v>25</v>
      </c>
      <c r="L1066">
        <v>132757294</v>
      </c>
      <c r="R1066">
        <v>1442</v>
      </c>
      <c r="S1066" t="s">
        <v>214</v>
      </c>
      <c r="T1066">
        <v>0</v>
      </c>
      <c r="U1066">
        <v>26</v>
      </c>
      <c r="V1066">
        <v>0</v>
      </c>
      <c r="W1066">
        <v>0</v>
      </c>
      <c r="X1066">
        <v>0</v>
      </c>
    </row>
    <row r="1067" spans="1:24" x14ac:dyDescent="0.25">
      <c r="A1067" t="s">
        <v>15</v>
      </c>
      <c r="B1067" t="s">
        <v>24</v>
      </c>
      <c r="C1067">
        <v>20150316</v>
      </c>
      <c r="D1067">
        <v>0</v>
      </c>
      <c r="F1067">
        <v>62500</v>
      </c>
      <c r="G1067" t="s">
        <v>17</v>
      </c>
      <c r="I1067" t="s">
        <v>16</v>
      </c>
      <c r="J1067" t="s">
        <v>181</v>
      </c>
      <c r="K1067" t="s">
        <v>25</v>
      </c>
      <c r="L1067">
        <v>132757294</v>
      </c>
      <c r="R1067">
        <v>1441</v>
      </c>
      <c r="S1067" t="s">
        <v>194</v>
      </c>
      <c r="T1067">
        <v>0</v>
      </c>
      <c r="U1067">
        <v>24</v>
      </c>
      <c r="V1067">
        <v>0</v>
      </c>
      <c r="W1067">
        <v>0</v>
      </c>
      <c r="X1067">
        <v>0</v>
      </c>
    </row>
    <row r="1068" spans="1:24" x14ac:dyDescent="0.25">
      <c r="A1068" t="s">
        <v>15</v>
      </c>
      <c r="B1068" t="s">
        <v>24</v>
      </c>
      <c r="C1068">
        <v>20150316</v>
      </c>
      <c r="D1068">
        <v>0</v>
      </c>
      <c r="F1068">
        <v>62500</v>
      </c>
      <c r="G1068" t="s">
        <v>17</v>
      </c>
      <c r="I1068" t="s">
        <v>16</v>
      </c>
      <c r="J1068" t="s">
        <v>181</v>
      </c>
      <c r="K1068" t="s">
        <v>25</v>
      </c>
      <c r="L1068">
        <v>132757294</v>
      </c>
      <c r="R1068">
        <v>1441</v>
      </c>
      <c r="S1068" t="s">
        <v>194</v>
      </c>
      <c r="T1068">
        <v>0</v>
      </c>
      <c r="U1068">
        <v>24</v>
      </c>
      <c r="V1068">
        <v>0</v>
      </c>
      <c r="W1068">
        <v>0</v>
      </c>
      <c r="X1068">
        <v>0</v>
      </c>
    </row>
    <row r="1069" spans="1:24" x14ac:dyDescent="0.25">
      <c r="A1069" t="s">
        <v>15</v>
      </c>
      <c r="B1069" t="s">
        <v>24</v>
      </c>
      <c r="C1069">
        <v>20150316</v>
      </c>
      <c r="D1069">
        <v>0</v>
      </c>
      <c r="F1069">
        <v>62500</v>
      </c>
      <c r="G1069" t="s">
        <v>17</v>
      </c>
      <c r="I1069" t="s">
        <v>16</v>
      </c>
      <c r="J1069" t="s">
        <v>181</v>
      </c>
      <c r="K1069" t="s">
        <v>25</v>
      </c>
      <c r="L1069">
        <v>132757294</v>
      </c>
      <c r="R1069">
        <v>1440</v>
      </c>
      <c r="S1069" t="s">
        <v>196</v>
      </c>
      <c r="T1069">
        <v>0</v>
      </c>
      <c r="U1069">
        <v>24</v>
      </c>
      <c r="V1069">
        <v>0</v>
      </c>
      <c r="W1069">
        <v>0</v>
      </c>
      <c r="X1069">
        <v>0</v>
      </c>
    </row>
    <row r="1070" spans="1:24" x14ac:dyDescent="0.25">
      <c r="A1070" t="s">
        <v>15</v>
      </c>
      <c r="B1070" t="s">
        <v>24</v>
      </c>
      <c r="C1070">
        <v>20150316</v>
      </c>
      <c r="D1070">
        <v>0</v>
      </c>
      <c r="F1070">
        <v>62500</v>
      </c>
      <c r="G1070" t="s">
        <v>17</v>
      </c>
      <c r="I1070" t="s">
        <v>16</v>
      </c>
      <c r="J1070" t="s">
        <v>181</v>
      </c>
      <c r="K1070" t="s">
        <v>25</v>
      </c>
      <c r="L1070">
        <v>132757294</v>
      </c>
      <c r="R1070">
        <v>1440</v>
      </c>
      <c r="S1070" t="s">
        <v>201</v>
      </c>
      <c r="T1070">
        <v>0</v>
      </c>
      <c r="U1070">
        <v>24</v>
      </c>
      <c r="V1070">
        <v>0</v>
      </c>
      <c r="W1070">
        <v>0</v>
      </c>
      <c r="X1070">
        <v>0</v>
      </c>
    </row>
    <row r="1071" spans="1:24" x14ac:dyDescent="0.25">
      <c r="A1071" t="s">
        <v>15</v>
      </c>
      <c r="B1071" t="s">
        <v>24</v>
      </c>
      <c r="C1071">
        <v>20150316</v>
      </c>
      <c r="D1071">
        <v>0</v>
      </c>
      <c r="F1071">
        <v>62500</v>
      </c>
      <c r="G1071" t="s">
        <v>17</v>
      </c>
      <c r="I1071" t="s">
        <v>16</v>
      </c>
      <c r="J1071" t="s">
        <v>181</v>
      </c>
      <c r="K1071" t="s">
        <v>25</v>
      </c>
      <c r="L1071">
        <v>132757294</v>
      </c>
      <c r="R1071">
        <v>1442</v>
      </c>
      <c r="S1071" t="s">
        <v>214</v>
      </c>
      <c r="T1071">
        <v>0</v>
      </c>
      <c r="U1071">
        <v>26</v>
      </c>
      <c r="V1071">
        <v>0</v>
      </c>
      <c r="W1071">
        <v>0</v>
      </c>
      <c r="X1071">
        <v>0</v>
      </c>
    </row>
    <row r="1072" spans="1:24" x14ac:dyDescent="0.25">
      <c r="A1072" t="s">
        <v>15</v>
      </c>
      <c r="B1072" t="s">
        <v>24</v>
      </c>
      <c r="C1072">
        <v>20150316</v>
      </c>
      <c r="D1072">
        <v>0</v>
      </c>
      <c r="F1072">
        <v>62500</v>
      </c>
      <c r="G1072" t="s">
        <v>17</v>
      </c>
      <c r="I1072" t="s">
        <v>16</v>
      </c>
      <c r="J1072" t="s">
        <v>181</v>
      </c>
      <c r="K1072" t="s">
        <v>25</v>
      </c>
      <c r="L1072">
        <v>132757294</v>
      </c>
      <c r="R1072">
        <v>1442</v>
      </c>
      <c r="S1072" t="s">
        <v>194</v>
      </c>
      <c r="T1072">
        <v>0</v>
      </c>
      <c r="U1072">
        <v>26</v>
      </c>
      <c r="V1072">
        <v>0</v>
      </c>
      <c r="W1072">
        <v>0</v>
      </c>
      <c r="X1072">
        <v>0</v>
      </c>
    </row>
    <row r="1073" spans="1:24" x14ac:dyDescent="0.25">
      <c r="A1073" t="s">
        <v>15</v>
      </c>
      <c r="B1073" t="s">
        <v>24</v>
      </c>
      <c r="C1073">
        <v>20150316</v>
      </c>
      <c r="D1073">
        <v>0</v>
      </c>
      <c r="F1073">
        <v>62500</v>
      </c>
      <c r="G1073" t="s">
        <v>17</v>
      </c>
      <c r="I1073" t="s">
        <v>16</v>
      </c>
      <c r="J1073" t="s">
        <v>181</v>
      </c>
      <c r="K1073" t="s">
        <v>25</v>
      </c>
      <c r="L1073">
        <v>132757294</v>
      </c>
      <c r="R1073">
        <v>1442</v>
      </c>
      <c r="S1073" t="s">
        <v>194</v>
      </c>
      <c r="T1073">
        <v>0</v>
      </c>
      <c r="U1073">
        <v>26</v>
      </c>
      <c r="V1073">
        <v>0</v>
      </c>
      <c r="W1073">
        <v>0</v>
      </c>
      <c r="X1073">
        <v>0</v>
      </c>
    </row>
    <row r="1074" spans="1:24" x14ac:dyDescent="0.25">
      <c r="A1074" t="s">
        <v>15</v>
      </c>
      <c r="B1074" t="s">
        <v>24</v>
      </c>
      <c r="C1074">
        <v>20150316</v>
      </c>
      <c r="D1074">
        <v>0</v>
      </c>
      <c r="F1074">
        <v>62500</v>
      </c>
      <c r="G1074" t="s">
        <v>17</v>
      </c>
      <c r="I1074" t="s">
        <v>16</v>
      </c>
      <c r="J1074" t="s">
        <v>181</v>
      </c>
      <c r="K1074" t="s">
        <v>25</v>
      </c>
      <c r="L1074">
        <v>132757294</v>
      </c>
      <c r="R1074">
        <v>1442</v>
      </c>
      <c r="S1074" t="s">
        <v>194</v>
      </c>
      <c r="T1074">
        <v>0</v>
      </c>
      <c r="U1074">
        <v>26</v>
      </c>
      <c r="V1074">
        <v>0</v>
      </c>
      <c r="W1074">
        <v>0</v>
      </c>
      <c r="X1074">
        <v>0</v>
      </c>
    </row>
    <row r="1075" spans="1:24" x14ac:dyDescent="0.25">
      <c r="A1075" t="s">
        <v>15</v>
      </c>
      <c r="B1075" t="s">
        <v>24</v>
      </c>
      <c r="C1075">
        <v>20150316</v>
      </c>
      <c r="D1075">
        <v>0</v>
      </c>
      <c r="F1075">
        <v>62500</v>
      </c>
      <c r="G1075" t="s">
        <v>17</v>
      </c>
      <c r="I1075" t="s">
        <v>16</v>
      </c>
      <c r="J1075" t="s">
        <v>181</v>
      </c>
      <c r="K1075" t="s">
        <v>25</v>
      </c>
      <c r="L1075">
        <v>132757294</v>
      </c>
      <c r="R1075">
        <v>1441</v>
      </c>
      <c r="S1075" t="s">
        <v>196</v>
      </c>
      <c r="T1075">
        <v>0</v>
      </c>
      <c r="U1075">
        <v>24</v>
      </c>
      <c r="V1075">
        <v>0</v>
      </c>
      <c r="W1075">
        <v>0</v>
      </c>
      <c r="X1075">
        <v>0</v>
      </c>
    </row>
    <row r="1076" spans="1:24" x14ac:dyDescent="0.25">
      <c r="A1076" t="s">
        <v>15</v>
      </c>
      <c r="B1076" t="s">
        <v>24</v>
      </c>
      <c r="C1076">
        <v>20150316</v>
      </c>
      <c r="D1076">
        <v>0</v>
      </c>
      <c r="F1076">
        <v>62500</v>
      </c>
      <c r="G1076" t="s">
        <v>17</v>
      </c>
      <c r="I1076" t="s">
        <v>16</v>
      </c>
      <c r="J1076" t="s">
        <v>181</v>
      </c>
      <c r="K1076" t="s">
        <v>25</v>
      </c>
      <c r="L1076">
        <v>132757294</v>
      </c>
      <c r="R1076">
        <v>1441</v>
      </c>
      <c r="S1076" t="s">
        <v>201</v>
      </c>
      <c r="T1076">
        <v>0</v>
      </c>
      <c r="U1076">
        <v>24</v>
      </c>
      <c r="V1076">
        <v>0</v>
      </c>
      <c r="W1076">
        <v>0</v>
      </c>
      <c r="X1076">
        <v>0</v>
      </c>
    </row>
    <row r="1077" spans="1:24" x14ac:dyDescent="0.25">
      <c r="A1077" t="s">
        <v>15</v>
      </c>
      <c r="B1077" t="s">
        <v>24</v>
      </c>
      <c r="C1077">
        <v>20150316</v>
      </c>
      <c r="D1077">
        <v>0</v>
      </c>
      <c r="F1077">
        <v>62500</v>
      </c>
      <c r="G1077" t="s">
        <v>17</v>
      </c>
      <c r="I1077" t="s">
        <v>16</v>
      </c>
      <c r="J1077" t="s">
        <v>181</v>
      </c>
      <c r="K1077" t="s">
        <v>25</v>
      </c>
      <c r="L1077">
        <v>132757294</v>
      </c>
      <c r="R1077">
        <v>1443</v>
      </c>
      <c r="S1077" t="s">
        <v>214</v>
      </c>
      <c r="T1077">
        <v>0</v>
      </c>
      <c r="U1077">
        <v>-26</v>
      </c>
      <c r="V1077">
        <v>0</v>
      </c>
      <c r="W1077">
        <v>0</v>
      </c>
      <c r="X1077">
        <v>0</v>
      </c>
    </row>
    <row r="1078" spans="1:24" x14ac:dyDescent="0.25">
      <c r="A1078" t="s">
        <v>15</v>
      </c>
      <c r="B1078" t="s">
        <v>24</v>
      </c>
      <c r="C1078">
        <v>20150316</v>
      </c>
      <c r="D1078">
        <v>0</v>
      </c>
      <c r="F1078">
        <v>62500</v>
      </c>
      <c r="G1078" t="s">
        <v>17</v>
      </c>
      <c r="I1078" t="s">
        <v>16</v>
      </c>
      <c r="J1078" t="s">
        <v>181</v>
      </c>
      <c r="K1078" t="s">
        <v>25</v>
      </c>
      <c r="L1078">
        <v>132757294</v>
      </c>
      <c r="R1078">
        <v>1443</v>
      </c>
      <c r="S1078" t="s">
        <v>214</v>
      </c>
      <c r="T1078">
        <v>0</v>
      </c>
      <c r="U1078">
        <v>-26</v>
      </c>
      <c r="V1078">
        <v>0</v>
      </c>
      <c r="W1078">
        <v>0</v>
      </c>
      <c r="X1078">
        <v>0</v>
      </c>
    </row>
    <row r="1079" spans="1:24" x14ac:dyDescent="0.25">
      <c r="A1079" t="s">
        <v>15</v>
      </c>
      <c r="B1079" t="s">
        <v>24</v>
      </c>
      <c r="C1079">
        <v>20150316</v>
      </c>
      <c r="D1079">
        <v>0</v>
      </c>
      <c r="F1079">
        <v>62500</v>
      </c>
      <c r="G1079" t="s">
        <v>17</v>
      </c>
      <c r="I1079" t="s">
        <v>16</v>
      </c>
      <c r="J1079" t="s">
        <v>181</v>
      </c>
      <c r="K1079" t="s">
        <v>25</v>
      </c>
      <c r="L1079">
        <v>132757294</v>
      </c>
      <c r="R1079">
        <v>1443</v>
      </c>
      <c r="S1079" t="s">
        <v>194</v>
      </c>
      <c r="T1079">
        <v>0</v>
      </c>
      <c r="U1079">
        <v>26</v>
      </c>
      <c r="V1079">
        <v>0</v>
      </c>
      <c r="W1079">
        <v>0</v>
      </c>
      <c r="X1079">
        <v>0</v>
      </c>
    </row>
    <row r="1080" spans="1:24" x14ac:dyDescent="0.25">
      <c r="A1080" t="s">
        <v>15</v>
      </c>
      <c r="B1080" t="s">
        <v>24</v>
      </c>
      <c r="C1080">
        <v>20150316</v>
      </c>
      <c r="D1080">
        <v>0</v>
      </c>
      <c r="F1080">
        <v>62500</v>
      </c>
      <c r="G1080" t="s">
        <v>17</v>
      </c>
      <c r="I1080" t="s">
        <v>16</v>
      </c>
      <c r="J1080" t="s">
        <v>181</v>
      </c>
      <c r="K1080" t="s">
        <v>25</v>
      </c>
      <c r="L1080">
        <v>132757294</v>
      </c>
      <c r="R1080">
        <v>1443</v>
      </c>
      <c r="S1080" t="s">
        <v>194</v>
      </c>
      <c r="T1080">
        <v>0</v>
      </c>
      <c r="U1080">
        <v>26</v>
      </c>
      <c r="V1080">
        <v>0</v>
      </c>
      <c r="W1080">
        <v>0</v>
      </c>
      <c r="X1080">
        <v>0</v>
      </c>
    </row>
    <row r="1081" spans="1:24" x14ac:dyDescent="0.25">
      <c r="A1081" t="s">
        <v>15</v>
      </c>
      <c r="B1081" t="s">
        <v>24</v>
      </c>
      <c r="C1081">
        <v>20150316</v>
      </c>
      <c r="D1081">
        <v>0</v>
      </c>
      <c r="F1081">
        <v>62500</v>
      </c>
      <c r="G1081" t="s">
        <v>17</v>
      </c>
      <c r="I1081" t="s">
        <v>16</v>
      </c>
      <c r="J1081" t="s">
        <v>181</v>
      </c>
      <c r="K1081" t="s">
        <v>25</v>
      </c>
      <c r="L1081">
        <v>132757294</v>
      </c>
      <c r="R1081">
        <v>1443</v>
      </c>
      <c r="S1081" t="s">
        <v>194</v>
      </c>
      <c r="T1081">
        <v>0</v>
      </c>
      <c r="U1081">
        <v>26</v>
      </c>
      <c r="V1081">
        <v>0</v>
      </c>
      <c r="W1081">
        <v>0</v>
      </c>
      <c r="X1081">
        <v>0</v>
      </c>
    </row>
    <row r="1082" spans="1:24" x14ac:dyDescent="0.25">
      <c r="A1082" t="s">
        <v>15</v>
      </c>
      <c r="B1082" t="s">
        <v>24</v>
      </c>
      <c r="C1082">
        <v>20150316</v>
      </c>
      <c r="D1082">
        <v>0</v>
      </c>
      <c r="F1082">
        <v>62500</v>
      </c>
      <c r="G1082" t="s">
        <v>17</v>
      </c>
      <c r="I1082" t="s">
        <v>16</v>
      </c>
      <c r="J1082" t="s">
        <v>181</v>
      </c>
      <c r="K1082" t="s">
        <v>25</v>
      </c>
      <c r="L1082">
        <v>132757294</v>
      </c>
      <c r="R1082">
        <v>1444</v>
      </c>
      <c r="S1082" t="s">
        <v>214</v>
      </c>
      <c r="T1082">
        <v>0</v>
      </c>
      <c r="U1082">
        <v>23</v>
      </c>
      <c r="V1082">
        <v>0</v>
      </c>
      <c r="W1082">
        <v>0</v>
      </c>
      <c r="X1082">
        <v>0</v>
      </c>
    </row>
    <row r="1083" spans="1:24" x14ac:dyDescent="0.25">
      <c r="A1083" t="s">
        <v>15</v>
      </c>
      <c r="B1083" t="s">
        <v>24</v>
      </c>
      <c r="C1083">
        <v>20150316</v>
      </c>
      <c r="D1083">
        <v>0</v>
      </c>
      <c r="F1083">
        <v>62500</v>
      </c>
      <c r="G1083" t="s">
        <v>17</v>
      </c>
      <c r="I1083" t="s">
        <v>16</v>
      </c>
      <c r="J1083" t="s">
        <v>181</v>
      </c>
      <c r="K1083" t="s">
        <v>25</v>
      </c>
      <c r="L1083">
        <v>132757294</v>
      </c>
      <c r="R1083">
        <v>1442</v>
      </c>
      <c r="S1083" t="s">
        <v>196</v>
      </c>
      <c r="T1083">
        <v>0</v>
      </c>
      <c r="U1083">
        <v>26</v>
      </c>
      <c r="V1083">
        <v>0</v>
      </c>
      <c r="W1083">
        <v>0</v>
      </c>
      <c r="X1083">
        <v>0</v>
      </c>
    </row>
    <row r="1084" spans="1:24" x14ac:dyDescent="0.25">
      <c r="A1084" t="s">
        <v>15</v>
      </c>
      <c r="B1084" t="s">
        <v>24</v>
      </c>
      <c r="C1084">
        <v>20150316</v>
      </c>
      <c r="D1084">
        <v>0</v>
      </c>
      <c r="F1084">
        <v>62500</v>
      </c>
      <c r="G1084" t="s">
        <v>17</v>
      </c>
      <c r="I1084" t="s">
        <v>16</v>
      </c>
      <c r="J1084" t="s">
        <v>181</v>
      </c>
      <c r="K1084" t="s">
        <v>25</v>
      </c>
      <c r="L1084">
        <v>132757294</v>
      </c>
      <c r="R1084">
        <v>1442</v>
      </c>
      <c r="S1084" t="s">
        <v>201</v>
      </c>
      <c r="T1084">
        <v>0</v>
      </c>
      <c r="U1084">
        <v>26</v>
      </c>
      <c r="V1084">
        <v>0</v>
      </c>
      <c r="W1084">
        <v>0</v>
      </c>
      <c r="X1084">
        <v>0</v>
      </c>
    </row>
    <row r="1085" spans="1:24" x14ac:dyDescent="0.25">
      <c r="A1085" t="s">
        <v>15</v>
      </c>
      <c r="B1085" t="s">
        <v>24</v>
      </c>
      <c r="C1085">
        <v>20150316</v>
      </c>
      <c r="D1085">
        <v>0</v>
      </c>
      <c r="F1085">
        <v>62500</v>
      </c>
      <c r="G1085" t="s">
        <v>17</v>
      </c>
      <c r="I1085" t="s">
        <v>16</v>
      </c>
      <c r="J1085" t="s">
        <v>181</v>
      </c>
      <c r="K1085" t="s">
        <v>25</v>
      </c>
      <c r="L1085">
        <v>132757294</v>
      </c>
      <c r="R1085">
        <v>1445</v>
      </c>
      <c r="S1085" t="s">
        <v>214</v>
      </c>
      <c r="T1085">
        <v>0</v>
      </c>
      <c r="U1085">
        <v>-23</v>
      </c>
      <c r="V1085">
        <v>0</v>
      </c>
      <c r="W1085">
        <v>0</v>
      </c>
      <c r="X1085">
        <v>0</v>
      </c>
    </row>
    <row r="1086" spans="1:24" x14ac:dyDescent="0.25">
      <c r="A1086" t="s">
        <v>15</v>
      </c>
      <c r="B1086" t="s">
        <v>24</v>
      </c>
      <c r="C1086">
        <v>20150316</v>
      </c>
      <c r="D1086">
        <v>0</v>
      </c>
      <c r="F1086">
        <v>62500</v>
      </c>
      <c r="G1086" t="s">
        <v>17</v>
      </c>
      <c r="I1086" t="s">
        <v>16</v>
      </c>
      <c r="J1086" t="s">
        <v>181</v>
      </c>
      <c r="K1086" t="s">
        <v>25</v>
      </c>
      <c r="L1086">
        <v>132757294</v>
      </c>
      <c r="R1086">
        <v>1444</v>
      </c>
      <c r="S1086" t="s">
        <v>214</v>
      </c>
      <c r="T1086">
        <v>0</v>
      </c>
      <c r="U1086">
        <v>23</v>
      </c>
      <c r="V1086">
        <v>0</v>
      </c>
      <c r="W1086">
        <v>0</v>
      </c>
      <c r="X1086">
        <v>0</v>
      </c>
    </row>
    <row r="1087" spans="1:24" x14ac:dyDescent="0.25">
      <c r="A1087" t="s">
        <v>15</v>
      </c>
      <c r="B1087" t="s">
        <v>24</v>
      </c>
      <c r="C1087">
        <v>20150316</v>
      </c>
      <c r="D1087">
        <v>0</v>
      </c>
      <c r="F1087">
        <v>62500</v>
      </c>
      <c r="G1087" t="s">
        <v>17</v>
      </c>
      <c r="I1087" t="s">
        <v>16</v>
      </c>
      <c r="J1087" t="s">
        <v>181</v>
      </c>
      <c r="K1087" t="s">
        <v>25</v>
      </c>
      <c r="L1087">
        <v>132757294</v>
      </c>
      <c r="R1087">
        <v>1444</v>
      </c>
      <c r="S1087" t="s">
        <v>194</v>
      </c>
      <c r="T1087">
        <v>0</v>
      </c>
      <c r="U1087">
        <v>23</v>
      </c>
      <c r="V1087">
        <v>0</v>
      </c>
      <c r="W1087">
        <v>0</v>
      </c>
      <c r="X1087">
        <v>0</v>
      </c>
    </row>
    <row r="1088" spans="1:24" x14ac:dyDescent="0.25">
      <c r="A1088" t="s">
        <v>15</v>
      </c>
      <c r="B1088" t="s">
        <v>24</v>
      </c>
      <c r="C1088">
        <v>20150316</v>
      </c>
      <c r="D1088">
        <v>0</v>
      </c>
      <c r="F1088">
        <v>62500</v>
      </c>
      <c r="G1088" t="s">
        <v>17</v>
      </c>
      <c r="I1088" t="s">
        <v>16</v>
      </c>
      <c r="J1088" t="s">
        <v>181</v>
      </c>
      <c r="K1088" t="s">
        <v>25</v>
      </c>
      <c r="L1088">
        <v>132757294</v>
      </c>
      <c r="R1088">
        <v>1443</v>
      </c>
      <c r="S1088" t="s">
        <v>196</v>
      </c>
      <c r="T1088">
        <v>0</v>
      </c>
      <c r="U1088">
        <v>26</v>
      </c>
      <c r="V1088">
        <v>0</v>
      </c>
      <c r="W1088">
        <v>0</v>
      </c>
      <c r="X1088">
        <v>0</v>
      </c>
    </row>
    <row r="1089" spans="1:24" x14ac:dyDescent="0.25">
      <c r="A1089" t="s">
        <v>15</v>
      </c>
      <c r="B1089" t="s">
        <v>24</v>
      </c>
      <c r="C1089">
        <v>20150316</v>
      </c>
      <c r="D1089">
        <v>0</v>
      </c>
      <c r="F1089">
        <v>62500</v>
      </c>
      <c r="G1089" t="s">
        <v>17</v>
      </c>
      <c r="I1089" t="s">
        <v>16</v>
      </c>
      <c r="J1089" t="s">
        <v>181</v>
      </c>
      <c r="K1089" t="s">
        <v>25</v>
      </c>
      <c r="L1089">
        <v>132757294</v>
      </c>
      <c r="R1089">
        <v>1443</v>
      </c>
      <c r="S1089" t="s">
        <v>201</v>
      </c>
      <c r="T1089">
        <v>0</v>
      </c>
      <c r="U1089">
        <v>26</v>
      </c>
      <c r="V1089">
        <v>0</v>
      </c>
      <c r="W1089">
        <v>0</v>
      </c>
      <c r="X1089">
        <v>0</v>
      </c>
    </row>
    <row r="1090" spans="1:24" x14ac:dyDescent="0.25">
      <c r="A1090" t="s">
        <v>15</v>
      </c>
      <c r="B1090" t="s">
        <v>24</v>
      </c>
      <c r="C1090">
        <v>20150316</v>
      </c>
      <c r="D1090">
        <v>0</v>
      </c>
      <c r="F1090">
        <v>62500</v>
      </c>
      <c r="G1090" t="s">
        <v>17</v>
      </c>
      <c r="I1090" t="s">
        <v>16</v>
      </c>
      <c r="J1090" t="s">
        <v>181</v>
      </c>
      <c r="K1090" t="s">
        <v>25</v>
      </c>
      <c r="L1090">
        <v>132757294</v>
      </c>
      <c r="R1090">
        <v>1444</v>
      </c>
      <c r="S1090" t="s">
        <v>194</v>
      </c>
      <c r="T1090">
        <v>0</v>
      </c>
      <c r="U1090">
        <v>23</v>
      </c>
      <c r="V1090">
        <v>0</v>
      </c>
      <c r="W1090">
        <v>0</v>
      </c>
      <c r="X1090">
        <v>0</v>
      </c>
    </row>
    <row r="1091" spans="1:24" x14ac:dyDescent="0.25">
      <c r="A1091" t="s">
        <v>15</v>
      </c>
      <c r="B1091" t="s">
        <v>24</v>
      </c>
      <c r="C1091">
        <v>20150316</v>
      </c>
      <c r="D1091">
        <v>0</v>
      </c>
      <c r="F1091">
        <v>62500</v>
      </c>
      <c r="G1091" t="s">
        <v>17</v>
      </c>
      <c r="I1091" t="s">
        <v>16</v>
      </c>
      <c r="J1091" t="s">
        <v>181</v>
      </c>
      <c r="K1091" t="s">
        <v>25</v>
      </c>
      <c r="L1091">
        <v>132757294</v>
      </c>
      <c r="R1091">
        <v>1444</v>
      </c>
      <c r="S1091" t="s">
        <v>194</v>
      </c>
      <c r="T1091">
        <v>0</v>
      </c>
      <c r="U1091">
        <v>23</v>
      </c>
      <c r="V1091">
        <v>0</v>
      </c>
      <c r="W1091">
        <v>0</v>
      </c>
      <c r="X1091">
        <v>0</v>
      </c>
    </row>
    <row r="1092" spans="1:24" x14ac:dyDescent="0.25">
      <c r="A1092" t="s">
        <v>15</v>
      </c>
      <c r="B1092" t="s">
        <v>24</v>
      </c>
      <c r="C1092">
        <v>20150316</v>
      </c>
      <c r="D1092">
        <v>0</v>
      </c>
      <c r="F1092">
        <v>62500</v>
      </c>
      <c r="G1092" t="s">
        <v>17</v>
      </c>
      <c r="I1092" t="s">
        <v>16</v>
      </c>
      <c r="J1092" t="s">
        <v>181</v>
      </c>
      <c r="K1092" t="s">
        <v>25</v>
      </c>
      <c r="L1092">
        <v>132757294</v>
      </c>
      <c r="R1092">
        <v>1445</v>
      </c>
      <c r="S1092" t="s">
        <v>214</v>
      </c>
      <c r="T1092">
        <v>0</v>
      </c>
      <c r="U1092">
        <v>-23</v>
      </c>
      <c r="V1092">
        <v>0</v>
      </c>
      <c r="W1092">
        <v>0</v>
      </c>
      <c r="X1092">
        <v>0</v>
      </c>
    </row>
    <row r="1093" spans="1:24" x14ac:dyDescent="0.25">
      <c r="A1093" t="s">
        <v>15</v>
      </c>
      <c r="B1093" t="s">
        <v>24</v>
      </c>
      <c r="C1093">
        <v>20150316</v>
      </c>
      <c r="D1093">
        <v>0</v>
      </c>
      <c r="F1093">
        <v>62500</v>
      </c>
      <c r="G1093" t="s">
        <v>17</v>
      </c>
      <c r="I1093" t="s">
        <v>16</v>
      </c>
      <c r="J1093" t="s">
        <v>181</v>
      </c>
      <c r="K1093" t="s">
        <v>25</v>
      </c>
      <c r="L1093">
        <v>132757294</v>
      </c>
      <c r="R1093">
        <v>1445</v>
      </c>
      <c r="S1093" t="s">
        <v>194</v>
      </c>
      <c r="T1093">
        <v>0</v>
      </c>
      <c r="U1093">
        <v>23</v>
      </c>
      <c r="V1093">
        <v>0</v>
      </c>
      <c r="W1093">
        <v>0</v>
      </c>
      <c r="X1093">
        <v>0</v>
      </c>
    </row>
    <row r="1094" spans="1:24" x14ac:dyDescent="0.25">
      <c r="A1094" t="s">
        <v>15</v>
      </c>
      <c r="B1094" t="s">
        <v>24</v>
      </c>
      <c r="C1094">
        <v>20150316</v>
      </c>
      <c r="D1094">
        <v>0</v>
      </c>
      <c r="F1094">
        <v>62500</v>
      </c>
      <c r="G1094" t="s">
        <v>17</v>
      </c>
      <c r="I1094" t="s">
        <v>16</v>
      </c>
      <c r="J1094" t="s">
        <v>181</v>
      </c>
      <c r="K1094" t="s">
        <v>25</v>
      </c>
      <c r="L1094">
        <v>132757294</v>
      </c>
      <c r="R1094">
        <v>1445</v>
      </c>
      <c r="S1094" t="s">
        <v>194</v>
      </c>
      <c r="T1094">
        <v>0</v>
      </c>
      <c r="U1094">
        <v>23</v>
      </c>
      <c r="V1094">
        <v>0</v>
      </c>
      <c r="W1094">
        <v>0</v>
      </c>
      <c r="X1094">
        <v>0</v>
      </c>
    </row>
    <row r="1095" spans="1:24" x14ac:dyDescent="0.25">
      <c r="A1095" t="s">
        <v>15</v>
      </c>
      <c r="B1095" t="s">
        <v>24</v>
      </c>
      <c r="C1095">
        <v>20150316</v>
      </c>
      <c r="D1095">
        <v>0</v>
      </c>
      <c r="F1095">
        <v>62500</v>
      </c>
      <c r="G1095" t="s">
        <v>17</v>
      </c>
      <c r="I1095" t="s">
        <v>16</v>
      </c>
      <c r="J1095" t="s">
        <v>181</v>
      </c>
      <c r="K1095" t="s">
        <v>25</v>
      </c>
      <c r="L1095">
        <v>132757294</v>
      </c>
      <c r="R1095">
        <v>1445</v>
      </c>
      <c r="S1095" t="s">
        <v>194</v>
      </c>
      <c r="T1095">
        <v>0</v>
      </c>
      <c r="U1095">
        <v>23</v>
      </c>
      <c r="V1095">
        <v>0</v>
      </c>
      <c r="W1095">
        <v>0</v>
      </c>
      <c r="X1095">
        <v>0</v>
      </c>
    </row>
    <row r="1096" spans="1:24" x14ac:dyDescent="0.25">
      <c r="A1096" t="s">
        <v>15</v>
      </c>
      <c r="B1096" t="s">
        <v>24</v>
      </c>
      <c r="C1096">
        <v>20150316</v>
      </c>
      <c r="D1096">
        <v>0</v>
      </c>
      <c r="F1096">
        <v>62500</v>
      </c>
      <c r="G1096" t="s">
        <v>17</v>
      </c>
      <c r="I1096" t="s">
        <v>16</v>
      </c>
      <c r="J1096" t="s">
        <v>181</v>
      </c>
      <c r="K1096" t="s">
        <v>25</v>
      </c>
      <c r="L1096">
        <v>132757294</v>
      </c>
      <c r="R1096">
        <v>1446</v>
      </c>
      <c r="S1096" t="s">
        <v>214</v>
      </c>
      <c r="T1096">
        <v>0</v>
      </c>
      <c r="U1096">
        <v>-24</v>
      </c>
      <c r="V1096">
        <v>0</v>
      </c>
      <c r="W1096">
        <v>0</v>
      </c>
      <c r="X1096">
        <v>0</v>
      </c>
    </row>
    <row r="1097" spans="1:24" x14ac:dyDescent="0.25">
      <c r="A1097" t="s">
        <v>15</v>
      </c>
      <c r="B1097" t="s">
        <v>24</v>
      </c>
      <c r="C1097">
        <v>20150316</v>
      </c>
      <c r="D1097">
        <v>0</v>
      </c>
      <c r="F1097">
        <v>62500</v>
      </c>
      <c r="G1097" t="s">
        <v>17</v>
      </c>
      <c r="I1097" t="s">
        <v>16</v>
      </c>
      <c r="J1097" t="s">
        <v>181</v>
      </c>
      <c r="K1097" t="s">
        <v>25</v>
      </c>
      <c r="L1097">
        <v>132757294</v>
      </c>
      <c r="R1097">
        <v>1445</v>
      </c>
      <c r="S1097" t="s">
        <v>196</v>
      </c>
      <c r="T1097">
        <v>0</v>
      </c>
      <c r="U1097">
        <v>23</v>
      </c>
      <c r="V1097">
        <v>0</v>
      </c>
      <c r="W1097">
        <v>0</v>
      </c>
      <c r="X1097">
        <v>0</v>
      </c>
    </row>
    <row r="1098" spans="1:24" x14ac:dyDescent="0.25">
      <c r="A1098" t="s">
        <v>15</v>
      </c>
      <c r="B1098" t="s">
        <v>24</v>
      </c>
      <c r="C1098">
        <v>20150316</v>
      </c>
      <c r="D1098">
        <v>0</v>
      </c>
      <c r="F1098">
        <v>62500</v>
      </c>
      <c r="G1098" t="s">
        <v>17</v>
      </c>
      <c r="I1098" t="s">
        <v>16</v>
      </c>
      <c r="J1098" t="s">
        <v>181</v>
      </c>
      <c r="K1098" t="s">
        <v>25</v>
      </c>
      <c r="L1098">
        <v>132757294</v>
      </c>
      <c r="R1098">
        <v>1445</v>
      </c>
      <c r="S1098" t="s">
        <v>201</v>
      </c>
      <c r="T1098">
        <v>0</v>
      </c>
      <c r="U1098">
        <v>23</v>
      </c>
      <c r="V1098">
        <v>0</v>
      </c>
      <c r="W1098">
        <v>0</v>
      </c>
      <c r="X1098">
        <v>0</v>
      </c>
    </row>
    <row r="1099" spans="1:24" x14ac:dyDescent="0.25">
      <c r="A1099" t="s">
        <v>15</v>
      </c>
      <c r="B1099" t="s">
        <v>24</v>
      </c>
      <c r="C1099">
        <v>20150316</v>
      </c>
      <c r="D1099">
        <v>0</v>
      </c>
      <c r="F1099">
        <v>62500</v>
      </c>
      <c r="G1099" t="s">
        <v>17</v>
      </c>
      <c r="I1099" t="s">
        <v>16</v>
      </c>
      <c r="J1099" t="s">
        <v>181</v>
      </c>
      <c r="K1099" t="s">
        <v>25</v>
      </c>
      <c r="L1099">
        <v>132757294</v>
      </c>
      <c r="R1099">
        <v>1446</v>
      </c>
      <c r="S1099" t="s">
        <v>214</v>
      </c>
      <c r="T1099">
        <v>0</v>
      </c>
      <c r="U1099">
        <v>-24</v>
      </c>
      <c r="V1099">
        <v>0</v>
      </c>
      <c r="W1099">
        <v>0</v>
      </c>
      <c r="X1099">
        <v>0</v>
      </c>
    </row>
    <row r="1100" spans="1:24" x14ac:dyDescent="0.25">
      <c r="A1100" t="s">
        <v>15</v>
      </c>
      <c r="B1100" t="s">
        <v>24</v>
      </c>
      <c r="C1100">
        <v>20150316</v>
      </c>
      <c r="D1100">
        <v>0</v>
      </c>
      <c r="F1100">
        <v>62500</v>
      </c>
      <c r="G1100" t="s">
        <v>17</v>
      </c>
      <c r="I1100" t="s">
        <v>16</v>
      </c>
      <c r="J1100" t="s">
        <v>181</v>
      </c>
      <c r="K1100" t="s">
        <v>25</v>
      </c>
      <c r="L1100">
        <v>132757294</v>
      </c>
      <c r="R1100">
        <v>1446</v>
      </c>
      <c r="S1100" t="s">
        <v>194</v>
      </c>
      <c r="T1100">
        <v>0</v>
      </c>
      <c r="U1100">
        <v>24</v>
      </c>
      <c r="V1100">
        <v>0</v>
      </c>
      <c r="W1100">
        <v>0</v>
      </c>
      <c r="X1100">
        <v>0</v>
      </c>
    </row>
    <row r="1101" spans="1:24" x14ac:dyDescent="0.25">
      <c r="A1101" t="s">
        <v>15</v>
      </c>
      <c r="B1101" t="s">
        <v>24</v>
      </c>
      <c r="C1101">
        <v>20150316</v>
      </c>
      <c r="D1101">
        <v>0</v>
      </c>
      <c r="F1101">
        <v>62500</v>
      </c>
      <c r="G1101" t="s">
        <v>17</v>
      </c>
      <c r="I1101" t="s">
        <v>16</v>
      </c>
      <c r="J1101" t="s">
        <v>181</v>
      </c>
      <c r="K1101" t="s">
        <v>25</v>
      </c>
      <c r="L1101">
        <v>132757294</v>
      </c>
      <c r="R1101">
        <v>1446</v>
      </c>
      <c r="S1101" t="s">
        <v>194</v>
      </c>
      <c r="T1101">
        <v>0</v>
      </c>
      <c r="U1101">
        <v>24</v>
      </c>
      <c r="V1101">
        <v>0</v>
      </c>
      <c r="W1101">
        <v>0</v>
      </c>
      <c r="X1101">
        <v>0</v>
      </c>
    </row>
    <row r="1102" spans="1:24" x14ac:dyDescent="0.25">
      <c r="A1102" t="s">
        <v>15</v>
      </c>
      <c r="B1102" t="s">
        <v>24</v>
      </c>
      <c r="C1102">
        <v>20150316</v>
      </c>
      <c r="D1102">
        <v>0</v>
      </c>
      <c r="F1102">
        <v>62500</v>
      </c>
      <c r="G1102" t="s">
        <v>17</v>
      </c>
      <c r="I1102" t="s">
        <v>16</v>
      </c>
      <c r="J1102" t="s">
        <v>181</v>
      </c>
      <c r="K1102" t="s">
        <v>25</v>
      </c>
      <c r="L1102">
        <v>132757294</v>
      </c>
      <c r="R1102">
        <v>1446</v>
      </c>
      <c r="S1102" t="s">
        <v>194</v>
      </c>
      <c r="T1102">
        <v>0</v>
      </c>
      <c r="U1102">
        <v>24</v>
      </c>
      <c r="V1102">
        <v>0</v>
      </c>
      <c r="W1102">
        <v>0</v>
      </c>
      <c r="X1102">
        <v>0</v>
      </c>
    </row>
    <row r="1103" spans="1:24" x14ac:dyDescent="0.25">
      <c r="A1103" t="s">
        <v>15</v>
      </c>
      <c r="B1103" t="s">
        <v>24</v>
      </c>
      <c r="C1103">
        <v>20150316</v>
      </c>
      <c r="D1103">
        <v>0</v>
      </c>
      <c r="F1103">
        <v>62500</v>
      </c>
      <c r="G1103" t="s">
        <v>17</v>
      </c>
      <c r="I1103" t="s">
        <v>16</v>
      </c>
      <c r="J1103" t="s">
        <v>181</v>
      </c>
      <c r="K1103" t="s">
        <v>25</v>
      </c>
      <c r="L1103">
        <v>132757294</v>
      </c>
      <c r="R1103">
        <v>1447</v>
      </c>
      <c r="S1103" t="s">
        <v>214</v>
      </c>
      <c r="T1103">
        <v>0</v>
      </c>
      <c r="U1103">
        <v>25</v>
      </c>
      <c r="V1103">
        <v>0</v>
      </c>
      <c r="W1103">
        <v>0</v>
      </c>
      <c r="X1103">
        <v>0</v>
      </c>
    </row>
    <row r="1104" spans="1:24" x14ac:dyDescent="0.25">
      <c r="A1104" t="s">
        <v>15</v>
      </c>
      <c r="B1104" t="s">
        <v>24</v>
      </c>
      <c r="C1104">
        <v>20150316</v>
      </c>
      <c r="D1104">
        <v>0</v>
      </c>
      <c r="F1104">
        <v>62500</v>
      </c>
      <c r="G1104" t="s">
        <v>17</v>
      </c>
      <c r="I1104" t="s">
        <v>16</v>
      </c>
      <c r="J1104" t="s">
        <v>181</v>
      </c>
      <c r="K1104" t="s">
        <v>25</v>
      </c>
      <c r="L1104">
        <v>132757294</v>
      </c>
      <c r="R1104">
        <v>1444</v>
      </c>
      <c r="S1104" t="s">
        <v>196</v>
      </c>
      <c r="T1104">
        <v>0</v>
      </c>
      <c r="U1104">
        <v>23</v>
      </c>
      <c r="V1104">
        <v>0</v>
      </c>
      <c r="W1104">
        <v>0</v>
      </c>
      <c r="X1104">
        <v>0</v>
      </c>
    </row>
    <row r="1105" spans="1:24" x14ac:dyDescent="0.25">
      <c r="A1105" t="s">
        <v>15</v>
      </c>
      <c r="B1105" t="s">
        <v>24</v>
      </c>
      <c r="C1105">
        <v>20150316</v>
      </c>
      <c r="D1105">
        <v>0</v>
      </c>
      <c r="F1105">
        <v>62500</v>
      </c>
      <c r="G1105" t="s">
        <v>17</v>
      </c>
      <c r="I1105" t="s">
        <v>16</v>
      </c>
      <c r="J1105" t="s">
        <v>181</v>
      </c>
      <c r="K1105" t="s">
        <v>25</v>
      </c>
      <c r="L1105">
        <v>132757294</v>
      </c>
      <c r="R1105">
        <v>1444</v>
      </c>
      <c r="S1105" t="s">
        <v>201</v>
      </c>
      <c r="T1105">
        <v>0</v>
      </c>
      <c r="U1105">
        <v>23</v>
      </c>
      <c r="V1105">
        <v>0</v>
      </c>
      <c r="W1105">
        <v>0</v>
      </c>
      <c r="X1105">
        <v>0</v>
      </c>
    </row>
    <row r="1106" spans="1:24" x14ac:dyDescent="0.25">
      <c r="A1106" t="s">
        <v>15</v>
      </c>
      <c r="B1106" t="s">
        <v>24</v>
      </c>
      <c r="C1106">
        <v>20150316</v>
      </c>
      <c r="D1106">
        <v>0</v>
      </c>
      <c r="F1106">
        <v>62500</v>
      </c>
      <c r="G1106" t="s">
        <v>17</v>
      </c>
      <c r="I1106" t="s">
        <v>16</v>
      </c>
      <c r="J1106" t="s">
        <v>181</v>
      </c>
      <c r="K1106" t="s">
        <v>25</v>
      </c>
      <c r="L1106">
        <v>132757294</v>
      </c>
      <c r="R1106">
        <v>1447</v>
      </c>
      <c r="S1106" t="s">
        <v>214</v>
      </c>
      <c r="T1106">
        <v>0</v>
      </c>
      <c r="U1106">
        <v>25</v>
      </c>
      <c r="V1106">
        <v>0</v>
      </c>
      <c r="W1106">
        <v>0</v>
      </c>
      <c r="X1106">
        <v>0</v>
      </c>
    </row>
    <row r="1107" spans="1:24" x14ac:dyDescent="0.25">
      <c r="A1107" t="s">
        <v>15</v>
      </c>
      <c r="B1107" t="s">
        <v>24</v>
      </c>
      <c r="C1107">
        <v>20150316</v>
      </c>
      <c r="D1107">
        <v>0</v>
      </c>
      <c r="F1107">
        <v>62500</v>
      </c>
      <c r="G1107" t="s">
        <v>17</v>
      </c>
      <c r="I1107" t="s">
        <v>16</v>
      </c>
      <c r="J1107" t="s">
        <v>181</v>
      </c>
      <c r="K1107" t="s">
        <v>25</v>
      </c>
      <c r="L1107">
        <v>132757294</v>
      </c>
      <c r="R1107">
        <v>1447</v>
      </c>
      <c r="S1107" t="s">
        <v>194</v>
      </c>
      <c r="T1107">
        <v>0</v>
      </c>
      <c r="U1107">
        <v>25</v>
      </c>
      <c r="V1107">
        <v>0</v>
      </c>
      <c r="W1107">
        <v>0</v>
      </c>
      <c r="X1107">
        <v>0</v>
      </c>
    </row>
    <row r="1108" spans="1:24" x14ac:dyDescent="0.25">
      <c r="A1108" t="s">
        <v>15</v>
      </c>
      <c r="B1108" t="s">
        <v>24</v>
      </c>
      <c r="C1108">
        <v>20150316</v>
      </c>
      <c r="D1108">
        <v>0</v>
      </c>
      <c r="F1108">
        <v>62500</v>
      </c>
      <c r="G1108" t="s">
        <v>17</v>
      </c>
      <c r="I1108" t="s">
        <v>16</v>
      </c>
      <c r="J1108" t="s">
        <v>181</v>
      </c>
      <c r="K1108" t="s">
        <v>25</v>
      </c>
      <c r="L1108">
        <v>132757294</v>
      </c>
      <c r="R1108">
        <v>1447</v>
      </c>
      <c r="S1108" t="s">
        <v>194</v>
      </c>
      <c r="T1108">
        <v>0</v>
      </c>
      <c r="U1108">
        <v>25</v>
      </c>
      <c r="V1108">
        <v>0</v>
      </c>
      <c r="W1108">
        <v>0</v>
      </c>
      <c r="X1108">
        <v>0</v>
      </c>
    </row>
    <row r="1109" spans="1:24" x14ac:dyDescent="0.25">
      <c r="A1109" t="s">
        <v>15</v>
      </c>
      <c r="B1109" t="s">
        <v>24</v>
      </c>
      <c r="C1109">
        <v>20150316</v>
      </c>
      <c r="D1109">
        <v>0</v>
      </c>
      <c r="F1109">
        <v>62500</v>
      </c>
      <c r="G1109" t="s">
        <v>17</v>
      </c>
      <c r="I1109" t="s">
        <v>16</v>
      </c>
      <c r="J1109" t="s">
        <v>181</v>
      </c>
      <c r="K1109" t="s">
        <v>25</v>
      </c>
      <c r="L1109">
        <v>132757294</v>
      </c>
      <c r="R1109">
        <v>1447</v>
      </c>
      <c r="S1109" t="s">
        <v>194</v>
      </c>
      <c r="T1109">
        <v>0</v>
      </c>
      <c r="U1109">
        <v>25</v>
      </c>
      <c r="V1109">
        <v>0</v>
      </c>
      <c r="W1109">
        <v>0</v>
      </c>
      <c r="X1109">
        <v>0</v>
      </c>
    </row>
    <row r="1110" spans="1:24" x14ac:dyDescent="0.25">
      <c r="A1110" t="s">
        <v>15</v>
      </c>
      <c r="B1110" t="s">
        <v>24</v>
      </c>
      <c r="C1110">
        <v>20150316</v>
      </c>
      <c r="D1110">
        <v>0</v>
      </c>
      <c r="F1110">
        <v>62500</v>
      </c>
      <c r="G1110" t="s">
        <v>17</v>
      </c>
      <c r="I1110" t="s">
        <v>16</v>
      </c>
      <c r="J1110" t="s">
        <v>181</v>
      </c>
      <c r="K1110" t="s">
        <v>25</v>
      </c>
      <c r="L1110">
        <v>132757294</v>
      </c>
      <c r="R1110">
        <v>1448</v>
      </c>
      <c r="S1110" t="s">
        <v>214</v>
      </c>
      <c r="T1110">
        <v>0</v>
      </c>
      <c r="U1110">
        <v>23</v>
      </c>
      <c r="V1110">
        <v>0</v>
      </c>
      <c r="W1110">
        <v>0</v>
      </c>
      <c r="X1110">
        <v>0</v>
      </c>
    </row>
    <row r="1111" spans="1:24" x14ac:dyDescent="0.25">
      <c r="A1111" t="s">
        <v>15</v>
      </c>
      <c r="B1111" t="s">
        <v>24</v>
      </c>
      <c r="C1111">
        <v>20150316</v>
      </c>
      <c r="D1111">
        <v>0</v>
      </c>
      <c r="F1111">
        <v>62500</v>
      </c>
      <c r="G1111" t="s">
        <v>17</v>
      </c>
      <c r="I1111" t="s">
        <v>16</v>
      </c>
      <c r="J1111" t="s">
        <v>181</v>
      </c>
      <c r="K1111" t="s">
        <v>25</v>
      </c>
      <c r="L1111">
        <v>132757294</v>
      </c>
      <c r="R1111">
        <v>1447</v>
      </c>
      <c r="S1111" t="s">
        <v>196</v>
      </c>
      <c r="T1111">
        <v>0</v>
      </c>
      <c r="U1111">
        <v>25</v>
      </c>
      <c r="V1111">
        <v>0</v>
      </c>
      <c r="W1111">
        <v>0</v>
      </c>
      <c r="X1111">
        <v>0</v>
      </c>
    </row>
    <row r="1112" spans="1:24" x14ac:dyDescent="0.25">
      <c r="A1112" t="s">
        <v>15</v>
      </c>
      <c r="B1112" t="s">
        <v>24</v>
      </c>
      <c r="C1112">
        <v>20150316</v>
      </c>
      <c r="D1112">
        <v>0</v>
      </c>
      <c r="F1112">
        <v>62500</v>
      </c>
      <c r="G1112" t="s">
        <v>17</v>
      </c>
      <c r="I1112" t="s">
        <v>16</v>
      </c>
      <c r="J1112" t="s">
        <v>181</v>
      </c>
      <c r="K1112" t="s">
        <v>25</v>
      </c>
      <c r="L1112">
        <v>132757294</v>
      </c>
      <c r="R1112">
        <v>1447</v>
      </c>
      <c r="S1112" t="s">
        <v>201</v>
      </c>
      <c r="T1112">
        <v>0</v>
      </c>
      <c r="U1112">
        <v>25</v>
      </c>
      <c r="V1112">
        <v>0</v>
      </c>
      <c r="W1112">
        <v>0</v>
      </c>
      <c r="X1112">
        <v>0</v>
      </c>
    </row>
    <row r="1113" spans="1:24" x14ac:dyDescent="0.25">
      <c r="A1113" t="s">
        <v>15</v>
      </c>
      <c r="B1113" t="s">
        <v>24</v>
      </c>
      <c r="C1113">
        <v>20150316</v>
      </c>
      <c r="D1113">
        <v>0</v>
      </c>
      <c r="F1113">
        <v>62500</v>
      </c>
      <c r="G1113" t="s">
        <v>17</v>
      </c>
      <c r="I1113" t="s">
        <v>16</v>
      </c>
      <c r="J1113" t="s">
        <v>181</v>
      </c>
      <c r="K1113" t="s">
        <v>25</v>
      </c>
      <c r="L1113">
        <v>132757294</v>
      </c>
      <c r="R1113">
        <v>1448</v>
      </c>
      <c r="S1113" t="s">
        <v>214</v>
      </c>
      <c r="T1113">
        <v>0</v>
      </c>
      <c r="U1113">
        <v>23</v>
      </c>
      <c r="V1113">
        <v>0</v>
      </c>
      <c r="W1113">
        <v>0</v>
      </c>
      <c r="X1113">
        <v>0</v>
      </c>
    </row>
    <row r="1114" spans="1:24" x14ac:dyDescent="0.25">
      <c r="A1114" t="s">
        <v>15</v>
      </c>
      <c r="B1114" t="s">
        <v>24</v>
      </c>
      <c r="C1114">
        <v>20150316</v>
      </c>
      <c r="D1114">
        <v>0</v>
      </c>
      <c r="F1114">
        <v>62500</v>
      </c>
      <c r="G1114" t="s">
        <v>17</v>
      </c>
      <c r="I1114" t="s">
        <v>16</v>
      </c>
      <c r="J1114" t="s">
        <v>181</v>
      </c>
      <c r="K1114" t="s">
        <v>25</v>
      </c>
      <c r="L1114">
        <v>132757294</v>
      </c>
      <c r="R1114">
        <v>1448</v>
      </c>
      <c r="S1114" t="s">
        <v>194</v>
      </c>
      <c r="T1114">
        <v>0</v>
      </c>
      <c r="U1114">
        <v>23</v>
      </c>
      <c r="V1114">
        <v>0</v>
      </c>
      <c r="W1114">
        <v>0</v>
      </c>
      <c r="X1114">
        <v>0</v>
      </c>
    </row>
    <row r="1115" spans="1:24" x14ac:dyDescent="0.25">
      <c r="A1115" t="s">
        <v>15</v>
      </c>
      <c r="B1115" t="s">
        <v>24</v>
      </c>
      <c r="C1115">
        <v>20150316</v>
      </c>
      <c r="D1115">
        <v>0</v>
      </c>
      <c r="F1115">
        <v>62500</v>
      </c>
      <c r="G1115" t="s">
        <v>17</v>
      </c>
      <c r="I1115" t="s">
        <v>16</v>
      </c>
      <c r="J1115" t="s">
        <v>181</v>
      </c>
      <c r="K1115" t="s">
        <v>25</v>
      </c>
      <c r="L1115">
        <v>132757294</v>
      </c>
      <c r="R1115">
        <v>1448</v>
      </c>
      <c r="S1115" t="s">
        <v>194</v>
      </c>
      <c r="T1115">
        <v>0</v>
      </c>
      <c r="U1115">
        <v>23</v>
      </c>
      <c r="V1115">
        <v>0</v>
      </c>
      <c r="W1115">
        <v>0</v>
      </c>
      <c r="X1115">
        <v>0</v>
      </c>
    </row>
    <row r="1116" spans="1:24" x14ac:dyDescent="0.25">
      <c r="A1116" t="s">
        <v>15</v>
      </c>
      <c r="B1116" t="s">
        <v>24</v>
      </c>
      <c r="C1116">
        <v>20150316</v>
      </c>
      <c r="D1116">
        <v>0</v>
      </c>
      <c r="F1116">
        <v>62500</v>
      </c>
      <c r="G1116" t="s">
        <v>17</v>
      </c>
      <c r="I1116" t="s">
        <v>16</v>
      </c>
      <c r="J1116" t="s">
        <v>181</v>
      </c>
      <c r="K1116" t="s">
        <v>25</v>
      </c>
      <c r="L1116">
        <v>132757294</v>
      </c>
      <c r="R1116">
        <v>1448</v>
      </c>
      <c r="S1116" t="s">
        <v>194</v>
      </c>
      <c r="T1116">
        <v>0</v>
      </c>
      <c r="U1116">
        <v>23</v>
      </c>
      <c r="V1116">
        <v>0</v>
      </c>
      <c r="W1116">
        <v>0</v>
      </c>
      <c r="X1116">
        <v>0</v>
      </c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2015-01-30T10:55:16Z</dcterms:modified>
</cp:coreProperties>
</file>