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0" yWindow="0" windowWidth="15570" windowHeight="7800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U68" i="15" l="1"/>
  <c r="W68" i="15"/>
  <c r="X68" i="15"/>
  <c r="U69" i="15"/>
  <c r="W69" i="15"/>
  <c r="X69" i="15"/>
  <c r="U70" i="15"/>
  <c r="W70" i="15"/>
  <c r="X70" i="15"/>
  <c r="U71" i="15"/>
  <c r="W71" i="15"/>
  <c r="X71" i="15"/>
  <c r="U72" i="15"/>
  <c r="W72" i="15"/>
  <c r="X72" i="15"/>
  <c r="U73" i="15"/>
  <c r="W73" i="15"/>
  <c r="X73" i="15"/>
  <c r="U74" i="15"/>
  <c r="W74" i="15"/>
  <c r="X74" i="15"/>
  <c r="Y74" i="15"/>
  <c r="U75" i="15"/>
  <c r="W75" i="15"/>
  <c r="X75" i="15"/>
  <c r="Y75" i="15" s="1"/>
  <c r="U76" i="15"/>
  <c r="W76" i="15"/>
  <c r="X76" i="15"/>
  <c r="Y76" i="15" s="1"/>
  <c r="U77" i="15"/>
  <c r="W77" i="15"/>
  <c r="X77" i="15"/>
  <c r="Y77" i="15" s="1"/>
  <c r="U78" i="15"/>
  <c r="W78" i="15"/>
  <c r="X78" i="15"/>
  <c r="Y78" i="15"/>
  <c r="U79" i="15"/>
  <c r="W79" i="15"/>
  <c r="X79" i="15"/>
  <c r="Y79" i="15" s="1"/>
  <c r="U80" i="15"/>
  <c r="W80" i="15"/>
  <c r="X80" i="15"/>
  <c r="Y80" i="15" s="1"/>
  <c r="U81" i="15"/>
  <c r="W81" i="15"/>
  <c r="X81" i="15"/>
  <c r="Y81" i="15" s="1"/>
  <c r="U82" i="15"/>
  <c r="W82" i="15"/>
  <c r="X82" i="15"/>
  <c r="Y82" i="15"/>
  <c r="U83" i="15"/>
  <c r="W83" i="15"/>
  <c r="X83" i="15"/>
  <c r="Y83" i="15" s="1"/>
  <c r="U84" i="15"/>
  <c r="W84" i="15"/>
  <c r="X84" i="15"/>
  <c r="Y84" i="15" s="1"/>
  <c r="U85" i="15"/>
  <c r="W85" i="15"/>
  <c r="X85" i="15"/>
  <c r="Y85" i="15" s="1"/>
  <c r="U86" i="15"/>
  <c r="W86" i="15"/>
  <c r="X86" i="15"/>
  <c r="Y86" i="15"/>
  <c r="U87" i="15"/>
  <c r="W87" i="15"/>
  <c r="X87" i="15"/>
  <c r="Y87" i="15" s="1"/>
  <c r="AA71" i="15"/>
  <c r="AA75" i="15"/>
  <c r="AA79" i="15"/>
  <c r="AA83" i="15"/>
  <c r="AA87" i="15"/>
  <c r="AA68" i="15"/>
  <c r="AA72" i="15"/>
  <c r="AA80" i="15"/>
  <c r="AA84" i="15"/>
  <c r="AA69" i="15"/>
  <c r="AA73" i="15"/>
  <c r="AA77" i="15"/>
  <c r="AA81" i="15"/>
  <c r="AA85" i="15"/>
  <c r="AA86" i="15"/>
  <c r="AA70" i="15"/>
  <c r="AA74" i="15"/>
  <c r="AA78" i="15"/>
  <c r="AA82" i="15"/>
  <c r="AA76" i="15"/>
  <c r="Y71" i="15" l="1"/>
  <c r="Y73" i="15"/>
  <c r="Y72" i="15"/>
  <c r="Y70" i="15"/>
  <c r="Y68" i="15"/>
  <c r="Y69" i="15"/>
  <c r="U47" i="15"/>
  <c r="Z70" i="15"/>
  <c r="Z75" i="15"/>
  <c r="Z74" i="15"/>
  <c r="Z81" i="15"/>
  <c r="Z84" i="15"/>
  <c r="Z87" i="15"/>
  <c r="Z71" i="15"/>
  <c r="Z76" i="15"/>
  <c r="Z77" i="15"/>
  <c r="Z80" i="15"/>
  <c r="Z83" i="15"/>
  <c r="Z82" i="15"/>
  <c r="Z86" i="15"/>
  <c r="Z73" i="15"/>
  <c r="Z72" i="15"/>
  <c r="Z79" i="15"/>
  <c r="Z78" i="15"/>
  <c r="Z85" i="15"/>
  <c r="Z69" i="15"/>
  <c r="Z68" i="15"/>
  <c r="AB68" i="15" l="1"/>
  <c r="AC68" i="15" s="1"/>
  <c r="AD68" i="15" s="1"/>
  <c r="AB69" i="15"/>
  <c r="AC69" i="15" s="1"/>
  <c r="AD69" i="15" s="1"/>
  <c r="AB85" i="15"/>
  <c r="AC85" i="15" s="1"/>
  <c r="AD85" i="15" s="1"/>
  <c r="AB78" i="15"/>
  <c r="AC78" i="15" s="1"/>
  <c r="AD78" i="15" s="1"/>
  <c r="AB79" i="15"/>
  <c r="AC79" i="15" s="1"/>
  <c r="AD79" i="15" s="1"/>
  <c r="AB72" i="15"/>
  <c r="AC72" i="15" s="1"/>
  <c r="AD72" i="15" s="1"/>
  <c r="AB73" i="15"/>
  <c r="AC73" i="15" s="1"/>
  <c r="AD73" i="15" s="1"/>
  <c r="AB86" i="15"/>
  <c r="AC86" i="15" s="1"/>
  <c r="AD86" i="15" s="1"/>
  <c r="AB82" i="15"/>
  <c r="AC82" i="15" s="1"/>
  <c r="AD82" i="15" s="1"/>
  <c r="AB83" i="15"/>
  <c r="AC83" i="15" s="1"/>
  <c r="AD83" i="15" s="1"/>
  <c r="AB80" i="15"/>
  <c r="AC80" i="15" s="1"/>
  <c r="AD80" i="15" s="1"/>
  <c r="AB77" i="15"/>
  <c r="AC77" i="15" s="1"/>
  <c r="AD77" i="15" s="1"/>
  <c r="AB76" i="15"/>
  <c r="AC76" i="15" s="1"/>
  <c r="AD76" i="15" s="1"/>
  <c r="AB71" i="15"/>
  <c r="AC71" i="15" s="1"/>
  <c r="AD71" i="15" s="1"/>
  <c r="AB87" i="15"/>
  <c r="AC87" i="15" s="1"/>
  <c r="AD87" i="15" s="1"/>
  <c r="AB84" i="15"/>
  <c r="AC84" i="15" s="1"/>
  <c r="AD84" i="15" s="1"/>
  <c r="AB81" i="15"/>
  <c r="AC81" i="15" s="1"/>
  <c r="AD81" i="15" s="1"/>
  <c r="AB74" i="15"/>
  <c r="AC74" i="15" s="1"/>
  <c r="AD74" i="15" s="1"/>
  <c r="AB75" i="15"/>
  <c r="AC75" i="15" s="1"/>
  <c r="AD75" i="15" s="1"/>
  <c r="AB70" i="15"/>
  <c r="AC70" i="15" s="1"/>
  <c r="AD70" i="15" s="1"/>
  <c r="AK125" i="13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67" i="15"/>
  <c r="W67" i="15"/>
  <c r="U67" i="15"/>
  <c r="X66" i="15"/>
  <c r="W66" i="15"/>
  <c r="U66" i="15"/>
  <c r="X65" i="15"/>
  <c r="W65" i="15"/>
  <c r="U65" i="15"/>
  <c r="X64" i="15"/>
  <c r="W64" i="15"/>
  <c r="U64" i="15"/>
  <c r="X63" i="15"/>
  <c r="W63" i="15"/>
  <c r="U63" i="15"/>
  <c r="X62" i="15"/>
  <c r="W62" i="15"/>
  <c r="U62" i="15"/>
  <c r="X61" i="15"/>
  <c r="W61" i="15"/>
  <c r="U61" i="15"/>
  <c r="X60" i="15"/>
  <c r="W60" i="15"/>
  <c r="U60" i="15"/>
  <c r="X59" i="15"/>
  <c r="W59" i="15"/>
  <c r="U59" i="15"/>
  <c r="X58" i="15"/>
  <c r="W58" i="15"/>
  <c r="U58" i="15"/>
  <c r="X57" i="15"/>
  <c r="W57" i="15"/>
  <c r="U57" i="15"/>
  <c r="X56" i="15"/>
  <c r="W56" i="15"/>
  <c r="U56" i="15"/>
  <c r="X55" i="15"/>
  <c r="W55" i="15"/>
  <c r="U55" i="15"/>
  <c r="X54" i="15"/>
  <c r="W54" i="15"/>
  <c r="U54" i="15"/>
  <c r="X53" i="15"/>
  <c r="W53" i="15"/>
  <c r="U53" i="15"/>
  <c r="X52" i="15"/>
  <c r="W52" i="15"/>
  <c r="U52" i="15"/>
  <c r="X51" i="15"/>
  <c r="W51" i="15"/>
  <c r="U51" i="15"/>
  <c r="X50" i="15"/>
  <c r="W50" i="15"/>
  <c r="U50" i="15"/>
  <c r="X49" i="15"/>
  <c r="W49" i="15"/>
  <c r="U49" i="15"/>
  <c r="X48" i="15"/>
  <c r="W48" i="15"/>
  <c r="U48" i="15"/>
  <c r="X47" i="15"/>
  <c r="W47" i="15"/>
  <c r="AE121" i="13"/>
  <c r="AE86" i="13"/>
  <c r="AE109" i="13"/>
  <c r="AE17" i="13"/>
  <c r="AE118" i="13"/>
  <c r="AE18" i="13"/>
  <c r="AE85" i="13"/>
  <c r="AE44" i="13"/>
  <c r="AE117" i="13"/>
  <c r="AE59" i="13"/>
  <c r="AE68" i="13"/>
  <c r="AE99" i="13"/>
  <c r="AE14" i="13"/>
  <c r="AE83" i="13"/>
  <c r="AE88" i="13"/>
  <c r="AE51" i="13"/>
  <c r="AE125" i="13"/>
  <c r="AE50" i="13"/>
  <c r="AE62" i="13"/>
  <c r="AE22" i="13"/>
  <c r="AE79" i="13"/>
  <c r="AE94" i="13"/>
  <c r="AE119" i="13"/>
  <c r="AE77" i="13"/>
  <c r="AE60" i="13"/>
  <c r="AE120" i="13"/>
  <c r="AE57" i="13"/>
  <c r="AE67" i="13"/>
  <c r="AE35" i="13"/>
  <c r="AE84" i="13"/>
  <c r="AE40" i="13"/>
  <c r="AE107" i="13"/>
  <c r="AE9" i="13"/>
  <c r="AE48" i="13"/>
  <c r="AE34" i="13"/>
  <c r="AE100" i="13"/>
  <c r="AE56" i="13"/>
  <c r="AE21" i="13"/>
  <c r="AE45" i="13"/>
  <c r="AE116" i="13"/>
  <c r="AE112" i="13"/>
  <c r="AE16" i="13"/>
  <c r="AE12" i="13"/>
  <c r="AE98" i="13"/>
  <c r="AE124" i="13"/>
  <c r="AE49" i="13"/>
  <c r="AE115" i="13"/>
  <c r="AE64" i="13"/>
  <c r="AE75" i="13"/>
  <c r="AE30" i="13"/>
  <c r="AE96" i="13"/>
  <c r="AE23" i="13"/>
  <c r="AE123" i="13"/>
  <c r="AE37" i="13"/>
  <c r="AE78" i="13"/>
  <c r="AE71" i="13"/>
  <c r="AE72" i="13"/>
  <c r="AE63" i="13"/>
  <c r="AE82" i="13"/>
  <c r="AE10" i="13"/>
  <c r="AE38" i="13"/>
  <c r="AE7" i="13"/>
  <c r="AE46" i="13"/>
  <c r="AE74" i="13"/>
  <c r="AE8" i="13"/>
  <c r="AE69" i="13"/>
  <c r="AE43" i="13"/>
  <c r="AE55" i="13"/>
  <c r="AE92" i="13"/>
  <c r="AE104" i="13"/>
  <c r="AE102" i="13"/>
  <c r="AE15" i="13"/>
  <c r="AE73" i="13"/>
  <c r="AE26" i="13"/>
  <c r="AE114" i="13"/>
  <c r="AE61" i="13"/>
  <c r="AE76" i="13"/>
  <c r="AE11" i="13"/>
  <c r="AE20" i="13"/>
  <c r="AE110" i="13"/>
  <c r="AE81" i="13"/>
  <c r="AE6" i="13"/>
  <c r="AE101" i="13"/>
  <c r="AE41" i="13"/>
  <c r="AE103" i="13"/>
  <c r="AE105" i="13"/>
  <c r="AE28" i="13"/>
  <c r="AE33" i="13"/>
  <c r="AE87" i="13"/>
  <c r="AE80" i="13"/>
  <c r="AE54" i="13"/>
  <c r="AE66" i="13"/>
  <c r="AE70" i="13"/>
  <c r="AE53" i="13"/>
  <c r="AE25" i="13"/>
  <c r="AE108" i="13"/>
  <c r="AE58" i="13"/>
  <c r="AE19" i="13"/>
  <c r="AE32" i="13"/>
  <c r="AE39" i="13"/>
  <c r="AE97" i="13"/>
  <c r="AE89" i="13"/>
  <c r="AE122" i="13"/>
  <c r="AE47" i="13"/>
  <c r="AE113" i="13"/>
  <c r="AE106" i="13"/>
  <c r="AE13" i="13"/>
  <c r="AE24" i="13"/>
  <c r="AE29" i="13"/>
  <c r="AE90" i="13"/>
  <c r="AE27" i="13"/>
  <c r="AE93" i="13"/>
  <c r="AE36" i="13"/>
  <c r="AE52" i="13"/>
  <c r="AE95" i="13"/>
  <c r="AE65" i="13"/>
  <c r="AE91" i="13"/>
  <c r="AE42" i="13"/>
  <c r="AE31" i="13"/>
  <c r="AE111" i="13"/>
  <c r="D42" i="15"/>
  <c r="B42" i="15"/>
  <c r="F42" i="15"/>
  <c r="H42" i="15"/>
  <c r="AA47" i="15"/>
  <c r="AA66" i="15"/>
  <c r="AA50" i="15"/>
  <c r="AA63" i="15"/>
  <c r="AA54" i="15"/>
  <c r="AA53" i="15"/>
  <c r="AA55" i="15"/>
  <c r="AA49" i="15"/>
  <c r="AA65" i="15"/>
  <c r="AA67" i="15"/>
  <c r="AA52" i="15"/>
  <c r="AA60" i="15"/>
  <c r="AA64" i="15"/>
  <c r="AA51" i="15"/>
  <c r="AA59" i="15"/>
  <c r="AA62" i="15"/>
  <c r="AA61" i="15"/>
  <c r="AA56" i="15"/>
  <c r="AA57" i="15"/>
  <c r="AA58" i="15"/>
  <c r="AA48" i="15"/>
  <c r="Y62" i="15" l="1"/>
  <c r="S36" i="15"/>
  <c r="T36" i="15" s="1"/>
  <c r="R36" i="15"/>
  <c r="Q36" i="15"/>
  <c r="Y67" i="15"/>
  <c r="Y66" i="15"/>
  <c r="Y65" i="15"/>
  <c r="Y64" i="15"/>
  <c r="Y63" i="15"/>
  <c r="Y61" i="15"/>
  <c r="Y59" i="15"/>
  <c r="Y60" i="15"/>
  <c r="Y58" i="15"/>
  <c r="AC7" i="13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49" i="15"/>
  <c r="Y56" i="15"/>
  <c r="Y47" i="15"/>
  <c r="Y53" i="15"/>
  <c r="Y48" i="15"/>
  <c r="Y51" i="15"/>
  <c r="Y57" i="15"/>
  <c r="Y55" i="15"/>
  <c r="Y52" i="15"/>
  <c r="Y50" i="15"/>
  <c r="Y54" i="15"/>
  <c r="Z59" i="15"/>
  <c r="Z54" i="15"/>
  <c r="Z50" i="15"/>
  <c r="Z53" i="15"/>
  <c r="Z56" i="15"/>
  <c r="Z63" i="15"/>
  <c r="Z67" i="15"/>
  <c r="Z51" i="15"/>
  <c r="Z49" i="15"/>
  <c r="Z61" i="15"/>
  <c r="Z57" i="15"/>
  <c r="Z66" i="15"/>
  <c r="Z48" i="15"/>
  <c r="Z58" i="15"/>
  <c r="Z64" i="15"/>
  <c r="Z62" i="15"/>
  <c r="Z47" i="15"/>
  <c r="Z55" i="15"/>
  <c r="Z60" i="15"/>
  <c r="Z52" i="15"/>
  <c r="Z65" i="15"/>
  <c r="AB58" i="15" l="1"/>
  <c r="AC58" i="15" s="1"/>
  <c r="AD58" i="15" s="1"/>
  <c r="AB67" i="15"/>
  <c r="AC67" i="15" s="1"/>
  <c r="AD67" i="15" s="1"/>
  <c r="AB63" i="15"/>
  <c r="AC63" i="15" s="1"/>
  <c r="AD63" i="15" s="1"/>
  <c r="AB57" i="15"/>
  <c r="AC57" i="15" s="1"/>
  <c r="AD57" i="15" s="1"/>
  <c r="AB52" i="15"/>
  <c r="AC52" i="15" s="1"/>
  <c r="AD52" i="15" s="1"/>
  <c r="AB66" i="15"/>
  <c r="AC66" i="15" s="1"/>
  <c r="AD66" i="15" s="1"/>
  <c r="AB64" i="15"/>
  <c r="AC64" i="15" s="1"/>
  <c r="AD64" i="15" s="1"/>
  <c r="AB47" i="15"/>
  <c r="AC47" i="15" s="1"/>
  <c r="AD47" i="15" s="1"/>
  <c r="AB59" i="15"/>
  <c r="AC59" i="15" s="1"/>
  <c r="AD59" i="15" s="1"/>
  <c r="AB65" i="15"/>
  <c r="AC65" i="15" s="1"/>
  <c r="AD65" i="15" s="1"/>
  <c r="AB50" i="15"/>
  <c r="AC50" i="15" s="1"/>
  <c r="AD50" i="15" s="1"/>
  <c r="AB48" i="15"/>
  <c r="AC48" i="15" s="1"/>
  <c r="AD48" i="15" s="1"/>
  <c r="AB62" i="15"/>
  <c r="AC62" i="15" s="1"/>
  <c r="AD62" i="15" s="1"/>
  <c r="AB61" i="15"/>
  <c r="AC61" i="15" s="1"/>
  <c r="AD61" i="15" s="1"/>
  <c r="AB60" i="15"/>
  <c r="AC60" i="15" s="1"/>
  <c r="AD60" i="15" s="1"/>
  <c r="AB53" i="15"/>
  <c r="AC53" i="15" s="1"/>
  <c r="AD53" i="15" s="1"/>
  <c r="AB51" i="15"/>
  <c r="AC51" i="15" s="1"/>
  <c r="AD51" i="15" s="1"/>
  <c r="AB56" i="15"/>
  <c r="AC56" i="15" s="1"/>
  <c r="AD56" i="15" s="1"/>
  <c r="AB54" i="15"/>
  <c r="AC54" i="15" s="1"/>
  <c r="AD54" i="15" s="1"/>
  <c r="AB55" i="15"/>
  <c r="AC55" i="15" s="1"/>
  <c r="AD55" i="15" s="1"/>
  <c r="AB49" i="15"/>
  <c r="AC49" i="15" s="1"/>
  <c r="AD49" i="15" s="1"/>
  <c r="AF4" i="13"/>
  <c r="AG45" i="15" l="1"/>
  <c r="W36" i="15" s="1"/>
  <c r="V36" i="15" s="1"/>
  <c r="R37" i="15"/>
  <c r="S37" i="15"/>
  <c r="R38" i="15" l="1"/>
  <c r="S40" i="15" s="1"/>
  <c r="S38" i="15"/>
  <c r="S41" i="15" s="1"/>
  <c r="R41" i="15"/>
  <c r="R40" i="15"/>
  <c r="X41" i="15" l="1"/>
  <c r="X40" i="15"/>
</calcChain>
</file>

<file path=xl/sharedStrings.xml><?xml version="1.0" encoding="utf-8"?>
<sst xmlns="http://schemas.openxmlformats.org/spreadsheetml/2006/main" count="3487" uniqueCount="2484">
  <si>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</si>
  <si>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</si>
  <si>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</si>
  <si>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</si>
  <si>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</si>
  <si>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</si>
  <si>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</si>
  <si>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</si>
  <si>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</si>
  <si>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</si>
  <si>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</si>
  <si>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</si>
  <si>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</si>
  <si>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</si>
  <si>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</si>
  <si>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</si>
  <si>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</si>
  <si>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</si>
  <si>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</si>
  <si>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</si>
  <si>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</si>
  <si>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</si>
  <si>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</si>
  <si>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</si>
  <si>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</si>
  <si>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</si>
  <si>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</si>
  <si>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</si>
  <si>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</si>
  <si>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</si>
  <si>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</si>
  <si>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</si>
  <si>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</si>
  <si>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</si>
  <si>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</si>
  <si>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</si>
  <si>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</si>
  <si>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</si>
  <si>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</si>
  <si>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</si>
  <si>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</si>
  <si>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</si>
  <si>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</si>
  <si>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</si>
  <si>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</si>
  <si>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</si>
  <si>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</si>
  <si>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</si>
  <si>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</si>
  <si>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</si>
  <si>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</si>
  <si>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</si>
  <si>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</si>
  <si>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</si>
  <si>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</si>
  <si>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</si>
  <si>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</si>
  <si>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</si>
  <si>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</si>
  <si>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</si>
  <si>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</si>
  <si>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</si>
  <si>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</si>
  <si>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</si>
  <si>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</si>
  <si>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</si>
  <si>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</si>
  <si>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</si>
  <si>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</si>
  <si>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</si>
  <si>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</si>
  <si>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</si>
  <si>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</si>
  <si>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</si>
  <si>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</si>
  <si>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</si>
  <si>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</si>
  <si>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</si>
  <si>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</si>
  <si>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</si>
  <si>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</si>
  <si>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</si>
  <si>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</si>
  <si>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</si>
  <si>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</si>
  <si>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</si>
  <si>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</si>
  <si>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</si>
  <si>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</si>
  <si>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</si>
  <si>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</si>
  <si>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</si>
  <si>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</si>
  <si>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</si>
  <si>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</si>
  <si>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</si>
  <si>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</si>
  <si>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</si>
  <si>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</si>
  <si>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</si>
  <si>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</si>
  <si>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</si>
  <si>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</si>
  <si>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</si>
  <si>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</si>
  <si>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</si>
  <si>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</si>
  <si>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</si>
  <si>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</si>
  <si>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</si>
  <si>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</si>
  <si>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</si>
  <si>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</si>
  <si>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</si>
  <si>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</si>
  <si>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</si>
  <si>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</si>
  <si>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</si>
  <si>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</si>
  <si>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</si>
  <si>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</si>
  <si>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</si>
  <si>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</si>
  <si>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</si>
  <si>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</si>
  <si>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</si>
  <si>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</si>
  <si>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</si>
  <si>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</si>
  <si>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</si>
  <si>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</si>
  <si>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</si>
  <si>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</si>
  <si>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</si>
  <si>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</si>
  <si>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</si>
  <si>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</si>
  <si>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</si>
  <si>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</si>
  <si>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</si>
  <si>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</si>
  <si>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</si>
  <si>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</si>
  <si>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</si>
  <si>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</si>
  <si>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</si>
  <si>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</si>
  <si>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</si>
  <si>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</si>
  <si>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</si>
  <si>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</si>
  <si>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</si>
  <si>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</si>
  <si>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</si>
  <si>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</si>
  <si>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</si>
  <si>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</si>
  <si>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</si>
  <si>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</si>
  <si>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</si>
  <si>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</si>
  <si>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</si>
  <si>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</si>
  <si>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</si>
  <si>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</si>
  <si>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</si>
  <si>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</si>
  <si>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</si>
  <si>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</si>
  <si>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</si>
  <si>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</si>
  <si>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</si>
  <si>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</si>
  <si>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</si>
  <si>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</si>
  <si>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</si>
  <si>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</si>
  <si>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</si>
  <si>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</si>
  <si>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</si>
  <si>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</si>
  <si>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</si>
  <si>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</si>
  <si>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</si>
  <si>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</si>
  <si>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</si>
  <si>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</si>
  <si>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</si>
  <si>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</si>
  <si>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Currently Active Orders</t>
  </si>
  <si>
    <t>AUTOSTOP_FIRST_ROW</t>
  </si>
  <si>
    <t>AUTOSTOP_FIRST_COL</t>
  </si>
  <si>
    <t>PreSubmitted</t>
  </si>
  <si>
    <t>SELL</t>
  </si>
  <si>
    <t>Cancelled</t>
  </si>
  <si>
    <t>Current Position</t>
  </si>
  <si>
    <t>Hedge Shortfall</t>
  </si>
  <si>
    <t>ID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</si>
  <si>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</si>
  <si>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</si>
  <si>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</si>
  <si>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</si>
  <si>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</si>
  <si>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</si>
  <si>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</si>
  <si>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>54.171.93.132</t>
  </si>
  <si>
    <t>Subscribed</t>
  </si>
  <si>
    <t>TWS Control NOT connected</t>
  </si>
  <si>
    <t>2015-3-2 11:26:47.358: Main - Initialize - initializing...</t>
  </si>
  <si>
    <t>2015-3-2 11:26:54.522: RTWSControl - nextValidId - entering nextValidId id is 10271</t>
  </si>
  <si>
    <t>2015-3-2 11:26:54.606: WatchlistView - initialize - an error occurredSelect method of Range class failed</t>
  </si>
  <si>
    <t>2015-3-2 11:26:54.681: RTWSControl - errMsg - got error message 2104:Market data farm connection is OK:usfuturewith id -1</t>
  </si>
  <si>
    <t>2015-3-2 11:26:54.690: RTWSControl - errMsg - got error message 2104:Market data farm connection is OK:usfuture.uswith id -1</t>
  </si>
  <si>
    <t>2015-3-2 11:26:54.695: RTWSControl - errMsg - got error message 2104:Market data farm connection is OK:cashfarmwith id -1</t>
  </si>
  <si>
    <t>2015-3-2 11:26:54.717: RTWSControl - errMsg - got error message 2104:Market data farm connection is OK:usfarmwith id -1</t>
  </si>
  <si>
    <t>2015-3-2 11:26:54.722: RTWSControl - errMsg - got error message 2106:HMDS data farm connection is OK:ilhmdswith id -1</t>
  </si>
  <si>
    <t>2015-3-2 11:26:54.735: RTWSControl - contractDetailsEx - got contractDetails id 0 British pound 6BH5</t>
  </si>
  <si>
    <t>2015-3-2 11:26:54.759: RTWSControl - contractDetailsEnd - Got contract details end event</t>
  </si>
  <si>
    <t>2015-3-2 11:27:2.17: Algorithm - updatePortfolio - haveAllDetails is False</t>
  </si>
  <si>
    <t>6BH5 P1515</t>
  </si>
  <si>
    <t>2015-3-2 11:27:2.57: Algorithm - updatePortfolio - haveAllDetails is False</t>
  </si>
  <si>
    <t>6BH5 P1520</t>
  </si>
  <si>
    <t>2015-3-2 11:27:2.97: Algorithm - updatePortfolio - haveAllDetails is False</t>
  </si>
  <si>
    <t>6BH5 P1525</t>
  </si>
  <si>
    <t>2015-3-2 11:27:2.145: Algorithm - updatePortfolio - haveAllDetails is False</t>
  </si>
  <si>
    <t>6BH5 P1530</t>
  </si>
  <si>
    <t>2015-3-2 11:27:2.187: Algorithm - updatePortfolio - haveAllDetails is False</t>
  </si>
  <si>
    <t>6BH5 P1535</t>
  </si>
  <si>
    <t>2015-3-2 11:27:2.229: Algorithm - updatePortfolio - haveAllDetails is False</t>
  </si>
  <si>
    <t>6BH5 C1545</t>
  </si>
  <si>
    <t>2015-3-2 11:27:2.273: Algorithm - updatePortfolio - haveAllDetails is False</t>
  </si>
  <si>
    <t>6BH5 P1540</t>
  </si>
  <si>
    <t>2015-3-2 11:27:2.313: Algorithm - updatePortfolio - haveAllDetails is False</t>
  </si>
  <si>
    <t>6BH5 C1550</t>
  </si>
  <si>
    <t>2015-3-2 11:27:2.355: Algorithm - updatePortfolio - haveAllDetails is False</t>
  </si>
  <si>
    <t>6BH5 C1555</t>
  </si>
  <si>
    <t>2015-3-2 11:27:2.396: Algorithm - updatePortfolio - haveAllDetails is False</t>
  </si>
  <si>
    <t>6BH5 P1550</t>
  </si>
  <si>
    <t>2015-3-2 11:27:2.438: Algorithm - updatePortfolio - haveAllDetails is False</t>
  </si>
  <si>
    <t>6BH5 C1560</t>
  </si>
  <si>
    <t>2015-3-2 11:27:2.480: Algorithm - updatePortfolio - haveAllDetails is False</t>
  </si>
  <si>
    <t>6BH5 C1565</t>
  </si>
  <si>
    <t>2015-3-2 11:27:2.524: Algorithm - updatePortfolio - haveAllDetails is False</t>
  </si>
  <si>
    <t>6BH5 C1570</t>
  </si>
  <si>
    <t>2015-3-2 11:27:2.563: Algorithm - updatePortfolio - haveAllDetails is False</t>
  </si>
  <si>
    <t>6B2H5 P1510</t>
  </si>
  <si>
    <t>2015-3-2 11:27:2.604: Algorithm - updatePortfolio - haveAllDetails is False</t>
  </si>
  <si>
    <t>6B2H5 P1515</t>
  </si>
  <si>
    <t>2015-3-2 11:27:2.647: Algorithm - updatePortfolio - haveAllDetails is False</t>
  </si>
  <si>
    <t>6B2H5 P1520</t>
  </si>
  <si>
    <t>2015-3-2 11:27:2.689: Algorithm - updatePortfolio - haveAllDetails is False</t>
  </si>
  <si>
    <t>6B2H5 P1525</t>
  </si>
  <si>
    <t>2015-3-2 11:27:2.730: Algorithm - updatePortfolio - haveAllDetails is False</t>
  </si>
  <si>
    <t>6B2H5 P1530</t>
  </si>
  <si>
    <t>2015-3-2 11:27:2.771: Algorithm - updatePortfolio - haveAllDetails is False</t>
  </si>
  <si>
    <t>6B2H5 P1535</t>
  </si>
  <si>
    <t>2015-3-2 11:27:2.812: Algorithm - updatePortfolio - haveAllDetails is False</t>
  </si>
  <si>
    <t>6B2H5 C1545</t>
  </si>
  <si>
    <t>2015-3-2 11:27:2.854: Algorithm - updatePortfolio - haveAllDetails is False</t>
  </si>
  <si>
    <t>6B2H5 P1540</t>
  </si>
  <si>
    <t>2015-3-2 11:27:2.895: Algorithm - updatePortfolio - haveAllDetails is False</t>
  </si>
  <si>
    <t>6B2H5 C1550</t>
  </si>
  <si>
    <t>2015-3-2 11:27:2.935: Algorithm - updatePortfolio - haveAllDetails is False</t>
  </si>
  <si>
    <t>6B2H5 C1555</t>
  </si>
  <si>
    <t>2015-3-2 11:27:2.972: Algorithm - updatePortfolio - haveAllDetails is False</t>
  </si>
  <si>
    <t>6B2H5 C1560</t>
  </si>
  <si>
    <t>2015-3-2 11:27:3.15: Algorithm - updatePortfolio - haveAllDetails is False</t>
  </si>
  <si>
    <t>6B2H5 C1565</t>
  </si>
  <si>
    <t>2015-3-2 11:27:3.58: Algorithm - updatePortfolio - haveAllDetails is False</t>
  </si>
  <si>
    <t>6B2H5 C1570</t>
  </si>
  <si>
    <t>2015-3-2 11:27:3.99: Algorithm - updatePortfolio - haveAllDetails is False</t>
  </si>
  <si>
    <t>6B2H5 C1575</t>
  </si>
  <si>
    <t>2015-3-2 11:27:3.140: Algorithm - updatePortfolio - haveAllDetails is False</t>
  </si>
  <si>
    <t>2015-3-2 11:27:3.178: Algorithm - updatePortfolio - haveAllDetails is False</t>
  </si>
  <si>
    <t>2015-3-2 11:27:3.228: RTWSControl - contractDetailsEx - got contractDetails id 0 British pound 6BH5 P1515</t>
  </si>
  <si>
    <t>2015-3-2 11:27:3.233: RTWSControl - contractDetailsEnd - Got contract details end event</t>
  </si>
  <si>
    <t>2015-3-2 11:27:3.263: RTWSControl - contractDetailsEx - got contractDetails id 0 British pound 6BH5 P1520</t>
  </si>
  <si>
    <t>2015-3-2 11:27:3.268: RTWSControl - contractDetailsEnd - Got contract details end event</t>
  </si>
  <si>
    <t>2015-3-2 11:27:3.275: RTWSControl - contractDetailsEx - got contractDetails id 0 British pound 6BH5 P1525</t>
  </si>
  <si>
    <t>2015-3-2 11:27:3.303: RTWSControl - contractDetailsEnd - Got contract details end event</t>
  </si>
  <si>
    <t>2015-3-2 11:27:3.312: RTWSControl - contractDetailsEx - got contractDetails id 0 British pound 6BH5 P1530</t>
  </si>
  <si>
    <t>2015-3-2 11:27:3.318: RTWSControl - contractDetailsEnd - Got contract details end event</t>
  </si>
  <si>
    <t>2015-3-2 11:27:3.346: RTWSControl - contractDetailsEx - got contractDetails id 0 British pound 6BH5 P1535</t>
  </si>
  <si>
    <t>2015-3-2 11:27:3.351: RTWSControl - contractDetailsEnd - Got contract details end event</t>
  </si>
  <si>
    <t>2015-3-2 11:27:3.358: RTWSControl - contractDetailsEx - got contractDetails id 0 British pound 6BH5 C1545</t>
  </si>
  <si>
    <t>2015-3-2 11:27:3.387: RTWSControl - contractDetailsEnd - Got contract details end event</t>
  </si>
  <si>
    <t>2015-3-2 11:27:3.393: RTWSControl - contractDetailsEx - got contractDetails id 0 British pound 6BH5 P1540</t>
  </si>
  <si>
    <t>2015-3-2 11:27:3.398: RTWSControl - contractDetailsEnd - Got contract details end event</t>
  </si>
  <si>
    <t>2015-3-2 11:27:3.429: RTWSControl - contractDetailsEx - got contractDetails id 0 British pound 6BH5 C1550</t>
  </si>
  <si>
    <t>2015-3-2 11:27:3.434: RTWSControl - contractDetailsEnd - Got contract details end event</t>
  </si>
  <si>
    <t>2015-3-2 11:27:3.440: RTWSControl - contractDetailsEx - got contractDetails id 0 British pound 6BH5 C1555</t>
  </si>
  <si>
    <t>2015-3-2 11:27:3.470: RTWSControl - contractDetailsEnd - Got contract details end event</t>
  </si>
  <si>
    <t>2015-3-2 11:27:3.476: RTWSControl - contractDetailsEx - got contractDetails id 0 British pound 6BH5 P1550</t>
  </si>
  <si>
    <t>2015-3-2 11:27:3.481: RTWSControl - contractDetailsEnd - Got contract details end event</t>
  </si>
  <si>
    <t>2015-3-2 11:27:3.512: RTWSControl - contractDetailsEx - got contractDetails id 0 British pound 6BH5 C1560</t>
  </si>
  <si>
    <t>2015-3-2 11:27:3.517: RTWSControl - contractDetailsEnd - Got contract details end event</t>
  </si>
  <si>
    <t>2015-3-2 11:27:3.523: RTWSControl - contractDetailsEx - got contractDetails id 0 British pound 6BH5 C1565</t>
  </si>
  <si>
    <t>2015-3-2 11:27:3.553: RTWSControl - contractDetailsEnd - Got contract details end event</t>
  </si>
  <si>
    <t>2015-3-2 11:27:3.560: RTWSControl - contractDetailsEx - got contractDetails id 0 British pound 6BH5 C1570</t>
  </si>
  <si>
    <t>2015-3-2 11:27:3.565: RTWSControl - contractDetailsEnd - Got contract details end event</t>
  </si>
  <si>
    <t>2015-3-2 11:27:3.596: RTWSControl - contractDetailsEx - got contractDetails id 0 British pound 6B2H5 P1510</t>
  </si>
  <si>
    <t>2015-3-2 11:27:3.601: RTWSControl - contractDetailsEnd - Got contract details end event</t>
  </si>
  <si>
    <t>2015-3-2 11:27:3.607: RTWSControl - contractDetailsEx - got contractDetails id 0 British pound 6B2H5 P1515</t>
  </si>
  <si>
    <t>2015-3-2 11:27:3.637: RTWSControl - contractDetailsEnd - Got contract details end event</t>
  </si>
  <si>
    <t>2015-3-2 11:27:3.644: RTWSControl - contractDetailsEx - got contractDetails id 0 British pound 6B2H5 P1520</t>
  </si>
  <si>
    <t>2015-3-2 11:27:3.649: RTWSControl - contractDetailsEnd - Got contract details end event</t>
  </si>
  <si>
    <t>2015-3-2 11:27:3.681: RTWSControl - contractDetailsEx - got contractDetails id 0 British pound 6B2H5 P1525</t>
  </si>
  <si>
    <t>2015-3-2 11:27:3.686: RTWSControl - contractDetailsEnd - Got contract details end event</t>
  </si>
  <si>
    <t>2015-3-2 11:27:3.692: RTWSControl - contractDetailsEx - got contractDetails id 0 British pound 6B2H5 P1530</t>
  </si>
  <si>
    <t>2015-3-2 11:27:3.720: RTWSControl - contractDetailsEnd - Got contract details end event</t>
  </si>
  <si>
    <t>2015-3-2 11:27:3.726: RTWSControl - contractDetailsEx - got contractDetails id 0 British pound 6B2H5 P1535</t>
  </si>
  <si>
    <t>2015-3-2 11:27:3.732: RTWSControl - contractDetailsEnd - Got contract details end event</t>
  </si>
  <si>
    <t>2015-3-2 11:27:3.764: RTWSControl - contractDetailsEx - got contractDetails id 0 British pound 6B2H5 C1545</t>
  </si>
  <si>
    <t>2015-3-2 11:27:3.770: RTWSControl - contractDetailsEnd - Got contract details end event</t>
  </si>
  <si>
    <t>2015-3-2 11:27:3.776: RTWSControl - contractDetailsEx - got contractDetails id 0 British pound 6B2H5 P1540</t>
  </si>
  <si>
    <t>2015-3-2 11:27:3.803: RTWSControl - contractDetailsEnd - Got contract details end event</t>
  </si>
  <si>
    <t>2015-3-2 11:27:3.810: RTWSControl - contractDetailsEx - got contractDetails id 0 British pound 6B2H5 C1550</t>
  </si>
  <si>
    <t>2015-3-2 11:27:3.815: RTWSControl - contractDetailsEnd - Got contract details end event</t>
  </si>
  <si>
    <t>2015-3-2 11:27:3.847: RTWSControl - contractDetailsEx - got contractDetails id 0 British pound 6B2H5 C1555</t>
  </si>
  <si>
    <t>2015-3-2 11:27:3.852: RTWSControl - contractDetailsEnd - Got contract details end event</t>
  </si>
  <si>
    <t>2015-3-2 11:27:3.859: RTWSControl - contractDetailsEx - got contractDetails id 0 British pound 6B2H5 C1560</t>
  </si>
  <si>
    <t>2015-3-2 11:27:3.887: RTWSControl - contractDetailsEnd - Got contract details end event</t>
  </si>
  <si>
    <t>2015-3-2 11:27:3.894: RTWSControl - contractDetailsEx - got contractDetails id 0 British pound 6B2H5 C1565</t>
  </si>
  <si>
    <t>2015-3-2 11:27:3.899: RTWSControl - contractDetailsEnd - Got contract details end event</t>
  </si>
  <si>
    <t>2015-3-2 11:27:3.929: RTWSControl - contractDetailsEx - got contractDetails id 0 British pound 6B2H5 C1570</t>
  </si>
  <si>
    <t>2015-3-2 11:27:3.935: RTWSControl - contractDetailsEnd - Got contract details end event</t>
  </si>
  <si>
    <t>2015-3-2 11:27:3.942: RTWSControl - contractDetailsEx - got contractDetails id 0 British pound 6B2H5 C1575</t>
  </si>
  <si>
    <t>2015-3-2 11:27:3.970: RTWSControl - contractDetailsEnd - Got contract details end event</t>
  </si>
  <si>
    <t>2015-3-2 11:27:22.165: Algorithm - FindNextStrikes - price is 1.54155005 nextStrikeUp/Down 1.545/1.54</t>
  </si>
  <si>
    <t>2015-3-2 11:27:22.166: Algorithm - getPortfolioForwardDelta - required deltas is -10 currentHedgePosition is -10</t>
  </si>
  <si>
    <t>2015-3-2 11:27:22.167: Algorithm - getHedgeShortfall - required deltas is -10 price is 1.54155005 currentHedgePositionDeltas is -10</t>
  </si>
  <si>
    <t>2015-3-2 11:27:22.167: Algorithm - processTransitionPoint - nextUpper/LowerStrikes are 1.545/1.54 requiredDeltas/currentPosition/currentHedgeShortfall/direction/transitionPrice are -10/-10/0/0/1.54155005</t>
  </si>
  <si>
    <t>2015-3-2 11:27:22.167: TransitionLogger - processTransitionpoint - checking transition - currentHedgeShortfall is 0</t>
  </si>
  <si>
    <t>2015-3-2 11:27:22.172: Algorithm - updatePortfolio - haveAllDetails is True</t>
  </si>
  <si>
    <t>2015-3-2 11:27:22.199: Greeks - BSGamma - setting vol to 10% - original input vol was 0</t>
  </si>
  <si>
    <t>2015-3-2 11:27:22.200: Greeks - BSGamma - setting vol to 10% - original input vol was 0</t>
  </si>
  <si>
    <t>2015-3-2 11:27:22.201: Greeks - BSGamma - setting vol to 10% - original input vol was 0</t>
  </si>
  <si>
    <t>2015-3-2 11:27:22.202: Greeks - BSGamma - setting vol to 10% - original input vol was 0</t>
  </si>
  <si>
    <t>2015-3-2 11:27:22.203: Greeks - BSGamma - setting vol to 10% - original input vol was 0</t>
  </si>
  <si>
    <t>2015-3-2 11:27:22.204: Greeks - BSGamma - setting vol to 10% - original input vol was 0</t>
  </si>
  <si>
    <t>2015-3-2 11:27:22.205: Greeks - BSGamma - setting vol to 10% - original input vol was 0</t>
  </si>
  <si>
    <t>2015-3-2 11:27:22.206: Greeks - BSGamma - setting vol to 10% - original input vol was 0</t>
  </si>
  <si>
    <t>2015-3-2 11:27:22.207: Greeks - BSGamma - setting vol to 10% - original input vol was 0</t>
  </si>
  <si>
    <t>2015-3-2 11:27:22.208: Greeks - BSGamma - setting vol to 10% - original input vol was 0</t>
  </si>
  <si>
    <t>2015-3-2 11:27:22.209: Greeks - BSGamma - setting vol to 10% - original input vol was 0</t>
  </si>
  <si>
    <t>2015-3-2 11:27:22.256: Greeks - BSGamma - setting vol to 10% - original input vol was 0</t>
  </si>
  <si>
    <t>2015-3-2 11:27:22.257: Greeks - BSGamma - setting vol to 10% - original input vol was 0</t>
  </si>
  <si>
    <t>2015-3-2 11:27:22.258: Greeks - BSGamma - setting vol to 10% - original input vol was 0</t>
  </si>
  <si>
    <t>2015-3-2 11:27:22.639: MarketData - Let Delta - discarding new delta value - outside tolerance - old/new/tolerance -5.48268661103477E-02/-7.18772157543122E-02//0.02</t>
  </si>
  <si>
    <t>2015-3-2 11:27:22.639: MarketData - Let ImpliedVol - discarding new iv value - outside tolerance - old/new/tolerance 0.100224952164271/0.110348333108944//0.1</t>
  </si>
  <si>
    <t>2015-3-2 11:27:22.927: MarketData - Let Delta - discarding new delta value - outside tolerance - old/new/tolerance -0.222854384384645/-0.236647118889326//0.02</t>
  </si>
  <si>
    <t>2015-3-2 11:27:23.183: MarketData - Let Delta - discarding new delta value - outside tolerance - old/new/tolerance -0.144976320097935/-0.163308244726915//0.02</t>
  </si>
  <si>
    <t>2015-3-2 11:27:23.517: MarketData - Let Delta - discarding new delta value - outside tolerance - old/new/tolerance -9.06449168909247E-02/-0.105735761187177//0.02</t>
  </si>
  <si>
    <t>2015-3-2 11:27:23.994: MarketData - Let Delta - discarding new delta value - outside tolerance - old/new/tolerance -0.328942848388473/-0.337127340505317//0.02</t>
  </si>
  <si>
    <t>2015-3-2 11:27:24.639: MarketData - Let Delta - discarding new delta value - outside tolerance - old/new/tolerance -0.454699445780046/-0.457363442474239//0.02</t>
  </si>
  <si>
    <t>2015-3-2 11:27:25.17: MarketData - Let Delta - discarding new delta value - outside tolerance - old/new/tolerance 0.280981608437091/0.292408101328875//0.02</t>
  </si>
  <si>
    <t>2015-3-2 11:27:25.392: MarketData - Let Delta - discarding new delta value - outside tolerance - old/new/tolerance 0.178640538312225/0.196407558914364//0.02</t>
  </si>
  <si>
    <t>2015-3-2 11:27:25.684: MarketData - Let Delta - discarding new delta value - outside tolerance - old/new/tolerance -0.841517411877704/-0.652156326597201//0.02</t>
  </si>
  <si>
    <t>2015-3-2 11:27:25.684: MarketData - Let ImpliedVol - discarding new iv value - outside tolerance - old/new/tolerance 4.95696321974638E-02/0.124780606252956//0.1</t>
  </si>
  <si>
    <t>2015-3-2 11:27:26.19: MarketData - Let Delta - discarding new delta value - outside tolerance - old/new/tolerance 0.110446686942031/0.12577148203856//0.02</t>
  </si>
  <si>
    <t>2015-3-2 11:27:26.310: MarketData - Let Delta - discarding new delta value - outside tolerance - old/new/tolerance 6.10307690693221E-02/7.96666649610575E-02//0.02</t>
  </si>
  <si>
    <t>2015-3-2 11:27:26.310: MarketData - Let ImpliedVol - discarding new iv value - outside tolerance - old/new/tolerance 8.91195438709282E-02/9.85562462806789E-02//0.1</t>
  </si>
  <si>
    <t>2015-3-2 11:27:26.532: MarketData - Let Delta - discarding new delta value - outside tolerance - old/new/tolerance -7.88083866011275E-02/-9.06943640062727E-02//0.02</t>
  </si>
  <si>
    <t>2015-3-2 11:27:26.768: MarketData - Let Delta - discarding new delta value - outside tolerance - old/new/tolerance 3.28315653064536E-02/5.36672999757295E-02//0.02</t>
  </si>
  <si>
    <t>2015-3-2 11:27:26.769: MarketData - Let ImpliedVol - discarding new iv value - outside tolerance - old/new/tolerance 9.08972058246263E-02/0.103800164925898//0.1</t>
  </si>
  <si>
    <t>2015-3-2 11:27:26.995: MarketData - Let Delta - discarding new delta value - outside tolerance - old/new/tolerance -0.11314892454345/-0.128571975306438//0.02</t>
  </si>
  <si>
    <t>2015-3-2 11:27:27.229: MarketData - Let Delta - discarding new delta value - outside tolerance - old/new/tolerance -0.160184441493707/-0.17746866240931//0.02</t>
  </si>
  <si>
    <t>2015-3-2 11:27:27.450: MarketData - Let Delta - discarding new delta value - outside tolerance - old/new/tolerance -0.222734195212471/-0.236297611263281//0.02</t>
  </si>
  <si>
    <t>2015-3-2 11:27:27.685: MarketData - Let Delta - discarding new delta value - outside tolerance - old/new/tolerance -0.298284426282425/-0.307820469540293//0.02</t>
  </si>
  <si>
    <t>2015-3-2 11:27:27.910: MarketData - Let Delta - discarding new delta value - outside tolerance - old/new/tolerance -0.388307309600332/-0.393316484633509//0.02</t>
  </si>
  <si>
    <t>2015-3-2 11:27:28.365: MarketData - Let Delta - discarding new delta value - outside tolerance - old/new/tolerance -0.48538727948517/-0.48594331295041//0.02</t>
  </si>
  <si>
    <t>2015-3-2 11:27:28.565: MarketData - Let Delta - discarding new delta value - outside tolerance - old/new/tolerance 0.230885616872466/0.241932690539756//0.02</t>
  </si>
  <si>
    <t>2015-3-2 11:27:28.803: MarketData - Let Delta - discarding new delta value - outside tolerance - old/new/tolerance 0.317255897852004/0.324476988125274//0.02</t>
  </si>
  <si>
    <t>2015-3-2 11:27:29.24: MarketData - Let Delta - discarding new delta value - outside tolerance - old/new/tolerance 0.158490955712676/0.173411363538975//0.02</t>
  </si>
  <si>
    <t>2015-3-2 11:27:29.270: MarketData - Let Delta - discarding new delta value - outside tolerance - old/new/tolerance 0.106830504989704/0.124696220740659//0.02</t>
  </si>
  <si>
    <t>2015-3-2 11:27:29.482: MarketData - Let Delta - discarding new delta value - outside tolerance - old/new/tolerance 6.89318382128002E-02/8.29565345982883E-02//0.02</t>
  </si>
  <si>
    <t>2015-3-2 11:27:29.728: MarketData - Let Delta - discarding new delta value - outside tolerance - old/new/tolerance 0.038469617026449/6.22165799015775E-02//0.02</t>
  </si>
  <si>
    <t>2015-3-2 11:27:29.728: MarketData - Let ImpliedVol - discarding new iv value - outside tolerance - old/new/tolerance 7.11564325087054E-02/8.14613637744344E-02//0.1</t>
  </si>
  <si>
    <t>2015-3-2 11:27:29.886: MarketData - Let Delta - discarding new delta value - outside tolerance - old/new/tolerance -0.144976320097935/-0.150494713350689//0.02</t>
  </si>
  <si>
    <t>2015-3-2 11:27:29.900: MarketData - Let Delta - discarding new delta value - outside tolerance - old/new/tolerance -0.222854384384645/-0.227175988759706//0.02</t>
  </si>
  <si>
    <t>2015-3-2 11:27:29.936: MarketData - Let Delta - discarding new delta value - outside tolerance - old/new/tolerance -0.328942848388473/-0.330717484678086//0.02</t>
  </si>
  <si>
    <t>2015-3-2 11:27:29.955: MarketData - Let Delta - discarding new delta value - outside tolerance - old/new/tolerance -0.454699445780046/-0.455709302346001//0.02</t>
  </si>
  <si>
    <t>2015-3-2 11:27:30.4: MarketData - Let Delta - discarding new delta value - outside tolerance - old/new/tolerance 0.280981608437091/0.287125369634608//0.02</t>
  </si>
  <si>
    <t>2015-3-2 11:27:30.22: MarketData - Let Delta - discarding new delta value - outside tolerance - old/new/tolerance -0.841517411877704/-0.712955036173711//0.02</t>
  </si>
  <si>
    <t>2015-3-2 11:27:30.23: MarketData - Let ImpliedVol - discarding new iv value - outside tolerance - old/new/tolerance 4.95696321974638E-02/8.85186361948342E-02//0.1</t>
  </si>
  <si>
    <t>2015-3-2 11:27:30.38: MarketData - Let Delta - discarding new delta value - outside tolerance - old/new/tolerance 0.178640538312225/0.188398788153503//0.02</t>
  </si>
  <si>
    <t>2015-3-2 11:27:30.64: MarketData - Let Delta - discarding new delta value - outside tolerance - old/new/tolerance -0.222734195212471/-0.227551583726138//0.02</t>
  </si>
  <si>
    <t>2015-3-2 11:27:30.77: MarketData - Let Delta - discarding new delta value - outside tolerance - old/new/tolerance -0.298284426282425/-0.301918534742391//0.02</t>
  </si>
  <si>
    <t>2015-3-2 11:27:30.102: MarketData - Let Delta - discarding new delta value - outside tolerance - old/new/tolerance -0.388307309600332/-0.389285149349149//0.02</t>
  </si>
  <si>
    <t>2015-3-2 11:27:30.115: MarketData - Let Delta - discarding new delta value - outside tolerance - old/new/tolerance -0.48538727948517/-0.486038542270223//0.02</t>
  </si>
  <si>
    <t>2015-3-2 11:27:30.158: MarketData - Let Delta - discarding new delta value - outside tolerance - old/new/tolerance 0.317255897852004/0.324176617795508//0.02</t>
  </si>
  <si>
    <t>2015-3-2 11:27:30.182: MarketData - Let Delta - discarding new delta value - outside tolerance - old/new/tolerance 0.230885616872466/0.242446971349906//0.02</t>
  </si>
  <si>
    <t>2015-3-2 11:27:30.192: MarketData - Let Delta - discarding new delta value - outside tolerance - old/new/tolerance -9.06449168909247E-02/-9.83947215817115E-02//0.02</t>
  </si>
  <si>
    <t>2015-3-2 11:27:30.223: MarketData - Let Delta - discarding new delta value - outside tolerance - old/new/tolerance -5.48268661103477E-02/-6.44737476659697E-02//0.02</t>
  </si>
  <si>
    <t>2015-3-2 11:27:30.238: MarketData - Let Delta - discarding new delta value - outside tolerance - old/new/tolerance 3.28315653064536E-02/4.28201461694002E-02//0.02</t>
  </si>
  <si>
    <t>2015-3-2 11:27:30.270: MarketData - Let Delta - discarding new delta value - outside tolerance - old/new/tolerance 6.10307690693221E-02/7.14342892265248E-02//0.02</t>
  </si>
  <si>
    <t>2015-3-2 11:27:30.284: MarketData - Let Delta - discarding new delta value - outside tolerance - old/new/tolerance 0.110446686942031/0.117716524890732//0.02</t>
  </si>
  <si>
    <t>2015-3-2 11:27:30.311: MarketData - Let Delta - discarding new delta value - outside tolerance - old/new/tolerance -0.160184441493707/-0.166985536891246//0.02</t>
  </si>
  <si>
    <t>2015-3-2 11:27:30.325: MarketData - Let Delta - discarding new delta value - outside tolerance - old/new/tolerance -0.11314892454345/-0.119069521204411//0.02</t>
  </si>
  <si>
    <t>2015-3-2 11:27:30.355: MarketData - Let Delta - discarding new delta value - outside tolerance - old/new/tolerance -7.88083866011275E-02/-8.52567300577214E-02//0.02</t>
  </si>
  <si>
    <t>2015-3-2 11:27:30.369: MarketData - Let Delta - discarding new delta value - outside tolerance - old/new/tolerance 6.89318382128002E-02/8.24525847159745E-02//0.02</t>
  </si>
  <si>
    <t>2015-3-2 11:27:30.390: MarketData - Let Delta - discarding new delta value - outside tolerance - old/new/tolerance 0.038469617026449/5.66130384583083E-02//0.02</t>
  </si>
  <si>
    <t>2015-3-2 11:27:30.391: MarketData - Let ImpliedVol - discarding new iv value - outside tolerance - old/new/tolerance 7.11564325087054E-02/7.90482998949553E-02//0.1</t>
  </si>
  <si>
    <t>2015-3-2 11:27:30.400: MarketData - Let Delta - discarding new delta value - outside tolerance - old/new/tolerance 0.106830504989704/0.12104140764938//0.02</t>
  </si>
  <si>
    <t>2015-3-2 11:27:30.426: MarketData - Let Delta - discarding new delta value - outside tolerance - old/new/tolerance 0.158490955712676/0.174546133854514//0.02</t>
  </si>
  <si>
    <t>2015-3-2 11:27:30.436: MarketData - Let Delta - discarding new delta value - outside tolerance - old/new/tolerance 6.89318382128002E-02/6.10202475467036E-02//0.02</t>
  </si>
  <si>
    <t>2015-3-2 11:27:30.436: MarketData - Let ImpliedVol - discarding new iv value - outside tolerance - old/new/tolerance 7.75114272309168E-02/6.93307064922059E-02//0.1</t>
  </si>
  <si>
    <t>2015-3-2 11:27:31.102: MarketData - Let Delta - discarding new delta value - outside tolerance - old/new/tolerance -0.144976320097935/-0.15166354536307//0.02</t>
  </si>
  <si>
    <t>2015-3-2 11:27:31.117: MarketData - Let Delta - discarding new delta value - outside tolerance - old/new/tolerance -0.222854384384645/-0.229117242183402//0.02</t>
  </si>
  <si>
    <t>2015-3-2 11:27:31.144: MarketData - Let Delta - discarding new delta value - outside tolerance - old/new/tolerance -0.328942848388473/-0.333250214011782//0.02</t>
  </si>
  <si>
    <t>2015-3-2 11:27:31.158: MarketData - Let Delta - discarding new delta value - outside tolerance - old/new/tolerance -0.144976320097935/-0.145482749665851//0.02</t>
  </si>
  <si>
    <t>2015-3-2 11:27:31.187: MarketData - Let Delta - discarding new delta value - outside tolerance - old/new/tolerance -0.144976320097935/-0.163835981054987//0.02</t>
  </si>
  <si>
    <t>2015-3-2 11:27:31.221: MarketData - Let Delta - discarding new delta value - outside tolerance - old/new/tolerance -0.454699445780046/-0.45842569388806//0.02</t>
  </si>
  <si>
    <t>2015-3-2 11:27:31.285: MarketData - Let Delta - discarding new delta value - outside tolerance - old/new/tolerance -0.222854384384645/-0.223732099233361//0.02</t>
  </si>
  <si>
    <t>2015-3-2 11:27:31.311: MarketData - Let Delta - discarding new delta value - outside tolerance - old/new/tolerance -0.222854384384645/-0.237522552760929//0.02</t>
  </si>
  <si>
    <t>2015-3-2 11:27:31.346: MarketData - Let Delta - discarding new delta value - outside tolerance - old/new/tolerance -0.841517411877704/-0.714684160785203//0.02</t>
  </si>
  <si>
    <t>2015-3-2 11:27:31.346: MarketData - Let ImpliedVol - discarding new iv value - outside tolerance - old/new/tolerance 4.95696321974638E-02/8.88037578314993E-02//0.1</t>
  </si>
  <si>
    <t>2015-3-2 11:27:31.360: MarketData - Let Delta - discarding new delta value - outside tolerance - old/new/tolerance 0.178640538312225/0.187563740137256//0.02</t>
  </si>
  <si>
    <t>2015-3-2 11:27:31.400: MarketData - Let Delta - discarding new delta value - outside tolerance - old/new/tolerance -0.222734195212471/-0.227570835706703//0.02</t>
  </si>
  <si>
    <t>2015-3-2 11:27:31.436: MarketData - Let Delta - discarding new delta value - outside tolerance - old/new/tolerance -0.298284426282425/-0.301938464448199//0.02</t>
  </si>
  <si>
    <t>2015-3-2 11:27:31.479: MarketData - Let Delta - discarding new delta value - outside tolerance - old/new/tolerance -0.388307309600332/-0.389297926029906//0.02</t>
  </si>
  <si>
    <t>2015-3-2 11:27:31.520: MarketData - Let Delta - discarding new delta value - outside tolerance - old/new/tolerance -0.328942848388473/-0.330423490439768//0.02</t>
  </si>
  <si>
    <t>2015-3-2 11:27:31.557: MarketData - Let Delta - discarding new delta value - outside tolerance - old/new/tolerance -0.328942848388473/-0.33856004676046//0.02</t>
  </si>
  <si>
    <t>2015-3-2 11:27:31.597: MarketData - Let Delta - discarding new delta value - outside tolerance - old/new/tolerance -0.48538727948517/-0.486039652489283//0.02</t>
  </si>
  <si>
    <t>2015-3-2 11:27:31.644: MarketData - Let Delta - discarding new delta value - outside tolerance - old/new/tolerance 0.317255897852004/0.324191962181532//0.02</t>
  </si>
  <si>
    <t>2015-3-2 11:27:31.653: MarketData - Let Delta - discarding new delta value - outside tolerance - old/new/tolerance -0.454699445780046/-0.457778313388936//0.02</t>
  </si>
  <si>
    <t>2015-3-2 11:27:31.681: MarketData - Let Delta - discarding new delta value - outside tolerance - old/new/tolerance -0.454699445780046/-0.459640627762549//0.02</t>
  </si>
  <si>
    <t>2015-3-2 11:27:31.720: MarketData - Let Delta - discarding new delta value - outside tolerance - old/new/tolerance 0.230885616872466/0.242459159919438//0.02</t>
  </si>
  <si>
    <t>2015-3-2 11:27:31.819: MarketData - Let Delta - discarding new delta value - outside tolerance - old/new/tolerance 0.279769891571124/0.291225917906244//0.02</t>
  </si>
  <si>
    <t>2015-3-2 11:27:31.881: MarketData - Let Delta - discarding new delta value - outside tolerance - old/new/tolerance -0.841517411877704/-0.855030512841382//0.02</t>
  </si>
  <si>
    <t>2015-3-2 11:27:31.896: MarketData - Let Delta - discarding new delta value - outside tolerance - old/new/tolerance -0.841517411877704/-0.655206521402884//0.02</t>
  </si>
  <si>
    <t>2015-3-2 11:27:31.896: MarketData - Let ImpliedVol - discarding new iv value - outside tolerance - old/new/tolerance 4.75620839764472E-02/0.123711565897129//0.1</t>
  </si>
  <si>
    <t>2015-3-2 11:27:31.982: MarketData - Let Delta - discarding new delta value - outside tolerance - old/new/tolerance 0.177981758212658/0.195727109041724//0.02</t>
  </si>
  <si>
    <t>2015-3-2 11:27:32.104: MarketData - Let Delta - discarding new delta value - outside tolerance - old/new/tolerance -9.06449168909247E-02/-9.88633373437245E-02//0.02</t>
  </si>
  <si>
    <t>2015-3-2 11:27:32.148: MarketData - Let Delta - discarding new delta value - outside tolerance - old/new/tolerance -9.06449168909247E-02/-9.08599696514452E-02//0.02</t>
  </si>
  <si>
    <t>2015-3-2 11:27:32.176: MarketData - Let Delta - discarding new delta value - outside tolerance - old/new/tolerance -9.06449168909247E-02/-0.106032329865636//0.02</t>
  </si>
  <si>
    <t>2015-3-2 11:27:32.219: MarketData - Let Delta - discarding new delta value - outside tolerance - old/new/tolerance -5.48268661103477E-02/-6.44719217628561E-02//0.02</t>
  </si>
  <si>
    <t>2015-3-2 11:27:32.233: MarketData - Let Delta - discarding new delta value - outside tolerance - old/new/tolerance 3.28315653064536E-02/4.28315315121993E-02//0.02</t>
  </si>
  <si>
    <t>2015-3-2 11:27:32.267: MarketData - Let Delta - discarding new delta value - outside tolerance - old/new/tolerance 6.10307690693221E-02/7.13519395937507E-02//0.02</t>
  </si>
  <si>
    <t>2015-3-2 11:27:32.281: MarketData - Let Delta - discarding new delta value - outside tolerance - old/new/tolerance 0.110446686942031/0.117372494816206//0.02</t>
  </si>
  <si>
    <t>2015-3-2 11:27:32.311: MarketData - Let Delta - discarding new delta value - outside tolerance - old/new/tolerance -0.160184441493707/-0.166997288116399//0.02</t>
  </si>
  <si>
    <t>2015-3-2 11:27:32.326: MarketData - Let Delta - discarding new delta value - outside tolerance - old/new/tolerance -0.11314892454345/-0.119071095973322//0.02</t>
  </si>
  <si>
    <t>2015-3-2 11:27:32.354: MarketData - Let Delta - discarding new delta value - outside tolerance - old/new/tolerance -7.88083866011275E-02/-8.52464813226173E-02//0.02</t>
  </si>
  <si>
    <t>2015-3-2 11:27:32.369: MarketData - Let Delta - discarding new delta value - outside tolerance - old/new/tolerance -5.48268661103477E-02/-5.49481665401947E-02//0.02</t>
  </si>
  <si>
    <t>2015-3-2 11:27:32.393: MarketData - Let Delta - discarding new delta value - outside tolerance - old/new/tolerance -5.48268661103477E-02/-7.20406571119609E-02//0.02</t>
  </si>
  <si>
    <t>2015-3-2 11:27:32.393: MarketData - Let ImpliedVol - discarding new iv value - outside tolerance - old/new/tolerance 9.99153825479169E-02/0.110041650720118//0.1</t>
  </si>
  <si>
    <t>2015-3-2 11:27:32.428: MarketData - Let Delta - discarding new delta value - outside tolerance - old/new/tolerance 0.038469617026449/5.65777981086404E-02//0.02</t>
  </si>
  <si>
    <t>2015-3-2 11:27:32.428: MarketData - Let ImpliedVol - discarding new iv value - outside tolerance - old/new/tolerance 7.11564325087054E-02/7.90337115673676E-02//0.1</t>
  </si>
  <si>
    <t>2015-3-2 11:27:32.438: MarketData - Let Delta - discarding new delta value - outside tolerance - old/new/tolerance 6.89318382128002E-02/8.24247180797237E-02//0.02</t>
  </si>
  <si>
    <t>2015-3-2 11:27:32.448: MarketData - Let Delta - discarding new delta value - outside tolerance - old/new/tolerance 0.106830504989704/0.121031581613529//0.02</t>
  </si>
  <si>
    <t>2015-3-2 11:27:32.482: MarketData - Let Delta - discarding new delta value - outside tolerance - old/new/tolerance 0.158490955712676/0.174548262254256//0.02</t>
  </si>
  <si>
    <t>2015-3-2 11:27:32.521: MarketData - Let Delta - discarding new delta value - outside tolerance - old/new/tolerance 3.27483598825462E-02/5.35231535415829E-02//0.02</t>
  </si>
  <si>
    <t>2015-3-2 11:27:32.521: MarketData - Let ImpliedVol - discarding new iv value - outside tolerance - old/new/tolerance 0.091163147230277/0.104090104042272//0.1</t>
  </si>
  <si>
    <t>2015-3-2 11:27:32.597: MarketData - Let Delta - discarding new delta value - outside tolerance - old/new/tolerance 6.08478359570765E-02/7.94777331913979E-02//0.02</t>
  </si>
  <si>
    <t>2015-3-2 11:27:32.597: MarketData - Let ImpliedVol - discarding new iv value - outside tolerance - old/new/tolerance 8.94137306273156E-02/9.89049332873615E-02//0.1</t>
  </si>
  <si>
    <t>2015-3-2 11:27:32.650: MarketData - Let Delta - discarding new delta value - outside tolerance - old/new/tolerance 0.110059435003144/0.125390298461854//0.02</t>
  </si>
  <si>
    <t>2015-3-2 11:27:33.399: MarketData - Let Delta - discarding new delta value - outside tolerance - old/new/tolerance -0.144976320097935/-0.158029930927556//0.02</t>
  </si>
  <si>
    <t>2015-3-2 11:27:33.438: MarketData - Let Delta - discarding new delta value - outside tolerance - old/new/tolerance -0.454699445780046/-0.457112072418386//0.02</t>
  </si>
  <si>
    <t>2015-3-2 11:27:33.481: MarketData - Let Delta - discarding new delta value - outside tolerance - old/new/tolerance -0.454699445780046/-0.459041420488753//0.02</t>
  </si>
  <si>
    <t>2015-3-2 11:27:33.596: MarketData - Let Delta - discarding new delta value - outside tolerance - old/new/tolerance -0.388307309600332/-0.38698714382952//0.02</t>
  </si>
  <si>
    <t>2015-3-2 11:27:33.689: MarketData - Let Delta - discarding new delta value - outside tolerance - old/new/tolerance 0.230885616872466/0.245407442272235//0.02</t>
  </si>
  <si>
    <t>2015-3-2 11:27:34.267: MarketData - Let Delta - discarding new delta value - outside tolerance - old/new/tolerance -0.144976320097935/-0.150158831010144//0.02</t>
  </si>
  <si>
    <t>2015-3-2 11:27:34.282: MarketData - Let Delta - discarding new delta value - outside tolerance - old/new/tolerance -0.222854384384645/-0.227132389230606//0.02</t>
  </si>
  <si>
    <t>2015-3-2 11:27:34.309: MarketData - Let Delta - discarding new delta value - outside tolerance - old/new/tolerance -0.328942848388473/-0.330855321996863//0.02</t>
  </si>
  <si>
    <t>2015-3-2 11:27:34.324: MarketData - Let Delta - discarding new delta value - outside tolerance - old/new/tolerance -0.454699445780046/-0.455783070322503//0.02</t>
  </si>
  <si>
    <t>2015-3-2 11:27:34.392: MarketData - Let Delta - discarding new delta value - outside tolerance - old/new/tolerance -0.841517411877704/-0.712286351190044//0.02</t>
  </si>
  <si>
    <t>2015-3-2 11:27:34.393: MarketData - Let ImpliedVol - discarding new iv value - outside tolerance - old/new/tolerance 4.75620839764472E-02/8.88037578314993E-02//0.1</t>
  </si>
  <si>
    <t>2015-3-2 11:27:34.407: MarketData - Let Delta - discarding new delta value - outside tolerance - old/new/tolerance 0.177981758212658/0.189189402383784//0.02</t>
  </si>
  <si>
    <t>2015-3-2 11:27:34.436: MarketData - Let Delta - discarding new delta value - outside tolerance - old/new/tolerance -9.06449168909247E-02/-0.0978197999935//0.02</t>
  </si>
  <si>
    <t>2015-3-2 11:27:34.450: MarketData - Let Delta - discarding new delta value - outside tolerance - old/new/tolerance -5.48268661103477E-02/-6.38099282395262E-02//0.02</t>
  </si>
  <si>
    <t>2015-3-2 11:27:34.476: MarketData - Let Delta - discarding new delta value - outside tolerance - old/new/tolerance 3.27483598825462E-02/4.33147409041409E-02//0.02</t>
  </si>
  <si>
    <t>2015-3-2 11:27:34.491: MarketData - Let Delta - discarding new delta value - outside tolerance - old/new/tolerance 6.08478359570765E-02/7.20989456099991E-02//0.02</t>
  </si>
  <si>
    <t>2015-3-2 11:27:34.518: MarketData - Let Delta - discarding new delta value - outside tolerance - old/new/tolerance 0.110059435003144/0.118526122647357//0.02</t>
  </si>
  <si>
    <t>2015-3-2 11:27:35.199: MarketData - Let Delta - discarding new delta value - outside tolerance - old/new/tolerance -0.144976320097935/-0.144539127251922//0.02</t>
  </si>
  <si>
    <t>2015-3-2 11:27:35.228: MarketData - Let Delta - discarding new delta value - outside tolerance - old/new/tolerance -0.144976320097935/-0.157021610278186//0.02</t>
  </si>
  <si>
    <t>2015-3-2 11:27:35.261: MarketData - Let Delta - discarding new delta value - outside tolerance - old/new/tolerance -0.144976320097935/-0.149614564441513//0.02</t>
  </si>
  <si>
    <t>2015-3-2 11:27:35.275: MarketData - Let Delta - discarding new delta value - outside tolerance - old/new/tolerance -0.222854384384645/-0.225531609619752//0.02</t>
  </si>
  <si>
    <t>2015-3-2 11:27:35.308: MarketData - Let Delta - discarding new delta value - outside tolerance - old/new/tolerance -0.328942848388473/-0.328396926995241//0.02</t>
  </si>
  <si>
    <t>2015-3-2 11:27:35.323: MarketData - Let Delta - discarding new delta value - outside tolerance - old/new/tolerance -0.222854384384645/-0.222039779969467//0.02</t>
  </si>
  <si>
    <t>2015-3-2 11:27:35.359: MarketData - Let Delta - discarding new delta value - outside tolerance - old/new/tolerance -0.222854384384645/-0.235797293827072//0.02</t>
  </si>
  <si>
    <t>2015-3-2 11:27:35.369: MarketData - Let Delta - discarding new delta value - outside tolerance - old/new/tolerance -0.454699445780046/-0.453042456876802//0.02</t>
  </si>
  <si>
    <t>2015-3-2 11:27:35.408: MarketData - Let Delta - discarding new delta value - outside tolerance - old/new/tolerance -0.328942848388473/-0.324571115706576//0.02</t>
  </si>
  <si>
    <t>2015-3-2 11:27:35.418: MarketData - Let Delta - discarding new delta value - outside tolerance - old/new/tolerance -0.328942848388473/-0.333045792741485//0.02</t>
  </si>
  <si>
    <t>2015-3-2 11:27:35.428: MarketData - Let Delta - discarding new delta value - outside tolerance - old/new/tolerance -0.454699445780046/-0.452326840226413//0.02</t>
  </si>
  <si>
    <t>2015-3-2 11:27:35.438: MarketData - Let Delta - discarding new delta value - outside tolerance - old/new/tolerance -0.454699445780046/-0.454458611106719//0.02</t>
  </si>
  <si>
    <t>2015-3-2 11:27:35.594: MarketData - Let Delta - discarding new delta value - outside tolerance - old/new/tolerance 0.28613369418499/0.293611511593145//0.02</t>
  </si>
  <si>
    <t>2015-3-2 11:27:35.604: MarketData - Let Delta - discarding new delta value - outside tolerance - old/new/tolerance -0.841517411877704/-0.840461066190922//0.02</t>
  </si>
  <si>
    <t>2015-3-2 11:27:35.614: MarketData - Let Delta - discarding new delta value - outside tolerance - old/new/tolerance -0.841517411877704/-0.649157831943677//0.02</t>
  </si>
  <si>
    <t>2015-3-2 11:27:35.614: MarketData - Let ImpliedVol - discarding new iv value - outside tolerance - old/new/tolerance 4.91895074613092E-02/0.125849708805395//0.1</t>
  </si>
  <si>
    <t>2015-3-2 11:27:35.625: MarketData - Let Delta - discarding new delta value - outside tolerance - old/new/tolerance -0.841517411877704/-0.710910477213105//0.02</t>
  </si>
  <si>
    <t>2015-3-2 11:27:35.625: MarketData - Let ImpliedVol - discarding new iv value - outside tolerance - old/new/tolerance 4.91895074613092E-02/8.83375906818031E-02//0.1</t>
  </si>
  <si>
    <t>2015-3-2 11:27:35.635: MarketData - Let Delta - discarding new delta value - outside tolerance - old/new/tolerance 0.177981758212658/0.189453188752896//0.02</t>
  </si>
  <si>
    <t>2015-3-2 11:27:35.645: MarketData - Let Delta - discarding new delta value - outside tolerance - old/new/tolerance -0.222734195212471/-0.22763994665579//0.02</t>
  </si>
  <si>
    <t>2015-3-2 11:27:35.664: MarketData - Let Delta - discarding new delta value - outside tolerance - old/new/tolerance 0.179305319955737/0.197110482266183//0.02</t>
  </si>
  <si>
    <t>2015-3-2 11:27:35.679: MarketData - Let Delta - discarding new delta value - outside tolerance - old/new/tolerance -0.298284426282425/-0.302020654361973//0.02</t>
  </si>
  <si>
    <t>2015-3-2 11:27:35.689: MarketData - Let Delta - discarding new delta value - outside tolerance - old/new/tolerance -0.388307309600332/-0.38935489900178//0.02</t>
  </si>
  <si>
    <t>2015-3-2 11:27:35.699: MarketData - Let Delta - discarding new delta value - outside tolerance - old/new/tolerance -0.48538727948517/-0.48604491916149//0.02</t>
  </si>
  <si>
    <t>2015-3-2 11:27:35.760: MarketData - Let Delta - discarding new delta value - outside tolerance - old/new/tolerance -0.388307309600332/-0.392106687976755//0.02</t>
  </si>
  <si>
    <t>2015-3-2 11:27:35.807: MarketData - Let Delta - discarding new delta value - outside tolerance - old/new/tolerance 0.317255897852004/0.324277424496388//0.02</t>
  </si>
  <si>
    <t>2015-3-2 11:27:35.812: MarketData - Let Delta - discarding new delta value - outside tolerance - old/new/tolerance -0.48538727948517/-0.485838595412891//0.02</t>
  </si>
  <si>
    <t>2015-3-2 11:27:35.822: MarketData - Let Delta - discarding new delta value - outside tolerance - old/new/tolerance 0.230885616872466/0.242541818458523//0.02</t>
  </si>
  <si>
    <t>2015-3-2 11:27:35.827: MarketData - Let Delta - discarding new delta value - outside tolerance - old/new/tolerance -9.06449168909247E-02/-9.81426903382482E-02//0.02</t>
  </si>
  <si>
    <t>2015-3-2 11:27:35.838: MarketData - Let Delta - discarding new delta value - outside tolerance - old/new/tolerance -5.48268661103477E-02/-6.46020983129085E-02//0.02</t>
  </si>
  <si>
    <t>2015-3-2 11:27:35.848: MarketData - Let Delta - discarding new delta value - outside tolerance - old/new/tolerance 3.27483598825462E-02/4.28170121809364E-02//0.02</t>
  </si>
  <si>
    <t>2015-3-2 11:27:35.858: MarketData - Let Delta - discarding new delta value - outside tolerance - old/new/tolerance 6.08478359570765E-02/7.15890167309901E-02//0.02</t>
  </si>
  <si>
    <t>2015-3-2 11:27:35.867: MarketData - Let Delta - discarding new delta value - outside tolerance - old/new/tolerance 0.110059435003144/0.118215826685702//0.02</t>
  </si>
  <si>
    <t>2015-3-2 11:27:35.877: MarketData - Let Delta - discarding new delta value - outside tolerance - old/new/tolerance -0.160184441493707/-0.167023914459465//0.02</t>
  </si>
  <si>
    <t>2015-3-2 11:27:35.889: MarketData - Let Delta - discarding new delta value - outside tolerance - old/new/tolerance -0.11314892454345/-0.119047764157617//0.02</t>
  </si>
  <si>
    <t>2015-3-2 11:27:35.899: MarketData - Let Delta - discarding new delta value - outside tolerance - old/new/tolerance -7.88083866011275E-02/-8.51565815225558E-02//0.02</t>
  </si>
  <si>
    <t>2015-3-2 11:27:35.909: MarketData - Let Delta - discarding new delta value - outside tolerance - old/new/tolerance 0.038469617026449/5.64597189489936E-02//0.02</t>
  </si>
  <si>
    <t>2015-3-2 11:27:35.909: MarketData - Let ImpliedVol - discarding new iv value - outside tolerance - old/new/tolerance 7.11564325087054E-02/7.89848697925652E-02//0.1</t>
  </si>
  <si>
    <t>2015-3-2 11:27:35.914: MarketData - Let Delta - discarding new delta value - outside tolerance - old/new/tolerance 6.89318382128002E-02/8.23480579475947E-02//0.02</t>
  </si>
  <si>
    <t>2015-3-2 11:27:35.919: MarketData - Let Delta - discarding new delta value - outside tolerance - old/new/tolerance 0.106830504989704/0.12102418681167//0.02</t>
  </si>
  <si>
    <t>2015-3-2 11:27:35.924: MarketData - Let Delta - discarding new delta value - outside tolerance - old/new/tolerance 0.158490955712676/0.174593246550977//0.02</t>
  </si>
  <si>
    <t>2015-3-2 11:27:35.938: MarketData - Let Delta - discarding new delta value - outside tolerance - old/new/tolerance 0.317255897852004/0.326760615033843//0.02</t>
  </si>
  <si>
    <t>2015-3-2 11:27:35.944: MarketData - Let Delta - discarding new delta value - outside tolerance - old/new/tolerance -9.06449168909247E-02/-9.03612315707608E-02//0.02</t>
  </si>
  <si>
    <t>2015-3-2 11:27:35.954: MarketData - Let Delta - discarding new delta value - outside tolerance - old/new/tolerance -9.06449168909247E-02/-0.105420326353478//0.02</t>
  </si>
  <si>
    <t>2015-3-2 11:27:35.964: MarketData - Let Delta - discarding new delta value - outside tolerance - old/new/tolerance -5.48268661103477E-02/-5.47325007793108E-02//0.02</t>
  </si>
  <si>
    <t>2015-3-2 11:27:35.976: MarketData - Let Delta - discarding new delta value - outside tolerance - old/new/tolerance -5.48268661103477E-02/-7.16954566803746E-02//0.02</t>
  </si>
  <si>
    <t>2015-3-2 11:27:35.976: MarketData - Let ImpliedVol - discarding new iv value - outside tolerance - old/new/tolerance 0.100548654004326/0.110642396956988//0.1</t>
  </si>
  <si>
    <t>2015-3-2 11:27:35.996: MarketData - Let Delta - discarding new delta value - outside tolerance - old/new/tolerance 3.29152544038169E-02/5.37954112942551E-02//0.02</t>
  </si>
  <si>
    <t>2015-3-2 11:27:35.996: MarketData - Let ImpliedVol - discarding new iv value - outside tolerance - old/new/tolerance 9.06312816874416E-02/0.103501210273872//0.1</t>
  </si>
  <si>
    <t>2015-3-2 11:27:36.16: MarketData - Let Delta - discarding new delta value - outside tolerance - old/new/tolerance 6.12155375407172E-02/0.079946647772741//0.02</t>
  </si>
  <si>
    <t>2015-3-2 11:27:36.16: MarketData - Let ImpliedVol - discarding new iv value - outside tolerance - old/new/tolerance 8.88256810059626E-02/9.82426820612256E-02//0.1</t>
  </si>
  <si>
    <t>2015-3-2 11:27:36.39: MarketData - Let Delta - discarding new delta value - outside tolerance - old/new/tolerance 0.110733774534512/0.126169256485288//0.02</t>
  </si>
  <si>
    <t>2015-3-2 11:27:36.52: MarketData - Let Delta - discarding new delta value - outside tolerance - old/new/tolerance 0.158490955712676/0.177995551343076//0.02</t>
  </si>
  <si>
    <t>2015-3-2 11:27:36.125: MarketData - Let Delta - discarding new delta value - outside tolerance - old/new/tolerance -0.328942848388473/-0.327505208792723//0.02</t>
  </si>
  <si>
    <t>2015-3-2 11:27:36.133: MarketData - Let Delta - discarding new delta value - outside tolerance - old/new/tolerance -0.328942848388473/-0.335687356705032//0.02</t>
  </si>
  <si>
    <t>2015-3-2 11:27:36.142: MarketData - Let Delta - discarding new delta value - outside tolerance - old/new/tolerance -0.841517411877704/-0.828934008029825//0.02</t>
  </si>
  <si>
    <t>2015-3-2 11:27:36.363: MarketData - Let Delta - discarding new delta value - outside tolerance - old/new/tolerance -0.144976320097935/-0.151113366253835//0.02</t>
  </si>
  <si>
    <t>2015-3-2 11:27:36.396: MarketData - Let Delta - discarding new delta value - outside tolerance - old/new/tolerance -0.222854384384645/-0.227512926963921//0.02</t>
  </si>
  <si>
    <t>2015-3-2 11:27:36.412: MarketData - Let Delta - discarding new delta value - outside tolerance - old/new/tolerance -0.328942848388473/-0.330792467513034//0.02</t>
  </si>
  <si>
    <t>2015-3-2 11:27:36.439: MarketData - Let Delta - discarding new delta value - outside tolerance - old/new/tolerance -0.454699445780046/-0.45569077510425//0.02</t>
  </si>
  <si>
    <t>2015-3-2 11:27:36.497: MarketData - Let Delta - discarding new delta value - outside tolerance - old/new/tolerance -0.841517411877704/-0.713381882940043//0.02</t>
  </si>
  <si>
    <t>2015-3-2 11:27:36.497: MarketData - Let ImpliedVol - discarding new iv value - outside tolerance - old/new/tolerance 5.16037965204388E-02/8.83375906818031E-02//0.1</t>
  </si>
  <si>
    <t>2015-3-2 11:27:36.521: MarketData - Let Delta - discarding new delta value - outside tolerance - old/new/tolerance 0.179305319955737/0.187817467503963//0.02</t>
  </si>
  <si>
    <t>2015-3-2 11:27:36.572: MarketData - Let Delta - discarding new delta value - outside tolerance - old/new/tolerance -9.06449168909247E-02/-9.91798575781965E-02//0.02</t>
  </si>
  <si>
    <t>2015-3-2 11:27:36.599: MarketData - Let Delta - discarding new delta value - outside tolerance - old/new/tolerance -5.48268661103477E-02/-6.52586333899554E-02//0.02</t>
  </si>
  <si>
    <t>2015-3-2 11:27:36.615: MarketData - Let Delta - discarding new delta value - outside tolerance - old/new/tolerance 3.29152544038169E-02/4.23727617863662E-02//0.02</t>
  </si>
  <si>
    <t>2015-3-2 11:27:36.645: MarketData - Let Delta - discarding new delta value - outside tolerance - old/new/tolerance 6.12155375407172E-02/7.08366509300971E-02//0.02</t>
  </si>
  <si>
    <t>2015-3-2 11:27:36.661: MarketData - Let Delta - discarding new delta value - outside tolerance - old/new/tolerance 0.110733774534512/0.117054288392426//0.02</t>
  </si>
  <si>
    <t>2015-3-2 11:27:36.716: MarketData - Let Delta - discarding new delta value - outside tolerance - old/new/tolerance -0.144976320097935/-0.144976320097935//0.02</t>
  </si>
  <si>
    <t>2015-3-2 11:27:36.732: MarketData - Let Delta - discarding new delta value - outside tolerance - old/new/tolerance -0.144976320097935/-0.157489879748815//0.02</t>
  </si>
  <si>
    <t>2015-3-2 11:27:36.777: MarketData - Let Delta - discarding new delta value - outside tolerance - old/new/tolerance -0.144976320097935/-0.150666137592749//0.02</t>
  </si>
  <si>
    <t>2015-3-2 11:27:36.806: MarketData - Let Delta - discarding new delta value - outside tolerance - old/new/tolerance -0.222854384384645/-0.227348634328443//0.02</t>
  </si>
  <si>
    <t>2015-3-2 11:27:36.821: MarketData - Let Delta - discarding new delta value - outside tolerance - old/new/tolerance -0.328942848388473/-0.330840264506574//0.02</t>
  </si>
  <si>
    <t>2015-3-2 11:27:36.853: MarketData - Let Delta - discarding new delta value - outside tolerance - old/new/tolerance -0.454699445780046/-0.455740713523401//0.02</t>
  </si>
  <si>
    <t>2015-3-2 11:27:36.912: MarketData - Let Delta - discarding new delta value - outside tolerance - old/new/tolerance -0.222854384384645/-0.222854384384645//0.02</t>
  </si>
  <si>
    <t>2015-3-2 11:27:36.938: MarketData - Let Delta - discarding new delta value - outside tolerance - old/new/tolerance -0.222854384384645/-0.236647118889326//0.02</t>
  </si>
  <si>
    <t>2015-3-2 11:27:36.971: MarketData - Let Delta - discarding new delta value - outside tolerance - old/new/tolerance -0.841517411877704/-0.712820744904373//0.02</t>
  </si>
  <si>
    <t>2015-3-2 11:27:36.971: MarketData - Let ImpliedVol - discarding new iv value - outside tolerance - old/new/tolerance 5.16037965204388E-02/8.85757507485749E-02//0.1</t>
  </si>
  <si>
    <t>2015-3-2 11:27:36.986: MarketData - Let Delta - discarding new delta value - outside tolerance - old/new/tolerance 0.179305319955737/0.188513277832171//0.02</t>
  </si>
  <si>
    <t>2015-3-2 11:27:37.20: MarketData - Let Delta - discarding new delta value - outside tolerance - old/new/tolerance -0.328942848388473/-0.328942848388473//0.02</t>
  </si>
  <si>
    <t>2015-3-2 11:27:37.35: MarketData - Let Delta - discarding new delta value - outside tolerance - old/new/tolerance -0.328942848388473/-0.337127340505317//0.02</t>
  </si>
  <si>
    <t>2015-3-2 11:27:37.71: MarketData - Let Delta - discarding new delta value - outside tolerance - old/new/tolerance -0.222734195212471/-0.227601415719608//0.02</t>
  </si>
  <si>
    <t>2015-3-2 11:27:37.98: MarketData - Let Delta - discarding new delta value - outside tolerance - old/new/tolerance -0.298284426282425/-0.301978351499083//0.02</t>
  </si>
  <si>
    <t>2015-3-2 11:27:37.112: MarketData - Let Delta - discarding new delta value - outside tolerance - old/new/tolerance -0.454699445780046/-0.454699445780046//0.02</t>
  </si>
  <si>
    <t>2015-3-2 11:27:37.146: MarketData - Let Delta - discarding new delta value - outside tolerance - old/new/tolerance -0.454699445780046/-0.456731737319658//0.02</t>
  </si>
  <si>
    <t>2015-3-2 11:27:37.179: MarketData - Let Delta - discarding new delta value - outside tolerance - old/new/tolerance -0.388307309600332/-0.389325948342953//0.02</t>
  </si>
  <si>
    <t>2015-3-2 11:27:37.439: MarketData - Let Delta - discarding new delta value - outside tolerance - old/new/tolerance 0.317255897852004/0.324225534042994//0.02</t>
  </si>
  <si>
    <t>2015-3-2 11:27:37.467: MarketData - Let Delta - discarding new delta value - outside tolerance - old/new/tolerance 0.230885616872466/0.242480951982855//0.02</t>
  </si>
  <si>
    <t>2015-3-2 11:27:37.516: MarketData - Let Delta - discarding new delta value - outside tolerance - old/new/tolerance 0.284919265450254/0.292408101328875//0.02</t>
  </si>
  <si>
    <t>2015-3-2 11:27:37.556: MarketData - Let Delta - discarding new delta value - outside tolerance - old/new/tolerance -9.06449168909247E-02/-9.85283362086008E-02//0.02</t>
  </si>
  <si>
    <t>2015-3-2 11:27:37.572: MarketData - Let Delta - discarding new delta value - outside tolerance - old/new/tolerance -5.48268661103477E-02/-6.45574890668096E-02//0.02</t>
  </si>
  <si>
    <t>2015-3-2 11:27:37.603: MarketData - Let Delta - discarding new delta value - outside tolerance - old/new/tolerance 3.29152544038169E-02/4.28192417622336E-02//0.02</t>
  </si>
  <si>
    <t>2015-3-2 11:27:37.619: MarketData - Let Delta - discarding new delta value - outside tolerance - old/new/tolerance 6.12155375407172E-02/7.14675332350495E-02//0.02</t>
  </si>
  <si>
    <t>2015-3-2 11:27:37.650: MarketData - Let Delta - discarding new delta value - outside tolerance - old/new/tolerance 0.110733774534512/0.117795078969884//0.02</t>
  </si>
  <si>
    <t>2015-3-2 11:27:37.667: MarketData - Let Delta - discarding new delta value - outside tolerance - old/new/tolerance -0.841517411877704/-0.841517411877704//0.02</t>
  </si>
  <si>
    <t>2015-3-2 11:27:37.688: MarketData - Let Delta - discarding new delta value - outside tolerance - old/new/tolerance -0.841517411877704/-0.652156326597201//0.02</t>
  </si>
  <si>
    <t>2015-3-2 11:27:37.688: MarketData - Let ImpliedVol - discarding new iv value - outside tolerance - old/new/tolerance 4.95696321974638E-02/0.124780606252956//0.1</t>
  </si>
  <si>
    <t>2015-3-2 11:27:37.723: MarketData - Let Delta - discarding new delta value - outside tolerance - old/new/tolerance -0.160184441493707/-0.167002137059243//0.02</t>
  </si>
  <si>
    <t>2015-3-2 11:27:37.738: MarketData - Let Delta - discarding new delta value - outside tolerance - old/new/tolerance -0.11314892454345/-0.119046589526543//0.02</t>
  </si>
  <si>
    <t>2015-3-2 11:27:37.773: MarketData - Let Delta - discarding new delta value - outside tolerance - old/new/tolerance -7.88083866011275E-02/-8.51787421894604E-02//0.02</t>
  </si>
  <si>
    <t>2015-3-2 11:27:37.815: MarketData - Let Delta - discarding new delta value - outside tolerance - old/new/tolerance 0.178640538312225/0.196407558914364//0.02</t>
  </si>
  <si>
    <t>2015-3-2 11:27:37.846: MarketData - Let Delta - discarding new delta value - outside tolerance - old/new/tolerance 0.038469617026449/5.64613685217967E-02//0.02</t>
  </si>
  <si>
    <t>2015-3-2 11:27:37.846: MarketData - Let ImpliedVol - discarding new iv value - outside tolerance - old/new/tolerance 7.11564325087054E-02/7.89855517010434E-02//0.1</t>
  </si>
  <si>
    <t>2015-3-2 11:27:37.857: MarketData - Let Delta - discarding new delta value - outside tolerance - old/new/tolerance 6.89318382128002E-02/0.082327038941912//0.02</t>
  </si>
  <si>
    <t>2015-3-2 11:27:37.886: MarketData - Let Delta - discarding new delta value - outside tolerance - old/new/tolerance 0.106830504989704/0.120989852052966//0.02</t>
  </si>
  <si>
    <t>2015-3-2 11:27:37.900: MarketData - Let Delta - discarding new delta value - outside tolerance - old/new/tolerance 0.158490955712676/0.174540260139457//0.02</t>
  </si>
  <si>
    <t>2015-3-2 11:27:38.90: MarketData - Let Delta - discarding new delta value - outside tolerance - old/new/tolerance -9.06449168909247E-02/-9.06449168909247E-02//0.02</t>
  </si>
  <si>
    <t>2015-3-2 11:27:38.107: MarketData - Let Delta - discarding new delta value - outside tolerance - old/new/tolerance -9.06449168909247E-02/-0.105735761187177//0.02</t>
  </si>
  <si>
    <t>2015-3-2 11:27:38.156: MarketData - Let Delta - discarding new delta value - outside tolerance - old/new/tolerance -5.48268661103477E-02/-5.48268661103477E-02//0.02</t>
  </si>
  <si>
    <t>2015-3-2 11:27:38.181: MarketData - Let Delta - discarding new delta value - outside tolerance - old/new/tolerance -5.48268661103477E-02/-7.18772157543122E-02//0.02</t>
  </si>
  <si>
    <t>2015-3-2 11:27:38.181: MarketData - Let ImpliedVol - discarding new iv value - outside tolerance - old/new/tolerance 0.100224952164271/0.110348333108944//0.1</t>
  </si>
  <si>
    <t>2015-3-2 11:27:38.238: MarketData - Let Delta - discarding new delta value - outside tolerance - old/new/tolerance 3.28315653064536E-02/5.36672999757295E-02//0.02</t>
  </si>
  <si>
    <t>2015-3-2 11:27:38.238: MarketData - Let ImpliedVol - discarding new iv value - outside tolerance - old/new/tolerance 9.08972058246263E-02/0.103800164925898//0.1</t>
  </si>
  <si>
    <t>2015-3-2 11:27:38.305: MarketData - Let Delta - discarding new delta value - outside tolerance - old/new/tolerance 6.10307690693221E-02/7.96666649610575E-02//0.02</t>
  </si>
  <si>
    <t>2015-3-2 11:27:38.305: MarketData - Let ImpliedVol - discarding new iv value - outside tolerance - old/new/tolerance 8.91195438709282E-02/9.85562462806789E-02//0.1</t>
  </si>
  <si>
    <t>2015-3-2 11:27:38.363: MarketData - Let Delta - discarding new delta value - outside tolerance - old/new/tolerance 0.110446686942031/0.12577148203856//0.02</t>
  </si>
  <si>
    <t>2015-3-2 11:27:49.854: MarketData - Let Delta - discarding new delta value - outside tolerance - old/new/tolerance -0.144976320097935/-0.15057043017351//0.02</t>
  </si>
  <si>
    <t>2015-3-2 11:27:49.916: MarketData - Let Delta - discarding new delta value - outside tolerance - old/new/tolerance -0.222854384384645/-0.2272327952651//0.02</t>
  </si>
  <si>
    <t>2015-3-2 11:27:49.935: MarketData - Let Delta - discarding new delta value - outside tolerance - old/new/tolerance -0.328942848388473/-0.330747099353847//0.02</t>
  </si>
  <si>
    <t>2015-3-2 11:27:49.981: MarketData - Let Delta - discarding new delta value - outside tolerance - old/new/tolerance -0.454699445780046/-0.455714530687745//0.02</t>
  </si>
  <si>
    <t>2015-3-2 11:27:50.40: MarketData - Let Delta - discarding new delta value - outside tolerance - old/new/tolerance -0.841517411877704/-0.712952203091796//0.02</t>
  </si>
  <si>
    <t>2015-3-2 11:27:50.40: MarketData - Let ImpliedVol - discarding new iv value - outside tolerance - old/new/tolerance 4.95696321974638E-02/8.85268960173988E-02//0.1</t>
  </si>
  <si>
    <t>2015-3-2 11:27:50.65: MarketData - Let Delta - discarding new delta value - outside tolerance - old/new/tolerance 0.178640538312225/0.188390251362755//0.02</t>
  </si>
  <si>
    <t>2015-3-2 11:27:50.81: MarketData - Let Delta - discarding new delta value - outside tolerance - old/new/tolerance -0.222734195212471/-0.227467219136563//0.02</t>
  </si>
  <si>
    <t>2015-3-2 11:27:50.108: MarketData - Let Delta - discarding new delta value - outside tolerance - old/new/tolerance -0.298284426282425/-0.30187927602629//0.02</t>
  </si>
  <si>
    <t>2015-3-2 11:27:50.124: MarketData - Let Delta - discarding new delta value - outside tolerance - old/new/tolerance -0.388307309600332/-0.389280389057625//0.02</t>
  </si>
  <si>
    <t>2015-3-2 11:27:50.148: MarketData - Let Delta - discarding new delta value - outside tolerance - old/new/tolerance -0.48538727948517/-0.486039743671637//0.02</t>
  </si>
  <si>
    <t>2015-3-2 11:27:50.190: MarketData - Let Delta - discarding new delta value - outside tolerance - old/new/tolerance 0.317255897852004/0.324264089530168//0.02</t>
  </si>
  <si>
    <t>2015-3-2 11:27:50.203: MarketData - Let Delta - discarding new delta value - outside tolerance - old/new/tolerance 0.230885616872466/0.242603128111749//0.02</t>
  </si>
  <si>
    <t>2015-3-2 11:27:50.226: MarketData - Let Delta - discarding new delta value - outside tolerance - old/new/tolerance -9.06449168909247E-02/-9.84748627351545E-02//0.02</t>
  </si>
  <si>
    <t>2015-3-2 11:27:50.242: MarketData - Let Delta - discarding new delta value - outside tolerance - old/new/tolerance -5.48268661103477E-02/-6.45447356341136E-02//0.02</t>
  </si>
  <si>
    <t>2015-3-2 11:27:50.272: MarketData - Let Delta - discarding new delta value - outside tolerance - old/new/tolerance 3.28315653064536E-02/4.28000677894169E-02//0.02</t>
  </si>
  <si>
    <t>2015-3-2 11:27:50.288: MarketData - Let Delta - discarding new delta value - outside tolerance - old/new/tolerance 6.10307690693221E-02/7.14121158063153E-02//0.02</t>
  </si>
  <si>
    <t>2015-3-2 11:27:50.317: MarketData - Let Delta - discarding new delta value - outside tolerance - old/new/tolerance 0.110446686942031/0.117698199850617//0.02</t>
  </si>
  <si>
    <t>2015-3-2 11:27:50.333: MarketData - Let Delta - discarding new delta value - outside tolerance - old/new/tolerance -0.160184441493707/-0.166866069838956//0.02</t>
  </si>
  <si>
    <t>2015-3-2 11:27:50.356: MarketData - Let Delta - discarding new delta value - outside tolerance - old/new/tolerance -0.11314892454345/-0.11893767434831//0.02</t>
  </si>
  <si>
    <t>2015-3-2 11:27:50.372: MarketData - Let Delta - discarding new delta value - outside tolerance - old/new/tolerance -7.88083866011275E-02/-8.50754106880953E-02//0.02</t>
  </si>
  <si>
    <t>2015-3-2 11:27:50.409: MarketData - Let Delta - discarding new delta value - outside tolerance - old/new/tolerance 0.038469617026449/5.68886471614353E-02//0.02</t>
  </si>
  <si>
    <t>2015-3-2 11:27:50.409: MarketData - Let ImpliedVol - discarding new iv value - outside tolerance - old/new/tolerance 7.11564325087054E-02/7.91650073373127E-02//0.1</t>
  </si>
  <si>
    <t>2015-3-2 11:27:50.422: MarketData - Let Delta - discarding new delta value - outside tolerance - old/new/tolerance 6.89318382128002E-02/8.27685147273817E-02//0.02</t>
  </si>
  <si>
    <t>2015-3-2 11:27:50.479: MarketData - Let Delta - discarding new delta value - outside tolerance - old/new/tolerance 0.106830504989704/0.121268984691445//0.02</t>
  </si>
  <si>
    <t>2015-3-2 11:27:50.491: MarketData - Let Delta - discarding new delta value - outside tolerance - old/new/tolerance 0.158490955712676/0.174754822335612//0.02</t>
  </si>
  <si>
    <t>2015-3-2 11:27:50.729: MarketData - Let Delta - discarding new delta value - outside tolerance - old/new/tolerance -0.144976320097935/-0.145036915815577//0.02</t>
  </si>
  <si>
    <t>2015-3-2 11:27:50.745: MarketData - Let Delta - discarding new delta value - outside tolerance - old/new/tolerance -0.144976320097935/-0.157548003293962//0.02</t>
  </si>
  <si>
    <t>2015-3-2 11:27:50.805: MarketData - Let Delta - discarding new delta value - outside tolerance - old/new/tolerance -0.222854384384645/-0.222890562194646//0.02</t>
  </si>
  <si>
    <t>2015-3-2 11:27:50.820: MarketData - Let Delta - discarding new delta value - outside tolerance - old/new/tolerance -0.222854384384645/-0.236682227014833//0.02</t>
  </si>
  <si>
    <t>2015-3-2 11:27:52.735: MarketData - Let Delta - discarding new delta value - outside tolerance - old/new/tolerance -0.144976320097935/-0.150602107040778//0.02</t>
  </si>
  <si>
    <t>2015-3-2 11:27:52.800: MarketData - Let Delta - discarding new delta value - outside tolerance - old/new/tolerance -0.222854384384645/-0.227262072974413//0.02</t>
  </si>
  <si>
    <t>2015-3-2 11:27:52.819: MarketData - Let Delta - discarding new delta value - outside tolerance - old/new/tolerance -0.328942848388473/-0.33076659452777//0.02</t>
  </si>
  <si>
    <t>2015-3-2 11:27:52.855: MarketData - Let Delta - discarding new delta value - outside tolerance - old/new/tolerance -0.454699445780046/-0.455719270046383//0.02</t>
  </si>
  <si>
    <t>2015-3-2 11:27:52.915: MarketData - Let Delta - discarding new delta value - outside tolerance - old/new/tolerance -0.841517411877704/-0.712933258087091//0.02</t>
  </si>
  <si>
    <t>2015-3-2 11:27:52.915: MarketData - Let ImpliedVol - discarding new iv value - outside tolerance - old/new/tolerance 4.95696321974638E-02/8.85349498293877E-02//0.1</t>
  </si>
  <si>
    <t>2015-3-2 11:27:52.941: MarketData - Let Delta - discarding new delta value - outside tolerance - old/new/tolerance 0.178640538312225/0.188406160980605//0.02</t>
  </si>
  <si>
    <t>2015-3-2 11:27:52.956: MarketData - Let Delta - discarding new delta value - outside tolerance - old/new/tolerance -0.222734195212471/-0.227471561733328//0.02</t>
  </si>
  <si>
    <t>2015-3-2 11:27:52.982: MarketData - Let Delta - discarding new delta value - outside tolerance - old/new/tolerance -0.298284426282425/-0.301882223098098//0.02</t>
  </si>
  <si>
    <t>2015-3-2 11:27:52.998: MarketData - Let Delta - discarding new delta value - outside tolerance - old/new/tolerance -0.388307309600332/-0.389281763781636//0.02</t>
  </si>
  <si>
    <t>2015-3-2 11:27:53.23: MarketData - Let Delta - discarding new delta value - outside tolerance - old/new/tolerance -0.48538727948517/-0.486039835855043//0.02</t>
  </si>
  <si>
    <t>2015-3-2 11:27:53.69: MarketData - Let Delta - discarding new delta value - outside tolerance - old/new/tolerance 0.317276633596692/0.32426493606269//0.02</t>
  </si>
  <si>
    <t>2015-3-2 11:27:53.85: MarketData - Let Delta - discarding new delta value - outside tolerance - old/new/tolerance 0.230885616872466/0.242603709042647//0.02</t>
  </si>
  <si>
    <t>2015-3-2 11:27:53.102: MarketData - Let Delta - discarding new delta value - outside tolerance - old/new/tolerance -9.06449168909247E-02/-9.85025716931862E-02//0.02</t>
  </si>
  <si>
    <t>2015-3-2 11:27:53.118: MarketData - Let Delta - discarding new delta value - outside tolerance - old/new/tolerance -5.48268661103477E-02/-6.45651736075764E-02//0.02</t>
  </si>
  <si>
    <t>2015-3-2 11:27:53.148: MarketData - Let Delta - discarding new delta value - outside tolerance - old/new/tolerance 3.28315653064536E-02/4.28006623097775E-02//0.02</t>
  </si>
  <si>
    <t>2015-3-2 11:27:53.163: MarketData - Let Delta - discarding new delta value - outside tolerance - old/new/tolerance 6.11201952037298E-02/0.071417146492879//0.02</t>
  </si>
  <si>
    <t>2015-3-2 11:27:53.190: MarketData - Let Delta - discarding new delta value - outside tolerance - old/new/tolerance 0.110446686942031/0.117709194100764//0.02</t>
  </si>
  <si>
    <t>2015-3-2 11:27:53.205: MarketData - Let Delta - discarding new delta value - outside tolerance - old/new/tolerance -0.160184441493707/-0.166871207406817//0.02</t>
  </si>
  <si>
    <t>2015-3-2 11:27:53.231: MarketData - Let Delta - discarding new delta value - outside tolerance - old/new/tolerance -0.11314892454345/-0.118942820002647//0.02</t>
  </si>
  <si>
    <t>2015-3-2 11:27:53.247: MarketData - Let Delta - discarding new delta value - outside tolerance - old/new/tolerance -7.88083866011275E-02/-8.50821197497378E-02//0.02</t>
  </si>
  <si>
    <t>2015-3-2 11:27:53.274: MarketData - Let Delta - discarding new delta value - outside tolerance - old/new/tolerance 0.038469617026449/5.68878941053757E-02//0.02</t>
  </si>
  <si>
    <t>2015-3-2 11:27:53.274: MarketData - Let ImpliedVol - discarding new iv value - outside tolerance - old/new/tolerance 7.11564325087054E-02/7.91646946333575E-02//0.1</t>
  </si>
  <si>
    <t>2015-3-2 11:27:53.287: MarketData - Let Delta - discarding new delta value - outside tolerance - old/new/tolerance 6.89318382128002E-02/8.27678322176183E-02//0.02</t>
  </si>
  <si>
    <t>2015-3-2 11:27:53.310: MarketData - Let Delta - discarding new delta value - outside tolerance - old/new/tolerance 0.106830504989704/0.121268724548616//0.02</t>
  </si>
  <si>
    <t>2015-3-2 11:27:53.327: MarketData - Let Delta - discarding new delta value - outside tolerance - old/new/tolerance 0.158490955712676/0.174754950411828//0.02</t>
  </si>
  <si>
    <t>2015-3-2 11:28:3.761: MarketData - Let Delta - discarding new delta value - outside tolerance - old/new/tolerance -0.144976320097935/-0.149339601778372//0.02</t>
  </si>
  <si>
    <t>2015-3-2 11:28:3.794: MarketData - Let Delta - discarding new delta value - outside tolerance - old/new/tolerance -0.222854384384645/-0.225581970515301//0.02</t>
  </si>
  <si>
    <t>2015-3-2 11:28:3.809: MarketData - Let Delta - discarding new delta value - outside tolerance - old/new/tolerance -0.328942848388473/-0.328620861128777//0.02</t>
  </si>
  <si>
    <t>2015-3-2 11:28:3.855: MarketData - Let Delta - discarding new delta value - outside tolerance - old/new/tolerance -0.454699445780046/-0.453147075729189//0.02</t>
  </si>
  <si>
    <t>2015-3-2 11:28:3.940: MarketData - Let Delta - discarding new delta value - outside tolerance - old/new/tolerance -0.841517411877704/-0.710125819032394//0.02</t>
  </si>
  <si>
    <t>2015-3-2 11:28:3.940: MarketData - Let ImpliedVol - discarding new iv value - outside tolerance - old/new/tolerance 4.95696321974638E-02/8.86820881644681E-02//0.1</t>
  </si>
  <si>
    <t>2015-3-2 11:28:3.975: MarketData - Let Delta - discarding new delta value - outside tolerance - old/new/tolerance 0.178640538312225/0.190351097646679//0.02</t>
  </si>
  <si>
    <t>2015-3-2 11:28:3.990: MarketData - Let Delta - discarding new delta value - outside tolerance - old/new/tolerance -9.06449168909247E-02/-9.75800570969104E-02//0.02</t>
  </si>
  <si>
    <t>2015-3-2 11:28:4.30: MarketData - Let Delta - discarding new delta value - outside tolerance - old/new/tolerance -5.48268661103477E-02/-6.39113404794057E-02//0.02</t>
  </si>
  <si>
    <t>2015-3-2 11:28:4.58: MarketData - Let Delta - discarding new delta value - outside tolerance - old/new/tolerance 3.28315653064536E-02/0.043307969420718//0.02</t>
  </si>
  <si>
    <t>2015-3-2 11:28:4.73: MarketData - Let Delta - discarding new delta value - outside tolerance - old/new/tolerance 6.11201952037298E-02/7.22877718808807E-02//0.02</t>
  </si>
  <si>
    <t>2015-3-2 11:28:4.105: MarketData - Let Delta - discarding new delta value - outside tolerance - old/new/tolerance 0.110446686942031/0.119103294699404//0.02</t>
  </si>
  <si>
    <t>2015-3-2 11:28:4.921: MarketData - Let Delta - discarding new delta value - outside tolerance - old/new/tolerance -0.144976320097935/-0.144518761230698//0.02</t>
  </si>
  <si>
    <t>2015-3-2 11:28:4.952: MarketData - Let Delta - discarding new delta value - outside tolerance - old/new/tolerance -0.144976320097935/-0.157002249686204//0.02</t>
  </si>
  <si>
    <t>2015-3-2 11:28:4.981: MarketData - Let Delta - discarding new delta value - outside tolerance - old/new/tolerance -0.144976320097935/-0.149806172846773//0.02</t>
  </si>
  <si>
    <t>2015-3-2 11:28:5.14: MarketData - Let Delta - discarding new delta value - outside tolerance - old/new/tolerance -0.222854384384645/-0.225766137534502//0.02</t>
  </si>
  <si>
    <t>2015-3-2 11:28:5.29: MarketData - Let Delta - discarding new delta value - outside tolerance - old/new/tolerance -0.328942848388473/-0.328586321513991//0.02</t>
  </si>
  <si>
    <t>2015-3-2 11:28:5.62: MarketData - Let Delta - discarding new delta value - outside tolerance - old/new/tolerance -0.454699445780046/-0.453097733784195//0.02</t>
  </si>
  <si>
    <t>2015-3-2 11:28:5.77: MarketData - Let Delta - discarding new delta value - outside tolerance - old/new/tolerance -0.222854384384645/-0.222021077219474//0.02</t>
  </si>
  <si>
    <t>2015-3-2 11:28:5.104: MarketData - Let Delta - discarding new delta value - outside tolerance - old/new/tolerance -0.222854384384645/-0.235779703299751//0.02</t>
  </si>
  <si>
    <t>2015-3-2 11:28:5.188: MarketData - Let Delta - discarding new delta value - outside tolerance - old/new/tolerance -0.328942848388473/-0.324558131792028//0.02</t>
  </si>
  <si>
    <t>2015-3-2 11:28:5.204: MarketData - Let Delta - discarding new delta value - outside tolerance - old/new/tolerance -0.328942848388473/-0.333064144042381//0.02</t>
  </si>
  <si>
    <t>2015-3-2 11:28:5.235: MarketData - Let Delta - discarding new delta value - outside tolerance - old/new/tolerance -0.841517411877704/-0.710665880928725//0.02</t>
  </si>
  <si>
    <t>2015-3-2 11:28:5.235: MarketData - Let ImpliedVol - discarding new iv value - outside tolerance - old/new/tolerance 4.95696321974638E-02/8.84495513886989E-02//0.1</t>
  </si>
  <si>
    <t>2015-3-2 11:28:5.263: MarketData - Let Delta - discarding new delta value - outside tolerance - old/new/tolerance 0.178640538312225/0.189670992143664//0.02</t>
  </si>
  <si>
    <t>2015-3-2 11:28:5.278: MarketData - Let Delta - discarding new delta value - outside tolerance - old/new/tolerance -0.222734195212471/-0.227467145519616//0.02</t>
  </si>
  <si>
    <t>2015-3-2 11:28:5.312: MarketData - Let Delta - discarding new delta value - outside tolerance - old/new/tolerance -0.298284426282425/-0.301931120518007//0.02</t>
  </si>
  <si>
    <t>2015-3-2 11:28:5.328: MarketData - Let Delta - discarding new delta value - outside tolerance - old/new/tolerance -0.454699445780046/-0.452323348194767//0.02</t>
  </si>
  <si>
    <t>2015-3-2 11:28:5.354: MarketData - Let Delta - discarding new delta value - outside tolerance - old/new/tolerance -0.454699445780046/-0.454455304525708//0.02</t>
  </si>
  <si>
    <t>2015-3-2 11:28:5.388: MarketData - Let Delta - discarding new delta value - outside tolerance - old/new/tolerance -0.388307309600332/-0.389331036647999//0.02</t>
  </si>
  <si>
    <t>2015-3-2 11:28:5.403: MarketData - Let Delta - discarding new delta value - outside tolerance - old/new/tolerance -0.48538727948517/-0.486045086564009//0.02</t>
  </si>
  <si>
    <t>2015-3-2 11:28:5.512: MarketData - Let Delta - discarding new delta value - outside tolerance - old/new/tolerance 0.317276633596692/0.324354578963741//0.02</t>
  </si>
  <si>
    <t>2015-3-2 11:28:5.525: MarketData - Let Delta - discarding new delta value - outside tolerance - old/new/tolerance 0.230885616872466/0.242681495935971//0.02</t>
  </si>
  <si>
    <t>2015-3-2 11:28:5.556: MarketData - Let Delta - discarding new delta value - outside tolerance - old/new/tolerance -9.06449168909247E-02/-9.82457136159142E-02//0.02</t>
  </si>
  <si>
    <t>2015-3-2 11:28:5.602: MarketData - Let Delta - discarding new delta value - outside tolerance - old/new/tolerance 0.286117025999951/0.293595429208091//0.02</t>
  </si>
  <si>
    <t>2015-3-2 11:28:5.639: MarketData - Let Delta - discarding new delta value - outside tolerance - old/new/tolerance -5.48268661103477E-02/-6.46203262386946E-02//0.02</t>
  </si>
  <si>
    <t>2015-3-2 11:28:5.654: MarketData - Let Delta - discarding new delta value - outside tolerance - old/new/tolerance -0.841517411877704/-0.840480706007709//0.02</t>
  </si>
  <si>
    <t>2015-3-2 11:28:5.686: MarketData - Let Delta - discarding new delta value - outside tolerance - old/new/tolerance -0.841517411877704/-0.649146450572056//0.02</t>
  </si>
  <si>
    <t>2015-3-2 11:28:5.686: MarketData - Let ImpliedVol - discarding new iv value - outside tolerance - old/new/tolerance 4.91895074613092E-02/0.125869555061496//0.1</t>
  </si>
  <si>
    <t>2015-3-2 11:28:5.722: MarketData - Let Delta - discarding new delta value - outside tolerance - old/new/tolerance 3.28315653064536E-02/4.28163704856644E-02//0.02</t>
  </si>
  <si>
    <t>2015-3-2 11:28:5.739: MarketData - Let Delta - discarding new delta value - outside tolerance - old/new/tolerance 6.11201952037298E-02/7.16571133200833E-02//0.02</t>
  </si>
  <si>
    <t>2015-3-2 11:28:5.777: MarketData - Let Delta - discarding new delta value - outside tolerance - old/new/tolerance 0.110446686942031/0.118370746198978//0.02</t>
  </si>
  <si>
    <t>2015-3-2 11:28:5.821: MarketData - Let Delta - discarding new delta value - outside tolerance - old/new/tolerance 0.179287152738704/0.197093718947261//0.02</t>
  </si>
  <si>
    <t>2015-3-2 11:28:5.849: MarketData - Let Delta - discarding new delta value - outside tolerance - old/new/tolerance -0.160184441493707/-0.166782914108622//0.02</t>
  </si>
  <si>
    <t>2015-3-2 11:28:5.864: MarketData - Let Delta - discarding new delta value - outside tolerance - old/new/tolerance -0.11314892454345/-0.11877771417138//0.02</t>
  </si>
  <si>
    <t>2015-3-2 11:28:5.897: MarketData - Let Delta - discarding new delta value - outside tolerance - old/new/tolerance -7.88083866011275E-02/-8.47744075716439E-02//0.02</t>
  </si>
  <si>
    <t>2015-3-2 11:28:5.912: MarketData - Let Delta - discarding new delta value - outside tolerance - old/new/tolerance 0.038469617026449/5.66621338852578E-02//0.02</t>
  </si>
  <si>
    <t>2015-3-2 11:28:5.912: MarketData - Let ImpliedVol - discarding new iv value - outside tolerance - old/new/tolerance 7.11564325087054E-02/7.90710592431214E-02//0.1</t>
  </si>
  <si>
    <t>2015-3-2 11:28:5.935: MarketData - Let Delta - discarding new delta value - outside tolerance - old/new/tolerance 6.89318382128002E-02/8.25962389926737E-02//0.02</t>
  </si>
  <si>
    <t>2015-3-2 11:28:5.949: MarketData - Let Delta - discarding new delta value - outside tolerance - old/new/tolerance -0.222734195212471/-0.236327477898967//0.02</t>
  </si>
  <si>
    <t>2015-3-2 11:28:5.981: MarketData - Let Delta - discarding new delta value - outside tolerance - old/new/tolerance 0.106830504989704/0.121213638077715//0.02</t>
  </si>
  <si>
    <t>2015-3-2 11:28:6.10: MarketData - Let Delta - discarding new delta value - outside tolerance - old/new/tolerance 0.158490955712676/0.174775099501551//0.02</t>
  </si>
  <si>
    <t>2015-3-2 11:28:18.431: MarketData - Let Delta - discarding new delta value - outside tolerance - old/new/tolerance -0.144976320097935/-0.151432583823046//0.02</t>
  </si>
  <si>
    <t>2015-3-2 11:28:18.472: MarketData - Let Delta - discarding new delta value - outside tolerance - old/new/tolerance -0.222854384384645/-0.227885155917685//0.02</t>
  </si>
  <si>
    <t>2015-3-2 11:28:18.487: MarketData - Let Delta - discarding new delta value - outside tolerance - old/new/tolerance -0.328942848388473/-0.331083444640183//0.02</t>
  </si>
  <si>
    <t>2015-3-2 11:28:18.520: MarketData - Let Delta - discarding new delta value - outside tolerance - old/new/tolerance -0.454699445780046/-0.45577031817607//0.02</t>
  </si>
  <si>
    <t>2015-3-2 11:28:18.577: MarketData - Let Delta - discarding new delta value - outside tolerance - old/new/tolerance -0.841517411877704/-0.713011349403029//0.02</t>
  </si>
  <si>
    <t>2015-3-2 11:28:18.577: MarketData - Let ImpliedVol - discarding new iv value - outside tolerance - old/new/tolerance 4.91895074613092E-02/8.85017621581525E-02//0.1</t>
  </si>
  <si>
    <t>2015-3-2 11:28:18.603: MarketData - Let Delta - discarding new delta value - outside tolerance - old/new/tolerance 0.179287152738704/0.188142211165329//0.02</t>
  </si>
  <si>
    <t>2015-3-2 11:28:18.621: MarketData - Let Delta - discarding new delta value - outside tolerance - old/new/tolerance -9.06449168909247E-02/-9.93712591605521E-02//0.02</t>
  </si>
  <si>
    <t>2015-3-2 11:28:18.646: MarketData - Let Delta - discarding new delta value - outside tolerance - old/new/tolerance -5.48268661103477E-02/-6.53208130419216E-02//0.02</t>
  </si>
  <si>
    <t>2015-3-2 11:28:18.662: MarketData - Let Delta - discarding new delta value - outside tolerance - old/new/tolerance 3.29045026787367E-02/4.23668392325616E-02//0.02</t>
  </si>
  <si>
    <t>2015-3-2 11:28:18.687: MarketData - Let Delta - discarding new delta value - outside tolerance - old/new/tolerance 6.12007944894106E-02/7.09326144840217E-02//0.02</t>
  </si>
  <si>
    <t>2015-3-2 11:28:18.704: MarketData - Let Delta - discarding new delta value - outside tolerance - old/new/tolerance 0.110801921744797/0.117281237957679//0.02</t>
  </si>
  <si>
    <t>2015-3-2 11:28:19.147: MarketData - Let Delta - discarding new delta value - outside tolerance - old/new/tolerance -0.144976320097935/-0.145036915815577//0.02</t>
  </si>
  <si>
    <t>2015-3-2 11:28:19.163: MarketData - Let Delta - discarding new delta value - outside tolerance - old/new/tolerance -0.144976320097935/-0.157548003293962//0.02</t>
  </si>
  <si>
    <t>2015-3-2 11:28:19.193: MarketData - Let Delta - discarding new delta value - outside tolerance - old/new/tolerance -0.222854384384645/-0.222890562194646//0.02</t>
  </si>
  <si>
    <t>2015-3-2 11:28:19.222: MarketData - Let Delta - discarding new delta value - outside tolerance - old/new/tolerance -0.222854384384645/-0.236682227014833//0.02</t>
  </si>
  <si>
    <t>2015-3-2 11:28:19.415: MarketData - Let Delta - discarding new delta value - outside tolerance - old/new/tolerance -5.48268661103477E-02/-5.48120462434472E-02//0.02</t>
  </si>
  <si>
    <t>2015-3-2 11:28:19.450: MarketData - Let Delta - discarding new delta value - outside tolerance - old/new/tolerance -5.48268661103477E-02/-7.18637654800249E-02//0.02</t>
  </si>
  <si>
    <t>2015-3-2 11:28:19.450: MarketData - Let ImpliedVol - discarding new iv value - outside tolerance - old/new/tolerance 0.100224952164271/0.110348333108944//0.1</t>
  </si>
  <si>
    <t>2015-3-2 11:28:19.514: MarketData - Let Delta - discarding new delta value - outside tolerance - old/new/tolerance 3.28208063921307E-02/5.36519155247226E-02//0.02</t>
  </si>
  <si>
    <t>2015-3-2 11:28:19.514: MarketData - Let ImpliedVol - discarding new iv value - outside tolerance - old/new/tolerance 9.08972058246263E-02/0.103800164925898//0.1</t>
  </si>
  <si>
    <t>2015-3-2 11:28:19.596: MarketData - Let Delta - discarding new delta value - outside tolerance - old/new/tolerance 6.11201952037298E-02/7.96466328319066E-02//0.02</t>
  </si>
  <si>
    <t>2015-3-2 11:28:19.596: MarketData - Let ImpliedVol - discarding new iv value - outside tolerance - old/new/tolerance 8.91697155536962E-02/9.85562462806789E-02//0.1</t>
  </si>
  <si>
    <t>2015-3-2 11:28:19.653: MarketData - Let Delta - discarding new delta value - outside tolerance - old/new/tolerance 0.110429153188244/0.125755159652686//0.02</t>
  </si>
  <si>
    <t>2015-3-2 11:28:19.805: MarketData - Let Delta - discarding new delta value - outside tolerance - old/new/tolerance 0.158490955712676/0.173404145394465//0.02</t>
  </si>
  <si>
    <t>2015-3-2 11:28:20.738: MarketData - Let Delta - discarding new delta value - outside tolerance - old/new/tolerance -0.144976320097935/-0.150761603410689//0.02</t>
  </si>
  <si>
    <t>2015-3-2 11:28:20.801: MarketData - Let Delta - discarding new delta value - outside tolerance - old/new/tolerance -0.222854384384645/-0.227434888077708//0.02</t>
  </si>
  <si>
    <t>2015-3-2 11:28:20.847: MarketData - Let Delta - discarding new delta value - outside tolerance - old/new/tolerance -0.328942848388473/-0.330895578223225//0.02</t>
  </si>
  <si>
    <t>2015-3-2 11:28:20.863: MarketData - Let Delta - discarding new delta value - outside tolerance - old/new/tolerance -0.454699445780046/-0.455753381132708//0.02</t>
  </si>
  <si>
    <t>2015-3-2 11:28:20.946: MarketData - Let Delta - discarding new delta value - outside tolerance - old/new/tolerance -0.841517411877704/-0.712782073733627//0.02</t>
  </si>
  <si>
    <t>2015-3-2 11:28:20.946: MarketData - Let ImpliedVol - discarding new iv value - outside tolerance - old/new/tolerance 4.95696321974638E-02/8.85992727137648E-02//0.1</t>
  </si>
  <si>
    <t>2015-3-2 11:28:20.983: MarketData - Let Delta - discarding new delta value - outside tolerance - old/new/tolerance 0.178622316630097/0.188535443773854//0.02</t>
  </si>
  <si>
    <t>2015-3-2 11:28:21.13: MarketData - Let Delta - discarding new delta value - outside tolerance - old/new/tolerance -0.222734195212471/-0.22707766202978//0.02</t>
  </si>
  <si>
    <t>2015-3-2 11:28:21.55: MarketData - Let Delta - discarding new delta value - outside tolerance - old/new/tolerance -0.298284426282425/-0.301496091186933//0.02</t>
  </si>
  <si>
    <t>2015-3-2 11:28:21.102: MarketData - Let Delta - discarding new delta value - outside tolerance - old/new/tolerance -0.388307309600332/-0.389027122231896//0.02</t>
  </si>
  <si>
    <t>2015-3-2 11:28:21.143: MarketData - Let Delta - discarding new delta value - outside tolerance - old/new/tolerance -0.48538727948517/-0.486015595452283//0.02</t>
  </si>
  <si>
    <t>2015-3-2 11:28:21.158: MarketData - Let Delta - discarding new delta value - outside tolerance - old/new/tolerance -0.48538727948517/-0.485839425568956//0.02</t>
  </si>
  <si>
    <t>2015-3-2 11:28:21.222: MarketData - Let Delta - discarding new delta value - outside tolerance - old/new/tolerance 0.317276633596692/0.323750590672958//0.02</t>
  </si>
  <si>
    <t>2015-3-2 11:28:21.235: MarketData - Let Delta - discarding new delta value - outside tolerance - old/new/tolerance 0.230885616872466/0.241926256562185//0.02</t>
  </si>
  <si>
    <t>2015-3-2 11:28:21.267: MarketData - Let Delta - discarding new delta value - outside tolerance - old/new/tolerance -9.06449168909247E-02/-9.86127879397196E-02//0.02</t>
  </si>
  <si>
    <t>2015-3-2 11:28:21.282: MarketData - Let Delta - discarding new delta value - outside tolerance - old/new/tolerance -5.48268661103477E-02/-6.46198496481675E-02//0.02</t>
  </si>
  <si>
    <t>2015-3-2 11:28:21.317: MarketData - Let Delta - discarding new delta value - outside tolerance - old/new/tolerance 3.28208063921307E-02/4.27942215756285E-02//0.02</t>
  </si>
  <si>
    <t>2015-3-2 11:28:21.334: MarketData - Let Delta - discarding new delta value - outside tolerance - old/new/tolerance 6.11201952037298E-02/7.14509331296644E-02//0.02</t>
  </si>
  <si>
    <t>2015-3-2 11:28:21.355: MarketData - Let Delta - discarding new delta value - outside tolerance - old/new/tolerance 0.110429153188244/0.117796481386339//0.02</t>
  </si>
  <si>
    <t>2015-3-2 11:28:21.370: MarketData - Let Delta - discarding new delta value - outside tolerance - old/new/tolerance -0.160184441493707/-0.166566208979162//0.02</t>
  </si>
  <si>
    <t>2015-3-2 11:28:21.397: MarketData - Let Delta - discarding new delta value - outside tolerance - old/new/tolerance -0.11314892454345/-0.118766894998725//0.02</t>
  </si>
  <si>
    <t>2015-3-2 11:28:21.413: MarketData - Let Delta - discarding new delta value - outside tolerance - old/new/tolerance -7.88083866011275E-02/-8.49919332386759E-02//0.02</t>
  </si>
  <si>
    <t>2015-3-2 11:28:21.441: MarketData - Let Delta - discarding new delta value - outside tolerance - old/new/tolerance 0.038469617026449/5.63971836067263E-02//0.02</t>
  </si>
  <si>
    <t>2015-3-2 11:28:21.441: MarketData - Let ImpliedVol - discarding new iv value - outside tolerance - old/new/tolerance 7.11564325087054E-02/7.89614504463945E-02//0.1</t>
  </si>
  <si>
    <t>2015-3-2 11:28:21.454: MarketData - Let Delta - discarding new delta value - outside tolerance - old/new/tolerance 6.89318382128002E-02/8.20740118896088E-02//0.02</t>
  </si>
  <si>
    <t>2015-3-2 11:28:21.476: MarketData - Let Delta - discarding new delta value - outside tolerance - old/new/tolerance 0.106830504989704/0.120651905794606//0.02</t>
  </si>
  <si>
    <t>2015-3-2 11:28:21.489: MarketData - Let Delta - discarding new delta value - outside tolerance - old/new/tolerance 0.158490955712676/0.174048926874323//0.02</t>
  </si>
  <si>
    <t>2015-3-2 11:28:21.764: MarketData - Let Delta - discarding new delta value - outside tolerance - old/new/tolerance 0.158490955712676/0.177988471921765//0.02</t>
  </si>
  <si>
    <t>2015-3-2 11:28:23.73: MarketData - Let Delta - discarding new delta value - outside tolerance - old/new/tolerance -0.841517411877704/-0.854174359457619//0.02</t>
  </si>
  <si>
    <t>2015-3-2 11:28:23.260: MarketData - Let Delta - discarding new delta value - outside tolerance - old/new/tolerance 0.230885616872466/0.245400679074073//0.02</t>
  </si>
  <si>
    <t>2015-3-2 11:28:24.953: MarketData - Let Delta - discarding new delta value - outside tolerance - old/new/tolerance -0.144976320097935/-0.150676753550481//0.02</t>
  </si>
  <si>
    <t>2015-3-2 11:28:24.978: MarketData - Let Delta - discarding new delta value - outside tolerance - old/new/tolerance -0.222854384384645/-0.227358181791402//0.02</t>
  </si>
  <si>
    <t>2015-3-2 11:28:24.994: MarketData - Let Delta - discarding new delta value - outside tolerance - old/new/tolerance -0.328942848388473/-0.330846106912258//0.02</t>
  </si>
  <si>
    <t>2015-3-2 11:28:25.21: MarketData - Let Delta - discarding new delta value - outside tolerance - old/new/tolerance -0.454699445780046/-0.455741903213187//0.02</t>
  </si>
  <si>
    <t>2015-3-2 11:28:25.78: MarketData - Let Delta - discarding new delta value - outside tolerance - old/new/tolerance -0.841517411877704/-0.712820007549813//0.02</t>
  </si>
  <si>
    <t>2015-3-2 11:28:25.79: MarketData - Let ImpliedVol - discarding new iv value - outside tolerance - old/new/tolerance 4.71607874449768E-02/8.85831246879363E-02//0.1</t>
  </si>
  <si>
    <t>2015-3-2 11:28:25.106: MarketData - Let Delta - discarding new delta value - outside tolerance - old/new/tolerance 0.178622316630097/0.188510253807263//0.02</t>
  </si>
  <si>
    <t>2015-3-2 11:28:25.142: MarketData - Let Delta - discarding new delta value - outside tolerance - old/new/tolerance -0.222734195212471/-0.227325171029254//0.02</t>
  </si>
  <si>
    <t>2015-3-2 11:28:25.158: MarketData - Let Delta - discarding new delta value - outside tolerance - old/new/tolerance -0.298284426282425/-0.30173016856368//0.02</t>
  </si>
  <si>
    <t>2015-3-2 11:28:25.188: MarketData - Let Delta - discarding new delta value - outside tolerance - old/new/tolerance -0.388307309600332/-0.389173061010547//0.02</t>
  </si>
  <si>
    <t>2015-3-2 11:28:25.223: MarketData - Let Delta - discarding new delta value - outside tolerance - old/new/tolerance -0.48538727948517/-0.486028459343587//0.02</t>
  </si>
  <si>
    <t>2015-3-2 11:28:25.271: MarketData - Let Delta - discarding new delta value - outside tolerance - old/new/tolerance 0.317276633596692/0.323963957419207//0.02</t>
  </si>
  <si>
    <t>2015-3-2 11:28:25.284: MarketData - Let Delta - discarding new delta value - outside tolerance - old/new/tolerance 0.230885616872466/0.242155430814102//0.02</t>
  </si>
  <si>
    <t>2015-3-2 11:28:25.310: MarketData - Let Delta - discarding new delta value - outside tolerance - old/new/tolerance -9.06449168909247E-02/-9.85374478535203E-02//0.02</t>
  </si>
  <si>
    <t>2015-3-2 11:28:25.348: MarketData - Let Delta - discarding new delta value - outside tolerance - old/new/tolerance -5.48268661103477E-02/-0.06456376992228//0.02</t>
  </si>
  <si>
    <t>2015-3-2 11:28:25.364: MarketData - Let Delta - discarding new delta value - outside tolerance - old/new/tolerance 3.28208063921307E-02/4.28097092814267E-02//0.02</t>
  </si>
  <si>
    <t>2015-3-2 11:28:25.401: MarketData - Let Delta - discarding new delta value - outside tolerance - old/new/tolerance 6.11201952037298E-02/7.14580261548164E-02//0.02</t>
  </si>
  <si>
    <t>2015-3-2 11:28:25.418: MarketData - Let Delta - discarding new delta value - outside tolerance - old/new/tolerance 0.110429153188244/0.11778798469413//0.02</t>
  </si>
  <si>
    <t>2015-3-2 11:28:25.438: MarketData - Let Delta - discarding new delta value - outside tolerance - old/new/tolerance -0.841517411877704/-0.84153713734476//0.02</t>
  </si>
  <si>
    <t>2015-3-2 11:28:25.473: MarketData - Let Delta - discarding new delta value - outside tolerance - old/new/tolerance -0.160184441493707/-0.166759615345137//0.02</t>
  </si>
  <si>
    <t>2015-3-2 11:28:25.488: MarketData - Let Delta - discarding new delta value - outside tolerance - old/new/tolerance -0.11314892454345/-0.118873079739009//0.02</t>
  </si>
  <si>
    <t>2015-3-2 11:28:25.524: MarketData - Let Delta - discarding new delta value - outside tolerance - old/new/tolerance -7.88083866011275E-02/-8.50286885013663E-02//0.02</t>
  </si>
  <si>
    <t>2015-3-2 11:28:25.539: MarketData - Let Delta - discarding new delta value - outside tolerance - old/new/tolerance 0.038469617026449/5.62982009399605E-02//0.02</t>
  </si>
  <si>
    <t>2015-3-2 11:28:25.540: MarketData - Let ImpliedVol - discarding new iv value - outside tolerance - old/new/tolerance 7.11564325087054E-02/7.89205793326211E-02//0.1</t>
  </si>
  <si>
    <t>2015-3-2 11:28:25.561: MarketData - Let Delta - discarding new delta value - outside tolerance - old/new/tolerance 6.89318382128002E-02/8.20637620796212E-02//0.02</t>
  </si>
  <si>
    <t>2015-3-2 11:28:25.596: MarketData - Let Delta - discarding new delta value - outside tolerance - old/new/tolerance 0.106830504989704/0.12073209497437//0.02</t>
  </si>
  <si>
    <t>2015-3-2 11:28:25.609: MarketData - Let Delta - discarding new delta value - outside tolerance - old/new/tolerance 0.158490955712676/0.174221950365163//0.02</t>
  </si>
  <si>
    <t>2015-3-2 11:28:26.986: MarketData - Let Delta - discarding new delta value - outside tolerance - old/new/tolerance 0.287260385768318/0.280967007724511//0.02</t>
  </si>
  <si>
    <t>2015-3-2 11:28:27.54: MarketData - Let Delta - discarding new delta value - outside tolerance - old/new/tolerance -0.388307309600332/-0.393313385576627//0.02</t>
  </si>
  <si>
    <t>2015-3-2 11:28:27.106: MarketData - Let Delta - discarding new delta value - outside tolerance - old/new/tolerance -0.48538727948517/-0.485943051557137//0.02</t>
  </si>
  <si>
    <t>2015-3-2 11:28:28.349: MarketData - Let Delta - discarding new delta value - outside tolerance - old/new/tolerance -0.144976320097935/-0.152178365349329//0.02</t>
  </si>
  <si>
    <t>2015-3-2 11:28:28.393: MarketData - Let Delta - discarding new delta value - outside tolerance - old/new/tolerance -0.222854384384645/-0.229341089421668//0.02</t>
  </si>
  <si>
    <t>2015-3-2 11:28:28.408: MarketData - Let Delta - discarding new delta value - outside tolerance - old/new/tolerance -0.328942848388473/-0.333241139565907//0.02</t>
  </si>
  <si>
    <t>2015-3-2 11:28:28.444: MarketData - Let Delta - discarding new delta value - outside tolerance - old/new/tolerance -0.454699445780046/-0.458387220200809//0.02</t>
  </si>
  <si>
    <t>2015-3-2 11:28:28.502: MarketData - Let Delta - discarding new delta value - outside tolerance - old/new/tolerance -0.841517411877704/-0.715144122840701//0.02</t>
  </si>
  <si>
    <t>2015-3-2 11:28:28.502: MarketData - Let ImpliedVol - discarding new iv value - outside tolerance - old/new/tolerance 4.95696321974638E-02/8.85831246879363E-02//0.1</t>
  </si>
  <si>
    <t>2015-3-2 11:28:28.528: MarketData - Let Delta - discarding new delta value - outside tolerance - old/new/tolerance 0.178622316630097/0.186879507086643//0.02</t>
  </si>
  <si>
    <t>2015-3-2 11:28:28.544: MarketData - Let Delta - discarding new delta value - outside tolerance - old/new/tolerance -9.06449168909247E-02/-9.95776949967386E-02//0.02</t>
  </si>
  <si>
    <t>2015-3-2 11:28:28.570: MarketData - Let Delta - discarding new delta value - outside tolerance - old/new/tolerance -5.48268661103477E-02/-6.52229674796777E-02//0.02</t>
  </si>
  <si>
    <t>2015-3-2 11:28:28.587: MarketData - Let Delta - discarding new delta value - outside tolerance - old/new/tolerance 3.28208063921307E-02/0.042366963329723//0.02</t>
  </si>
  <si>
    <t>2015-3-2 11:28:28.611: MarketData - Let Delta - discarding new delta value - outside tolerance - old/new/tolerance 6.11201952037298E-02/7.07082492249984E-02//0.02</t>
  </si>
  <si>
    <t>2015-3-2 11:28:28.627: MarketData - Let Delta - discarding new delta value - outside tolerance - old/new/tolerance 0.110429153188244/0.116630314176122//0.02</t>
  </si>
  <si>
    <t>2015-3-2 11:28:28.879: MarketData - Let Delta - discarding new delta value - outside tolerance - old/new/tolerance -0.144976320097935/-0.151660919945847//0.02</t>
  </si>
  <si>
    <t>2015-3-2 11:28:28.943: MarketData - Let Delta - discarding new delta value - outside tolerance - old/new/tolerance -0.222854384384645/-0.22912103477697//0.02</t>
  </si>
  <si>
    <t>2015-3-2 11:28:28.960: MarketData - Let Delta - discarding new delta value - outside tolerance - old/new/tolerance -0.328942848388473/-0.333255902575785//0.02</t>
  </si>
  <si>
    <t>2015-3-2 11:28:28.988: MarketData - Let Delta - discarding new delta value - outside tolerance - old/new/tolerance -0.454699445780046/-0.458427540486358//0.02</t>
  </si>
  <si>
    <t>2015-3-2 11:28:29.48: MarketData - Let Delta - discarding new delta value - outside tolerance - old/new/tolerance -0.144976320097935/-0.145462455956852//0.02</t>
  </si>
  <si>
    <t>2015-3-2 11:28:29.109: MarketData - Let Delta - discarding new delta value - outside tolerance - old/new/tolerance -0.144976320097935/-0.163906481078215//0.02</t>
  </si>
  <si>
    <t>2015-3-2 11:28:29.143: MarketData - Let Delta - discarding new delta value - outside tolerance - old/new/tolerance -0.841517411877704/-0.71467591504654//0.02</t>
  </si>
  <si>
    <t>2015-3-2 11:28:29.144: MarketData - Let ImpliedVol - discarding new iv value - outside tolerance - old/new/tolerance 4.95696321974638E-02/8.88149287927007E-02//0.1</t>
  </si>
  <si>
    <t>2015-3-2 11:28:29.159: MarketData - Let Delta - discarding new delta value - outside tolerance - old/new/tolerance 0.178622316630097/0.187570573742238//0.02</t>
  </si>
  <si>
    <t>2015-3-2 11:28:29.193: MarketData - Let Delta - discarding new delta value - outside tolerance - old/new/tolerance -0.222734195212471/-0.226943916623956//0.02</t>
  </si>
  <si>
    <t>2015-3-2 11:28:29.208: MarketData - Let Delta - discarding new delta value - outside tolerance - old/new/tolerance -0.298284426282425/-0.301349277712643//0.02</t>
  </si>
  <si>
    <t>2015-3-2 11:28:29.236: MarketData - Let Delta - discarding new delta value - outside tolerance - old/new/tolerance -0.222854384384645/-0.223713527771183//0.02</t>
  </si>
  <si>
    <t>2015-3-2 11:28:29.256: MarketData - Let Delta - discarding new delta value - outside tolerance - old/new/tolerance -0.222854384384645/-0.237557791704591//0.02</t>
  </si>
  <si>
    <t>2015-3-2 11:28:29.283: MarketData - Let Delta - discarding new delta value - outside tolerance - old/new/tolerance -0.388307309600332/-0.388926386599903//0.02</t>
  </si>
  <si>
    <t>2015-3-2 11:28:29.309: MarketData - Let Delta - discarding new delta value - outside tolerance - old/new/tolerance -0.48538727948517/-0.486006015807072//0.02</t>
  </si>
  <si>
    <t>2015-3-2 11:28:29.357: MarketData - Let Delta - discarding new delta value - outside tolerance - old/new/tolerance -0.328942848388473/-0.330410973964321//0.02</t>
  </si>
  <si>
    <t>2015-3-2 11:28:29.372: MarketData - Let Delta - discarding new delta value - outside tolerance - old/new/tolerance -0.328942848388473/-0.338548194424639//0.02</t>
  </si>
  <si>
    <t>2015-3-2 11:28:29.432: MarketData - Let Delta - discarding new delta value - outside tolerance - old/new/tolerance 0.230885616872466/0.241707432966227//0.02</t>
  </si>
  <si>
    <t>2015-3-2 11:28:29.444: MarketData - Let Delta - discarding new delta value - outside tolerance - old/new/tolerance -9.06449168909247E-02/-9.88535662826304E-02//0.02</t>
  </si>
  <si>
    <t>2015-3-2 11:28:29.477: MarketData - Let Delta - discarding new delta value - outside tolerance - old/new/tolerance -0.454699445780046/-0.457784338914708//0.02</t>
  </si>
  <si>
    <t>2015-3-2 11:28:29.491: MarketData - Let Delta - discarding new delta value - outside tolerance - old/new/tolerance -0.454699445780046/-0.459646495780864//0.02</t>
  </si>
  <si>
    <t>2015-3-2 11:28:29.603: MarketData - Let Delta - discarding new delta value - outside tolerance - old/new/tolerance -5.48268661103477E-02/-6.44577452243085E-02//0.02</t>
  </si>
  <si>
    <t>2015-3-2 11:28:29.619: MarketData - Let Delta - discarding new delta value - outside tolerance - old/new/tolerance 3.28208063921307E-02/0.042824256008134//0.02</t>
  </si>
  <si>
    <t>2015-3-2 11:28:29.652: MarketData - Let Delta - discarding new delta value - outside tolerance - old/new/tolerance 6.11201952037298E-02/7.13480339279691E-02//0.02</t>
  </si>
  <si>
    <t>2015-3-2 11:28:29.668: MarketData - Let Delta - discarding new delta value - outside tolerance - old/new/tolerance 0.110429153188244/0.117374178441543//0.02</t>
  </si>
  <si>
    <t>2015-3-2 11:28:29.708: MarketData - Let Delta - discarding new delta value - outside tolerance - old/new/tolerance 0.279796116612592/0.291264528269669//0.02</t>
  </si>
  <si>
    <t>2015-3-2 11:28:29.742: MarketData - Let Delta - discarding new delta value - outside tolerance - old/new/tolerance -0.160184441493707/-0.166489951410327//0.02</t>
  </si>
  <si>
    <t>2015-3-2 11:28:29.776: MarketData - Let Delta - discarding new delta value - outside tolerance - old/new/tolerance -0.11314892454345/-0.118761054997998//0.02</t>
  </si>
  <si>
    <t>2015-3-2 11:28:29.793: MarketData - Let Delta - discarding new delta value - outside tolerance - old/new/tolerance -0.841517411877704/-0.842435425636593//0.02</t>
  </si>
  <si>
    <t>2015-3-2 11:28:29.834: MarketData - Let Delta - discarding new delta value - outside tolerance - old/new/tolerance -0.841517411877704/-0.655194579981029//0.02</t>
  </si>
  <si>
    <t>2015-3-2 11:28:29.834: MarketData - Let ImpliedVol - discarding new iv value - outside tolerance - old/new/tolerance 4.99783647973907E-02/0.123731151740271//0.1</t>
  </si>
  <si>
    <t>2015-3-2 11:28:29.893: MarketData - Let Delta - discarding new delta value - outside tolerance - old/new/tolerance -7.88083866011275E-02/-0.085064713744938//0.02</t>
  </si>
  <si>
    <t>2015-3-2 11:28:29.909: MarketData - Let Delta - discarding new delta value - outside tolerance - old/new/tolerance 0.038469617026449/5.63837272956643E-02//0.02</t>
  </si>
  <si>
    <t>2015-3-2 11:28:29.909: MarketData - Let ImpliedVol - discarding new iv value - outside tolerance - old/new/tolerance 7.11564325087054E-02/7.89558917010744E-02//0.1</t>
  </si>
  <si>
    <t>2015-3-2 11:28:29.956: MarketData - Let Delta - discarding new delta value - outside tolerance - old/new/tolerance 0.177963482543755/0.195710232517714//0.02</t>
  </si>
  <si>
    <t>2015-3-2 11:28:30.56: MarketData - Let Delta - discarding new delta value - outside tolerance - old/new/tolerance 6.89318382128002E-02/8.19810184069232E-02//0.02</t>
  </si>
  <si>
    <t>2015-3-2 11:28:30.101: MarketData - Let Delta - discarding new delta value - outside tolerance - old/new/tolerance 0.106830504989704/0.120519568950949//0.02</t>
  </si>
  <si>
    <t>2015-3-2 11:28:30.114: MarketData - Let Delta - discarding new delta value - outside tolerance - old/new/tolerance 0.158490955712676/0.173853990247369//0.02</t>
  </si>
  <si>
    <t>2015-3-2 11:28:30.219: MarketData - Let Delta - discarding new delta value - outside tolerance - old/new/tolerance -9.06449168909247E-02/-9.08413943555378E-02//0.02</t>
  </si>
  <si>
    <t>2015-3-2 11:28:30.235: MarketData - Let Delta - discarding new delta value - outside tolerance - old/new/tolerance -9.06449168909247E-02/-0.106014974468951//0.02</t>
  </si>
  <si>
    <t>2015-3-2 11:28:30.282: MarketData - Let Delta - discarding new delta value - outside tolerance - old/new/tolerance -5.48268661103477E-02/-5.49333555548245E-02//0.02</t>
  </si>
  <si>
    <t>2015-3-2 11:28:30.315: MarketData - Let Delta - discarding new delta value - outside tolerance - old/new/tolerance -5.48268661103477E-02/-7.20272190816063E-02//0.02</t>
  </si>
  <si>
    <t>2015-3-2 11:28:30.315: MarketData - Let ImpliedVol - discarding new iv value - outside tolerance - old/new/tolerance 9.99153825479169E-02/0.110041650720118//0.1</t>
  </si>
  <si>
    <t>2015-3-2 11:28:30.372: MarketData - Let Delta - discarding new delta value - outside tolerance - old/new/tolerance 3.27375938174812E-02/5.35077568170181E-02//0.02</t>
  </si>
  <si>
    <t>2015-3-2 11:28:30.373: MarketData - Let ImpliedVol - discarding new iv value - outside tolerance - old/new/tolerance 0.091163147230277/0.104090104042272//0.1</t>
  </si>
  <si>
    <t>2015-3-2 11:28:30.437: MarketData - Let Delta - discarding new delta value - outside tolerance - old/new/tolerance 6.09468230225364E-02/7.94576848684669E-02//0.02</t>
  </si>
  <si>
    <t>2015-3-2 11:28:30.437: MarketData - Let ImpliedVol - discarding new iv value - outside tolerance - old/new/tolerance 8.94686403855238E-02/9.89049332873615E-02//0.1</t>
  </si>
  <si>
    <t>2015-3-2 11:28:30.490: MarketData - Let Delta - discarding new delta value - outside tolerance - old/new/tolerance 0.110041869283508/0.125373944571756//0.02</t>
  </si>
  <si>
    <t>2015-3-2 11:28:32.66: MarketData - Let Delta - discarding new delta value - outside tolerance - old/new/tolerance -0.841517411877704/-0.855051312156019//0.02</t>
  </si>
  <si>
    <t>2015-3-2 11:28:32.112: MarketData - Let Delta - discarding new delta value - outside tolerance - old/new/tolerance -0.222734195212471/-0.226272649639384//0.02</t>
  </si>
  <si>
    <t>2015-3-2 11:28:32.148: MarketData - Let Delta - discarding new delta value - outside tolerance - old/new/tolerance -0.298284426282425/-0.300754430841347//0.02</t>
  </si>
  <si>
    <t>2015-3-2 11:28:32.187: MarketData - Let Delta - discarding new delta value - outside tolerance - old/new/tolerance -0.298284426282425/-0.310051828573815//0.02</t>
  </si>
  <si>
    <t>2015-3-2 11:28:32.231: MarketData - Let Delta - discarding new delta value - outside tolerance - old/new/tolerance -0.388307309600332/-0.388318582007746//0.02</t>
  </si>
  <si>
    <t>2015-3-2 11:28:32.308: MarketData - Let Delta - discarding new delta value - outside tolerance - old/new/tolerance 0.230885616872466/0.241925822678975//0.02</t>
  </si>
  <si>
    <t>2015-3-2 11:28:32.425: MarketData - Let Delta - discarding new delta value - outside tolerance - old/new/tolerance -0.160184441493707/-0.164743065863934//0.02</t>
  </si>
  <si>
    <t>2015-3-2 11:28:32.555: MarketData - Let Delta - discarding new delta value - outside tolerance - old/new/tolerance 0.158490955712676/0.173404145394465//0.02</t>
  </si>
  <si>
    <t>2015-3-2 11:28:32.962: MarketData - Let Delta - discarding new delta value - outside tolerance - old/new/tolerance -0.144976320097935/-0.15190768295621//0.02</t>
  </si>
  <si>
    <t>2015-3-2 11:28:33.30: MarketData - Let Delta - discarding new delta value - outside tolerance - old/new/tolerance -0.222854384384645/-0.229281620139533//0.02</t>
  </si>
  <si>
    <t>2015-3-2 11:28:33.47: MarketData - Let Delta - discarding new delta value - outside tolerance - old/new/tolerance -0.328942848388473/-0.333321683536842//0.02</t>
  </si>
  <si>
    <t>2015-3-2 11:28:33.71: MarketData - Let Delta - discarding new delta value - outside tolerance - old/new/tolerance -0.222854384384645/-0.228542107427077//0.02</t>
  </si>
  <si>
    <t>2015-3-2 11:28:33.104: MarketData - Let Delta - discarding new delta value - outside tolerance - old/new/tolerance -0.454699445780046/-0.458433775070308//0.02</t>
  </si>
  <si>
    <t>2015-3-2 11:28:33.169: MarketData - Let Delta - discarding new delta value - outside tolerance - old/new/tolerance -0.841517411877704/-0.714724390337148//0.02</t>
  </si>
  <si>
    <t>2015-3-2 11:28:33.169: MarketData - Let ImpliedVol - discarding new iv value - outside tolerance - old/new/tolerance 4.75620839764472E-02/8.87908734456246E-02//0.1</t>
  </si>
  <si>
    <t>2015-3-2 11:28:33.194: MarketData - Let Delta - discarding new delta value - outside tolerance - old/new/tolerance 0.177963482543755/0.187475445576193//0.02</t>
  </si>
  <si>
    <t>2015-3-2 11:28:33.210: MarketData - Let Delta - discarding new delta value - outside tolerance - old/new/tolerance -0.222734195212471/-0.227574433269333//0.02</t>
  </si>
  <si>
    <t>2015-3-2 11:28:33.264: MarketData - Let Delta - discarding new delta value - outside tolerance - old/new/tolerance -0.298284426282425/-0.301992427724109//0.02</t>
  </si>
  <si>
    <t>2015-3-2 11:28:33.286: MarketData - Let Delta - discarding new delta value - outside tolerance - old/new/tolerance -0.388307309600332/-0.389356210813054//0.02</t>
  </si>
  <si>
    <t>2015-3-2 11:28:33.323: MarketData - Let Delta - discarding new delta value - outside tolerance - old/new/tolerance -0.48538727948517/-0.486046814053456//0.02</t>
  </si>
  <si>
    <t>2015-3-2 11:28:33.373: MarketData - Let Delta - discarding new delta value - outside tolerance - old/new/tolerance 0.230885616872466/0.242756631616465//0.02</t>
  </si>
  <si>
    <t>2015-3-2 11:28:33.392: MarketData - Let Delta - discarding new delta value - outside tolerance - old/new/tolerance -9.06449168909247E-02/-9.91419513778485E-02//0.02</t>
  </si>
  <si>
    <t>2015-3-2 11:28:33.407: MarketData - Let Delta - discarding new delta value - outside tolerance - old/new/tolerance -5.48268661103477E-02/-6.47332568844633E-02//0.02</t>
  </si>
  <si>
    <t>2015-3-2 11:28:33.437: MarketData - Let Delta - discarding new delta value - outside tolerance - old/new/tolerance 3.27375938174812E-02/4.27414061705038E-02//0.02</t>
  </si>
  <si>
    <t>2015-3-2 11:28:33.452: MarketData - Let Delta - discarding new delta value - outside tolerance - old/new/tolerance 6.09468230225364E-02/7.12381825013526E-02//0.02</t>
  </si>
  <si>
    <t>2015-3-2 11:28:33.483: MarketData - Let Delta - discarding new delta value - outside tolerance - old/new/tolerance 0.110041869283508/0.117256533022077//0.02</t>
  </si>
  <si>
    <t>2015-3-2 11:28:33.514: MarketData - Let Delta - discarding new delta value - outside tolerance - old/new/tolerance -0.160184441493707/-0.166933371058171//0.02</t>
  </si>
  <si>
    <t>2015-3-2 11:28:33.528: MarketData - Let Delta - discarding new delta value - outside tolerance - old/new/tolerance -0.11314892454345/-0.118953467651771//0.02</t>
  </si>
  <si>
    <t>2015-3-2 11:28:33.565: MarketData - Let Delta - discarding new delta value - outside tolerance - old/new/tolerance -7.88083866011275E-02/-8.50367570809409E-02//0.02</t>
  </si>
  <si>
    <t>2015-3-2 11:28:33.583: MarketData - Let Delta - discarding new delta value - outside tolerance - old/new/tolerance -0.298284426282425/-0.307815012444507//0.02</t>
  </si>
  <si>
    <t>2015-3-2 11:28:33.614: MarketData - Let Delta - discarding new delta value - outside tolerance - old/new/tolerance 0.038469617026449/0.056883028239355//0.02</t>
  </si>
  <si>
    <t>2015-3-2 11:28:33.614: MarketData - Let ImpliedVol - discarding new iv value - outside tolerance - old/new/tolerance 7.11564325087054E-02/7.91626741584412E-02//0.1</t>
  </si>
  <si>
    <t>2015-3-2 11:28:33.639: MarketData - Let Delta - discarding new delta value - outside tolerance - old/new/tolerance 6.89318382128002E-02/8.28195465378436E-02//0.02</t>
  </si>
  <si>
    <t>2015-3-2 11:28:33.652: MarketData - Let Delta - discarding new delta value - outside tolerance - old/new/tolerance 0.106830504989704/0.121354166833858//0.02</t>
  </si>
  <si>
    <t>2015-3-2 11:28:33.694: MarketData - Let Delta - discarding new delta value - outside tolerance - old/new/tolerance 0.158490955712676/0.174887511812801//0.02</t>
  </si>
  <si>
    <t>2015-3-2 11:28:33.724: MarketData - Let Delta - discarding new delta value - outside tolerance - old/new/tolerance -0.48538727948517/-0.485505403469269//0.02</t>
  </si>
  <si>
    <t>2015-3-2 11:28:35.10: Algorithm - FindNextStrikes - price is 1.54145 nextStrikeUp/Down 1.545/1.54</t>
  </si>
  <si>
    <t>2015-3-2 11:28:35.11: Algorithm - getPortfolioForwardDelta - required deltas is -10 currentHedgePosition is -10</t>
  </si>
  <si>
    <t>2015-3-2 11:28:35.11: Algorithm - getHedgeShortfall - required deltas is -10 price is 1.54135 currentHedgePositionDeltas is -10</t>
  </si>
  <si>
    <t>2015-3-2 11:28:35.11: Algorithm - processTransitionPoint - nextUpper/LowerStrikes are 1.545/1.54 requiredDeltas/currentPosition/currentHedgeShortfall/direction/transitionPrice are -10/-10/0/-1/1.54135</t>
  </si>
  <si>
    <t>2015-3-2 11:28:35.11: TransitionLogger - processTransitionpoint - checking transition - currentHedgeShortfall is 0</t>
  </si>
  <si>
    <t>2015-3-2 11:28:35.12: Algorithm - updatePortfolio - haveAllDetails is True</t>
  </si>
  <si>
    <t>2015-3-2 11:28:35.54: Algorithm - FindNextStrikes - price is 1.54145 nextStrikeUp/Down 1.545/1.54</t>
  </si>
  <si>
    <t>2015-3-2 11:28:35.54: Algorithm - getPortfolioForwardDelta - required deltas is -10 currentHedgePosition is -10</t>
  </si>
  <si>
    <t>2015-3-2 11:28:35.55: Algorithm - getHedgeShortfall - required deltas is -10 price is 1.54135 currentHedgePositionDeltas is -10</t>
  </si>
  <si>
    <t>2015-3-2 11:28:35.55: Algorithm - processTransitionPoint - nextUpper/LowerStrikes are 1.545/1.54 requiredDeltas/currentPosition/currentHedgeShortfall/direction/transitionPrice are -10/-10/0/-1/1.54135</t>
  </si>
  <si>
    <t>2015-3-2 11:28:35.55: TransitionLogger - processTransitionpoint - checking transition - currentHedgeShortfall is 0</t>
  </si>
  <si>
    <t>2015-3-2 11:28:35.55: Algorithm - updatePortfolio - haveAllDetails is True</t>
  </si>
  <si>
    <t>2015-3-2 11:28:35.105: Algorithm - FindNextStrikes - price is 1.54145 nextStrikeUp/Down 1.545/1.54</t>
  </si>
  <si>
    <t>2015-3-2 11:28:35.105: Algorithm - getPortfolioForwardDelta - required deltas is -10 currentHedgePosition is -10</t>
  </si>
  <si>
    <t>2015-3-2 11:28:35.105: Algorithm - getHedgeShortfall - required deltas is -10 price is 1.54135 currentHedgePositionDeltas is -10</t>
  </si>
  <si>
    <t>2015-3-2 11:28:35.105: Algorithm - processTransitionPoint - nextUpper/LowerStrikes are 1.545/1.54 requiredDeltas/currentPosition/currentHedgeShortfall/direction/transitionPrice are -10/-10/0/-1/1.54135</t>
  </si>
  <si>
    <t>2015-3-2 11:28:35.105: TransitionLogger - processTransitionpoint - checking transition - currentHedgeShortfall is 0</t>
  </si>
  <si>
    <t>2015-3-2 11:28:35.106: Algorithm - updatePortfolio - haveAllDetails is True</t>
  </si>
  <si>
    <t>2015-3-2 11:28:35.149: Algorithm - FindNextStrikes - price is 1.54145 nextStrikeUp/Down 1.545/1.54</t>
  </si>
  <si>
    <t>2015-3-2 11:28:35.149: Algorithm - getPortfolioForwardDelta - required deltas is -10 currentHedgePosition is -10</t>
  </si>
  <si>
    <t>2015-3-2 11:28:35.149: Algorithm - getHedgeShortfall - required deltas is -10 price is 1.54135 currentHedgePositionDeltas is -10</t>
  </si>
  <si>
    <t>2015-3-2 11:28:35.149: Algorithm - processTransitionPoint - nextUpper/LowerStrikes are 1.545/1.54 requiredDeltas/currentPosition/currentHedgeShortfall/direction/transitionPrice are -10/-10/0/-1/1.54135</t>
  </si>
  <si>
    <t>2015-3-2 11:28:35.149: TransitionLogger - processTransitionpoint - checking transition - currentHedgeShortfall is 0</t>
  </si>
  <si>
    <t>2015-3-2 11:28:35.150: Algorithm - updatePortfolio - haveAllDetails is True</t>
  </si>
  <si>
    <t>2015-3-2 11:28:35.192: Algorithm - FindNextStrikes - price is 1.54145 nextStrikeUp/Down 1.545/1.54</t>
  </si>
  <si>
    <t>2015-3-2 11:28:35.192: Algorithm - getPortfolioForwardDelta - required deltas is -10 currentHedgePosition is -10</t>
  </si>
  <si>
    <t>2015-3-2 11:28:35.192: Algorithm - getHedgeShortfall - required deltas is -10 price is 1.54135 currentHedgePositionDeltas is -10</t>
  </si>
  <si>
    <t>2015-3-2 11:28:35.192: Algorithm - processTransitionPoint - nextUpper/LowerStrikes are 1.545/1.54 requiredDeltas/currentPosition/currentHedgeShortfall/direction/transitionPrice are -10/-10/0/-1/1.54135</t>
  </si>
  <si>
    <t>2015-3-2 11:28:35.192: TransitionLogger - processTransitionpoint - checking transition - currentHedgeShortfall is 0</t>
  </si>
  <si>
    <t>2015-3-2 11:28:35.193: Algorithm - updatePortfolio - haveAllDetails is True</t>
  </si>
  <si>
    <t>2015-3-2 11:28:35.233: Algorithm - FindNextStrikes - price is 1.54145 nextStrikeUp/Down 1.545/1.54</t>
  </si>
  <si>
    <t>2015-3-2 11:28:35.233: Algorithm - getPortfolioForwardDelta - required deltas is -10 currentHedgePosition is -10</t>
  </si>
  <si>
    <t>2015-3-2 11:28:35.233: Algorithm - getHedgeShortfall - required deltas is -10 price is 1.54135 currentHedgePositionDeltas is -10</t>
  </si>
  <si>
    <t>2015-3-2 11:28:35.233: Algorithm - processTransitionPoint - nextUpper/LowerStrikes are 1.545/1.54 requiredDeltas/currentPosition/currentHedgeShortfall/direction/transitionPrice are -10/-10/0/-1/1.54135</t>
  </si>
  <si>
    <t>2015-3-2 11:28:35.233: TransitionLogger - processTransitionpoint - checking transition - currentHedgeShortfall is 0</t>
  </si>
  <si>
    <t>2015-3-2 11:28:35.234: Algorithm - updatePortfolio - haveAllDetails is True</t>
  </si>
  <si>
    <t>2015-3-2 11:28:35.276: Algorithm - FindNextStrikes - price is 1.54145 nextStrikeUp/Down 1.545/1.54</t>
  </si>
  <si>
    <t>2015-3-2 11:28:35.277: Algorithm - getPortfolioForwardDelta - required deltas is -10 currentHedgePosition is -10</t>
  </si>
  <si>
    <t>2015-3-2 11:28:35.277: Algorithm - getHedgeShortfall - required deltas is -10 price is 1.54135 currentHedgePositionDeltas is -10</t>
  </si>
  <si>
    <t>2015-3-2 11:28:35.277: Algorithm - processTransitionPoint - nextUpper/LowerStrikes are 1.545/1.54 requiredDeltas/currentPosition/currentHedgeShortfall/direction/transitionPrice are -10/-10/0/-1/1.54135</t>
  </si>
  <si>
    <t>2015-3-2 11:28:35.277: TransitionLogger - processTransitionpoint - checking transition - currentHedgeShortfall is 0</t>
  </si>
  <si>
    <t>2015-3-2 11:28:35.278: Algorithm - updatePortfolio - haveAllDetails is True</t>
  </si>
  <si>
    <t>2015-3-2 11:28:35.316: Algorithm - FindNextStrikes - price is 1.54145 nextStrikeUp/Down 1.545/1.54</t>
  </si>
  <si>
    <t>2015-3-2 11:28:35.317: Algorithm - getPortfolioForwardDelta - required deltas is -10 currentHedgePosition is -10</t>
  </si>
  <si>
    <t>2015-3-2 11:28:35.317: Algorithm - getHedgeShortfall - required deltas is -10 price is 1.54135 currentHedgePositionDeltas is -10</t>
  </si>
  <si>
    <t>2015-3-2 11:28:35.317: Algorithm - processTransitionPoint - nextUpper/LowerStrikes are 1.545/1.54 requiredDeltas/currentPosition/currentHedgeShortfall/direction/transitionPrice are -10/-10/0/-1/1.54135</t>
  </si>
  <si>
    <t>2015-3-2 11:28:35.317: TransitionLogger - processTransitionpoint - checking transition - currentHedgeShortfall is 0</t>
  </si>
  <si>
    <t>2015-3-2 11:28:35.317: Algorithm - updatePortfolio - haveAllDetails is True</t>
  </si>
  <si>
    <t>2015-3-2 11:28:35.359: Algorithm - FindNextStrikes - price is 1.54145 nextStrikeUp/Down 1.545/1.54</t>
  </si>
  <si>
    <t>2015-3-2 11:28:35.359: Algorithm - getPortfolioForwardDelta - required deltas is -10 currentHedgePosition is -10</t>
  </si>
  <si>
    <t>2015-3-2 11:28:35.359: Algorithm - getHedgeShortfall - required deltas is -10 price is 1.54135 currentHedgePositionDeltas is -10</t>
  </si>
  <si>
    <t>2015-3-2 11:28:35.359: Algorithm - processTransitionPoint - nextUpper/LowerStrikes are 1.545/1.54 requiredDeltas/currentPosition/currentHedgeShortfall/direction/transitionPrice are -10/-10/0/-1/1.54135</t>
  </si>
  <si>
    <t>2015-3-2 11:28:35.359: TransitionLogger - processTransitionpoint - checking transition - currentHedgeShortfall is 0</t>
  </si>
  <si>
    <t>2015-3-2 11:28:35.360: Algorithm - updatePortfolio - haveAllDetails is True</t>
  </si>
  <si>
    <t>2015-3-2 11:28:35.402: Algorithm - FindNextStrikes - price is 1.54145 nextStrikeUp/Down 1.545/1.54</t>
  </si>
  <si>
    <t>2015-3-2 11:28:35.402: Algorithm - getPortfolioForwardDelta - required deltas is -10 currentHedgePosition is -10</t>
  </si>
  <si>
    <t>2015-3-2 11:28:35.402: Algorithm - getHedgeShortfall - required deltas is -10 price is 1.54135 currentHedgePositionDeltas is -10</t>
  </si>
  <si>
    <t>2015-3-2 11:28:35.403: Algorithm - processTransitionPoint - nextUpper/LowerStrikes are 1.545/1.54 requiredDeltas/currentPosition/currentHedgeShortfall/direction/transitionPrice are -10/-10/0/-1/1.54135</t>
  </si>
  <si>
    <t>2015-3-2 11:28:35.403: TransitionLogger - processTransitionpoint - checking transition - currentHedgeShortfall is 0</t>
  </si>
  <si>
    <t>2015-3-2 11:28:35.403: Algorithm - updatePortfolio - haveAllDetails is True</t>
  </si>
  <si>
    <t>2015-3-2 11:28:35.444: Algorithm - FindNextStrikes - price is 1.54145 nextStrikeUp/Down 1.545/1.54</t>
  </si>
  <si>
    <t>2015-3-2 11:28:35.444: Algorithm - getPortfolioForwardDelta - required deltas is -10 currentHedgePosition is -10</t>
  </si>
  <si>
    <t>2015-3-2 11:28:35.444: Algorithm - getHedgeShortfall - required deltas is -10 price is 1.54135 currentHedgePositionDeltas is -10</t>
  </si>
  <si>
    <t>2015-3-2 11:28:35.444: Algorithm - processTransitionPoint - nextUpper/LowerStrikes are 1.545/1.54 requiredDeltas/currentPosition/currentHedgeShortfall/direction/transitionPrice are -10/-10/0/-1/1.54135</t>
  </si>
  <si>
    <t>2015-3-2 11:28:35.445: TransitionLogger - processTransitionpoint - checking transition - currentHedgeShortfall is 0</t>
  </si>
  <si>
    <t>2015-3-2 11:28:35.445: Algorithm - updatePortfolio - haveAllDetails is True</t>
  </si>
  <si>
    <t>2015-3-2 11:28:35.483: Algorithm - FindNextStrikes - price is 1.54145 nextStrikeUp/Down 1.545/1.54</t>
  </si>
  <si>
    <t>2015-3-2 11:28:35.483: Algorithm - getPortfolioForwardDelta - required deltas is -10 currentHedgePosition is -10</t>
  </si>
  <si>
    <t>2015-3-2 11:28:35.483: Algorithm - getHedgeShortfall - required deltas is -10 price is 1.54135 currentHedgePositionDeltas is -10</t>
  </si>
  <si>
    <t>2015-3-2 11:28:35.483: Algorithm - processTransitionPoint - nextUpper/LowerStrikes are 1.545/1.54 requiredDeltas/currentPosition/currentHedgeShortfall/direction/transitionPrice are -10/-10/0/-1/1.54135</t>
  </si>
  <si>
    <t>2015-3-2 11:28:35.483: TransitionLogger - processTransitionpoint - checking transition - currentHedgeShortfall is 0</t>
  </si>
  <si>
    <t>2015-3-2 11:28:35.484: Algorithm - updatePortfolio - haveAllDetails is True</t>
  </si>
  <si>
    <t>2015-3-2 11:28:35.523: Algorithm - FindNextStrikes - price is 1.54145 nextStrikeUp/Down 1.545/1.54</t>
  </si>
  <si>
    <t>2015-3-2 11:28:35.523: Algorithm - getPortfolioForwardDelta - required deltas is -10 currentHedgePosition is -10</t>
  </si>
  <si>
    <t>2015-3-2 11:28:35.524: Algorithm - getHedgeShortfall - required deltas is -10 price is 1.54135 currentHedgePositionDeltas is -10</t>
  </si>
  <si>
    <t>2015-3-2 11:28:35.524: Algorithm - processTransitionPoint - nextUpper/LowerStrikes are 1.545/1.54 requiredDeltas/currentPosition/currentHedgeShortfall/direction/transitionPrice are -10/-10/0/-1/1.54135</t>
  </si>
  <si>
    <t>2015-3-2 11:28:35.524: TransitionLogger - processTransitionpoint - checking transition - currentHedgeShortfall is 0</t>
  </si>
  <si>
    <t>2015-3-2 11:28:35.524: Algorithm - updatePortfolio - haveAllDetails is True</t>
  </si>
  <si>
    <t>2015-3-2 11:28:35.571: Algorithm - FindNextStrikes - price is 1.54145 nextStrikeUp/Down 1.545/1.54</t>
  </si>
  <si>
    <t>2015-3-2 11:28:35.572: Algorithm - getPortfolioForwardDelta - required deltas is -10 currentHedgePosition is -10</t>
  </si>
  <si>
    <t>2015-3-2 11:28:35.572: Algorithm - getHedgeShortfall - required deltas is -10 price is 1.54135 currentHedgePositionDeltas is -10</t>
  </si>
  <si>
    <t>2015-3-2 11:28:35.572: Algorithm - processTransitionPoint - nextUpper/LowerStrikes are 1.545/1.54 requiredDeltas/currentPosition/currentHedgeShortfall/direction/transitionPrice are -10/-10/0/-1/1.54135</t>
  </si>
  <si>
    <t>2015-3-2 11:28:35.572: TransitionLogger - processTransitionpoint - checking transition - currentHedgeShortfall is 0</t>
  </si>
  <si>
    <t>2015-3-2 11:28:35.572: Algorithm - updatePortfolio - haveAllDetails is True</t>
  </si>
  <si>
    <t>2015-3-2 11:28:35.607: Algorithm - FindNextStrikes - price is 1.54145 nextStrikeUp/Down 1.545/1.54</t>
  </si>
  <si>
    <t>2015-3-2 11:28:35.608: Algorithm - getPortfolioForwardDelta - required deltas is -10 currentHedgePosition is -10</t>
  </si>
  <si>
    <t>2015-3-2 11:28:35.608: Algorithm - getHedgeShortfall - required deltas is -10 price is 1.54135 currentHedgePositionDeltas is -10</t>
  </si>
  <si>
    <t>2015-3-2 11:28:35.608: Algorithm - processTransitionPoint - nextUpper/LowerStrikes are 1.545/1.54 requiredDeltas/currentPosition/currentHedgeShortfall/direction/transitionPrice are -10/-10/0/-1/1.54135</t>
  </si>
  <si>
    <t>2015-3-2 11:28:35.608: TransitionLogger - processTransitionpoint - checking transition - currentHedgeShortfall is 0</t>
  </si>
  <si>
    <t>2015-3-2 11:28:35.608: Algorithm - updatePortfolio - haveAllDetails is True</t>
  </si>
  <si>
    <t>2015-3-2 11:28:35.649: Algorithm - FindNextStrikes - price is 1.54145 nextStrikeUp/Down 1.545/1.54</t>
  </si>
  <si>
    <t>2015-3-2 11:28:35.649: Algorithm - getPortfolioForwardDelta - required deltas is -10 currentHedgePosition is -10</t>
  </si>
  <si>
    <t>2015-3-2 11:28:35.650: Algorithm - getHedgeShortfall - required deltas is -10 price is 1.54135 currentHedgePositionDeltas is -10</t>
  </si>
  <si>
    <t>2015-3-2 11:28:35.650: Algorithm - processTransitionPoint - nextUpper/LowerStrikes are 1.545/1.54 requiredDeltas/currentPosition/currentHedgeShortfall/direction/transitionPrice are -10/-10/0/-1/1.54135</t>
  </si>
  <si>
    <t>2015-3-2 11:28:35.650: TransitionLogger - processTransitionpoint - checking transition - currentHedgeShortfall is 0</t>
  </si>
  <si>
    <t>2015-3-2 11:28:35.650: Algorithm - updatePortfolio - haveAllDetails is True</t>
  </si>
  <si>
    <t>2015-3-2 11:28:35.692: Algorithm - FindNextStrikes - price is 1.54145 nextStrikeUp/Down 1.545/1.54</t>
  </si>
  <si>
    <t>2015-3-2 11:28:35.693: Algorithm - getPortfolioForwardDelta - required deltas is -10 currentHedgePosition is -10</t>
  </si>
  <si>
    <t>2015-3-2 11:28:35.693: Algorithm - getHedgeShortfall - required deltas is -10 price is 1.54135 currentHedgePositionDeltas is -10</t>
  </si>
  <si>
    <t>2015-3-2 11:28:35.693: Algorithm - processTransitionPoint - nextUpper/LowerStrikes are 1.545/1.54 requiredDeltas/currentPosition/currentHedgeShortfall/direction/transitionPrice are -10/-10/0/-1/1.54135</t>
  </si>
  <si>
    <t>2015-3-2 11:28:35.693: TransitionLogger - processTransitionpoint - checking transition - currentHedgeShortfall is 0</t>
  </si>
  <si>
    <t>2015-3-2 11:28:35.693: Algorithm - updatePortfolio - haveAllDetails is True</t>
  </si>
  <si>
    <t>2015-3-2 11:28:35.739: Algorithm - FindNextStrikes - price is 1.54145 nextStrikeUp/Down 1.545/1.54</t>
  </si>
  <si>
    <t>2015-3-2 11:28:35.739: Algorithm - getPortfolioForwardDelta - required deltas is -10 currentHedgePosition is -10</t>
  </si>
  <si>
    <t>2015-3-2 11:28:35.739: Algorithm - getHedgeShortfall - required deltas is -10 price is 1.54135 currentHedgePositionDeltas is -10</t>
  </si>
  <si>
    <t>2015-3-2 11:28:35.740: Algorithm - processTransitionPoint - nextUpper/LowerStrikes are 1.545/1.54 requiredDeltas/currentPosition/currentHedgeShortfall/direction/transitionPrice are -10/-10/0/-1/1.54135</t>
  </si>
  <si>
    <t>2015-3-2 11:28:35.740: TransitionLogger - processTransitionpoint - checking transition - currentHedgeShortfall is 0</t>
  </si>
  <si>
    <t>2015-3-2 11:28:35.740: Algorithm - updatePortfolio - haveAllDetails is True</t>
  </si>
  <si>
    <t>2015-3-2 11:28:35.771: Algorithm - FindNextStrikes - price is 1.54145 nextStrikeUp/Down 1.545/1.54</t>
  </si>
  <si>
    <t>2015-3-2 11:28:35.772: Algorithm - getPortfolioForwardDelta - required deltas is -10 currentHedgePosition is -10</t>
  </si>
  <si>
    <t>2015-3-2 11:28:35.772: Algorithm - getHedgeShortfall - required deltas is -10 price is 1.54135 currentHedgePositionDeltas is -10</t>
  </si>
  <si>
    <t>2015-3-2 11:28:35.772: Algorithm - processTransitionPoint - nextUpper/LowerStrikes are 1.545/1.54 requiredDeltas/currentPosition/currentHedgeShortfall/direction/transitionPrice are -10/-10/0/-1/1.54135</t>
  </si>
  <si>
    <t>2015-3-2 11:28:35.772: TransitionLogger - processTransitionpoint - checking transition - currentHedgeShortfall is 0</t>
  </si>
  <si>
    <t>2015-3-2 11:28:35.773: Algorithm - updatePortfolio - haveAllDetails is True</t>
  </si>
  <si>
    <t>2015-3-2 11:28:35.812: Algorithm - FindNextStrikes - price is 1.54145 nextStrikeUp/Down 1.545/1.54</t>
  </si>
  <si>
    <t>2015-3-2 11:28:35.812: Algorithm - getPortfolioForwardDelta - required deltas is -10 currentHedgePosition is -10</t>
  </si>
  <si>
    <t>2015-3-2 11:28:35.812: Algorithm - getHedgeShortfall - required deltas is -10 price is 1.54135 currentHedgePositionDeltas is -10</t>
  </si>
  <si>
    <t>2015-3-2 11:28:35.812: Algorithm - processTransitionPoint - nextUpper/LowerStrikes are 1.545/1.54 requiredDeltas/currentPosition/currentHedgeShortfall/direction/transitionPrice are -10/-10/0/-1/1.54135</t>
  </si>
  <si>
    <t>2015-3-2 11:28:35.812: TransitionLogger - processTransitionpoint - checking transition - currentHedgeShortfall is 0</t>
  </si>
  <si>
    <t>2015-3-2 11:28:35.813: Algorithm - updatePortfolio - haveAllDetails is True</t>
  </si>
  <si>
    <t>2015-3-2 11:28:35.854: Algorithm - FindNextStrikes - price is 1.54145 nextStrikeUp/Down 1.545/1.54</t>
  </si>
  <si>
    <t>2015-3-2 11:28:35.854: Algorithm - getPortfolioForwardDelta - required deltas is -10 currentHedgePosition is -10</t>
  </si>
  <si>
    <t>2015-3-2 11:28:35.854: Algorithm - getHedgeShortfall - required deltas is -10 price is 1.54135 currentHedgePositionDeltas is -10</t>
  </si>
  <si>
    <t>2015-3-2 11:28:35.854: Algorithm - processTransitionPoint - nextUpper/LowerStrikes are 1.545/1.54 requiredDeltas/currentPosition/currentHedgeShortfall/direction/transitionPrice are -10/-10/0/-1/1.54135</t>
  </si>
  <si>
    <t>2015-3-2 11:28:35.854: TransitionLogger - processTransitionpoint - checking transition - currentHedgeShortfall is 0</t>
  </si>
  <si>
    <t>2015-3-2 11:28:35.855: Algorithm - updatePortfolio - haveAllDetails is True</t>
  </si>
  <si>
    <t>2015-3-2 11:28:35.895: Algorithm - FindNextStrikes - price is 1.54145 nextStrikeUp/Down 1.545/1.54</t>
  </si>
  <si>
    <t>2015-3-2 11:28:35.895: Algorithm - getPortfolioForwardDelta - required deltas is -10 currentHedgePosition is -10</t>
  </si>
  <si>
    <t>2015-3-2 11:28:35.896: Algorithm - getHedgeShortfall - required deltas is -10 price is 1.54135 currentHedgePositionDeltas is -10</t>
  </si>
  <si>
    <t>2015-3-2 11:28:35.896: Algorithm - processTransitionPoint - nextUpper/LowerStrikes are 1.545/1.54 requiredDeltas/currentPosition/currentHedgeShortfall/direction/transitionPrice are -10/-10/0/-1/1.54135</t>
  </si>
  <si>
    <t>2015-3-2 11:28:35.896: TransitionLogger - processTransitionpoint - checking transition - currentHedgeShortfall is 0</t>
  </si>
  <si>
    <t>2015-3-2 11:28:35.896: Algorithm - updatePortfolio - haveAllDetails is True</t>
  </si>
  <si>
    <t>2015-3-2 11:28:35.939: Algorithm - FindNextStrikes - price is 1.54145 nextStrikeUp/Down 1.545/1.54</t>
  </si>
  <si>
    <t>2015-3-2 11:28:35.939: Algorithm - getPortfolioForwardDelta - required deltas is -10 currentHedgePosition is -10</t>
  </si>
  <si>
    <t>2015-3-2 11:28:35.939: Algorithm - getHedgeShortfall - required deltas is -10 price is 1.54135 currentHedgePositionDeltas is -10</t>
  </si>
  <si>
    <t>2015-3-2 11:28:35.939: Algorithm - processTransitionPoint - nextUpper/LowerStrikes are 1.545/1.54 requiredDeltas/currentPosition/currentHedgeShortfall/direction/transitionPrice are -10/-10/0/-1/1.54135</t>
  </si>
  <si>
    <t>2015-3-2 11:28:35.939: TransitionLogger - processTransitionpoint - checking transition - currentHedgeShortfall is 0</t>
  </si>
  <si>
    <t>2015-3-2 11:28:35.940: Algorithm - updatePortfolio - haveAllDetails is True</t>
  </si>
  <si>
    <t>2015-3-2 11:28:35.980: Algorithm - FindNextStrikes - price is 1.54145 nextStrikeUp/Down 1.545/1.54</t>
  </si>
  <si>
    <t>2015-3-2 11:28:35.980: Algorithm - getPortfolioForwardDelta - required deltas is -10 currentHedgePosition is -10</t>
  </si>
  <si>
    <t>2015-3-2 11:28:35.980: Algorithm - getHedgeShortfall - required deltas is -10 price is 1.54135 currentHedgePositionDeltas is -10</t>
  </si>
  <si>
    <t>2015-3-2 11:28:35.980: Algorithm - processTransitionPoint - nextUpper/LowerStrikes are 1.545/1.54 requiredDeltas/currentPosition/currentHedgeShortfall/direction/transitionPrice are -10/-10/0/-1/1.54135</t>
  </si>
  <si>
    <t>2015-3-2 11:28:35.980: TransitionLogger - processTransitionpoint - checking transition - currentHedgeShortfall is 0</t>
  </si>
  <si>
    <t>2015-3-2 11:28:35.981: Algorithm - updatePortfolio - haveAllDetails is True</t>
  </si>
  <si>
    <t>2015-3-2 11:28:36.25: Algorithm - FindNextStrikes - price is 1.54145 nextStrikeUp/Down 1.545/1.54</t>
  </si>
  <si>
    <t>2015-3-2 11:28:36.25: Algorithm - getPortfolioForwardDelta - required deltas is -10 currentHedgePosition is -10</t>
  </si>
  <si>
    <t>2015-3-2 11:28:36.25: Algorithm - getHedgeShortfall - required deltas is -10 price is 1.54135 currentHedgePositionDeltas is -10</t>
  </si>
  <si>
    <t>2015-3-2 11:28:36.25: Algorithm - processTransitionPoint - nextUpper/LowerStrikes are 1.545/1.54 requiredDeltas/currentPosition/currentHedgeShortfall/direction/transitionPrice are -10/-10/0/-1/1.54135</t>
  </si>
  <si>
    <t>2015-3-2 11:28:36.25: TransitionLogger - processTransitionpoint - checking transition - currentHedgeShortfall is 0</t>
  </si>
  <si>
    <t>2015-3-2 11:28:36.26: Algorithm - updatePortfolio - haveAllDetails is True</t>
  </si>
  <si>
    <t>2015-3-2 11:28:36.67: Algorithm - FindNextStrikes - price is 1.54145 nextStrikeUp/Down 1.545/1.54</t>
  </si>
  <si>
    <t>2015-3-2 11:28:36.68: Algorithm - getPortfolioForwardDelta - required deltas is -10 currentHedgePosition is -10</t>
  </si>
  <si>
    <t>2015-3-2 11:28:36.68: Algorithm - getHedgeShortfall - required deltas is -10 price is 1.54135 currentHedgePositionDeltas is -10</t>
  </si>
  <si>
    <t>2015-3-2 11:28:36.68: Algorithm - processTransitionPoint - nextUpper/LowerStrikes are 1.545/1.54 requiredDeltas/currentPosition/currentHedgeShortfall/direction/transitionPrice are -10/-10/0/-1/1.54135</t>
  </si>
  <si>
    <t>2015-3-2 11:28:36.68: TransitionLogger - processTransitionpoint - checking transition - currentHedgeShortfall is 0</t>
  </si>
  <si>
    <t>2015-3-2 11:28:36.68: Algorithm - updatePortfolio - haveAllDetails is True</t>
  </si>
  <si>
    <t>2015-3-2 11:28:36.110: Algorithm - FindNextStrikes - price is 1.54145 nextStrikeUp/Down 1.545/1.54</t>
  </si>
  <si>
    <t>2015-3-2 11:28:36.111: Algorithm - getPortfolioForwardDelta - required deltas is -10 currentHedgePosition is -10</t>
  </si>
  <si>
    <t>2015-3-2 11:28:36.111: Algorithm - getHedgeShortfall - required deltas is -10 price is 1.54135 currentHedgePositionDeltas is -10</t>
  </si>
  <si>
    <t>2015-3-2 11:28:36.111: Algorithm - processTransitionPoint - nextUpper/LowerStrikes are 1.545/1.54 requiredDeltas/currentPosition/currentHedgeShortfall/direction/transitionPrice are -10/-10/0/-1/1.54135</t>
  </si>
  <si>
    <t>2015-3-2 11:28:36.111: TransitionLogger - processTransitionpoint - checking transition - currentHedgeShortfall is 0</t>
  </si>
  <si>
    <t>2015-3-2 11:28:36.111: Algorithm - updatePortfolio - haveAllDetails is True</t>
  </si>
  <si>
    <t>2015-3-2 11:28:36.148: Algorithm - FindNextStrikes - price is 1.54145 nextStrikeUp/Down 1.545/1.54</t>
  </si>
  <si>
    <t>2015-3-2 11:28:36.148: Algorithm - getPortfolioForwardDelta - required deltas is -10 currentHedgePosition is -10</t>
  </si>
  <si>
    <t>2015-3-2 11:28:36.148: Algorithm - getHedgeShortfall - required deltas is -10 price is 1.54135 currentHedgePositionDeltas is -10</t>
  </si>
  <si>
    <t>2015-3-2 11:28:36.148: Algorithm - processTransitionPoint - nextUpper/LowerStrikes are 1.545/1.54 requiredDeltas/currentPosition/currentHedgeShortfall/direction/transitionPrice are -10/-10/0/-1/1.54135</t>
  </si>
  <si>
    <t>2015-3-2 11:28:36.148: TransitionLogger - processTransitionpoint - checking transition - currentHedgeShortfall is 0</t>
  </si>
  <si>
    <t>2015-3-2 11:28:36.149: Algorithm - updatePortfolio - haveAllDetails is True</t>
  </si>
  <si>
    <t>2015-3-2 11:28:36.189: Algorithm - FindNextStrikes - price is 1.54145 nextStrikeUp/Down 1.545/1.54</t>
  </si>
  <si>
    <t>2015-3-2 11:28:36.189: Algorithm - getPortfolioForwardDelta - required deltas is -10 currentHedgePosition is -10</t>
  </si>
  <si>
    <t>2015-3-2 11:28:36.189: Algorithm - getHedgeShortfall - required deltas is -10 price is 1.54135 currentHedgePositionDeltas is -10</t>
  </si>
  <si>
    <t>2015-3-2 11:28:36.190: Algorithm - processTransitionPoint - nextUpper/LowerStrikes are 1.545/1.54 requiredDeltas/currentPosition/currentHedgeShortfall/direction/transitionPrice are -10/-10/0/-1/1.54135</t>
  </si>
  <si>
    <t>2015-3-2 11:28:36.190: TransitionLogger - processTransitionpoint - checking transition - currentHedgeShortfall is 0</t>
  </si>
  <si>
    <t>2015-3-2 11:28:36.190: Algorithm - updatePortfolio - haveAllDetails is True</t>
  </si>
  <si>
    <t>2015-3-2 11:28:36.648: MarketData - Let Delta - discarding new delta value - outside tolerance - old/new/tolerance -0.222854384384645/-0.223713527771183//0.02</t>
  </si>
  <si>
    <t>2015-3-2 11:28:36.799: MarketData - Let Delta - discarding new delta value - outside tolerance - old/new/tolerance -0.48538727948517/-0.48538699106132//0.02</t>
  </si>
  <si>
    <t>2015-3-2 11:28:37.180: MarketData - Let Delta - discarding new delta value - outside tolerance - old/new/tolerance -0.144976320097935/-0.151556404983409//0.02</t>
  </si>
  <si>
    <t>2015-3-2 11:28:37.225: MarketData - Let Delta - discarding new delta value - outside tolerance - old/new/tolerance -0.222854384384645/-0.228963729687003//0.02</t>
  </si>
  <si>
    <t>2015-3-2 11:28:37.240: MarketData - Let Delta - discarding new delta value - outside tolerance - old/new/tolerance -0.328942848388473/-0.333116266863507//0.02</t>
  </si>
  <si>
    <t>2015-3-2 11:28:37.273: MarketData - Let Delta - discarding new delta value - outside tolerance - old/new/tolerance -0.454699445780046/-0.458387817428758//0.02</t>
  </si>
  <si>
    <t>2015-3-2 11:28:37.356: MarketData - Let Delta - discarding new delta value - outside tolerance - old/new/tolerance -0.841517411877704/-0.71487638652035//0.02</t>
  </si>
  <si>
    <t>2015-3-2 11:28:37.356: MarketData - Let ImpliedVol - discarding new iv value - outside tolerance - old/new/tolerance 4.75620839764472E-02/8.87155306573035E-02//0.1</t>
  </si>
  <si>
    <t>2015-3-2 11:28:37.400: MarketData - Let Delta - discarding new delta value - outside tolerance - old/new/tolerance 0.177963482543755/0.18734253331807//0.02</t>
  </si>
  <si>
    <t>2015-3-2 11:28:37.435: MarketData - Let Delta - discarding new delta value - outside tolerance - old/new/tolerance -0.222734195212471/-0.227460813955193//0.02</t>
  </si>
  <si>
    <t>2015-3-2 11:28:37.451: MarketData - Let Delta - discarding new delta value - outside tolerance - old/new/tolerance -0.298284426282425/-0.301874379700573//0.02</t>
  </si>
  <si>
    <t>2015-3-2 11:28:37.481: MarketData - Let Delta - discarding new delta value - outside tolerance - old/new/tolerance -0.388307309600332/-0.389277950540897//0.02</t>
  </si>
  <si>
    <t>2015-3-2 11:28:37.497: MarketData - Let Delta - discarding new delta value - outside tolerance - old/new/tolerance -0.48538727948517/-0.486039583845693//0.02</t>
  </si>
  <si>
    <t>2015-3-2 11:28:37.571: MarketData - Let Delta - discarding new delta value - outside tolerance - old/new/tolerance 0.230885616872466/0.242605475279903//0.02</t>
  </si>
  <si>
    <t>2015-3-2 11:28:37.605: MarketData - Let Delta - discarding new delta value - outside tolerance - old/new/tolerance -9.06449168909247E-02/-9.88295434780947E-02//0.02</t>
  </si>
  <si>
    <t>2015-3-2 11:28:37.639: MarketData - Let Delta - discarding new delta value - outside tolerance - old/new/tolerance -5.48268661103477E-02/-6.44996639638222E-02//0.02</t>
  </si>
  <si>
    <t>2015-3-2 11:28:37.654: MarketData - Let Delta - discarding new delta value - outside tolerance - old/new/tolerance 3.27375938174812E-02/4.27752107599287E-02//0.02</t>
  </si>
  <si>
    <t>2015-3-2 11:28:37.696: MarketData - Let Delta - discarding new delta value - outside tolerance - old/new/tolerance 6.09468230225364E-02/7.12320399778352E-02//0.02</t>
  </si>
  <si>
    <t>2015-3-2 11:28:37.712: MarketData - Let Delta - discarding new delta value - outside tolerance - old/new/tolerance 0.110041869283508/0.117186200877918//0.02</t>
  </si>
  <si>
    <t>2015-3-2 11:28:37.733: MarketData - Let Delta - discarding new delta value - outside tolerance - old/new/tolerance -0.160184441493707/-0.16685963377655//0.02</t>
  </si>
  <si>
    <t>2015-3-2 11:28:37.749: MarketData - Let Delta - discarding new delta value - outside tolerance - old/new/tolerance -0.11314892454345/-0.118932451886935//0.02</t>
  </si>
  <si>
    <t>2015-3-2 11:28:37.779: MarketData - Let Delta - discarding new delta value - outside tolerance - old/new/tolerance -7.88083866011275E-02/-8.50702269558394E-02//0.02</t>
  </si>
  <si>
    <t>2015-3-2 11:28:37.812: MarketData - Let Delta - discarding new delta value - outside tolerance - old/new/tolerance 0.038469617026449/5.69019122837861E-02//0.02</t>
  </si>
  <si>
    <t>2015-3-2 11:28:37.812: MarketData - Let ImpliedVol - discarding new iv value - outside tolerance - old/new/tolerance 7.11564325087054E-02/7.91705160372498E-02//0.1</t>
  </si>
  <si>
    <t>2015-3-2 11:28:37.844: MarketData - Let Delta - discarding new delta value - outside tolerance - old/new/tolerance 6.89318382128002E-02/8.27817633998238E-02//0.02</t>
  </si>
  <si>
    <t>2015-3-2 11:28:37.858: MarketData - Let Delta - discarding new delta value - outside tolerance - old/new/tolerance 0.106830504989704/0.121276904797293//0.02</t>
  </si>
  <si>
    <t>2015-3-2 11:28:38.132: MarketData - Let Delta - discarding new delta value - outside tolerance - old/new/tolerance 0.158490955712676/0.174760289633367//0.02</t>
  </si>
  <si>
    <t>2015-3-2 11:28:41.732: MarketData - Let Delta - discarding new delta value - outside tolerance - old/new/tolerance -0.144976320097935/-0.151763211675137//0.02</t>
  </si>
  <si>
    <t>2015-3-2 11:28:41.747: MarketData - Let Delta - discarding new delta value - outside tolerance - old/new/tolerance -0.222854384384645/-0.22920522716673//0.02</t>
  </si>
  <si>
    <t>2015-3-2 11:28:41.774: MarketData - Let Delta - discarding new delta value - outside tolerance - old/new/tolerance -0.328942848388473/-0.333305036500865//0.02</t>
  </si>
  <si>
    <t>2015-3-2 11:28:41.789: MarketData - Let Delta - discarding new delta value - outside tolerance - old/new/tolerance -0.454699445780046/-0.458437297280804//0.02</t>
  </si>
  <si>
    <t>2015-3-2 11:28:41.859: MarketData - Let Delta - discarding new delta value - outside tolerance - old/new/tolerance -0.841517411877704/-0.714654716729182//0.02</t>
  </si>
  <si>
    <t>2015-3-2 11:28:41.859: MarketData - Let ImpliedVol - discarding new iv value - outside tolerance - old/new/tolerance 4.75620839764472E-02/0.088825452294067//0.1</t>
  </si>
  <si>
    <t>2015-3-2 11:28:41.874: MarketData - Let Delta - discarding new delta value - outside tolerance - old/new/tolerance 0.177963482543755/0.187579856614831//0.02</t>
  </si>
  <si>
    <t>2015-3-2 11:28:41.903: MarketData - Let Delta - discarding new delta value - outside tolerance - old/new/tolerance -0.222734195212471/-0.22754724357069//0.02</t>
  </si>
  <si>
    <t>2015-3-2 11:28:41.920: MarketData - Let Delta - discarding new delta value - outside tolerance - old/new/tolerance -0.298284426282425/-0.3019076088566//0.02</t>
  </si>
  <si>
    <t>2015-3-2 11:28:41.943: MarketData - Let Delta - discarding new delta value - outside tolerance - old/new/tolerance -0.388307309600332/-0.389272921663553//0.02</t>
  </si>
  <si>
    <t>2015-3-2 11:28:41.957: MarketData - Let Delta - discarding new delta value - outside tolerance - old/new/tolerance -0.48538727948517/-0.486036830003862//0.02</t>
  </si>
  <si>
    <t>2015-3-2 11:28:42.20: MarketData - Let Delta - discarding new delta value - outside tolerance - old/new/tolerance 0.230885616872466/0.24233611733038//0.02</t>
  </si>
  <si>
    <t>2015-3-2 11:28:42.33: MarketData - Let Delta - discarding new delta value - outside tolerance - old/new/tolerance -9.06449168909247E-02/-9.89534833113373E-02//0.02</t>
  </si>
  <si>
    <t>2015-3-2 11:28:42.61: MarketData - Let Delta - discarding new delta value - outside tolerance - old/new/tolerance -5.48268661103477E-02/-6.45400607178717E-02//0.02</t>
  </si>
  <si>
    <t>2015-3-2 11:28:42.81: MarketData - Let Delta - discarding new delta value - outside tolerance - old/new/tolerance 3.27375938174812E-02/4.28011739854618E-02//0.02</t>
  </si>
  <si>
    <t>2015-3-2 11:28:42.106: MarketData - Let Delta - discarding new delta value - outside tolerance - old/new/tolerance 6.09468230225364E-02/7.13285542331328E-02//0.02</t>
  </si>
  <si>
    <t>2015-3-2 11:28:42.120: MarketData - Let Delta - discarding new delta value - outside tolerance - old/new/tolerance 0.110041869283508/0.117366693877947//0.02</t>
  </si>
  <si>
    <t>2015-3-2 11:28:42.146: MarketData - Let Delta - discarding new delta value - outside tolerance - old/new/tolerance -0.160184441493707/-0.166986785455381//0.02</t>
  </si>
  <si>
    <t>2015-3-2 11:28:42.161: MarketData - Let Delta - discarding new delta value - outside tolerance - old/new/tolerance -0.11314892454345/-0.11907250868121//0.02</t>
  </si>
  <si>
    <t>2015-3-2 11:28:42.191: MarketData - Let Delta - discarding new delta value - outside tolerance - old/new/tolerance -7.88083866011275E-02/-8.52590358247774E-02//0.02</t>
  </si>
  <si>
    <t>2015-3-2 11:28:42.206: MarketData - Let Delta - discarding new delta value - outside tolerance - old/new/tolerance 0.038469617026449/5.64106568443597E-02//0.02</t>
  </si>
  <si>
    <t>2015-3-2 11:28:42.207: MarketData - Let ImpliedVol - discarding new iv value - outside tolerance - old/new/tolerance 7.11564325087054E-02/0.078967016964846//0.1</t>
  </si>
  <si>
    <t>2015-3-2 11:28:42.228: MarketData - Let Delta - discarding new delta value - outside tolerance - old/new/tolerance 6.89318382128002E-02/8.22258001868038E-02//0.02</t>
  </si>
  <si>
    <t>2015-3-2 11:28:42.242: MarketData - Let Delta - discarding new delta value - outside tolerance - old/new/tolerance 0.106830504989704/0.120880832527573//0.02</t>
  </si>
  <si>
    <t>2015-3-2 11:28:42.269: MarketData - Let Delta - discarding new delta value - outside tolerance - old/new/tolerance 0.158490955712676/0.174399897333579//0.02</t>
  </si>
  <si>
    <t>2015-3-2 11:28:42.309: MarketData - Let Delta - discarding new delta value - outside tolerance - old/new/tolerance -0.454699445780046/-0.457118308273209//0.02</t>
  </si>
  <si>
    <t>2015-3-2 11:28:42.351: MarketData - Let Delta - discarding new delta value - outside tolerance - old/new/tolerance -0.454699445780046/-0.459047313639779//0.02</t>
  </si>
  <si>
    <t>2015-3-2 11:28:42.443: MarketData - Let Delta - discarding new delta value - outside tolerance - old/new/tolerance -0.222734195212471/-0.222727058698443//0.02</t>
  </si>
  <si>
    <t>2015-3-2 11:28:42.479: MarketData - Let Delta - discarding new delta value - outside tolerance - old/new/tolerance -0.298284426282425/-0.298278668519564//0.02</t>
  </si>
  <si>
    <t>2015-3-2 11:28:42.522: MarketData - Let Delta - discarding new delta value - outside tolerance - old/new/tolerance -0.388307309600332/-0.386983840547611//0.02</t>
  </si>
  <si>
    <t>2015-3-2 11:28:42.640: MarketData - Let Delta - discarding new delta value - outside tolerance - old/new/tolerance 0.230885616872466/0.245400679074073//0.02</t>
  </si>
  <si>
    <t>2015-3-2 11:28:42.722: MarketData - Let Delta - discarding new delta value - outside tolerance - old/new/tolerance -0.160184441493707/-0.160177116017368//0.02</t>
  </si>
  <si>
    <t>2015-3-2 11:28:42.891: MarketData - Let Delta - discarding new delta value - outside tolerance - old/new/tolerance 0.158490955712676/0.177988471921765//0.02</t>
  </si>
  <si>
    <t>2015-3-2 11:28:43.426: MarketData - Let Delta - discarding new delta value - outside tolerance - old/new/tolerance -0.144976320097935/-0.151743416366695//0.02</t>
  </si>
  <si>
    <t>2015-3-2 11:28:43.441: MarketData - Let Delta - discarding new delta value - outside tolerance - old/new/tolerance -0.222854384384645/-0.22918709000223//0.02</t>
  </si>
  <si>
    <t>2015-3-2 11:28:43.485: MarketData - Let Delta - discarding new delta value - outside tolerance - old/new/tolerance -0.328942848388473/-0.333292747206539//0.02</t>
  </si>
  <si>
    <t>2015-3-2 11:28:43.500: MarketData - Let Delta - discarding new delta value - outside tolerance - old/new/tolerance -0.454699445780046/-0.458434290558743//0.02</t>
  </si>
  <si>
    <t>2015-3-2 11:28:43.613: MarketData - Let Delta - discarding new delta value - outside tolerance - old/new/tolerance -0.841517411877704/-0.714668978954606//0.02</t>
  </si>
  <si>
    <t>2015-3-2 11:28:43.614: MarketData - Let ImpliedVol - discarding new iv value - outside tolerance - old/new/tolerance 4.75620839764472E-02/0.088825452294067//0.1</t>
  </si>
  <si>
    <t>2015-3-2 11:28:43.631: MarketData - Let Delta - discarding new delta value - outside tolerance - old/new/tolerance 0.177963482543755/0.187562330857896//0.02</t>
  </si>
  <si>
    <t>2015-3-2 11:28:43.659: MarketData - Let Delta - discarding new delta value - outside tolerance - old/new/tolerance -0.222734195212471/-0.227540243880209//0.02</t>
  </si>
  <si>
    <t>2015-3-2 11:28:43.676: MarketData - Let Delta - discarding new delta value - outside tolerance - old/new/tolerance -0.298284426282425/-0.301901950381227//0.02</t>
  </si>
  <si>
    <t>2015-3-2 11:28:43.714: MarketData - Let Delta - discarding new delta value - outside tolerance - old/new/tolerance -0.388307309600332/-0.389269676280613//0.02</t>
  </si>
  <si>
    <t>2015-3-2 11:28:43.730: MarketData - Let Delta - discarding new delta value - outside tolerance - old/new/tolerance -0.48538727948517/-0.486036550035668//0.02</t>
  </si>
  <si>
    <t>2015-3-2 11:28:43.815: MarketData - Let Delta - discarding new delta value - outside tolerance - old/new/tolerance 0.230885616872466/0.242329247878062//0.02</t>
  </si>
  <si>
    <t>2015-3-2 11:28:43.828: MarketData - Let Delta - discarding new delta value - outside tolerance - old/new/tolerance -0.144976320097935/-0.145521542375345//0.02</t>
  </si>
  <si>
    <t>2015-3-2 11:28:43.859: MarketData - Let Delta - discarding new delta value - outside tolerance - old/new/tolerance -0.144976320097935/-0.158059301868679//0.02</t>
  </si>
  <si>
    <t>2015-3-2 11:28:43.893: MarketData - Let Delta - discarding new delta value - outside tolerance - old/new/tolerance -0.222854384384645/-0.223750383646481//0.02</t>
  </si>
  <si>
    <t>2015-3-2 11:28:43.938: MarketData - Let Delta - discarding new delta value - outside tolerance - old/new/tolerance -0.328942848388473/-0.330431513234385//0.02</t>
  </si>
  <si>
    <t>2015-3-2 11:28:43.955: MarketData - Let Delta - discarding new delta value - outside tolerance - old/new/tolerance -0.328942848388473/-0.338571884208458//0.02</t>
  </si>
  <si>
    <t>2015-3-2 11:28:44.49: MarketData - Let Delta - discarding new delta value - outside tolerance - old/new/tolerance 0.177963482543755/0.195753141529566//0.02</t>
  </si>
  <si>
    <t>2015-3-2 11:28:44.135: MarketData - Let Delta - discarding new delta value - outside tolerance - old/new/tolerance -0.388307309600332/-0.392114756523629//0.02</t>
  </si>
  <si>
    <t>2015-3-2 11:28:44.190: MarketData - Let Delta - discarding new delta value - outside tolerance - old/new/tolerance -0.48538727948517/-0.485839158984418//0.02</t>
  </si>
  <si>
    <t>2015-3-2 11:28:44.341: MarketData - Let Delta - discarding new delta value - outside tolerance - old/new/tolerance -9.06449168909247E-02/-9.89355524825754E-02//0.02</t>
  </si>
  <si>
    <t>2015-3-2 11:28:44.357: MarketData - Let Delta - discarding new delta value - outside tolerance - old/new/tolerance -5.48268661103477E-02/-6.45260153544057E-02//0.02</t>
  </si>
  <si>
    <t>2015-3-2 11:28:44.398: MarketData - Let Delta - discarding new delta value - outside tolerance - old/new/tolerance 3.27375938174812E-02/0.042791201429511//0.02</t>
  </si>
  <si>
    <t>2015-3-2 11:28:44.413: MarketData - Let Delta - discarding new delta value - outside tolerance - old/new/tolerance 6.09468230225364E-02/7.13146055898884E-02//0.02</t>
  </si>
  <si>
    <t>2015-3-2 11:28:44.442: MarketData - Let Delta - discarding new delta value - outside tolerance - old/new/tolerance 0.110041869283508/0.117349699862026//0.02</t>
  </si>
  <si>
    <t>2015-3-2 11:28:44.464: MarketData - Let Delta - discarding new delta value - outside tolerance - old/new/tolerance -0.160184441493707/-0.166979659983874//0.02</t>
  </si>
  <si>
    <t>2015-3-2 11:28:44.485: MarketData - Let Delta - discarding new delta value - outside tolerance - old/new/tolerance -0.11314892454345/-0.119066244382212//0.02</t>
  </si>
  <si>
    <t>2015-3-2 11:28:44.500: MarketData - Let Delta - discarding new delta value - outside tolerance - old/new/tolerance -7.88083866011275E-02/-8.52517472976775E-02//0.02</t>
  </si>
  <si>
    <t>2015-3-2 11:28:44.530: MarketData - Let Delta - discarding new delta value - outside tolerance - old/new/tolerance 0.038469617026449/5.64047912311025E-02//0.02</t>
  </si>
  <si>
    <t>2015-3-2 11:28:44.530: MarketData - Let ImpliedVol - discarding new iv value - outside tolerance - old/new/tolerance 7.11564325087054E-02/0.078967016964846//0.1</t>
  </si>
  <si>
    <t>2015-3-2 11:28:44.542: MarketData - Let Delta - discarding new delta value - outside tolerance - old/new/tolerance 6.89318382128002E-02/8.22181284914934E-02//0.02</t>
  </si>
  <si>
    <t>2015-3-2 11:28:44.616: MarketData - Let Delta - discarding new delta value - outside tolerance - old/new/tolerance 0.106830504989704/0.120874359554083//0.02</t>
  </si>
  <si>
    <t>2015-3-2 11:28:44.646: MarketData - Let Delta - discarding new delta value - outside tolerance - old/new/tolerance 0.158490955712676/0.174392697151443//0.02</t>
  </si>
  <si>
    <t>2015-3-2 11:28:44.697: MarketData - Let Delta - discarding new delta value - outside tolerance - old/new/tolerance -9.06449168909247E-02/-9.09109217977387E-02//0.02</t>
  </si>
  <si>
    <t>2015-3-2 11:28:44.722: MarketData - Let Delta - discarding new delta value - outside tolerance - old/new/tolerance -5.48268661103477E-02/-5.50182928487131E-02//0.02</t>
  </si>
  <si>
    <t>2015-3-2 11:28:44.831: MarketData - Let Delta - discarding new delta value - outside tolerance - old/new/tolerance 0.110041869283508/0.12542364513903//0.02</t>
  </si>
  <si>
    <t>2015-3-2 11:28:44.883: MarketData - Let Delta - discarding new delta value - outside tolerance - old/new/tolerance -7.88083866011275E-02/-7.88725339995761E-02//0.02</t>
  </si>
  <si>
    <t>2015-3-2 11:28:44.939: MarketData - Let Delta - discarding new delta value - outside tolerance - old/new/tolerance 6.89318382128002E-02/8.30207784979999E-02//0.02</t>
  </si>
  <si>
    <t>2015-3-2 11:28:44.981: MarketData - Let Delta - discarding new delta value - outside tolerance - old/new/tolerance 0.106830504989704/0.124732724268701//0.02</t>
  </si>
  <si>
    <t>2015-3-2 11:28:45.237: MarketData - Let Delta - discarding new delta value - outside tolerance - old/new/tolerance -0.144976320097935/-0.15023918335313//0.02</t>
  </si>
  <si>
    <t>2015-3-2 11:28:45.269: MarketData - Let Delta - discarding new delta value - outside tolerance - old/new/tolerance -0.222854384384645/-0.227202844056653//0.02</t>
  </si>
  <si>
    <t>2015-3-2 11:28:45.285: MarketData - Let Delta - discarding new delta value - outside tolerance - old/new/tolerance -0.328942848388473/-0.330898514428304//0.02</t>
  </si>
  <si>
    <t>2015-3-2 11:28:45.317: MarketData - Let Delta - discarding new delta value - outside tolerance - old/new/tolerance -0.454699445780046/-0.455792268933768//0.02</t>
  </si>
  <si>
    <t>2015-3-2 11:28:45.373: MarketData - Let Delta - discarding new delta value - outside tolerance - old/new/tolerance -0.841517411877704/-0.712268737453429//0.02</t>
  </si>
  <si>
    <t>2015-3-2 11:28:45.373: MarketData - Let ImpliedVol - discarding new iv value - outside tolerance - old/new/tolerance 4.75620839764472E-02/0.088825452294067//0.1</t>
  </si>
  <si>
    <t>2015-3-2 11:28:45.400: MarketData - Let Delta - discarding new delta value - outside tolerance - old/new/tolerance 0.177963482543755/0.189188003575861//0.02</t>
  </si>
  <si>
    <t>2015-3-2 11:28:45.415: MarketData - Let Delta - discarding new delta value - outside tolerance - old/new/tolerance -9.06449168909247E-02/-9.78923477399381E-02//0.02</t>
  </si>
  <si>
    <t>2015-3-2 11:28:45.441: MarketData - Let Delta - discarding new delta value - outside tolerance - old/new/tolerance -5.48268661103477E-02/-6.38642232063935E-02//0.02</t>
  </si>
  <si>
    <t>2015-3-2 11:28:45.456: MarketData - Let Delta - discarding new delta value - outside tolerance - old/new/tolerance 3.27375938174812E-02/4.32491735904342E-02//0.02</t>
  </si>
  <si>
    <t>2015-3-2 11:28:45.486: MarketData - Let Delta - discarding new delta value - outside tolerance - old/new/tolerance 6.09468230225364E-02/0.072061772316789//0.02</t>
  </si>
  <si>
    <t>2015-3-2 11:28:45.503: MarketData - Let Delta - discarding new delta value - outside tolerance - old/new/tolerance 0.110041869283508/0.11850345185607//0.02</t>
  </si>
  <si>
    <t>2015-3-2 11:28:45.530: MarketData - Let Delta - discarding new delta value - outside tolerance - old/new/tolerance -0.144976320097935/-0.150804898020866//0.02</t>
  </si>
  <si>
    <t>2015-3-2 11:28:45.556: MarketData - Let Delta - discarding new delta value - outside tolerance - old/new/tolerance -0.144976320097935/-0.145007865115953//0.02</t>
  </si>
  <si>
    <t>2015-3-2 11:28:45.571: MarketData - Let Delta - discarding new delta value - outside tolerance - old/new/tolerance -0.144976320097935/-0.157519000014655//0.02</t>
  </si>
  <si>
    <t>2015-3-2 11:28:45.612: MarketData - Let Delta - discarding new delta value - outside tolerance - old/new/tolerance -0.222854384384645/-0.227532327027424//0.02</t>
  </si>
  <si>
    <t>2015-3-2 11:28:45.643: MarketData - Let Delta - discarding new delta value - outside tolerance - old/new/tolerance -0.328942848388473/-0.330994193614391//0.02</t>
  </si>
  <si>
    <t>2015-3-2 11:28:45.658: MarketData - Let Delta - discarding new delta value - outside tolerance - old/new/tolerance -0.222854384384645/-0.222871922494613//0.02</t>
  </si>
  <si>
    <t>2015-3-2 11:28:45.694: MarketData - Let Delta - discarding new delta value - outside tolerance - old/new/tolerance -0.222854384384645/-0.236664702460065//0.02</t>
  </si>
  <si>
    <t>2015-3-2 11:28:45.726: MarketData - Let Delta - discarding new delta value - outside tolerance - old/new/tolerance -0.454699445780046/-0.455784829907536//0.02</t>
  </si>
  <si>
    <t>2015-3-2 11:28:45.780: MarketData - Let Delta - discarding new delta value - outside tolerance - old/new/tolerance -0.328942848388473/-0.328946798930182//0.02</t>
  </si>
  <si>
    <t>2015-3-2 11:28:45.795: MarketData - Let Delta - discarding new delta value - outside tolerance - old/new/tolerance -0.328942848388473/-0.337103408823928//0.02</t>
  </si>
  <si>
    <t>2015-3-2 11:28:45.851: MarketData - Let Delta - discarding new delta value - outside tolerance - old/new/tolerance -0.454699445780046/-0.454702753572591//0.02</t>
  </si>
  <si>
    <t>2015-3-2 11:28:45.866: MarketData - Let Delta - discarding new delta value - outside tolerance - old/new/tolerance -0.454699445780046/-0.456734868005649//0.02</t>
  </si>
  <si>
    <t>2015-3-2 11:28:45.977: MarketData - Let Delta - discarding new delta value - outside tolerance - old/new/tolerance -0.841517411877704/-0.712598770181625//0.02</t>
  </si>
  <si>
    <t>2015-3-2 11:28:45.977: MarketData - Let ImpliedVol - discarding new iv value - outside tolerance - old/new/tolerance 4.75620839764472E-02/8.86844553617792E-02//0.1</t>
  </si>
  <si>
    <t>2015-3-2 11:28:45.997: MarketData - Let Delta - discarding new delta value - outside tolerance - old/new/tolerance 0.177963482543755/0.18871718428054//0.02</t>
  </si>
  <si>
    <t>2015-3-2 11:28:46.30: MarketData - Let Delta - discarding new delta value - outside tolerance - old/new/tolerance -0.222734195212471/-0.227692164847764//0.02</t>
  </si>
  <si>
    <t>2015-3-2 11:28:46.45: MarketData - Let Delta - discarding new delta value - outside tolerance - old/new/tolerance -0.298284426282425/-0.302113942495154//0.02</t>
  </si>
  <si>
    <t>2015-3-2 11:28:46.107: MarketData - Let Delta - discarding new delta value - outside tolerance - old/new/tolerance -0.388307309600332/-0.389433695097671//0.02</t>
  </si>
  <si>
    <t>2015-3-2 11:28:46.123: MarketData - Let Delta - discarding new delta value - outside tolerance - old/new/tolerance -0.48538727948517/-0.486053485850749//0.02</t>
  </si>
  <si>
    <t>2015-3-2 11:28:46.192: MarketData - Let Delta - discarding new delta value - outside tolerance - old/new/tolerance 0.284933270684389/0.292424056291995//0.02</t>
  </si>
  <si>
    <t>2015-3-2 11:28:46.236: MarketData - Let Delta - discarding new delta value - outside tolerance - old/new/tolerance -0.841517411877704/-0.841556867520725//0.02</t>
  </si>
  <si>
    <t>2015-3-2 11:28:46.276: MarketData - Let Delta - discarding new delta value - outside tolerance - old/new/tolerance -0.841517411877704/-0.652156468324884//0.02</t>
  </si>
  <si>
    <t>2015-3-2 11:28:46.276: MarketData - Let ImpliedVol - discarding new iv value - outside tolerance - old/new/tolerance 4.95696321974638E-02/0.124800387085041//0.1</t>
  </si>
  <si>
    <t>2015-3-2 11:28:46.323: MarketData - Let Delta - discarding new delta value - outside tolerance - old/new/tolerance 0.178604090604127/0.196433363902874//0.02</t>
  </si>
  <si>
    <t>2015-3-2 11:28:46.362: MarketData - Let Delta - discarding new delta value - outside tolerance - old/new/tolerance 0.230885616872466/0.242821719714537//0.02</t>
  </si>
  <si>
    <t>2015-3-2 11:28:46.390: MarketData - Let Delta - discarding new delta value - outside tolerance - old/new/tolerance -9.06449168909247E-02/-9.85873455148301E-02//0.02</t>
  </si>
  <si>
    <t>2015-3-2 11:28:46.405: MarketData - Let Delta - discarding new delta value - outside tolerance - old/new/tolerance -5.48268661103477E-02/-6.45452668781628E-02//0.02</t>
  </si>
  <si>
    <t>2015-3-2 11:28:46.441: MarketData - Let Delta - discarding new delta value - outside tolerance - old/new/tolerance 3.27375938174812E-02/4.28350098837653E-02//0.02</t>
  </si>
  <si>
    <t>2015-3-2 11:28:46.455: MarketData - Let Delta - discarding new delta value - outside tolerance - old/new/tolerance 6.09468230225364E-02/7.15461654549056E-02//0.02</t>
  </si>
  <si>
    <t>2015-3-2 11:28:46.482: MarketData - Let Delta - discarding new delta value - outside tolerance - old/new/tolerance 0.110041869283508/0.117948782793166//0.02</t>
  </si>
  <si>
    <t>2015-3-2 11:28:46.524: MarketData - Let Delta - discarding new delta value - outside tolerance - old/new/tolerance -0.160184441493707/-0.167005150801687//0.02</t>
  </si>
  <si>
    <t>2015-3-2 11:28:46.543: MarketData - Let Delta - discarding new delta value - outside tolerance - old/new/tolerance -0.11314892454345/-0.118962464839837//0.02</t>
  </si>
  <si>
    <t>2015-3-2 11:28:46.589: MarketData - Let Delta - discarding new delta value - outside tolerance - old/new/tolerance -7.88083866011275E-02/-8.49721182030429E-02//0.02</t>
  </si>
  <si>
    <t>2015-3-2 11:28:46.642: MarketData - Let Delta - discarding new delta value - outside tolerance - old/new/tolerance 0.038469617026449/5.66474466883928E-02//0.02</t>
  </si>
  <si>
    <t>2015-3-2 11:28:46.642: MarketData - Let ImpliedVol - discarding new iv value - outside tolerance - old/new/tolerance 7.11564325087054E-02/7.90674018579907E-02//0.1</t>
  </si>
  <si>
    <t>2015-3-2 11:28:46.654: MarketData - Let Delta - discarding new delta value - outside tolerance - old/new/tolerance 6.89318382128002E-02/8.26273732520017E-02//0.02</t>
  </si>
  <si>
    <t>2015-3-2 11:28:46.687: MarketData - Let Delta - discarding new delta value - outside tolerance - old/new/tolerance 0.106830504989704/0.121279196966075//0.02</t>
  </si>
  <si>
    <t>2015-3-2 11:28:46.722: MarketData - Let Delta - discarding new delta value - outside tolerance - old/new/tolerance 0.158490955712676/0.174887485207886//0.02</t>
  </si>
  <si>
    <t>2015-3-2 11:28:46.806: MarketData - Let Delta - discarding new delta value - outside tolerance - old/new/tolerance -9.06449168909247E-02/-9.06077298171334E-02//0.02</t>
  </si>
  <si>
    <t>2015-3-2 11:28:46.851: MarketData - Let Delta - discarding new delta value - outside tolerance - old/new/tolerance -9.06449168909247E-02/-0.10570100114256//0.02</t>
  </si>
  <si>
    <t>2015-3-2 11:28:46.892: MarketData - Let Delta - discarding new delta value - outside tolerance - old/new/tolerance -5.48268661103477E-02/-5.47972228235359E-02//0.02</t>
  </si>
  <si>
    <t>2015-3-2 11:28:46.908: MarketData - Let Delta - discarding new delta value - outside tolerance - old/new/tolerance -5.48268661103477E-02/-7.18503119795159E-02//0.02</t>
  </si>
  <si>
    <t>2015-3-2 11:28:46.908: MarketData - Let ImpliedVol - discarding new iv value - outside tolerance - old/new/tolerance 0.100224952164271/0.110348333108944//0.1</t>
  </si>
  <si>
    <t>2015-3-2 11:28:46.975: MarketData - Let Delta - discarding new delta value - outside tolerance - old/new/tolerance 3.28100449089918E-02/5.36365274024832E-02//0.02</t>
  </si>
  <si>
    <t>2015-3-2 11:28:46.976: MarketData - Let ImpliedVol - discarding new iv value - outside tolerance - old/new/tolerance 9.08972058246263E-02/0.103800164925898//0.1</t>
  </si>
  <si>
    <t>2015-3-2 11:28:47.39: MarketData - Let Delta - discarding new delta value - outside tolerance - old/new/tolerance 6.11054413698436E-02/7.97497419659131E-02//0.02</t>
  </si>
  <si>
    <t>2015-3-2 11:28:47.39: MarketData - Let ImpliedVol - discarding new iv value - outside tolerance - old/new/tolerance 8.91697155536962E-02/9.86045563642382E-02//0.1</t>
  </si>
  <si>
    <t>2015-3-2 11:28:47.101: MarketData - Let Delta - discarding new delta value - outside tolerance - old/new/tolerance 0.11041161525149/0.125804748968345//0.02</t>
  </si>
  <si>
    <t>2015-3-2 11:28:48.769: MarketData - Let Delta - discarding new delta value - outside tolerance - old/new/tolerance -0.144976320097935/-0.150960928193004//0.02</t>
  </si>
  <si>
    <t>2015-3-2 11:28:48.814: MarketData - Let Delta - discarding new delta value - outside tolerance - old/new/tolerance -0.222854384384645/-0.227701306919126//0.02</t>
  </si>
  <si>
    <t>2015-3-2 11:28:48.850: MarketData - Let Delta - discarding new delta value - outside tolerance - old/new/tolerance -0.328942848388473/-0.331120267759327//0.02</t>
  </si>
  <si>
    <t>2015-3-2 11:28:48.865: MarketData - Let Delta - discarding new delta value - outside tolerance - old/new/tolerance -0.454699445780046/-0.455818161682932//0.02</t>
  </si>
  <si>
    <t>2015-3-2 11:28:48.941: MarketData - Let Delta - discarding new delta value - outside tolerance - old/new/tolerance -0.841517411877704/-0.712450957863037//0.02</t>
  </si>
  <si>
    <t>2015-3-2 11:28:48.941: MarketData - Let ImpliedVol - discarding new iv value - outside tolerance - old/new/tolerance 4.95696321974638E-02/8.87475489874561E-02//0.1</t>
  </si>
  <si>
    <t>2015-3-2 11:28:48.956: MarketData - Let Delta - discarding new delta value - outside tolerance - old/new/tolerance 0.178604090604127/0.188843664536243//0.02</t>
  </si>
  <si>
    <t>2015-3-2 11:28:49.139: MarketData - Let Delta - discarding new delta value - outside tolerance - old/new/tolerance -9.06449168909247E-02/-9.86952135898727E-02//0.02</t>
  </si>
  <si>
    <t>2015-3-2 11:28:49.183: MarketData - Let Delta - discarding new delta value - outside tolerance - old/new/tolerance -5.48268661103477E-02/-6.45987784079755E-02//0.02</t>
  </si>
  <si>
    <t>2015-3-2 11:28:49.199: MarketData - Let Delta - discarding new delta value - outside tolerance - old/new/tolerance 3.28100449089918E-02/4.28287751002679E-02//0.02</t>
  </si>
  <si>
    <t>2015-3-2 11:28:49.233: MarketData - Let Delta - discarding new delta value - outside tolerance - old/new/tolerance 6.11054413698436E-02/7.15793387693632E-02//0.02</t>
  </si>
  <si>
    <t>2015-3-2 11:28:49.248: MarketData - Let Delta - discarding new delta value - outside tolerance - old/new/tolerance 0.11041161525149/0.118034271916497//0.02</t>
  </si>
  <si>
    <t>2015-3-2 11:28:52.931: MarketData - Let Delta - discarding new delta value - outside tolerance - old/new/tolerance -0.222734195212471/-0.227492325729641//0.02</t>
  </si>
  <si>
    <t>2015-3-2 11:28:52.973: MarketData - Let Delta - discarding new delta value - outside tolerance - old/new/tolerance -0.298284426282425/-0.301867946217272//0.02</t>
  </si>
  <si>
    <t>2015-3-2 11:28:52.988: MarketData - Let Delta - discarding new delta value - outside tolerance - old/new/tolerance -0.388307309600332/-0.389254144978764//0.02</t>
  </si>
  <si>
    <t>2015-3-2 11:28:53.20: MarketData - Let Delta - discarding new delta value - outside tolerance - old/new/tolerance -0.48538727948517/-0.486035663206167//0.02</t>
  </si>
  <si>
    <t>2015-3-2 11:28:53.80: MarketData - Let Delta - discarding new delta value - outside tolerance - old/new/tolerance 0.230885616872466/0.242355579416042//0.02</t>
  </si>
  <si>
    <t>2015-3-2 11:28:53.102: MarketData - Let Delta - discarding new delta value - outside tolerance - old/new/tolerance -0.160184441493707/-0.166927613508634//0.02</t>
  </si>
  <si>
    <t>2015-3-2 11:28:53.140: MarketData - Let Delta - discarding new delta value - outside tolerance - old/new/tolerance -0.11314892454345/-0.119019871898802//0.02</t>
  </si>
  <si>
    <t>2015-3-2 11:28:53.155: MarketData - Let Delta - discarding new delta value - outside tolerance - old/new/tolerance -7.88083866011275E-02/-8.51995234830056E-02//0.02</t>
  </si>
  <si>
    <t>2015-3-2 11:28:53.191: MarketData - Let Delta - discarding new delta value - outside tolerance - old/new/tolerance 0.038469617026449/0.056504435879018//0.02</t>
  </si>
  <si>
    <t>2015-3-2 11:28:53.191: MarketData - Let ImpliedVol - discarding new iv value - outside tolerance - old/new/tolerance 7.11564325087054E-02/7.90082085430317E-02//0.1</t>
  </si>
  <si>
    <t>2015-3-2 11:28:53.203: MarketData - Let Delta - discarding new delta value - outside tolerance - old/new/tolerance 6.89318382128002E-02/8.23211291682601E-02//0.02</t>
  </si>
  <si>
    <t>2015-3-2 11:28:53.225: MarketData - Let Delta - discarding new delta value - outside tolerance - old/new/tolerance 0.106830504989704/0.120939173327987//0.02</t>
  </si>
  <si>
    <t>2015-3-2 11:28:53.239: MarketData - Let Delta - discarding new delta value - outside tolerance - old/new/tolerance 0.158490955712676/0.174441653102683//0.02</t>
  </si>
  <si>
    <t>2015-3-2 11:28:53.304: MarketData - Let Delta - discarding new delta value - outside tolerance - old/new/tolerance -0.388307309600332/-0.393323056066009//0.02</t>
  </si>
  <si>
    <t>2015-3-2 11:28:55.139: MarketData - Let Delta - discarding new delta value - outside tolerance - old/new/tolerance -0.48538727948517/-0.485942790134441//0.02</t>
  </si>
  <si>
    <t>2015-3-2 11:28:56.863: MarketData - Let Delta - discarding new delta value - outside tolerance - old/new/tolerance -0.144976320097935/-0.150680384535243//0.02</t>
  </si>
  <si>
    <t>2015-3-2 11:28:56.910: MarketData - Let Delta - discarding new delta value - outside tolerance - old/new/tolerance -0.222854384384645/-0.227410500971708//0.02</t>
  </si>
  <si>
    <t>2015-3-2 11:28:56.936: MarketData - Let Delta - discarding new delta value - outside tolerance - old/new/tolerance -0.328942848388473/-0.330909459613365//0.02</t>
  </si>
  <si>
    <t>2015-3-2 11:28:56.952: MarketData - Let Delta - discarding new delta value - outside tolerance - old/new/tolerance -0.144976320097935/-0.163333064322392//0.02</t>
  </si>
  <si>
    <t>2015-3-2 11:28:56.989: MarketData - Let Delta - discarding new delta value - outside tolerance - old/new/tolerance -0.454699445780046/-0.455763542717372//0.02</t>
  </si>
  <si>
    <t>2015-3-2 11:28:57.63: MarketData - Let Delta - discarding new delta value - outside tolerance - old/new/tolerance -0.841517411877704/-0.712687035583337//0.02</t>
  </si>
  <si>
    <t>2015-3-2 11:28:57.63: MarketData - Let ImpliedVol - discarding new iv value - outside tolerance - old/new/tolerance 4.95696321974638E-02/8.86468217089202E-02//0.1</t>
  </si>
  <si>
    <t>2015-3-2 11:28:57.78: MarketData - Let Delta - discarding new delta value - outside tolerance - old/new/tolerance 0.178604090604127/0.188643175846577//0.02</t>
  </si>
  <si>
    <t>2015-3-2 11:28:57.114: MarketData - Let Delta - discarding new delta value - outside tolerance - old/new/tolerance -0.222734195212471/-0.227212432752797//0.02</t>
  </si>
  <si>
    <t>2015-3-2 11:28:57.147: MarketData - Let Delta - discarding new delta value - outside tolerance - old/new/tolerance -0.298284426282425/-0.301542111675037//0.02</t>
  </si>
  <si>
    <t>2015-3-2 11:28:57.166: MarketData - Let Delta - discarding new delta value - outside tolerance - old/new/tolerance -0.388307309600332/-0.38902165747762//0.02</t>
  </si>
  <si>
    <t>2015-3-2 11:28:57.193: MarketData - Let Delta - discarding new delta value - outside tolerance - old/new/tolerance -0.48538727948517/-0.486012795575964//0.02</t>
  </si>
  <si>
    <t>2015-3-2 11:28:57.249: MarketData - Let Delta - discarding new delta value - outside tolerance - old/new/tolerance 0.230885616872466/0.241756624456722//0.02</t>
  </si>
  <si>
    <t>2015-3-2 11:28:57.272: MarketData - Let Delta - discarding new delta value - outside tolerance - old/new/tolerance -9.06449168909247E-02/-9.84863217727607E-02//0.02</t>
  </si>
  <si>
    <t>2015-3-2 11:28:57.287: MarketData - Let Delta - discarding new delta value - outside tolerance - old/new/tolerance -5.48268661103477E-02/-6.44779990864144E-02//0.02</t>
  </si>
  <si>
    <t>2015-3-2 11:28:57.314: MarketData - Let Delta - discarding new delta value - outside tolerance - old/new/tolerance -0.454699445780046/-0.455404148678872//0.02</t>
  </si>
  <si>
    <t>2015-3-2 11:28:57.329: MarketData - Let Delta - discarding new delta value - outside tolerance - old/new/tolerance -0.454699445780046/-0.457366519525334//0.02</t>
  </si>
  <si>
    <t>2015-3-2 11:28:57.362: MarketData - Let Delta - discarding new delta value - outside tolerance - old/new/tolerance 3.28100449089918E-02/4.28372597537783E-02//0.02</t>
  </si>
  <si>
    <t>2015-3-2 11:28:57.390: MarketData - Let Delta - discarding new delta value - outside tolerance - old/new/tolerance 6.11054413698436E-02/7.15264460638958E-02//0.02</t>
  </si>
  <si>
    <t>2015-3-2 11:28:57.404: MarketData - Let Delta - discarding new delta value - outside tolerance - old/new/tolerance 0.11041161525149/0.117899218763001//0.02</t>
  </si>
  <si>
    <t>2015-3-2 11:28:57.443: MarketData - Let Delta - discarding new delta value - outside tolerance - old/new/tolerance -0.160184441493707/-0.166790448242571//0.02</t>
  </si>
  <si>
    <t>2015-3-2 11:28:57.460: MarketData - Let Delta - discarding new delta value - outside tolerance - old/new/tolerance -0.11314892454345/-0.119046048383184//0.02</t>
  </si>
  <si>
    <t>2015-3-2 11:28:57.484: MarketData - Let Delta - discarding new delta value - outside tolerance - old/new/tolerance -7.88083866011275E-02/-8.54169349990072E-02//0.02</t>
  </si>
  <si>
    <t>2015-3-2 11:28:57.498: MarketData - Let Delta - discarding new delta value - outside tolerance - old/new/tolerance 0.038469617026449/5.62855723763442E-02//0.02</t>
  </si>
  <si>
    <t>2015-3-2 11:28:57.499: MarketData - Let ImpliedVol - discarding new iv value - outside tolerance - old/new/tolerance 7.11564325087054E-02/7.89177898646649E-02//0.1</t>
  </si>
  <si>
    <t>2015-3-2 11:28:57.520: MarketData - Let Delta - discarding new delta value - outside tolerance - old/new/tolerance 6.89318382128002E-02/8.18975579174081E-02//0.02</t>
  </si>
  <si>
    <t>2015-3-2 11:28:57.532: MarketData - Let Delta - discarding new delta value - outside tolerance - old/new/tolerance 0.106830504989704/0.120487887492173//0.02</t>
  </si>
  <si>
    <t>2015-3-2 11:28:57.560: MarketData - Let Delta - discarding new delta value - outside tolerance - old/new/tolerance 0.158490955712676/0.173862238931137//0.02</t>
  </si>
  <si>
    <t>2015-3-2 11:28:57.733: MarketData - Let Delta - discarding new delta value - outside tolerance - old/new/tolerance 0.230885616872466/0.24191895418956//0.02</t>
  </si>
  <si>
    <t>2015-3-2 11:28:59.346: MarketData - Let Delta - discarding new delta value - outside tolerance - old/new/tolerance 0.158490955712676/0.173396926588258//0.02</t>
  </si>
  <si>
    <t>2015-3-2 11:29:0.760: MarketData - Let Delta - discarding new delta value - outside tolerance - old/new/tolerance -0.222734195212471/-0.227259674907622//0.02</t>
  </si>
  <si>
    <t>2015-3-2 11:29:0.797: MarketData - Let Delta - discarding new delta value - outside tolerance - old/new/tolerance -0.298284426282425/-0.301628494503733//0.02</t>
  </si>
  <si>
    <t>2015-3-2 11:29:0.846: MarketData - Let Delta - discarding new delta value - outside tolerance - old/new/tolerance -0.388307309600332/-0.389098020167682//0.02</t>
  </si>
  <si>
    <t>2015-3-2 11:29:0.894: MarketData - Let Delta - discarding new delta value - outside tolerance - old/new/tolerance -0.48538727948517/-0.486021580413191//0.02</t>
  </si>
  <si>
    <t>2015-3-2 11:29:0.955: MarketData - Let Delta - discarding new delta value - outside tolerance - old/new/tolerance 0.230885616872466/0.242111887765357//0.02</t>
  </si>
  <si>
    <t>2015-3-2 11:29:0.985: MarketData - Let Delta - discarding new delta value - outside tolerance - old/new/tolerance -0.160184441493707/-0.166776918179716//0.02</t>
  </si>
  <si>
    <t>2015-3-2 11:29:1.19: MarketData - Let Delta - discarding new delta value - outside tolerance - old/new/tolerance -0.11314892454345/-0.118979881697267//0.02</t>
  </si>
  <si>
    <t>2015-3-2 11:29:1.35: MarketData - Let Delta - discarding new delta value - outside tolerance - old/new/tolerance -7.88083866011275E-02/-8.52774570698426E-02//0.02</t>
  </si>
  <si>
    <t>2015-3-2 11:29:1.73: MarketData - Let Delta - discarding new delta value - outside tolerance - old/new/tolerance 0.038469617026449/5.66847121107561E-02//0.02</t>
  </si>
  <si>
    <t>2015-3-2 11:29:1.73: MarketData - Let ImpliedVol - discarding new iv value - outside tolerance - old/new/tolerance 7.11564325087054E-02/7.90828408204884E-02//0.1</t>
  </si>
  <si>
    <t>2015-3-2 11:29:1.87: MarketData - Let Delta - discarding new delta value - outside tolerance - old/new/tolerance 6.89318382128002E-02/8.23980134642749E-02//0.02</t>
  </si>
  <si>
    <t>2015-3-2 11:29:1.104: MarketData - Let Delta - discarding new delta value - outside tolerance - old/new/tolerance 0.106830504989704/0.120886409166778//0.02</t>
  </si>
  <si>
    <t>2015-3-2 11:29:1.117: MarketData - Let Delta - discarding new delta value - outside tolerance - old/new/tolerance 0.158490955712676/0.174273022227852//0.02</t>
  </si>
  <si>
    <t>2015-3-2 11:29:4.989: MarketData - Let Delta - discarding new delta value - outside tolerance - old/new/tolerance -0.144976320097935/-0.150606028715234//0.02</t>
  </si>
  <si>
    <t>2015-3-2 11:29:5.42: MarketData - Let Delta - discarding new delta value - outside tolerance - old/new/tolerance -0.222854384384645/-0.227298206310576//0.02</t>
  </si>
  <si>
    <t>2015-3-2 11:29:5.57: MarketData - Let Delta - discarding new delta value - outside tolerance - old/new/tolerance -0.328942848388473/-0.330808972351749//0.02</t>
  </si>
  <si>
    <t>2015-3-2 11:29:5.118: MarketData - Let Delta - discarding new delta value - outside tolerance - old/new/tolerance -0.454699445780046/-0.45573337768925//0.02</t>
  </si>
  <si>
    <t>2015-3-2 11:29:5.161: MarketData - Let Delta - discarding new delta value - outside tolerance - old/new/tolerance -0.841517411877704/-0.712852526890625//0.02</t>
  </si>
  <si>
    <t>2015-3-2 11:29:5.161: MarketData - Let ImpliedVol - discarding new iv value - outside tolerance - old/new/tolerance 4.95696321974638E-02/0.088576346916156//0.1</t>
  </si>
  <si>
    <t>2015-3-2 11:29:5.223: MarketData - Let Delta - discarding new delta value - outside tolerance - old/new/tolerance 0.287227868027176/0.280952403538048//0.02</t>
  </si>
  <si>
    <t>2015-3-2 11:29:5.265: MarketData - Let Delta - discarding new delta value - outside tolerance - old/new/tolerance 0.178604090604127/0.188481958734636//0.02</t>
  </si>
  <si>
    <t>2015-3-2 11:29:5.312: MarketData - Let Delta - discarding new delta value - outside tolerance - old/new/tolerance -0.388307309600332/-0.388315321385158//0.02</t>
  </si>
  <si>
    <t>2015-3-2 11:29:5.433: MarketData - Let Delta - discarding new delta value - outside tolerance - old/new/tolerance -9.06449168909247E-02/-9.84691642954278E-02//0.02</t>
  </si>
  <si>
    <t>2015-3-2 11:29:5.472: MarketData - Let Delta - discarding new delta value - outside tolerance - old/new/tolerance -5.48268661103477E-02/-0.064507460010667//0.02</t>
  </si>
  <si>
    <t>2015-3-2 11:29:5.487: MarketData - Let Delta - discarding new delta value - outside tolerance - old/new/tolerance 3.28100449089918E-02/4.28023977469051E-02//0.02</t>
  </si>
  <si>
    <t>2015-3-2 11:29:5.525: MarketData - Let Delta - discarding new delta value - outside tolerance - old/new/tolerance 6.11054413698436E-02/7.14440721352033E-02//0.02</t>
  </si>
  <si>
    <t>2015-3-2 11:29:5.541: MarketData - Let Delta - discarding new delta value - outside tolerance - old/new/tolerance 0.11041161525149/0.117765950566457//0.02</t>
  </si>
  <si>
    <t>2015-3-2 11:29:7.851: MarketData - Let Delta - discarding new delta value - outside tolerance - old/new/tolerance -0.144976320097935/-0.152108064185302//0.02</t>
  </si>
  <si>
    <t>2015-3-2 11:29:7.894: MarketData - Let Delta - discarding new delta value - outside tolerance - old/new/tolerance -0.222854384384645/-0.229281630660671//0.02</t>
  </si>
  <si>
    <t>2015-3-2 11:29:7.910: MarketData - Let Delta - discarding new delta value - outside tolerance - old/new/tolerance -0.328942848388473/-0.333204571761624//0.02</t>
  </si>
  <si>
    <t>2015-3-2 11:29:7.947: MarketData - Let Delta - discarding new delta value - outside tolerance - old/new/tolerance -0.454699445780046/-0.458379252414299//0.02</t>
  </si>
  <si>
    <t>2015-3-2 11:29:7.995: MarketData - Let Delta - discarding new delta value - outside tolerance - old/new/tolerance -0.841517411877704/-0.715172151093855//0.02</t>
  </si>
  <si>
    <t>2015-3-2 11:29:7.995: MarketData - Let ImpliedVol - discarding new iv value - outside tolerance - old/new/tolerance 4.95696321974638E-02/0.088576346916156//0.1</t>
  </si>
  <si>
    <t>2015-3-2 11:29:8.21: MarketData - Let Delta - discarding new delta value - outside tolerance - old/new/tolerance 0.178604090604127/0.186851000178298//0.02</t>
  </si>
  <si>
    <t>2015-3-2 11:29:8.36: MarketData - Let Delta - discarding new delta value - outside tolerance - old/new/tolerance -9.06449168909247E-02/-0.099509724502041//0.02</t>
  </si>
  <si>
    <t>2015-3-2 11:29:8.62: MarketData - Let Delta - discarding new delta value - outside tolerance - old/new/tolerance -5.48268661103477E-02/-6.51668664218447E-02//0.02</t>
  </si>
  <si>
    <t>2015-3-2 11:29:8.78: MarketData - Let Delta - discarding new delta value - outside tolerance - old/new/tolerance 3.28100449089918E-02/4.23596256569056E-02//0.02</t>
  </si>
  <si>
    <t>2015-3-2 11:29:8.110: MarketData - Let Delta - discarding new delta value - outside tolerance - old/new/tolerance 6.11054413698436E-02/7.06942348766996E-02//0.02</t>
  </si>
  <si>
    <t>2015-3-2 11:29:8.124: MarketData - Let Delta - discarding new delta value - outside tolerance - old/new/tolerance 0.11041161525149/0.116608159368726//0.02</t>
  </si>
  <si>
    <t>2015-3-2 11:29:8.874: MarketData - Let Delta - discarding new delta value - outside tolerance - old/new/tolerance -0.144976320097935/-0.151479226727122//0.02</t>
  </si>
  <si>
    <t>2015-3-2 11:29:8.959: MarketData - Let Delta - discarding new delta value - outside tolerance - old/new/tolerance -0.144976320097935/-0.145521542375345//0.02</t>
  </si>
  <si>
    <t>2015-3-2 11:29:8.986: MarketData - Let Delta - discarding new delta value - outside tolerance - old/new/tolerance -0.144976320097935/-0.163887668659006//0.02</t>
  </si>
  <si>
    <t>2015-3-2 11:29:9.24: MarketData - Let Delta - discarding new delta value - outside tolerance - old/new/tolerance -0.222854384384645/-0.228887006784495//0.02</t>
  </si>
  <si>
    <t>2015-3-2 11:29:9.57: MarketData - Let Delta - discarding new delta value - outside tolerance - old/new/tolerance -0.222854384384645/-0.223750383646481//0.02</t>
  </si>
  <si>
    <t>2015-3-2 11:29:9.73: MarketData - Let Delta - discarding new delta value - outside tolerance - old/new/tolerance -0.222854384384645/-0.237540335159173//0.02</t>
  </si>
  <si>
    <t>2015-3-2 11:29:9.110: MarketData - Let Delta - discarding new delta value - outside tolerance - old/new/tolerance -0.328942848388473/-0.33306247998225//0.02</t>
  </si>
  <si>
    <t>2015-3-2 11:29:9.140: MarketData - Let Delta - discarding new delta value - outside tolerance - old/new/tolerance -0.328942848388473/-0.330431513234385//0.02</t>
  </si>
  <si>
    <t>2015-3-2 11:29:9.154: MarketData - Let Delta - discarding new delta value - outside tolerance - old/new/tolerance -0.328942848388473/-0.338571884208458//0.02</t>
  </si>
  <si>
    <t>2015-3-2 11:29:9.193: MarketData - Let Delta - discarding new delta value - outside tolerance - old/new/tolerance -0.454699445780046/-0.458374830323919//0.02</t>
  </si>
  <si>
    <t>2015-3-2 11:29:9.226: MarketData - Let Delta - discarding new delta value - outside tolerance - old/new/tolerance -0.454699445780046/-0.457781281792417//0.02</t>
  </si>
  <si>
    <t>2015-3-2 11:29:9.242: MarketData - Let Delta - discarding new delta value - outside tolerance - old/new/tolerance -0.454699445780046/-0.459643602645969//0.02</t>
  </si>
  <si>
    <t>2015-3-2 11:29:9.389: MarketData - Let Delta - discarding new delta value - outside tolerance - old/new/tolerance -0.841517411877704/-0.71492730232257//0.02</t>
  </si>
  <si>
    <t>2015-3-2 11:29:9.389: MarketData - Let ImpliedVol - discarding new iv value - outside tolerance - old/new/tolerance 4.95696321974638E-02/8.86973908853577E-02//0.1</t>
  </si>
  <si>
    <t>2015-3-2 11:29:9.403: MarketData - Let Delta - discarding new delta value - outside tolerance - old/new/tolerance 0.178604090604127/0.187291753186455//0.02</t>
  </si>
  <si>
    <t>2015-3-2 11:29:9.453: MarketData - Let Delta - discarding new delta value - outside tolerance - old/new/tolerance 0.279781417233581/0.291248251862686//0.02</t>
  </si>
  <si>
    <t>2015-3-2 11:29:9.488: MarketData - Let Delta - discarding new delta value - outside tolerance - old/new/tolerance -0.222734195212471/-0.227237366870302//0.02</t>
  </si>
  <si>
    <t>2015-3-2 11:29:9.515: MarketData - Let Delta - discarding new delta value - outside tolerance - old/new/tolerance -0.298284426282425/-0.301609365895463//0.02</t>
  </si>
  <si>
    <t>2015-3-2 11:29:9.529: MarketData - Let Delta - discarding new delta value - outside tolerance - old/new/tolerance -0.388307309600332/-0.389086905029926//0.02</t>
  </si>
  <si>
    <t>2015-3-2 11:29:9.563: MarketData - Let Delta - discarding new delta value - outside tolerance - old/new/tolerance -0.48538727948517/-0.486020654108679//0.02</t>
  </si>
  <si>
    <t>2015-3-2 11:29:9.579: MarketData - Let Delta - discarding new delta value - outside tolerance - old/new/tolerance -0.841517411877704/-0.84245522893599//0.02</t>
  </si>
  <si>
    <t>2015-3-2 11:29:9.605: MarketData - Let Delta - discarding new delta value - outside tolerance - old/new/tolerance -0.841517411877704/-0.65520669724463//0.02</t>
  </si>
  <si>
    <t>2015-3-2 11:29:9.605: MarketData - Let ImpliedVol - discarding new iv value - outside tolerance - old/new/tolerance 4.99783647973907E-02/0.123731151740271//0.1</t>
  </si>
  <si>
    <t>2015-3-2 11:29:9.685: MarketData - Let Delta - discarding new delta value - outside tolerance - old/new/tolerance 0.230885616872466/0.242097889574993//0.02</t>
  </si>
  <si>
    <t>2015-3-2 11:29:9.698: MarketData - Let Delta - discarding new delta value - outside tolerance - old/new/tolerance -9.06449168909247E-02/-9.87684073476647E-02//0.02</t>
  </si>
  <si>
    <t>2015-3-2 11:29:9.727: MarketData - Let Delta - discarding new delta value - outside tolerance - old/new/tolerance -5.48268661103477E-02/-6.44604302576913E-02//0.02</t>
  </si>
  <si>
    <t>2015-3-2 11:29:9.771: MarketData - Let Delta - discarding new delta value - outside tolerance - old/new/tolerance 0.177945202518063/0.195753141529566//0.02</t>
  </si>
  <si>
    <t>2015-3-2 11:29:9.805: MarketData - Let Delta - discarding new delta value - outside tolerance - old/new/tolerance 3.28100449089918E-02/4.27749926006451E-02//0.02</t>
  </si>
  <si>
    <t>2015-3-2 11:29:9.821: MarketData - Let Delta - discarding new delta value - outside tolerance - old/new/tolerance 6.11054413698436E-02/7.12168709301684E-02//0.02</t>
  </si>
  <si>
    <t>2015-3-2 11:29:9.855: MarketData - Let Delta - discarding new delta value - outside tolerance - old/new/tolerance 0.11041161525149/0.117151216310196//0.02</t>
  </si>
  <si>
    <t>2015-3-2 11:29:9.889: MarketData - Let Delta - discarding new delta value - outside tolerance - old/new/tolerance -0.298284426282425/-0.300748750528127//0.02</t>
  </si>
  <si>
    <t>2015-3-2 11:29:9.931: MarketData - Let Delta - discarding new delta value - outside tolerance - old/new/tolerance -0.160184441493707/-0.166756577470824//0.02</t>
  </si>
  <si>
    <t>2015-3-2 11:29:10.49: MarketData - Let Delta - discarding new delta value - outside tolerance - old/new/tolerance -9.06449168909247E-02/-9.09109217977387E-02//0.02</t>
  </si>
  <si>
    <t>2015-3-2 11:29:10.66: MarketData - Let Delta - discarding new delta value - outside tolerance - old/new/tolerance -9.06449168909247E-02/-0.105997614908286//0.02</t>
  </si>
  <si>
    <t>2015-3-2 11:29:10.108: MarketData - Let Delta - discarding new delta value - outside tolerance - old/new/tolerance -5.48268661103477E-02/-5.50182928487131E-02//0.02</t>
  </si>
  <si>
    <t>2015-3-2 11:29:10.139: MarketData - Let Delta - discarding new delta value - outside tolerance - old/new/tolerance -5.48268661103477E-02/-7.20137778280757E-02//0.02</t>
  </si>
  <si>
    <t>2015-3-2 11:29:10.139: MarketData - Let ImpliedVol - discarding new iv value - outside tolerance - old/new/tolerance 9.99690427196126E-02/0.110041650720118//0.1</t>
  </si>
  <si>
    <t>2015-3-2 11:29:10.198: MarketData - Let Delta - discarding new delta value - outside tolerance - old/new/tolerance 3.27268251818913E-02/5.34923564182959E-02//0.02</t>
  </si>
  <si>
    <t>2015-3-2 11:29:10.199: MarketData - Let ImpliedVol - discarding new iv value - outside tolerance - old/new/tolerance 0.091163147230277/0.104090104042272//0.1</t>
  </si>
  <si>
    <t>2015-3-2 11:29:10.268: MarketData - Let Delta - discarding new delta value - outside tolerance - old/new/tolerance 6.09320545749367E-02/7.94376317623998E-02//0.02</t>
  </si>
  <si>
    <t>2015-3-2 11:29:10.268: MarketData - Let ImpliedVol - discarding new iv value - outside tolerance - old/new/tolerance 8.94686403855238E-02/9.89049332873615E-02//0.1</t>
  </si>
  <si>
    <t>2015-3-2 11:29:10.325: MarketData - Let Delta - discarding new delta value - outside tolerance - old/new/tolerance 0.110024299373297/0.12542364513903//0.02</t>
  </si>
  <si>
    <t>2015-3-2 11:29:10.358: MarketData - Let Delta - discarding new delta value - outside tolerance - old/new/tolerance -0.160184441493707/-0.164735881858599//0.02</t>
  </si>
  <si>
    <t>2015-3-2 11:29:10.395: MarketData - Let Delta - discarding new delta value - outside tolerance - old/new/tolerance -0.11314892454345/-0.118964870498933//0.02</t>
  </si>
  <si>
    <t>2015-3-2 11:29:10.433: MarketData - Let Delta - discarding new delta value - outside tolerance - old/new/tolerance -7.88083866011275E-02/-8.52641430685351E-02//0.02</t>
  </si>
  <si>
    <t>2015-3-2 11:29:10.451: MarketData - Let Delta - discarding new delta value - outside tolerance - old/new/tolerance 0.038469617026449/5.66938438893943E-02//0.02</t>
  </si>
  <si>
    <t>2015-3-2 11:29:10.451: MarketData - Let ImpliedVol - discarding new iv value - outside tolerance - old/new/tolerance 7.11564325087054E-02/7.90866250071982E-02//0.1</t>
  </si>
  <si>
    <t>2015-3-2 11:29:10.480: MarketData - Let Delta - discarding new delta value - outside tolerance - old/new/tolerance 6.89318382128002E-02/8.24018319882812E-02//0.02</t>
  </si>
  <si>
    <t>2015-3-2 11:29:10.492: MarketData - Let Delta - discarding new delta value - outside tolerance - old/new/tolerance 0.106830504989704/0.120883392902252//0.02</t>
  </si>
  <si>
    <t>2015-3-2 11:29:10.521: MarketData - Let Delta - discarding new delta value - outside tolerance - old/new/tolerance 0.158490955712676/0.174263543564254//0.02</t>
  </si>
  <si>
    <t>2015-3-2 11:29:10.804: MarketData - Let Delta - discarding new delta value - outside tolerance - old/new/tolerance -0.144976320097935/-0.152985247237962//0.02</t>
  </si>
  <si>
    <t>2015-3-2 11:29:10.819: MarketData - Let Delta - discarding new delta value - outside tolerance - old/new/tolerance -0.144976320097935/-0.145943540558561//0.02</t>
  </si>
  <si>
    <t>2015-3-2 11:29:10.844: MarketData - Let Delta - discarding new delta value - outside tolerance - old/new/tolerance -0.144976320097935/-0.164418222664547//0.02</t>
  </si>
  <si>
    <t>2015-3-2 11:29:10.888: MarketData - Let Delta - discarding new delta value - outside tolerance - old/new/tolerance -0.222854384384645/-0.230874118343822//0.02</t>
  </si>
  <si>
    <t>2015-3-2 11:29:10.903: MarketData - Let Delta - discarding new delta value - outside tolerance - old/new/tolerance -0.328942848388473/-0.335460592754614//0.02</t>
  </si>
  <si>
    <t>2015-3-2 11:29:10.937: MarketData - Let Delta - discarding new delta value - outside tolerance - old/new/tolerance -0.454699445780046/-0.461021357953064//0.02</t>
  </si>
  <si>
    <t>2015-3-2 11:29:10.979: MarketData - Let Delta - discarding new delta value - outside tolerance - old/new/tolerance -0.222854384384645/-0.224576227902978//0.02</t>
  </si>
  <si>
    <t>2015-3-2 11:29:10.994: MarketData - Let Delta - discarding new delta value - outside tolerance - old/new/tolerance -0.222854384384645/-0.238441453373699//0.02</t>
  </si>
  <si>
    <t>2015-3-2 11:29:11.30: MarketData - Let Delta - discarding new delta value - outside tolerance - old/new/tolerance -0.328942848388473/-0.331921431448415//0.02</t>
  </si>
  <si>
    <t>2015-3-2 11:29:11.56: MarketData - Let Delta - discarding new delta value - outside tolerance - old/new/tolerance -0.328942848388473/-0.340035708241859//0.02</t>
  </si>
  <si>
    <t>2015-3-2 11:29:11.98: MarketData - Let Delta - discarding new delta value - outside tolerance - old/new/tolerance -0.454699445780046/-0.4601976106762//0.02</t>
  </si>
  <si>
    <t>2015-3-2 11:29:11.112: MarketData - Let Delta - discarding new delta value - outside tolerance - old/new/tolerance -0.454699445780046/-0.461956589818315//0.02</t>
  </si>
  <si>
    <t>2015-3-2 11:29:11.236: MarketData - Let Delta - discarding new delta value - outside tolerance - old/new/tolerance -0.841517411877704/-0.71702188132581//0.02</t>
  </si>
  <si>
    <t>2015-3-2 11:29:11.237: MarketData - Let ImpliedVol - discarding new iv value - outside tolerance - old/new/tolerance 4.99783647973907E-02/8.86973908853577E-02//0.1</t>
  </si>
  <si>
    <t>2015-3-2 11:29:11.271: MarketData - Let Delta - discarding new delta value - outside tolerance - old/new/tolerance 0.177945202518063/0.185663858655198//0.02</t>
  </si>
  <si>
    <t>2015-3-2 11:29:11.317: MarketData - Let Delta - discarding new delta value - outside tolerance - old/new/tolerance 0.278629408367312/0.290098703338735//0.02</t>
  </si>
  <si>
    <t>2015-3-2 11:29:11.347: MarketData - Let Delta - discarding new delta value - outside tolerance - old/new/tolerance -0.841517411877704/-0.855961477182774//0.02</t>
  </si>
  <si>
    <t>2015-3-2 11:29:11.362: MarketData - Let Delta - discarding new delta value - outside tolerance - old/new/tolerance -0.841517411877704/-0.65829770948294//0.02</t>
  </si>
  <si>
    <t>2015-3-2 11:29:11.362: MarketData - Let ImpliedVol - discarding new iv value - outside tolerance - old/new/tolerance 0.047958464192483/0.122671681900131//0.1</t>
  </si>
  <si>
    <t>2015-3-2 11:29:11.430: MarketData - Let Delta - discarding new delta value - outside tolerance - old/new/tolerance 0.177351217020689/0.195086156662966//0.02</t>
  </si>
  <si>
    <t>2015-3-2 11:29:11.472: MarketData - Let Delta - discarding new delta value - outside tolerance - old/new/tolerance -9.06449168909247E-02/-0.099812517378616//0.02</t>
  </si>
  <si>
    <t>2015-3-2 11:29:11.487: MarketData - Let Delta - discarding new delta value - outside tolerance - old/new/tolerance -5.48268661103477E-02/-6.51225524603838E-02//0.02</t>
  </si>
  <si>
    <t>2015-3-2 11:29:11.522: MarketData - Let Delta - discarding new delta value - outside tolerance - old/new/tolerance -9.06449168909247E-02/-9.11733695662959E-02//0.02</t>
  </si>
  <si>
    <t>2015-3-2 11:29:11.538: MarketData - Let Delta - discarding new delta value - outside tolerance - old/new/tolerance -9.06449168909247E-02/-0.10637097213303//0.02</t>
  </si>
  <si>
    <t>2015-3-2 11:29:11.577: MarketData - Let Delta - discarding new delta value - outside tolerance - old/new/tolerance -5.48268661103477E-02/-5.51582920351349E-02//0.02</t>
  </si>
  <si>
    <t>2015-3-2 11:29:11.604: MarketData - Let Delta - discarding new delta value - outside tolerance - old/new/tolerance -5.48268661103477E-02/-7.22617121112506E-02//0.02</t>
  </si>
  <si>
    <t>2015-3-2 11:29:11.604: MarketData - Let ImpliedVol - discarding new iv value - outside tolerance - old/new/tolerance 9.96689423759432E-02/0.109789398610769//0.1</t>
  </si>
  <si>
    <t>2015-3-2 11:29:11.640: MarketData - Let Delta - discarding new delta value - outside tolerance - old/new/tolerance 3.27268251818913E-02/4.23336428624551E-02//0.02</t>
  </si>
  <si>
    <t>2015-3-2 11:29:11.687: MarketData - Let Delta - discarding new delta value - outside tolerance - old/new/tolerance 3.27409746430159E-02/5.34132353523305E-02//0.02</t>
  </si>
  <si>
    <t>2015-3-2 11:29:11.688: MarketData - Let ImpliedVol - discarding new iv value - outside tolerance - old/new/tolerance 0.091494686998305/0.104414764988424//0.1</t>
  </si>
  <si>
    <t>2015-3-2 11:29:11.723: MarketData - Let Delta - discarding new delta value - outside tolerance - old/new/tolerance 6.09320545749367E-02/7.04691864847727E-02//0.02</t>
  </si>
  <si>
    <t>2015-3-2 11:29:11.738: MarketData - Let Delta - discarding new delta value - outside tolerance - old/new/tolerance 0.110024299373297/0.115996233336936//0.02</t>
  </si>
  <si>
    <t>2015-3-2 11:29:11.784: MarketData - Let Delta - discarding new delta value - outside tolerance - old/new/tolerance 6.07762202613253E-02/7.93065583127304E-02//0.02</t>
  </si>
  <si>
    <t>2015-3-2 11:29:11.784: MarketData - Let ImpliedVol - discarding new iv value - outside tolerance - old/new/tolerance 8.97755274328415E-02/9.92759499250112E-02//0.1</t>
  </si>
  <si>
    <t>2015-3-2 11:29:11.851: MarketData - Let Delta - discarding new delta value - outside tolerance - old/new/tolerance 0.109708081814912/0.125056176283959//0.02</t>
  </si>
  <si>
    <t>2015-3-2 11:29:12.731: MarketData - Let Delta - discarding new delta value - outside tolerance - old/new/tolerance -0.144976320097935/-0.152522334409584//0.02</t>
  </si>
  <si>
    <t>2015-3-2 11:29:12.809: MarketData - Let Delta - discarding new delta value - outside tolerance - old/new/tolerance -0.222854384384645/-0.230633871585734//0.02</t>
  </si>
  <si>
    <t>2015-3-2 11:29:12.837: MarketData - Let Delta - discarding new delta value - outside tolerance - old/new/tolerance -0.328942848388473/-0.335422329168797//0.02</t>
  </si>
  <si>
    <t>2015-3-2 11:29:12.861: MarketData - Let Delta - discarding new delta value - outside tolerance - old/new/tolerance -0.454699445780046/-0.461040294929225//0.02</t>
  </si>
  <si>
    <t>2015-3-2 11:29:12.910: MarketData - Let Delta - discarding new delta value - outside tolerance - old/new/tolerance -0.841517411877704/-0.716666417293125//0.02</t>
  </si>
  <si>
    <t>2015-3-2 11:29:12.911: MarketData - Let ImpliedVol - discarding new iv value - outside tolerance - old/new/tolerance 0.047958464192483/8.88716555920652E-02//0.1</t>
  </si>
  <si>
    <t>2015-3-2 11:29:12.938: MarketData - Let Delta - discarding new delta value - outside tolerance - old/new/tolerance 0.177351217020689/0.186229366635429//0.02</t>
  </si>
  <si>
    <t>2015-3-2 11:29:13.13: MarketData - Let Delta - discarding new delta value - outside tolerance - old/new/tolerance -9.06449168909247E-02/-0.099216538671153//0.02</t>
  </si>
  <si>
    <t>2015-3-2 11:29:13.55: MarketData - Let Delta - discarding new delta value - outside tolerance - old/new/tolerance -5.48268661103477E-02/-6.45244425896444E-02//0.02</t>
  </si>
  <si>
    <t>2015-3-2 11:29:13.97: MarketData - Let Delta - discarding new delta value - outside tolerance - old/new/tolerance 3.27409746430159E-02/4.27973058961612E-02//0.02</t>
  </si>
  <si>
    <t>2015-3-2 11:29:13.139: MarketData - Let Delta - discarding new delta value - outside tolerance - old/new/tolerance 6.07762202613253E-02/7.10704843699236E-02//0.02</t>
  </si>
  <si>
    <t>2015-3-2 11:29:13.181: MarketData - Let Delta - discarding new delta value - outside tolerance - old/new/tolerance 0.109708081814912/0.116648171054259//0.02</t>
  </si>
  <si>
    <t>2015-3-2 11:29:14.869: MarketData - Let Delta - discarding new delta value - outside tolerance - old/new/tolerance -0.222854384384645/-0.22939103382618//0.02</t>
  </si>
  <si>
    <t>2015-3-2 11:29:14.920: MarketData - Let Delta - discarding new delta value - outside tolerance - old/new/tolerance -0.222734195212471/-0.226265623289442//0.02</t>
  </si>
  <si>
    <t>2015-3-2 11:29:15.10: MarketData - Let Delta - discarding new delta value - outside tolerance - old/new/tolerance -0.48538727948517/-0.485505120641134//0.02</t>
  </si>
  <si>
    <t>2015-3-2 11:29:15.63: MarketData - Let Delta - discarding new delta value - outside tolerance - old/new/tolerance 0.323864107528607/0.314737591340756//0.02</t>
  </si>
  <si>
    <t>2015-3-2 11:29:16.426: MarketData - Let Delta - discarding new delta value - outside tolerance - old/new/tolerance -0.222734195212471/-0.2287072496548//0.02</t>
  </si>
  <si>
    <t>2015-3-2 11:29:16.445: MarketData - Let Delta - discarding new delta value - outside tolerance - old/new/tolerance -0.298284426282425/-0.303367707691267//0.02</t>
  </si>
  <si>
    <t>2015-3-2 11:29:16.479: MarketData - Let Delta - discarding new delta value - outside tolerance - old/new/tolerance -0.388307309600332/-0.391020340007262//0.02</t>
  </si>
  <si>
    <t>2015-3-2 11:29:16.494: MarketData - Let Delta - discarding new delta value - outside tolerance - old/new/tolerance -0.48538727948517/-0.487978612705816//0.02</t>
  </si>
  <si>
    <t>2015-3-2 11:29:16.561: MarketData - Let Delta - discarding new delta value - outside tolerance - old/new/tolerance 0.230885616872466/0.240548968784841//0.02</t>
  </si>
  <si>
    <t>2015-3-2 11:29:16.573: MarketData - Let Delta - discarding new delta value - outside tolerance - old/new/tolerance -0.160184441493707/-0.167885707878967//0.02</t>
  </si>
  <si>
    <t>2015-3-2 11:29:16.603: MarketData - Let Delta - discarding new delta value - outside tolerance - old/new/tolerance -0.11314892454345/-0.119761509131003//0.02</t>
  </si>
  <si>
    <t>2015-3-2 11:29:16.618: MarketData - Let Delta - discarding new delta value - outside tolerance - old/new/tolerance -7.88083866011275E-02/-8.60362478405107E-02//0.02</t>
  </si>
  <si>
    <t>2015-3-2 11:29:16.649: MarketData - Let Delta - discarding new delta value - outside tolerance - old/new/tolerance 0.038469617026449/5.61352080297028E-02//0.02</t>
  </si>
  <si>
    <t>2015-3-2 11:29:16.649: MarketData - Let ImpliedVol - discarding new iv value - outside tolerance - old/new/tolerance 7.11564325087054E-02/7.90866250071982E-02//0.1</t>
  </si>
  <si>
    <t>2015-3-2 11:29:16.662: MarketData - Let Delta - discarding new delta value - outside tolerance - old/new/tolerance 6.89318382128002E-02/0.081547609819754//0.02</t>
  </si>
  <si>
    <t>2015-3-2 11:29:16.685: MarketData - Let Delta - discarding new delta value - outside tolerance - old/new/tolerance 0.106830504989704/0.120017705075095//0.02</t>
  </si>
  <si>
    <t>2015-3-2 11:29:16.701: MarketData - Let Delta - discarding new delta value - outside tolerance - old/new/tolerance 0.158490955712676/0.173054747537203//0.02</t>
  </si>
  <si>
    <t>2015-3-2 11:29:17.14: MarketData - Let Delta - discarding new delta value - outside tolerance - old/new/tolerance -0.144976320097935/-0.152424244188289//0.02</t>
  </si>
  <si>
    <t>2015-3-2 11:29:17.58: MarketData - Let Delta - discarding new delta value - outside tolerance - old/new/tolerance -0.222854384384645/-0.230440578077334//0.02</t>
  </si>
  <si>
    <t>2015-3-2 11:29:17.73: MarketData - Let Delta - discarding new delta value - outside tolerance - old/new/tolerance -0.328942848388473/-0.335236982352645//0.02</t>
  </si>
  <si>
    <t>2015-3-2 11:29:17.121: MarketData - Let Delta - discarding new delta value - outside tolerance - old/new/tolerance -0.454699445780046/-0.46098866729895//0.02</t>
  </si>
  <si>
    <t>2015-3-2 11:29:17.238: MarketData - Let Delta - discarding new delta value - outside tolerance - old/new/tolerance -0.841517411877704/-0.716953866574692//0.02</t>
  </si>
  <si>
    <t>2015-3-2 11:29:17.238: MarketData - Let ImpliedVol - discarding new iv value - outside tolerance - old/new/tolerance 0.047958464192483/8.87306823733951E-02//0.1</t>
  </si>
  <si>
    <t>2015-3-2 11:29:17.254: MarketData - Let Delta - discarding new delta value - outside tolerance - old/new/tolerance 0.177351217020689/0.185908319792422//0.02</t>
  </si>
  <si>
    <t>2015-3-2 11:29:17.279: MarketData - Let Delta - discarding new delta value - outside tolerance - old/new/tolerance -0.222734195212471/-0.228493543452701//0.02</t>
  </si>
  <si>
    <t>2015-3-2 11:29:17.294: MarketData - Let Delta - discarding new delta value - outside tolerance - old/new/tolerance -0.298284426282425/-0.303423907784997//0.02</t>
  </si>
  <si>
    <t>2015-3-2 11:29:17.318: MarketData - Let Delta - discarding new delta value - outside tolerance - old/new/tolerance -0.388307309600332/-0.391176977264717//0.02</t>
  </si>
  <si>
    <t>2015-3-2 11:29:17.332: MarketData - Let Delta - discarding new delta value - outside tolerance - old/new/tolerance -0.48538727948517/-0.487997503863182//0.02</t>
  </si>
  <si>
    <t>2015-3-2 11:29:17.404: MarketData - Let Delta - discarding new delta value - outside tolerance - old/new/tolerance 0.230885616872466/0.241784905042417//0.02</t>
  </si>
  <si>
    <t>2015-3-2 11:29:17.438: MarketData - Let Delta - discarding new delta value - outside tolerance - old/new/tolerance -9.06449168909247E-02/-9.92470629771135E-02//0.02</t>
  </si>
  <si>
    <t>2015-3-2 11:29:17.453: MarketData - Let Delta - discarding new delta value - outside tolerance - old/new/tolerance -5.48268661103477E-02/-6.46511975387653E-02//0.02</t>
  </si>
  <si>
    <t>2015-3-2 11:29:17.485: MarketData - Let Delta - discarding new delta value - outside tolerance - old/new/tolerance 3.27409746430159E-02/4.27503034122544E-02//0.02</t>
  </si>
  <si>
    <t>2015-3-2 11:29:17.520: MarketData - Let Delta - discarding new delta value - outside tolerance - old/new/tolerance 6.07762202613253E-02/7.09254509990727E-02//0.02</t>
  </si>
  <si>
    <t>2015-3-2 11:29:17.536: MarketData - Let Delta - discarding new delta value - outside tolerance - old/new/tolerance 0.109708081814912/0.116393065601529//0.02</t>
  </si>
  <si>
    <t>2015-3-2 11:29:17.568: MarketData - Let Delta - discarding new delta value - outside tolerance - old/new/tolerance -0.160184441493707/-0.167371509714989//0.02</t>
  </si>
  <si>
    <t>2015-3-2 11:29:17.583: MarketData - Let Delta - discarding new delta value - outside tolerance - old/new/tolerance -0.11314892454345/-0.119045398068383//0.02</t>
  </si>
  <si>
    <t>2015-3-2 11:29:17.617: MarketData - Let Delta - discarding new delta value - outside tolerance - old/new/tolerance -7.88083866011275E-02/-0.084896099858341//0.02</t>
  </si>
  <si>
    <t>2015-3-2 11:29:17.632: MarketData - Let Delta - discarding new delta value - outside tolerance - old/new/tolerance 0.038469617026449/5.75909824165841E-02//0.02</t>
  </si>
  <si>
    <t>2015-3-2 11:29:17.632: MarketData - Let ImpliedVol - discarding new iv value - outside tolerance - old/new/tolerance 7.11564325087054E-02/7.96927329468016E-02//0.1</t>
  </si>
  <si>
    <t>2015-3-2 11:29:17.692: MarketData - Let Delta - discarding new delta value - outside tolerance - old/new/tolerance 6.89318382128002E-02/8.33684471019064E-02//0.02</t>
  </si>
  <si>
    <t>2015-3-2 11:29:17.705: MarketData - Let Delta - discarding new delta value - outside tolerance - old/new/tolerance 0.106830504989704/0.12145690501382//0.02</t>
  </si>
  <si>
    <t>2015-3-2 11:29:17.735: MarketData - Let Delta - discarding new delta value - outside tolerance - old/new/tolerance 0.158490955712676/0.174517535709023//0.02</t>
  </si>
  <si>
    <t>2015-3-2 11:29:17.755: MarketData - Let Delta - discarding new delta value - outside tolerance - old/new/tolerance -0.222734195212471/-0.226914406246674//0.02</t>
  </si>
  <si>
    <t>2015-3-2 11:29:17.783: MarketData - Let Delta - discarding new delta value - outside tolerance - old/new/tolerance -0.222734195212471/-0.236975315051586//0.02</t>
  </si>
  <si>
    <t>2015-3-2 11:29:17.854: MarketData - Let Delta - discarding new delta value - outside tolerance - old/new/tolerance -0.298284426282425/-0.301720241940704//0.02</t>
  </si>
  <si>
    <t>2015-3-2 11:29:17.870: MarketData - Let Delta - discarding new delta value - outside tolerance - old/new/tolerance -0.298284426282425/-0.311008150250873//0.02</t>
  </si>
  <si>
    <t>2015-3-2 11:29:17.911: MarketData - Let Delta - discarding new delta value - outside tolerance - old/new/tolerance -0.388307309600332/-0.389679425452868//0.02</t>
  </si>
  <si>
    <t>2015-3-2 11:29:17.975: MarketData - Let Delta - discarding new delta value - outside tolerance - old/new/tolerance -0.388307309600332/-0.394652869426956//0.02</t>
  </si>
  <si>
    <t>2015-3-2 11:29:18.24: MarketData - Let Delta - discarding new delta value - outside tolerance - old/new/tolerance -0.48538727948517/-0.487443949140479//0.02</t>
  </si>
  <si>
    <t>2015-3-2 11:29:18.40: MarketData - Let Delta - discarding new delta value - outside tolerance - old/new/tolerance -0.48538727948517/-0.487791996179103//0.02</t>
  </si>
  <si>
    <t>2015-3-2 11:29:18.190: MarketData - Let Delta - discarding new delta value - outside tolerance - old/new/tolerance 0.322852994594609/0.313698424972687//0.02</t>
  </si>
  <si>
    <t>2015-3-2 11:29:18.239: MarketData - Let Delta - discarding new delta value - outside tolerance - old/new/tolerance 0.230885616872466/0.226240790961206//0.02</t>
  </si>
  <si>
    <t>2015-3-2 11:29:18.272: MarketData - Let Delta - discarding new delta value - outside tolerance - old/new/tolerance 0.230885616872466/0.24126128532236//0.02</t>
  </si>
  <si>
    <t>2015-3-2 11:29:18.355: MarketData - Let Delta - discarding new delta value - outside tolerance - old/new/tolerance 0.109708081814912/0.101211096360146//0.02</t>
  </si>
  <si>
    <t>2015-3-2 11:29:18.392: MarketData - Let Delta - discarding new delta value - outside tolerance - old/new/tolerance -0.160184441493707/-0.165196990437577//0.02</t>
  </si>
  <si>
    <t>2015-3-2 11:29:18.406: MarketData - Let Delta - discarding new delta value - outside tolerance - old/new/tolerance -0.160184441493707/-0.177916594914615//0.02</t>
  </si>
  <si>
    <t>2015-3-2 11:29:18.451: MarketData - Let Delta - discarding new delta value - outside tolerance - old/new/tolerance -0.11314892454345/-0.113446256201045//0.02</t>
  </si>
  <si>
    <t>2015-3-2 11:29:18.479: MarketData - Let Delta - discarding new delta value - outside tolerance - old/new/tolerance -0.11314892454345/-0.133622617682448//0.02</t>
  </si>
  <si>
    <t>2015-3-2 11:29:18.518: MarketData - Let Delta - discarding new delta value - outside tolerance - old/new/tolerance -7.88083866011275E-02/-7.90445084875863E-02//0.02</t>
  </si>
  <si>
    <t>2015-3-2 11:29:18.538: MarketData - Let Delta - discarding new delta value - outside tolerance - old/new/tolerance -7.88083866011275E-02/-9.64590486800864E-02//0.02</t>
  </si>
  <si>
    <t>2015-3-2 11:29:18.596: MarketData - Let Delta - discarding new delta value - outside tolerance - old/new/tolerance 3.83531683194525E-02/6.21089408541134E-02//0.02</t>
  </si>
  <si>
    <t>2015-3-2 11:29:18.597: MarketData - Let ImpliedVol - discarding new iv value - outside tolerance - old/new/tolerance 0.071305148939288/8.16572177277562E-02//0.1</t>
  </si>
  <si>
    <t>2015-3-2 11:29:18.637: MarketData - Let Delta - discarding new delta value - outside tolerance - old/new/tolerance 6.89318382128002E-02/6.08525744973627E-02//0.02</t>
  </si>
  <si>
    <t>2015-3-2 11:29:18.638: MarketData - Let ImpliedVol - discarding new iv value - outside tolerance - old/new/tolerance 0.078067525632795/6.95093738908648E-02//0.1</t>
  </si>
  <si>
    <t>2015-3-2 11:29:18.650: MarketData - Let Delta - discarding new delta value - outside tolerance - old/new/tolerance 6.89318382128002E-02/8.28047088907751E-02//0.02</t>
  </si>
  <si>
    <t>2015-3-2 11:29:18.689: MarketData - Let Delta - discarding new delta value - outside tolerance - old/new/tolerance 0.106830504989704/9.99108249041279E-02//0.02</t>
  </si>
  <si>
    <t>2015-3-2 11:29:18.721: MarketData - Let Delta - discarding new delta value - outside tolerance - old/new/tolerance 0.106830504989704/0.124447238620816//0.02</t>
  </si>
  <si>
    <t>2015-3-2 11:29:18.721: MarketData - Let ImpliedVol - discarding new iv value - outside tolerance - old/new/tolerance 6.96527578884969E-02/7.79093031563373E-02//0.1</t>
  </si>
  <si>
    <t>2015-3-2 11:29:18.775: MarketData - Let Delta - discarding new delta value - outside tolerance - old/new/tolerance 0.158080693227864/0.172962548921813//0.02</t>
  </si>
  <si>
    <t>2015-3-2 11:29:19.914: MarketData - Let Delta - discarding new delta value - outside tolerance - old/new/tolerance -0.222734195212471/-0.227022283011955//0.02</t>
  </si>
  <si>
    <t>2015-3-2 11:29:19.929: MarketData - Let Delta - discarding new delta value - outside tolerance - old/new/tolerance -0.298284426282425/-0.301666104730655//0.02</t>
  </si>
  <si>
    <t>2015-3-2 11:29:19.971: MarketData - Let Delta - discarding new delta value - outside tolerance - old/new/tolerance -0.388307309600332/-0.38924645209096//0.02</t>
  </si>
  <si>
    <t>2015-3-2 11:29:19.987: MarketData - Let Delta - discarding new delta value - outside tolerance - old/new/tolerance -0.48538727948517/-0.486044706230553//0.02</t>
  </si>
  <si>
    <t>2015-3-2 11:29:20.62: MarketData - Let Delta - discarding new delta value - outside tolerance - old/new/tolerance 0.230179734325686/0.243325301280427//0.02</t>
  </si>
  <si>
    <t>2015-3-2 11:29:20.74: MarketData - Let Delta - discarding new delta value - outside tolerance - old/new/tolerance -0.160184441493707/-0.166239886236611//0.02</t>
  </si>
  <si>
    <t>2015-3-2 11:29:20.111: MarketData - Let Delta - discarding new delta value - outside tolerance - old/new/tolerance -0.11314892454345/-0.118245980629192//0.02</t>
  </si>
  <si>
    <t>2015-3-2 11:29:20.127: MarketData - Let Delta - discarding new delta value - outside tolerance - old/new/tolerance -7.88083866011275E-02/-8.41203110095277E-02//0.02</t>
  </si>
  <si>
    <t>2015-3-2 11:29:20.149: MarketData - Let Delta - discarding new delta value - outside tolerance - old/new/tolerance 3.83531683194525E-02/5.81453233169111E-02//0.02</t>
  </si>
  <si>
    <t>2015-3-2 11:29:20.149: MarketData - Let ImpliedVol - discarding new iv value - outside tolerance - old/new/tolerance 0.071305148939288/7.96927329468016E-02//0.1</t>
  </si>
  <si>
    <t>2015-3-2 11:29:20.161: MarketData - Let Delta - discarding new delta value - outside tolerance - old/new/tolerance 6.89318382128002E-02/8.42164099432223E-02//0.02</t>
  </si>
  <si>
    <t>2015-3-2 11:29:20.185: MarketData - Let Delta - discarding new delta value - outside tolerance - old/new/tolerance 0.106830504989704/0.122316659512371//0.02</t>
  </si>
  <si>
    <t>2015-3-2 11:29:20.185: MarketData - Let ImpliedVol - discarding new iv value - outside tolerance - old/new/tolerance 6.96527578884969E-02/7.67628857774394E-02//0.1</t>
  </si>
  <si>
    <t>2015-3-2 11:29:20.198: MarketData - Let Delta - discarding new delta value - outside tolerance - old/new/tolerance 0.158080693227864/0.175718788610914//0.02</t>
  </si>
  <si>
    <t>2015-3-2 11:29:20.915: MarketData - Let Delta - discarding new delta value - outside tolerance - old/new/tolerance -0.144976320097935/-0.151386844285541//0.02</t>
  </si>
  <si>
    <t>2015-3-2 11:29:20.939: MarketData - Let Delta - discarding new delta value - outside tolerance - old/new/tolerance -0.222854384384645/-0.228783002182773//0.02</t>
  </si>
  <si>
    <t>2015-3-2 11:29:20.953: MarketData - Let Delta - discarding new delta value - outside tolerance - old/new/tolerance -0.144976320097935/-0.145521542375345//0.02</t>
  </si>
  <si>
    <t>2015-3-2 11:29:20.980: MarketData - Let Delta - discarding new delta value - outside tolerance - old/new/tolerance -0.144976320097935/-0.163887668659006//0.02</t>
  </si>
  <si>
    <t>2015-3-2 11:29:21.19: MarketData - Let Delta - discarding new delta value - outside tolerance - old/new/tolerance -0.328942848388473/-0.332984132703803//0.02</t>
  </si>
  <si>
    <t>2015-3-2 11:29:21.34: MarketData - Let Delta - discarding new delta value - outside tolerance - old/new/tolerance -0.454699445780046/-0.458355178144507//0.02</t>
  </si>
  <si>
    <t>2015-3-2 11:29:21.78: MarketData - Let Delta - discarding new delta value - outside tolerance - old/new/tolerance -0.222854384384645/-0.228523921702413//0.02</t>
  </si>
  <si>
    <t>2015-3-2 11:29:21.106: MarketData - Let Delta - discarding new delta value - outside tolerance - old/new/tolerance -0.222854384384645/-0.237540335159173//0.02</t>
  </si>
  <si>
    <t>2015-3-2 11:29:21.161: MarketData - Let Delta - discarding new delta value - outside tolerance - old/new/tolerance -0.841517411877704/-0.715003300951787//0.02</t>
  </si>
  <si>
    <t>2015-3-2 11:29:21.161: MarketData - Let ImpliedVol - discarding new iv value - outside tolerance - old/new/tolerance 0.047958464192483/8.86597849460031E-02//0.1</t>
  </si>
  <si>
    <t>2015-3-2 11:29:21.188: MarketData - Let Delta - discarding new delta value - outside tolerance - old/new/tolerance -0.328942848388473/-0.330431513234385//0.02</t>
  </si>
  <si>
    <t>2015-3-2 11:29:21.203: MarketData - Let Delta - discarding new delta value - outside tolerance - old/new/tolerance -0.328942848388473/-0.338571884208458//0.02</t>
  </si>
  <si>
    <t>2015-3-2 11:29:21.237: MarketData - Let Delta - discarding new delta value - outside tolerance - old/new/tolerance 0.177351217020689/0.187221822933747//0.02</t>
  </si>
  <si>
    <t>2015-3-2 11:29:21.266: MarketData - Let Delta - discarding new delta value - outside tolerance - old/new/tolerance -0.222734195212471/-0.227374114426262//0.02</t>
  </si>
  <si>
    <t>2015-3-2 11:29:21.281: MarketData - Let Delta - discarding new delta value - outside tolerance - old/new/tolerance -0.454699445780046/-0.457781281792417//0.02</t>
  </si>
  <si>
    <t>2015-3-2 11:29:21.313: MarketData - Let Delta - discarding new delta value - outside tolerance - old/new/tolerance -0.454699445780046/-0.459643602645969//0.02</t>
  </si>
  <si>
    <t>2015-3-2 11:29:21.349: MarketData - Let Delta - discarding new delta value - outside tolerance - old/new/tolerance -0.298284426282425/-0.301798605087026//0.02</t>
  </si>
  <si>
    <t>2015-3-2 11:29:21.433: MarketData - Let Delta - discarding new delta value - outside tolerance - old/new/tolerance -0.388307309600332/-0.389240459914354//0.02</t>
  </si>
  <si>
    <t>2015-3-2 11:29:21.448: MarketData - Let Delta - discarding new delta value - outside tolerance - old/new/tolerance -0.48538727948517/-0.486037688986691//0.02</t>
  </si>
  <si>
    <t>2015-3-2 11:29:21.521: MarketData - Let Delta - discarding new delta value - outside tolerance - old/new/tolerance 0.279781417233581/0.291248251862686//0.02</t>
  </si>
  <si>
    <t>2015-3-2 11:29:21.570: MarketData - Let Delta - discarding new delta value - outside tolerance - old/new/tolerance -0.841517411877704/-0.842491368960265//0.02</t>
  </si>
  <si>
    <t>2015-3-2 11:29:21.603: MarketData - Let Delta - discarding new delta value - outside tolerance - old/new/tolerance -0.841517411877704/-0.65520669724463//0.02</t>
  </si>
  <si>
    <t>2015-3-2 11:29:21.603: MarketData - Let ImpliedVol - discarding new iv value - outside tolerance - old/new/tolerance 4.99710939121191E-02/0.123731151740271//0.1</t>
  </si>
  <si>
    <t>2015-3-2 11:29:21.640: MarketData - Let Delta - discarding new delta value - outside tolerance - old/new/tolerance 0.230179734325686/0.242776312578769//0.02</t>
  </si>
  <si>
    <t>2015-3-2 11:29:21.656: MarketData - Let Delta - discarding new delta value - outside tolerance - old/new/tolerance -9.06449168909247E-02/-9.87102558489933E-02//0.02</t>
  </si>
  <si>
    <t>2015-3-2 11:29:21.689: MarketData - Let Delta - discarding new delta value - outside tolerance - old/new/tolerance -5.48268661103477E-02/-0.06443878230703//0.02</t>
  </si>
  <si>
    <t>2015-3-2 11:29:21.730: MarketData - Let Delta - discarding new delta value - outside tolerance - old/new/tolerance 0.177945202518063/0.195753141529566//0.02</t>
  </si>
  <si>
    <t>2015-3-2 11:29:21.765: MarketData - Let Delta - discarding new delta value - outside tolerance - old/new/tolerance 3.27409746430159E-02/4.27973459473501E-02//0.02</t>
  </si>
  <si>
    <t>2015-3-2 11:29:21.780: MarketData - Let Delta - discarding new delta value - outside tolerance - old/new/tolerance 6.07762202613253E-02/7.12151565401611E-02//0.02</t>
  </si>
  <si>
    <t>2015-3-2 11:29:21.813: MarketData - Let Delta - discarding new delta value - outside tolerance - old/new/tolerance 0.109708081814912/0.117113329990263//0.02</t>
  </si>
  <si>
    <t>2015-3-2 11:29:21.829: MarketData - Let Delta - discarding new delta value - outside tolerance - old/new/tolerance -0.222734195212471/-0.226265623289442//0.02</t>
  </si>
  <si>
    <t>2015-3-2 11:29:21.857: MarketData - Let Delta - discarding new delta value - outside tolerance - old/new/tolerance -0.222734195212471/-0.236320766188921//0.02</t>
  </si>
  <si>
    <t>2015-3-2 11:29:21.892: MarketData - Let Delta - discarding new delta value - outside tolerance - old/new/tolerance -0.160184441493707/-0.166797715592976//0.02</t>
  </si>
  <si>
    <t>2015-3-2 11:29:21.906: MarketData - Let Delta - discarding new delta value - outside tolerance - old/new/tolerance -0.11314892454345/-0.118916737129124//0.02</t>
  </si>
  <si>
    <t>2015-3-2 11:29:21.948: MarketData - Let Delta - discarding new delta value - outside tolerance - old/new/tolerance -0.298284426282425/-0.300748750528127//0.02</t>
  </si>
  <si>
    <t>2015-3-2 11:29:21.965: MarketData - Let Delta - discarding new delta value - outside tolerance - old/new/tolerance -0.298284426282425/-0.307809554841366//0.02</t>
  </si>
  <si>
    <t>2015-3-2 11:29:21.986: MarketData - Let Delta - discarding new delta value - outside tolerance - old/new/tolerance -7.88083866011275E-02/-8.51133006536495E-02//0.02</t>
  </si>
  <si>
    <t>2015-3-2 11:29:22.16: MarketData - Let Delta - discarding new delta value - outside tolerance - old/new/tolerance 3.83531683194525E-02/5.74923821753308E-02//0.02</t>
  </si>
  <si>
    <t>2015-3-2 11:29:22.16: MarketData - Let ImpliedVol - discarding new iv value - outside tolerance - old/new/tolerance 0.071305148939288/7.94189375365786E-02//0.1</t>
  </si>
  <si>
    <t>2015-3-2 11:29:22.28: MarketData - Let Delta - discarding new delta value - outside tolerance - old/new/tolerance -0.388307309600332/-0.388315321385158//0.02</t>
  </si>
  <si>
    <t>2015-3-2 11:29:22.62: MarketData - Let Delta - discarding new delta value - outside tolerance - old/new/tolerance -0.388307309600332/-0.393323056066009//0.02</t>
  </si>
  <si>
    <t>2015-3-2 11:29:22.98: MarketData - Let Delta - discarding new delta value - outside tolerance - old/new/tolerance 6.89318382128002E-02/8.33876141374479E-02//0.02</t>
  </si>
  <si>
    <t>2015-3-2 11:29:22.110: MarketData - Let Delta - discarding new delta value - outside tolerance - old/new/tolerance 0.106830504989704/0.121658052231957//0.02</t>
  </si>
  <si>
    <t>2015-3-2 11:29:22.141: MarketData - Let Delta - discarding new delta value - outside tolerance - old/new/tolerance 0.158080693227864/0.175053651421822//0.02</t>
  </si>
  <si>
    <t>2015-3-2 11:29:22.153: MarketData - Let Delta - discarding new delta value - outside tolerance - old/new/tolerance -0.48538727948517/-0.485505120641134//0.02</t>
  </si>
  <si>
    <t>2015-3-2 11:29:22.194: MarketData - Let Delta - discarding new delta value - outside tolerance - old/new/tolerance -0.48538727948517/-0.485942790134441//0.02</t>
  </si>
  <si>
    <t>2015-3-2 11:29:22.284: MarketData - Let Delta - discarding new delta value - outside tolerance - old/new/tolerance 0.32432515227194/0.314737591340756//0.02</t>
  </si>
  <si>
    <t>2015-3-2 11:29:22.358: MarketData - Let Delta - discarding new delta value - outside tolerance - old/new/tolerance 0.230871214219519/0.24191895418956//0.02</t>
  </si>
  <si>
    <t>2015-3-2 11:29:22.397: MarketData - Let Delta - discarding new delta value - outside tolerance - old/new/tolerance -9.06449168909247E-02/-9.09109217977387E-02//0.02</t>
  </si>
  <si>
    <t>2015-3-2 11:29:22.431: MarketData - Let Delta - discarding new delta value - outside tolerance - old/new/tolerance -9.06449168909247E-02/-0.105997614908286//0.02</t>
  </si>
  <si>
    <t>2015-3-2 11:29:22.473: MarketData - Let Delta - discarding new delta value - outside tolerance - old/new/tolerance -5.48268661103477E-02/-5.50182928487131E-02//0.02</t>
  </si>
  <si>
    <t>2015-3-2 11:29:22.492: MarketData - Let Delta - discarding new delta value - outside tolerance - old/new/tolerance -5.48268661103477E-02/-7.20137778280757E-02//0.02</t>
  </si>
  <si>
    <t>2015-3-2 11:29:22.492: MarketData - Let ImpliedVol - discarding new iv value - outside tolerance - old/new/tolerance 9.99690427196126E-02/0.110041650720118//0.1</t>
  </si>
  <si>
    <t>2015-3-2 11:29:22.556: MarketData - Let Delta - discarding new delta value - outside tolerance - old/new/tolerance 3.27754093422747E-02/5.35349310123415E-02//0.02</t>
  </si>
  <si>
    <t>2015-3-2 11:29:22.556: MarketData - Let ImpliedVol - discarding new iv value - outside tolerance - old/new/tolerance 9.11959464114657E-02/0.104113048422329//0.1</t>
  </si>
  <si>
    <t>2015-3-2 11:29:22.614: MarketData - Let Delta - discarding new delta value - outside tolerance - old/new/tolerance 6.09402978030546E-02/7.94376317623998E-02//0.02</t>
  </si>
  <si>
    <t>2015-3-2 11:29:22.615: MarketData - Let ImpliedVol - discarding new iv value - outside tolerance - old/new/tolerance 8.94726214947274E-02/9.89049332873615E-02//0.1</t>
  </si>
  <si>
    <t>2015-3-2 11:29:22.681: MarketData - Let Delta - discarding new delta value - outside tolerance - old/new/tolerance 0.110070358242798/0.125434763273174//0.02</t>
  </si>
  <si>
    <t>2015-3-2 11:29:22.723: MarketData - Let Delta - discarding new delta value - outside tolerance - old/new/tolerance -0.160184441493707/-0.164735881858599//0.02</t>
  </si>
  <si>
    <t>2015-3-2 11:29:22.744: MarketData - Let Delta - discarding new delta value - outside tolerance - old/new/tolerance -0.160184441493707/-0.177455087826168//0.02</t>
  </si>
  <si>
    <t>2015-3-2 11:29:22.785: MarketData - Let Delta - discarding new delta value - outside tolerance - old/new/tolerance -0.11314892454345/-0.113136046257563//0.02</t>
  </si>
  <si>
    <t>2015-3-2 11:29:22.812: MarketData - Let Delta - discarding new delta value - outside tolerance - old/new/tolerance -0.11314892454345/-0.133282428420885//0.02</t>
  </si>
  <si>
    <t>2015-3-2 11:29:22.855: MarketData - Let Delta - discarding new delta value - outside tolerance - old/new/tolerance -7.88083866011275E-02/-7.88725339995761E-02//0.02</t>
  </si>
  <si>
    <t>2015-3-2 11:29:22.870: MarketData - Let Delta - discarding new delta value - outside tolerance - old/new/tolerance -7.88083866011275E-02/-9.62608143908566E-02//0.02</t>
  </si>
  <si>
    <t>2015-3-2 11:29:22.935: MarketData - Let Delta - discarding new delta value - outside tolerance - old/new/tolerance 3.84616517207178E-02/6.22052155431281E-02//0.02</t>
  </si>
  <si>
    <t>2015-3-2 11:29:22.935: MarketData - Let ImpliedVol - discarding new iv value - outside tolerance - old/new/tolerance 7.11564325087054E-02/8.14613637744344E-02//0.1</t>
  </si>
  <si>
    <t>2015-3-2 11:29:22.974: MarketData - Let Delta - discarding new delta value - outside tolerance - old/new/tolerance 6.89318382128002E-02/6.10088435763767E-02//0.02</t>
  </si>
  <si>
    <t>2015-3-2 11:29:22.974: MarketData - Let ImpliedVol - discarding new iv value - outside tolerance - old/new/tolerance 7.78074898993122E-02/6.93307064922059E-02//0.1</t>
  </si>
  <si>
    <t>2015-3-2 11:29:22.986: MarketData - Let Delta - discarding new delta value - outside tolerance - old/new/tolerance 6.89318382128002E-02/8.30207784979999E-02//0.02</t>
  </si>
  <si>
    <t>2015-3-2 11:29:23.33: MarketData - Let Delta - discarding new delta value - outside tolerance - old/new/tolerance 0.106830504989704/0.100214770718143//0.02</t>
  </si>
  <si>
    <t>2015-3-2 11:29:23.58: MarketData - Let Delta - discarding new delta value - outside tolerance - old/new/tolerance 0.106830504989704/0.124732724268701//0.02</t>
  </si>
  <si>
    <t>2015-3-2 11:29:23.58: MarketData - Let ImpliedVol - discarding new iv value - outside tolerance - old/new/tolerance 6.94587861214471E-02/7.76980562967813E-02//0.1</t>
  </si>
  <si>
    <t>2015-3-2 11:29:23.112: MarketData - Let Delta - discarding new delta value - outside tolerance - old/new/tolerance 0.158475614698156/0.173396926588258//0.02</t>
  </si>
  <si>
    <t>2015-3-2 11:29:23.389: MarketData - Let Delta - discarding new delta value - outside tolerance - old/new/tolerance -0.222854384384645/-0.223750383646481//0.02</t>
  </si>
  <si>
    <t>2015-3-2 11:29:23.686: MarketData - Let Delta - discarding new delta value - outside tolerance - old/new/tolerance 0.110070358242798/0.101541594308621//0.02</t>
  </si>
  <si>
    <t>2015-3-2 11:29:23.687: MarketData - Let ImpliedVol - discarding new iv value - outside tolerance - old/new/tolerance 9.55523000892594E-02/8.55792319110057E-02//0.1</t>
  </si>
  <si>
    <t>2015-3-2 11:29:24.859: MarketData - Let Delta - discarding new delta value - outside tolerance - old/new/tolerance -0.144976320097935/-0.151884125553287//0.02</t>
  </si>
  <si>
    <t>2015-3-2 11:29:24.892: MarketData - Let Delta - discarding new delta value - outside tolerance - old/new/tolerance -0.222854384384645/-0.229256954602915//0.02</t>
  </si>
  <si>
    <t>2015-3-2 11:29:24.908: MarketData - Let Delta - discarding new delta value - outside tolerance - old/new/tolerance -0.328942848388473/-0.333304438198858//0.02</t>
  </si>
  <si>
    <t>2015-3-2 11:29:24.943: MarketData - Let Delta - discarding new delta value - outside tolerance - old/new/tolerance -0.454699445780046/-0.458429840691356//0.02</t>
  </si>
  <si>
    <t>2015-3-2 11:29:25.14: MarketData - Let Delta - discarding new delta value - outside tolerance - old/new/tolerance -0.841517411877704/-0.714734312908558//0.02</t>
  </si>
  <si>
    <t>2015-3-2 11:29:25.15: MarketData - Let ImpliedVol - discarding new iv value - outside tolerance - old/new/tolerance 4.99710939121191E-02/8.87930289664567E-02//0.1</t>
  </si>
  <si>
    <t>2015-3-2 11:29:25.56: MarketData - Let Delta - discarding new delta value - outside tolerance - old/new/tolerance 0.177945202518063/0.187472052524734//0.02</t>
  </si>
  <si>
    <t>2015-3-2 11:29:25.71: MarketData - Let Delta - discarding new delta value - outside tolerance - old/new/tolerance -0.222734195212471/-0.227220398953947//0.02</t>
  </si>
  <si>
    <t>2015-3-2 11:29:25.105: MarketData - Let Delta - discarding new delta value - outside tolerance - old/new/tolerance -0.298284426282425/-0.301637022100825//0.02</t>
  </si>
  <si>
    <t>2015-3-2 11:29:25.120: MarketData - Let Delta - discarding new delta value - outside tolerance - old/new/tolerance -0.388307309600332/-0.389132306857881//0.02</t>
  </si>
  <si>
    <t>2015-3-2 11:29:25.146: MarketData - Let Delta - discarding new delta value - outside tolerance - old/new/tolerance -0.48538727948517/-0.48602759441093//0.02</t>
  </si>
  <si>
    <t>2015-3-2 11:29:25.221: MarketData - Let Delta - discarding new delta value - outside tolerance - old/new/tolerance 0.230871214219519/0.242555182045343//0.02</t>
  </si>
  <si>
    <t>2015-3-2 11:29:25.233: MarketData - Let Delta - discarding new delta value - outside tolerance - old/new/tolerance -9.06449168909247E-02/-9.91256265478371E-02//0.02</t>
  </si>
  <si>
    <t>2015-3-2 11:29:25.271: MarketData - Let Delta - discarding new delta value - outside tolerance - old/new/tolerance -5.48268661103477E-02/-6.47256579942962E-02//0.02</t>
  </si>
  <si>
    <t>2015-3-2 11:29:25.287: MarketData - Let Delta - discarding new delta value - outside tolerance - old/new/tolerance 3.27754093422747E-02/4.27599680609599E-02//0.02</t>
  </si>
  <si>
    <t>2015-3-2 11:29:25.325: MarketData - Let Delta - discarding new delta value - outside tolerance - old/new/tolerance 6.09402978030546E-02/7.12536609394927E-02//0.02</t>
  </si>
  <si>
    <t>2015-3-2 11:29:25.352: MarketData - Let Delta - discarding new delta value - outside tolerance - old/new/tolerance 0.110070358242798/0.117263604156715//0.02</t>
  </si>
  <si>
    <t>2015-3-2 11:29:25.367: MarketData - Let Delta - discarding new delta value - outside tolerance - old/new/tolerance -0.160184441493707/-0.166699983764117//0.02</t>
  </si>
  <si>
    <t>2015-3-2 11:29:25.396: MarketData - Let Delta - discarding new delta value - outside tolerance - old/new/tolerance -0.11314892454345/-0.118891513256939//0.02</t>
  </si>
  <si>
    <t>2015-3-2 11:29:25.410: MarketData - Let Delta - discarding new delta value - outside tolerance - old/new/tolerance -7.88083866011275E-02/-0.085163491763838//0.02</t>
  </si>
  <si>
    <t>2015-3-2 11:29:25.440: MarketData - Let Delta - discarding new delta value - outside tolerance - old/new/tolerance 3.84616517207178E-02/5.74911995648095E-02//0.02</t>
  </si>
  <si>
    <t>2015-3-2 11:29:25.440: MarketData - Let ImpliedVol - discarding new iv value - outside tolerance - old/new/tolerance 7.11564325087054E-02/0.079418443336186//0.1</t>
  </si>
  <si>
    <t>2015-3-2 11:29:25.471: MarketData - Let Delta - discarding new delta value - outside tolerance - old/new/tolerance 6.89318382128002E-02/8.33060535556901E-02//0.02</t>
  </si>
  <si>
    <t>2015-3-2 11:29:25.483: MarketData - Let Delta - discarding new delta value - outside tolerance - old/new/tolerance 0.106830504989704/0.121531385130798//0.02</t>
  </si>
  <si>
    <t>2015-3-2 11:29:25.483: MarketData - Let ImpliedVol - discarding new iv value - outside tolerance - old/new/tolerance 6.94587861214471E-02/7.64762053730124E-02//0.1</t>
  </si>
  <si>
    <t>2015-3-2 11:29:25.550: MarketData - Let Delta - discarding new delta value - outside tolerance - old/new/tolerance -0.48538727948517/-0.485387871214784//0.02</t>
  </si>
  <si>
    <t>2015-3-2 11:29:25.603: MarketData - Let Delta - discarding new delta value - outside tolerance - old/new/tolerance 0.324136324769749/0.317271136665829//0.02</t>
  </si>
  <si>
    <t>2015-3-2 11:29:25.759: MarketData - Let Delta - discarding new delta value - outside tolerance - old/new/tolerance -0.11314892454345/-0.128555427742139//0.02</t>
  </si>
  <si>
    <t>2015-3-2 11:29:25.888: MarketData - Let Delta - discarding new delta value - outside tolerance - old/new/tolerance 0.158475614698156/0.174860604581576//0.02</t>
  </si>
  <si>
    <t>2015-3-2 11:29:27.64: MarketData - Let Delta - discarding new delta value - outside tolerance - old/new/tolerance 0.324136324769749/0.314737591340756//0.02</t>
  </si>
  <si>
    <t>2015-3-2 11:29:29.23: MarketData - Let Delta - discarding new delta value - outside tolerance - old/new/tolerance -0.222734195212471/-0.22721024082661//0.02</t>
  </si>
  <si>
    <t>2015-3-2 11:29:29.50: MarketData - Let Delta - discarding new delta value - outside tolerance - old/new/tolerance -0.298284426282425/-0.301622636248978//0.02</t>
  </si>
  <si>
    <t>2015-3-2 11:29:29.70: MarketData - Let Delta - discarding new delta value - outside tolerance - old/new/tolerance -0.388307309600332/-0.389121159656332//0.02</t>
  </si>
  <si>
    <t>2015-3-2 11:29:29.86: MarketData - Let Delta - discarding new delta value - outside tolerance - old/new/tolerance -0.48538727948517/-0.486026446288722//0.02</t>
  </si>
  <si>
    <t>2015-3-2 11:29:29.146: MarketData - Let Delta - discarding new delta value - outside tolerance - old/new/tolerance 0.230871214219519/0.24252290346322//0.02</t>
  </si>
  <si>
    <t>2015-3-2 11:29:29.271: MarketData - Let Delta - discarding new delta value - outside tolerance - old/new/tolerance -0.160184441493707/-0.166698659860901//0.02</t>
  </si>
  <si>
    <t>2015-3-2 11:29:29.305: MarketData - Let Delta - discarding new delta value - outside tolerance - old/new/tolerance -0.11314892454345/-0.118899199962722//0.02</t>
  </si>
  <si>
    <t>2015-3-2 11:29:29.321: MarketData - Let Delta - discarding new delta value - outside tolerance - old/new/tolerance -7.88083866011275E-02/-8.51836029474807E-02//0.02</t>
  </si>
  <si>
    <t>2015-3-2 11:29:29.361: MarketData - Let Delta - discarding new delta value - outside tolerance - old/new/tolerance 3.84616517207178E-02/5.74781092096236E-02//0.02</t>
  </si>
  <si>
    <t>2015-3-2 11:29:29.361: MarketData - Let ImpliedVol - discarding new iv value - outside tolerance - old/new/tolerance 7.11564325087054E-02/7.94129734245708E-02//0.1</t>
  </si>
  <si>
    <t>2015-3-2 11:29:29.373: MarketData - Let Delta - discarding new delta value - outside tolerance - old/new/tolerance 6.89318382128002E-02/8.32818262608366E-02//0.02</t>
  </si>
  <si>
    <t>2015-3-2 11:29:29.395: MarketData - Let Delta - discarding new delta value - outside tolerance - old/new/tolerance 0.106830504989704/0.121506198336633//0.02</t>
  </si>
  <si>
    <t>2015-3-2 11:29:29.396: MarketData - Let ImpliedVol - discarding new iv value - outside tolerance - old/new/tolerance 6.94587861214471E-02/7.64670456552512E-02//0.1</t>
  </si>
  <si>
    <t>2015-3-2 11:29:29.408: MarketData - Let Delta - discarding new delta value - outside tolerance - old/new/tolerance 0.158475614698156/0.174828850955664//0.02</t>
  </si>
  <si>
    <t>2015-3-2 11:29:42.944: MarketData - Let Delta - discarding new delta value - outside tolerance - old/new/tolerance -0.144976320097935/-0.153368036203266//0.02</t>
  </si>
  <si>
    <t>2015-3-2 11:29:42.989: MarketData - Let Delta - discarding new delta value - outside tolerance - old/new/tolerance -0.222854384384645/-0.231222872538432//0.02</t>
  </si>
  <si>
    <t>2015-3-2 11:29:43.6: MarketData - Let Delta - discarding new delta value - outside tolerance - old/new/tolerance -0.144976320097935/-0.146010814886691//0.02</t>
  </si>
  <si>
    <t>2015-3-2 11:29:43.21: MarketData - Let Delta - discarding new delta value - outside tolerance - old/new/tolerance -0.144976320097935/-0.164399446589419//0.02</t>
  </si>
  <si>
    <t>2015-3-2 11:29:43.63: MarketData - Let Delta - discarding new delta value - outside tolerance - old/new/tolerance -0.328942848388473/-0.335686699630469//0.02</t>
  </si>
  <si>
    <t>2015-3-2 11:29:43.78: MarketData - Let Delta - discarding new delta value - outside tolerance - old/new/tolerance -0.454699445780046/-0.461069719433445//0.02</t>
  </si>
  <si>
    <t>2015-3-2 11:29:43.122: MarketData - Let Delta - discarding new delta value - outside tolerance - old/new/tolerance -0.222854384384645/-0.229372911068017//0.02</t>
  </si>
  <si>
    <t>2015-3-2 11:29:43.150: MarketData - Let Delta - discarding new delta value - outside tolerance - old/new/tolerance -0.222854384384645/-0.238424062709546//0.02</t>
  </si>
  <si>
    <t>2015-3-2 11:29:43.201: MarketData - Let Delta - discarding new delta value - outside tolerance - old/new/tolerance -0.841517411877704/-0.716841066228616//0.02</t>
  </si>
  <si>
    <t>2015-3-2 11:29:43.202: MarketData - Let ImpliedVol - discarding new iv value - outside tolerance - old/new/tolerance 4.99710939121191E-02/8.87930289664567E-02//0.1</t>
  </si>
  <si>
    <t>2015-3-2 11:29:43.231: MarketData - Let Delta - discarding new delta value - outside tolerance - old/new/tolerance 0.177945202518063/0.18582783056//0.02</t>
  </si>
  <si>
    <t>2015-3-2 11:29:43.245: MarketData - Let Delta - discarding new delta value - outside tolerance - old/new/tolerance -0.328942848388473/-0.331909028316525//0.02</t>
  </si>
  <si>
    <t>2015-3-2 11:29:43.273: MarketData - Let Delta - discarding new delta value - outside tolerance - old/new/tolerance -0.328942848388473/-0.340023967700249//0.02</t>
  </si>
  <si>
    <t>2015-3-2 11:29:43.313: MarketData - Let Delta - discarding new delta value - outside tolerance - old/new/tolerance -0.222734195212471/-0.227203230169429//0.02</t>
  </si>
  <si>
    <t>2015-3-2 11:29:43.329: MarketData - Let Delta - discarding new delta value - outside tolerance - old/new/tolerance -0.298284426282425/-0.301616968445866//0.02</t>
  </si>
  <si>
    <t>2015-3-2 11:29:43.356: MarketData - Let Delta - discarding new delta value - outside tolerance - old/new/tolerance -0.388307309600332/-0.389117909183867//0.02</t>
  </si>
  <si>
    <t>2015-3-2 11:29:43.371: MarketData - Let Delta - discarding new delta value - outside tolerance - old/new/tolerance -0.48538727948517/-0.48602616580137//0.02</t>
  </si>
  <si>
    <t>2015-3-2 11:29:43.437: MarketData - Let Delta - discarding new delta value - outside tolerance - old/new/tolerance 0.230871214219519/0.242516039216421//0.02</t>
  </si>
  <si>
    <t>2015-3-2 11:29:43.450: MarketData - Let Delta - discarding new delta value - outside tolerance - old/new/tolerance -0.454699445780046/-0.460194743079599//0.02</t>
  </si>
  <si>
    <t>2015-3-2 11:29:43.478: MarketData - Let Delta - discarding new delta value - outside tolerance - old/new/tolerance -0.454699445780046/-0.461953878009377//0.02</t>
  </si>
  <si>
    <t>2015-3-2 11:29:43.515: MarketData - Let Delta - discarding new delta value - outside tolerance - old/new/tolerance -9.06449168909247E-02/-0.100150253795316//0.02</t>
  </si>
  <si>
    <t>2015-3-2 11:29:43.531: MarketData - Let Delta - discarding new delta value - outside tolerance - old/new/tolerance -5.48268661103477E-02/-6.53728122559785E-02//0.02</t>
  </si>
  <si>
    <t>2015-3-2 11:29:43.567: MarketData - Let Delta - discarding new delta value - outside tolerance - old/new/tolerance 3.27754093422747E-02/4.23085518393983E-02//0.02</t>
  </si>
  <si>
    <t>2015-3-2 11:29:43.641: MarketData - Let Delta - discarding new delta value - outside tolerance - old/new/tolerance 6.09402978030546E-02/7.04921179994686E-02//0.02</t>
  </si>
  <si>
    <t>2015-3-2 11:29:43.656: MarketData - Let Delta - discarding new delta value - outside tolerance - old/new/tolerance 0.110070358242798/0.116092135924575//0.02</t>
  </si>
  <si>
    <t>2015-3-2 11:29:43.689: MarketData - Let Delta - discarding new delta value - outside tolerance - old/new/tolerance -0.160184441493707/-0.166691524978381//0.02</t>
  </si>
  <si>
    <t>2015-3-2 11:29:43.704: MarketData - Let Delta - discarding new delta value - outside tolerance - old/new/tolerance -0.11314892454345/-0.118892929893843//0.02</t>
  </si>
  <si>
    <t>2015-3-2 11:29:43.733: MarketData - Let Delta - discarding new delta value - outside tolerance - old/new/tolerance -7.88083866011275E-02/-8.51763116323691E-02//0.02</t>
  </si>
  <si>
    <t>2015-3-2 11:29:43.772: MarketData - Let Delta - discarding new delta value - outside tolerance - old/new/tolerance 0.278614611780016/0.290082329221852//0.02</t>
  </si>
  <si>
    <t>2015-3-2 11:29:43.806: MarketData - Let Delta - discarding new delta value - outside tolerance - old/new/tolerance 3.84616517207178E-02/5.74722757132135E-02//0.02</t>
  </si>
  <si>
    <t>2015-3-2 11:29:43.807: MarketData - Let ImpliedVol - discarding new iv value - outside tolerance - old/new/tolerance 7.11564325087054E-02/7.94129734245708E-02//0.1</t>
  </si>
  <si>
    <t>2015-3-2 11:29:43.823: MarketData - Let Delta - discarding new delta value - outside tolerance - old/new/tolerance 6.89318382128002E-02/8.32741861894577E-02//0.02</t>
  </si>
  <si>
    <t>2015-3-2 11:29:43.853: MarketData - Let Delta - discarding new delta value - outside tolerance - old/new/tolerance 0.106830504989704/0.121499743940903//0.02</t>
  </si>
  <si>
    <t>2015-3-2 11:29:43.853: MarketData - Let ImpliedVol - discarding new iv value - outside tolerance - old/new/tolerance 6.94587861214471E-02/7.64670456552512E-02//0.1</t>
  </si>
  <si>
    <t>2015-3-2 11:29:43.867: MarketData - Let Delta - discarding new delta value - outside tolerance - old/new/tolerance 0.158475614698156/0.174821663313391//0.02</t>
  </si>
  <si>
    <t>2015-3-2 11:29:43.894: MarketData - Let Delta - discarding new delta value - outside tolerance - old/new/tolerance -0.841517411877704/-0.855982358828364//0.02</t>
  </si>
  <si>
    <t>2015-3-2 11:29:43.909: MarketData - Let Delta - discarding new delta value - outside tolerance - old/new/tolerance -0.841517411877704/-0.658310073119151//0.02</t>
  </si>
  <si>
    <t>2015-3-2 11:29:43.909: MarketData - Let ImpliedVol - discarding new iv value - outside tolerance - old/new/tolerance 0.047958464192483/0.122671681900131//0.1</t>
  </si>
  <si>
    <t>2015-3-2 11:29:43.973: MarketData - Let Delta - discarding new delta value - outside tolerance - old/new/tolerance 0.17733288375185/0.195069222140502//0.02</t>
  </si>
  <si>
    <t>2015-3-2 11:29:44.15: MarketData - Let Delta - discarding new delta value - outside tolerance - old/new/tolerance -0.222734195212471/-0.226294845088136//0.02</t>
  </si>
  <si>
    <t>2015-3-2 11:29:44.57: MarketData - Let Delta - discarding new delta value - outside tolerance - old/new/tolerance -0.298284426282425/-0.300771407661318//0.02</t>
  </si>
  <si>
    <t>2015-3-2 11:29:44.76: MarketData - Let Delta - discarding new delta value - outside tolerance - old/new/tolerance -0.298284426282425/-0.310066071725756//0.02</t>
  </si>
  <si>
    <t>2015-3-2 11:29:44.134: MarketData - Let Delta - discarding new delta value - outside tolerance - old/new/tolerance -0.48538727948517/-0.485506229940055//0.02</t>
  </si>
  <si>
    <t>2015-3-2 11:29:44.149: MarketData - Let Delta - discarding new delta value - outside tolerance - old/new/tolerance -0.48538727948517/-0.485943633159847//0.02</t>
  </si>
  <si>
    <t>2015-3-2 11:29:44.268: MarketData - Let Delta - discarding new delta value - outside tolerance - old/new/tolerance -9.06449168909247E-02/-9.11548122663766E-02//0.02</t>
  </si>
  <si>
    <t>2015-3-2 11:29:44.306: MarketData - Let Delta - discarding new delta value - outside tolerance - old/new/tolerance -9.06449168909247E-02/-0.106353637132889//0.02</t>
  </si>
  <si>
    <t>2015-3-2 11:29:44.352: MarketData - Let Delta - discarding new delta value - outside tolerance - old/new/tolerance -5.48268661103477E-02/-5.51434923415181E-02//0.02</t>
  </si>
  <si>
    <t>2015-3-2 11:29:44.368: MarketData - Let Delta - discarding new delta value - outside tolerance - old/new/tolerance -5.48268661103477E-02/-7.22482866745758E-02//0.02</t>
  </si>
  <si>
    <t>2015-3-2 11:29:44.369: MarketData - Let ImpliedVol - discarding new iv value - outside tolerance - old/new/tolerance 9.96689423759432E-02/0.109789398610769//0.1</t>
  </si>
  <si>
    <t>2015-3-2 11:29:44.432: MarketData - Let Delta - discarding new delta value - outside tolerance - old/new/tolerance 3.27302040045527E-02/5.33978241498475E-02//0.02</t>
  </si>
  <si>
    <t>2015-3-2 11:29:44.432: MarketData - Let ImpliedVol - discarding new iv value - outside tolerance - old/new/tolerance 0.091494686998305/0.104414764988424//0.1</t>
  </si>
  <si>
    <t>2015-3-2 11:29:44.488: MarketData - Let Delta - discarding new delta value - outside tolerance - old/new/tolerance 6.07614350622759E-02/7.92864888017736E-02//0.02</t>
  </si>
  <si>
    <t>2015-3-2 11:29:44.489: MarketData - Let ImpliedVol - discarding new iv value - outside tolerance - old/new/tolerance 8.97755274328415E-02/9.92759499250112E-02//0.1</t>
  </si>
  <si>
    <t>2015-3-2 11:29:44.526: MarketData - Let Delta - discarding new delta value - outside tolerance - old/new/tolerance 0.110070358242798/0.101192823461372//0.02</t>
  </si>
  <si>
    <t>2015-3-2 11:29:44.556: MarketData - Let Delta - discarding new delta value - outside tolerance - old/new/tolerance 0.110070358242798/0.1250397893836//0.02</t>
  </si>
  <si>
    <t>2015-3-2 11:29:44.556: MarketData - Let ImpliedVol - discarding new iv value - outside tolerance - old/new/tolerance 8.59188208560561E-02/9.58922135770133E-02//0.1</t>
  </si>
  <si>
    <t>2015-3-2 11:29:44.607: MarketData - Let Delta - discarding new delta value - outside tolerance - old/new/tolerance -0.11314892454345/-0.113181336514081//0.02</t>
  </si>
  <si>
    <t>2015-3-2 11:29:45.57: MarketData - Let Delta - discarding new delta value - outside tolerance - old/new/tolerance -0.144976320097935/-0.152356418654685//0.02</t>
  </si>
  <si>
    <t>2015-3-2 11:29:45.98: MarketData - Let Delta - discarding new delta value - outside tolerance - old/new/tolerance -0.222854384384645/-0.230466685211549//0.02</t>
  </si>
  <si>
    <t>2015-3-2 11:29:45.113: MarketData - Let Delta - discarding new delta value - outside tolerance - old/new/tolerance -0.328942848388473/-0.335304644525021//0.02</t>
  </si>
  <si>
    <t>2015-3-2 11:29:45.151: MarketData - Let Delta - discarding new delta value - outside tolerance - old/new/tolerance -0.454699445780046/-0.461013251876103//0.02</t>
  </si>
  <si>
    <t>2015-3-2 11:29:45.224: MarketData - Let Delta - discarding new delta value - outside tolerance - old/new/tolerance -0.841517411877704/-0.716782658954813//0.02</t>
  </si>
  <si>
    <t>2015-3-2 11:29:45.224: MarketData - Let ImpliedVol - discarding new iv value - outside tolerance - old/new/tolerance 0.047958464192483/0.088821675264569//0.1</t>
  </si>
  <si>
    <t>2015-3-2 11:29:45.238: MarketData - Let Delta - discarding new delta value - outside tolerance - old/new/tolerance 0.17733288375185/0.186113887192707//0.02</t>
  </si>
  <si>
    <t>2015-3-2 11:29:45.272: MarketData - Let Delta - discarding new delta value - outside tolerance - old/new/tolerance -0.222734195212471/-0.227270409219982//0.02</t>
  </si>
  <si>
    <t>2015-3-2 11:29:45.287: MarketData - Let Delta - discarding new delta value - outside tolerance - old/new/tolerance -0.298284426282425/-0.301683778131411//0.02</t>
  </si>
  <si>
    <t>2015-3-2 11:29:45.313: MarketData - Let Delta - discarding new delta value - outside tolerance - old/new/tolerance -0.388307309600332/-0.389161274896477//0.02</t>
  </si>
  <si>
    <t>2015-3-2 11:29:45.348: MarketData - Let Delta - discarding new delta value - outside tolerance - old/new/tolerance -0.48538727948517/-0.48603013844495//0.02</t>
  </si>
  <si>
    <t>2015-3-2 11:29:45.414: MarketData - Let Delta - discarding new delta value - outside tolerance - old/new/tolerance 0.230871214219519/0.242601047992588//0.02</t>
  </si>
  <si>
    <t>2015-3-2 11:29:45.437: MarketData - Let Delta - discarding new delta value - outside tolerance - old/new/tolerance -9.06449168909247E-02/-9.90881748332687E-02//0.02</t>
  </si>
  <si>
    <t>2015-3-2 11:29:45.452: MarketData - Let Delta - discarding new delta value - outside tolerance - old/new/tolerance -5.48268661103477E-02/-6.44453609210327E-02//0.02</t>
  </si>
  <si>
    <t>2015-3-2 11:29:45.481: MarketData - Let Delta - discarding new delta value - outside tolerance - old/new/tolerance 3.27302040045527E-02/4.27978757060193E-02//0.02</t>
  </si>
  <si>
    <t>2015-3-2 11:29:45.496: MarketData - Let Delta - discarding new delta value - outside tolerance - old/new/tolerance 6.07614350622759E-02/0.071036855303117//0.02</t>
  </si>
  <si>
    <t>2015-3-2 11:29:45.522: MarketData - Let Delta - discarding new delta value - outside tolerance - old/new/tolerance 0.110070358242798/0.116569075451682//0.02</t>
  </si>
  <si>
    <t>2015-3-2 11:29:45.537: MarketData - Let Delta - discarding new delta value - outside tolerance - old/new/tolerance -0.160184441493707/-0.166739948504524//0.02</t>
  </si>
  <si>
    <t>2015-3-2 11:29:45.564: MarketData - Let Delta - discarding new delta value - outside tolerance - old/new/tolerance -0.11314892454345/-0.118914694173627//0.02</t>
  </si>
  <si>
    <t>2015-3-2 11:29:45.579: MarketData - Let Delta - discarding new delta value - outside tolerance - old/new/tolerance -7.88083866011275E-02/-8.51742077291901E-02//0.02</t>
  </si>
  <si>
    <t>2015-3-2 11:29:45.614: MarketData - Let Delta - discarding new delta value - outside tolerance - old/new/tolerance 3.84616517207178E-02/5.74750979949183E-02//0.02</t>
  </si>
  <si>
    <t>2015-3-2 11:29:45.614: MarketData - Let ImpliedVol - discarding new iv value - outside tolerance - old/new/tolerance 7.11564325087054E-02/7.94141526386749E-02//0.1</t>
  </si>
  <si>
    <t>2015-3-2 11:29:45.639: MarketData - Let Delta - discarding new delta value - outside tolerance - old/new/tolerance 6.89318382128002E-02/8.33072189617035E-02//0.02</t>
  </si>
  <si>
    <t>2015-3-2 11:29:45.652: MarketData - Let Delta - discarding new delta value - outside tolerance - old/new/tolerance 0.106830504989704/0.121549005190466//0.02</t>
  </si>
  <si>
    <t>2015-3-2 11:29:45.652: MarketData - Let ImpliedVol - discarding new iv value - outside tolerance - old/new/tolerance 6.94587861214471E-02/7.64849620609276E-02//0.1</t>
  </si>
  <si>
    <t>2015-3-2 11:29:45.688: MarketData - Let Delta - discarding new delta value - outside tolerance - old/new/tolerance 0.158475614698156/0.174895975026921//0.02</t>
  </si>
  <si>
    <t>2015-3-2 11:29:53.441: MarketData - Let Delta - discarding new delta value - outside tolerance - old/new/tolerance -0.144976320097935/-0.152116178185778//0.02</t>
  </si>
  <si>
    <t>2015-3-2 11:29:53.456: MarketData - Let Delta - discarding new delta value - outside tolerance - old/new/tolerance -0.222854384384645/-0.230168737255586//0.02</t>
  </si>
  <si>
    <t>2015-3-2 11:29:53.509: MarketData - Let Delta - discarding new delta value - outside tolerance - old/new/tolerance -0.328942848388473/-0.33506573051355//0.02</t>
  </si>
  <si>
    <t>2015-3-2 11:29:53.525: MarketData - Let Delta - discarding new delta value - outside tolerance - old/new/tolerance -0.454699445780046/-0.4609529897548//0.02</t>
  </si>
  <si>
    <t>2015-3-2 11:29:53.609: MarketData - Let Delta - discarding new delta value - outside tolerance - old/new/tolerance -0.841517411877704/-0.717080614037578//0.02</t>
  </si>
  <si>
    <t>2015-3-2 11:29:53.610: MarketData - Let ImpliedVol - discarding new iv value - outside tolerance - old/new/tolerance 0.047958464192483/8.86757323262017E-02//0.1</t>
  </si>
  <si>
    <t>2015-3-2 11:29:53.626: MarketData - Let Delta - discarding new delta value - outside tolerance - old/new/tolerance 0.17733288375185/0.185796656268819//0.02</t>
  </si>
  <si>
    <t>2015-3-2 11:29:53.648: MarketData - Let Delta - discarding new delta value - outside tolerance - old/new/tolerance -0.222734195212471/-0.227267721365693//0.02</t>
  </si>
  <si>
    <t>2015-3-2 11:29:53.662: MarketData - Let Delta - discarding new delta value - outside tolerance - old/new/tolerance -0.298284426282425/-0.30169020531819//0.02</t>
  </si>
  <si>
    <t>2015-3-2 11:29:53.695: MarketData - Let Delta - discarding new delta value - outside tolerance - old/new/tolerance -0.388307309600332/-0.389170449440016//0.02</t>
  </si>
  <si>
    <t>2015-3-2 11:29:53.727: MarketData - Let Delta - discarding new delta value - outside tolerance - old/new/tolerance -0.48538727948517/-0.4860314440472//0.02</t>
  </si>
  <si>
    <t>2015-3-2 11:29:53.786: MarketData - Let Delta - discarding new delta value - outside tolerance - old/new/tolerance 0.230871214219519/0.242676005486097//0.02</t>
  </si>
  <si>
    <t>2015-3-2 11:29:53.811: MarketData - Let Delta - discarding new delta value - outside tolerance - old/new/tolerance -9.06449168909247E-02/-9.89651802251142E-02//0.02</t>
  </si>
  <si>
    <t>2015-3-2 11:29:53.826: MarketData - Let Delta - discarding new delta value - outside tolerance - old/new/tolerance -5.48268661103477E-02/-6.44332974668759E-02//0.02</t>
  </si>
  <si>
    <t>2015-3-2 11:29:53.856: MarketData - Let Delta - discarding new delta value - outside tolerance - old/new/tolerance 3.27302040045527E-02/4.27697409203432E-02//0.02</t>
  </si>
  <si>
    <t>2015-3-2 11:29:53.872: MarketData - Let Delta - discarding new delta value - outside tolerance - old/new/tolerance 6.07614350622759E-02/7.09132146043251E-02//0.02</t>
  </si>
  <si>
    <t>2015-3-2 11:29:53.900: MarketData - Let Delta - discarding new delta value - outside tolerance - old/new/tolerance 0.110070358242798/0.116330565049975//0.02</t>
  </si>
  <si>
    <t>2015-3-2 11:29:53.915: MarketData - Let Delta - discarding new delta value - outside tolerance - old/new/tolerance -0.160184441493707/-0.166727682680652//0.02</t>
  </si>
  <si>
    <t>2015-3-2 11:29:53.940: MarketData - Let Delta - discarding new delta value - outside tolerance - old/new/tolerance -0.11314892454345/-0.118896710817877//0.02</t>
  </si>
  <si>
    <t>2015-3-2 11:29:53.954: MarketData - Let Delta - discarding new delta value - outside tolerance - old/new/tolerance -7.88083866011275E-02/-8.51462809723851E-02//0.02</t>
  </si>
  <si>
    <t>2015-3-2 11:29:53.984: MarketData - Let Delta - discarding new delta value - outside tolerance - old/new/tolerance 3.84616517207178E-02/5.75910790355094E-02//0.02</t>
  </si>
  <si>
    <t>2015-3-2 11:29:53.984: MarketData - Let ImpliedVol - discarding new iv value - outside tolerance - old/new/tolerance 7.11564325087054E-02/7.94626423569351E-02//0.1</t>
  </si>
  <si>
    <t>2015-3-2 11:29:54.0: MarketData - Let Delta - discarding new delta value - outside tolerance - old/new/tolerance 6.89318382128002E-02/0.083442157181163//0.02</t>
  </si>
  <si>
    <t>2015-3-2 11:29:54.19: MarketData - Let Delta - discarding new delta value - outside tolerance - old/new/tolerance 0.10687667170228/0.121648463880692//0.02</t>
  </si>
  <si>
    <t>2015-3-2 11:29:54.32: MarketData - Let Delta - discarding new delta value - outside tolerance - old/new/tolerance 0.158475614698156/0.174990509283501//0.02</t>
  </si>
  <si>
    <t>2015-3-2 11:29:54.916: MarketData - Let Delta - discarding new delta value - outside tolerance - old/new/tolerance -0.328942848388473/-0.334711855179361//0.02</t>
  </si>
  <si>
    <t>2015-3-2 11:29:54.948: MarketData - Let Delta - discarding new delta value - outside tolerance - old/new/tolerance -0.328942848388473/-0.342550144676955//0.02</t>
  </si>
  <si>
    <t>2015-3-2 11:29:54.974: MarketData - Let Delta - discarding new delta value - outside tolerance - old/new/tolerance -0.841517411877704/-0.843385008477839//0.02</t>
  </si>
  <si>
    <t>2015-3-2 11:29:55.18: MarketData - Let Delta - discarding new delta value - outside tolerance - old/new/tolerance 0.17733288375185/0.189484667209947//0.02</t>
  </si>
  <si>
    <t>2015-3-2 11:29:55.93: MarketData - Let Delta - discarding new delta value - outside tolerance - old/new/tolerance -0.48538727948517/-0.486044613657926//0.02</t>
  </si>
  <si>
    <t>2015-3-2 11:29:55.305: MarketData - Let Delta - discarding new delta value - outside tolerance - old/new/tolerance -0.11314892454345/-0.133274300605421//0.02</t>
  </si>
  <si>
    <t>2015-3-2 11:29:57.728: MarketData - Let Delta - discarding new delta value - outside tolerance - old/new/tolerance -0.144976320097935/-0.152436362466559//0.02</t>
  </si>
  <si>
    <t>2015-3-2 11:29:57.798: MarketData - Let Delta - discarding new delta value - outside tolerance - old/new/tolerance -0.222854384384645/-0.230452343089196//0.02</t>
  </si>
  <si>
    <t>2015-3-2 11:29:57.814: MarketData - Let Delta - discarding new delta value - outside tolerance - old/new/tolerance -0.328942848388473/-0.335240797280306//0.02</t>
  </si>
  <si>
    <t>2015-3-2 11:29:57.860: MarketData - Let Delta - discarding new delta value - outside tolerance - old/new/tolerance -0.454699445780046/-0.460987491435943//0.02</t>
  </si>
  <si>
    <t>2015-3-2 11:29:57.934: MarketData - Let Delta - discarding new delta value - outside tolerance - old/new/tolerance -0.841517411877704/-0.716997794843952//0.02</t>
  </si>
  <si>
    <t>2015-3-2 11:29:57.934: MarketData - Let ImpliedVol - discarding new iv value - outside tolerance - old/new/tolerance 5.03818523294909E-02/8.87162506821468E-02//0.1</t>
  </si>
  <si>
    <t>2015-3-2 11:29:57.988: MarketData - Let Delta - discarding new delta value - outside tolerance - old/new/tolerance 0.17733288375185/0.185822578820079//0.02</t>
  </si>
  <si>
    <t>2015-3-2 11:29:58.4: MarketData - Let Delta - discarding new delta value - outside tolerance - old/new/tolerance -0.222734195212471/-0.227271690934466//0.02</t>
  </si>
  <si>
    <t>2015-3-2 11:29:58.24: MarketData - Let Delta - discarding new delta value - outside tolerance - old/new/tolerance -0.298284426282425/-0.301725959701783//0.02</t>
  </si>
  <si>
    <t>2015-3-2 11:29:58.38: MarketData - Let Delta - discarding new delta value - outside tolerance - old/new/tolerance -0.388307309600332/-0.389206859097205//0.02</t>
  </si>
  <si>
    <t>2015-3-2 11:29:58.70: MarketData - Let Delta - discarding new delta value - outside tolerance - old/new/tolerance -0.48538727948517/-0.486035681328434//0.02</t>
  </si>
  <si>
    <t>2015-3-2 11:29:58.121: MarketData - Let Delta - discarding new delta value - outside tolerance - old/new/tolerance 0.226920608479481/0.242818033728677//0.02</t>
  </si>
  <si>
    <t>2015-3-2 11:29:58.144: MarketData - Let Delta - discarding new delta value - outside tolerance - old/new/tolerance -9.06449168909247E-02/-9.92512966965563E-02//0.02</t>
  </si>
  <si>
    <t>2015-3-2 11:29:58.158: MarketData - Let Delta - discarding new delta value - outside tolerance - old/new/tolerance -5.48268661103477E-02/-6.46451495173371E-02//0.02</t>
  </si>
  <si>
    <t>2015-3-2 11:29:58.191: MarketData - Let Delta - discarding new delta value - outside tolerance - old/new/tolerance 3.27302040045527E-02/4.26352377787438E-02//0.02</t>
  </si>
  <si>
    <t>2015-3-2 11:29:58.205: MarketData - Let Delta - discarding new delta value - outside tolerance - old/new/tolerance 6.07614350622759E-02/7.07971492056591E-02//0.02</t>
  </si>
  <si>
    <t>2015-3-2 11:29:58.233: MarketData - Let Delta - discarding new delta value - outside tolerance - old/new/tolerance 0.110070358242798/0.116274835953133//0.02</t>
  </si>
  <si>
    <t>2015-3-2 11:29:58.248: MarketData - Let Delta - discarding new delta value - outside tolerance - old/new/tolerance -0.160184441493707/-0.166685505065099//0.02</t>
  </si>
  <si>
    <t>2015-3-2 11:29:58.274: MarketData - Let Delta - discarding new delta value - outside tolerance - old/new/tolerance -0.11314892454345/-0.118815184371475//0.02</t>
  </si>
  <si>
    <t>2015-3-2 11:29:58.289: MarketData - Let Delta - discarding new delta value - outside tolerance - old/new/tolerance -7.88083866011275E-02/-8.49962187513067E-02//0.02</t>
  </si>
  <si>
    <t>2015-3-2 11:29:58.323: MarketData - Let Delta - discarding new delta value - outside tolerance - old/new/tolerance 3.84616517207178E-02/5.76681661257572E-02//0.02</t>
  </si>
  <si>
    <t>2015-3-2 11:29:58.323: MarketData - Let ImpliedVol - discarding new iv value - outside tolerance - old/new/tolerance 7.11564325087054E-02/7.94949037977197E-02//0.1</t>
  </si>
  <si>
    <t>2015-3-2 11:29:58.337: MarketData - Let Delta - discarding new delta value - outside tolerance - old/new/tolerance 6.89318382128002E-02/8.35685708476339E-02//0.02</t>
  </si>
  <si>
    <t>2015-3-2 11:29:58.354: MarketData - Let Delta - discarding new delta value - outside tolerance - old/new/tolerance 0.10687667170228/0.121770785573679//0.02</t>
  </si>
  <si>
    <t>2015-3-2 11:29:58.367: MarketData - Let Delta - discarding new delta value - outside tolerance - old/new/tolerance 0.158475614698156/0.175136795520407//0.02</t>
  </si>
  <si>
    <t>2015-3-2 11:30:1.933: MarketData - Let Delta - discarding new delta value - outside tolerance - old/new/tolerance -0.222734195212471/-0.228741353860742//0.02</t>
  </si>
  <si>
    <t>2015-3-2 11:30:2.8: MarketData - Let Delta - discarding new delta value - outside tolerance - old/new/tolerance -0.298284426282425/-0.303483194415958//0.02</t>
  </si>
  <si>
    <t>2015-3-2 11:30:2.26: MarketData - Let Delta - discarding new delta value - outside tolerance - old/new/tolerance -0.388307309600332/-0.391138106371435//0.02</t>
  </si>
  <si>
    <t>2015-3-2 11:30:2.64: MarketData - Let Delta - discarding new delta value - outside tolerance - old/new/tolerance -0.48538727948517/-0.487990416232262//0.02</t>
  </si>
  <si>
    <t>2015-3-2 11:30:2.121: MarketData - Let Delta - discarding new delta value - outside tolerance - old/new/tolerance 0.226920608479481/0.241274114550671//0.02</t>
  </si>
  <si>
    <t>2015-3-2 11:30:2.146: MarketData - Let Delta - discarding new delta value - outside tolerance - old/new/tolerance -0.160184441493707/-0.167814978405287//0.02</t>
  </si>
  <si>
    <t>2015-3-2 11:30:2.162: MarketData - Let Delta - discarding new delta value - outside tolerance - old/new/tolerance -0.11314892454345/-0.119612401611227//0.02</t>
  </si>
  <si>
    <t>2015-3-2 11:30:2.195: MarketData - Let Delta - discarding new delta value - outside tolerance - old/new/tolerance -7.88083866011275E-02/-8.57691864755978E-02//0.02</t>
  </si>
  <si>
    <t>2015-3-2 11:30:2.210: MarketData - Let Delta - discarding new delta value - outside tolerance - old/new/tolerance 3.84616517207178E-02/5.71124133392492E-02//0.02</t>
  </si>
  <si>
    <t>2015-3-2 11:30:2.211: MarketData - Let ImpliedVol - discarding new iv value - outside tolerance - old/new/tolerance 7.11564325087054E-02/7.94949037977197E-02//0.1</t>
  </si>
  <si>
    <t>2015-3-2 11:30:2.231: MarketData - Let Delta - discarding new delta value - outside tolerance - old/new/tolerance 6.89318382128002E-02/8.27183733588522E-02//0.02</t>
  </si>
  <si>
    <t>2015-3-2 11:30:2.248: MarketData - Let Delta - discarding new delta value - outside tolerance - old/new/tolerance 0.10687667170228/0.120908771363037//0.02</t>
  </si>
  <si>
    <t>2015-3-2 11:30:2.270: MarketData - Let Delta - discarding new delta value - outside tolerance - old/new/tolerance 0.158475614698156/0.173932525992335//0.02</t>
  </si>
  <si>
    <t>2015-3-2 11:30:2.734: MarketData - Let Delta - discarding new delta value - outside tolerance - old/new/tolerance -0.222734195212471/-0.226907398472756//0.02</t>
  </si>
  <si>
    <t>2015-3-2 11:30:2.784: MarketData - Let Delta - discarding new delta value - outside tolerance - old/new/tolerance -0.222734195212471/-0.236968622122563//0.02</t>
  </si>
  <si>
    <t>2015-3-2 11:30:2.817: MarketData - Let Delta - discarding new delta value - outside tolerance - old/new/tolerance -0.298284426282425/-0.301714590121872//0.02</t>
  </si>
  <si>
    <t>2015-3-2 11:30:2.849: MarketData - Let Delta - discarding new delta value - outside tolerance - old/new/tolerance -0.298284426282425/-0.311002791525871//0.02</t>
  </si>
  <si>
    <t>2015-3-2 11:30:2.896: MarketData - Let Delta - discarding new delta value - outside tolerance - old/new/tolerance -0.388307309600332/-0.389676205461114//0.02</t>
  </si>
  <si>
    <t>2015-3-2 11:30:2.911: MarketData - Let Delta - discarding new delta value - outside tolerance - old/new/tolerance -0.388307309600332/-0.394649810090215//0.02</t>
  </si>
  <si>
    <t>2015-3-2 11:30:2.945: MarketData - Let Delta - discarding new delta value - outside tolerance - old/new/tolerance -0.48538727948517/-0.487443724883767//0.02</t>
  </si>
  <si>
    <t>2015-3-2 11:30:2.978: MarketData - Let Delta - discarding new delta value - outside tolerance - old/new/tolerance -0.48538727948517/-0.487871931514051//0.02</t>
  </si>
  <si>
    <t>2015-3-2 11:30:3.81: MarketData - Let Delta - discarding new delta value - outside tolerance - old/new/tolerance 0.32251317217362/0.313692819020992//0.02</t>
  </si>
  <si>
    <t>2015-3-2 11:30:3.195: MarketData - Let Delta - discarding new delta value - outside tolerance - old/new/tolerance 0.226233447791086/0.241254395291858//0.02</t>
  </si>
  <si>
    <t>2015-3-2 11:30:3.232: MarketData - Let Delta - discarding new delta value - outside tolerance - old/new/tolerance -0.160184441493707/-0.165189819381773//0.02</t>
  </si>
  <si>
    <t>2015-3-2 11:30:3.267: MarketData - Let Delta - discarding new delta value - outside tolerance - old/new/tolerance -0.160184441493707/-0.177909820301887//0.02</t>
  </si>
  <si>
    <t>2015-3-2 11:30:3.313: MarketData - Let Delta - discarding new delta value - outside tolerance - old/new/tolerance -0.11314892454345/-0.113439825281665//0.02</t>
  </si>
  <si>
    <t>2015-3-2 11:30:3.330: MarketData - Let Delta - discarding new delta value - outside tolerance - old/new/tolerance -0.11314892454345/-0.133614499772329//0.02</t>
  </si>
  <si>
    <t>2015-3-2 11:30:3.372: MarketData - Let Delta - discarding new delta value - outside tolerance - old/new/tolerance -7.88083866011275E-02/-7.90370350905515E-02//0.02</t>
  </si>
  <si>
    <t>2015-3-2 11:30:3.434: MarketData - Let Delta - discarding new delta value - outside tolerance - old/new/tolerance -7.88083866011275E-02/-9.64521158676042E-02//0.02</t>
  </si>
  <si>
    <t>2015-3-2 11:30:3.488: MarketData - Let Delta - discarding new delta value - outside tolerance - old/new/tolerance 0.03834918159412/6.21032546246639E-02//0.02</t>
  </si>
  <si>
    <t>2015-3-2 11:30:3.489: MarketData - Let ImpliedVol - discarding new iv value - outside tolerance - old/new/tolerance 0.071305148939288/8.16572177277562E-02//0.1</t>
  </si>
  <si>
    <t>2015-3-2 11:30:3.523: MarketData - Let Delta - discarding new delta value - outside tolerance - old/new/tolerance 6.89318382128002E-02/6.08468666287371E-02//0.02</t>
  </si>
  <si>
    <t>2015-3-2 11:30:3.524: MarketData - Let ImpliedVol - discarding new iv value - outside tolerance - old/new/tolerance 7.78665079632095E-02/6.95093738908648E-02//0.1</t>
  </si>
  <si>
    <t>2015-3-2 11:30:3.562: MarketData - Let Delta - discarding new delta value - outside tolerance - old/new/tolerance 6.89318382128002E-02/8.27970628916703E-02//0.02</t>
  </si>
  <si>
    <t>2015-3-2 11:30:3.609: MarketData - Let Delta - discarding new delta value - outside tolerance - old/new/tolerance 0.106617377170995/0.124440882173274//0.02</t>
  </si>
  <si>
    <t>2015-3-2 11:30:3.681: MarketData - Let Delta - discarding new delta value - outside tolerance - old/new/tolerance 0.158073008962179/0.172955315545499//0.02</t>
  </si>
  <si>
    <t>2015-3-2 11:30:4.891: MarketData - Let Delta - discarding new delta value - outside tolerance - old/new/tolerance -0.144976320097935/-0.152242686106392//0.02</t>
  </si>
  <si>
    <t>2015-3-2 11:30:4.907: MarketData - Let Delta - discarding new delta value - outside tolerance - old/new/tolerance -0.222854384384645/-0.230302379692428//0.02</t>
  </si>
  <si>
    <t>2015-3-2 11:30:4.940: MarketData - Let Delta - discarding new delta value - outside tolerance - old/new/tolerance -0.328942848388473/-0.335162774230253//0.02</t>
  </si>
  <si>
    <t>2015-3-2 11:30:4.954: MarketData - Let Delta - discarding new delta value - outside tolerance - old/new/tolerance -0.454699445780046/-0.460975762782394//0.02</t>
  </si>
  <si>
    <t>2015-3-2 11:30:5.24: MarketData - Let Delta - discarding new delta value - outside tolerance - old/new/tolerance -0.841517411877704/-0.716980797525406//0.02</t>
  </si>
  <si>
    <t>2015-3-2 11:30:5.24: MarketData - Let ImpliedVol - discarding new iv value - outside tolerance - old/new/tolerance 5.03818523294909E-02/8.87245709701148E-02//0.1</t>
  </si>
  <si>
    <t>2015-3-2 11:30:5.39: MarketData - Let Delta - discarding new delta value - outside tolerance - old/new/tolerance 0.17733288375185/0.185895612857076//0.02</t>
  </si>
  <si>
    <t>2015-3-2 11:30:5.67: MarketData - Let Delta - discarding new delta value - outside tolerance - old/new/tolerance -0.222734195212471/-0.227256974127509//0.02</t>
  </si>
  <si>
    <t>2015-3-2 11:30:5.82: MarketData - Let Delta - discarding new delta value - outside tolerance - old/new/tolerance -0.298284426282425/-0.301712220549711//0.02</t>
  </si>
  <si>
    <t>2015-3-2 11:30:5.107: MarketData - Let Delta - discarding new delta value - outside tolerance - old/new/tolerance -0.388307309600332/-0.389198065924545//0.02</t>
  </si>
  <si>
    <t>2015-3-2 11:30:5.123: MarketData - Let Delta - discarding new delta value - outside tolerance - old/new/tolerance -0.48538727948517/-0.486034859746456//0.02</t>
  </si>
  <si>
    <t>2015-3-2 11:30:5.188: MarketData - Let Delta - discarding new delta value - outside tolerance - old/new/tolerance 0.226233447791086/0.242795332485036//0.02</t>
  </si>
  <si>
    <t>2015-3-2 11:30:5.201: MarketData - Let Delta - discarding new delta value - outside tolerance - old/new/tolerance -9.06449168909247E-02/-9.90558001145929E-02//0.02</t>
  </si>
  <si>
    <t>2015-3-2 11:30:5.231: MarketData - Let Delta - discarding new delta value - outside tolerance - old/new/tolerance -5.48268661103477E-02/-0.06448159552959//0.02</t>
  </si>
  <si>
    <t>2015-3-2 11:30:5.251: MarketData - Let Delta - discarding new delta value - outside tolerance - old/new/tolerance 3.27302040045527E-02/4.27656618515914E-02//0.02</t>
  </si>
  <si>
    <t>2015-3-2 11:30:5.276: MarketData - Let Delta - discarding new delta value - outside tolerance - old/new/tolerance 6.07614350622759E-02/7.09392964836984E-02//0.02</t>
  </si>
  <si>
    <t>2015-3-2 11:30:5.291: MarketData - Let Delta - discarding new delta value - outside tolerance - old/new/tolerance 0.110070358242798/0.116397106161387//0.02</t>
  </si>
  <si>
    <t>2015-3-2 11:30:5.316: MarketData - Let Delta - discarding new delta value - outside tolerance - old/new/tolerance -0.160184441493707/-0.166673112480472//0.02</t>
  </si>
  <si>
    <t>2015-3-2 11:30:5.332: MarketData - Let Delta - discarding new delta value - outside tolerance - old/new/tolerance -0.11314892454345/-0.118806758958344//0.02</t>
  </si>
  <si>
    <t>2015-3-2 11:30:5.360: MarketData - Let Delta - discarding new delta value - outside tolerance - old/new/tolerance -7.88083866011275E-02/-8.49894634739354E-02//0.02</t>
  </si>
  <si>
    <t>2015-3-2 11:30:5.376: MarketData - Let Delta - discarding new delta value - outside tolerance - old/new/tolerance 0.03834918159412/5.76505988720321E-02//0.02</t>
  </si>
  <si>
    <t>2015-3-2 11:30:5.376: MarketData - Let ImpliedVol - discarding new iv value - outside tolerance - old/new/tolerance 0.071305148939288/7.94875494952407E-02//0.1</t>
  </si>
  <si>
    <t>2015-3-2 11:30:5.398: MarketData - Let Delta - discarding new delta value - outside tolerance - old/new/tolerance 6.89318382128002E-02/8.35443989891713E-02//0.02</t>
  </si>
  <si>
    <t>2015-3-2 11:30:5.410: MarketData - Let Delta - discarding new delta value - outside tolerance - old/new/tolerance 0.106617377170995/0.121749703633317//0.02</t>
  </si>
  <si>
    <t>2015-3-2 11:30:5.437: MarketData - Let Delta - discarding new delta value - outside tolerance - old/new/tolerance 0.158073008962179/0.175112968608088//0.02</t>
  </si>
  <si>
    <t>2015-3-2 11:30:5.482: MarketData - Let Delta - discarding new delta value - outside tolerance - old/new/tolerance -0.328942848388473/-0.331909028316525//0.02</t>
  </si>
  <si>
    <t>2015-3-2 11:30:5.520: MarketData - Let Delta - discarding new delta value - outside tolerance - old/new/tolerance -0.328942848388473/-0.340023967700249//0.02</t>
  </si>
  <si>
    <t>2015-3-2 11:30:5.559: MarketData - Let Delta - discarding new delta value - outside tolerance - old/new/tolerance -0.841517411877704/-0.855982358828364//0.02</t>
  </si>
  <si>
    <t>2015-3-2 11:30:5.601: MarketData - Let Delta - discarding new delta value - outside tolerance - old/new/tolerance 0.17733288375185/0.195069222140502//0.02</t>
  </si>
  <si>
    <t>2015-3-2 11:30:5.616: MarketData - Let Delta - discarding new delta value - outside tolerance - old/new/tolerance -0.222734195212471/-0.226294845088136//0.02</t>
  </si>
  <si>
    <t>2015-3-2 11:30:5.649: MarketData - Let Delta - discarding new delta value - outside tolerance - old/new/tolerance -0.222734195212471/-0.236314053856469//0.02</t>
  </si>
  <si>
    <t>2015-3-2 11:30:5.684: MarketData - Let Delta - discarding new delta value - outside tolerance - old/new/tolerance -0.298284426282425/-0.300771407661318//0.02</t>
  </si>
  <si>
    <t>2015-3-2 11:30:5.700: MarketData - Let Delta - discarding new delta value - outside tolerance - old/new/tolerance -0.298284426282425/-0.310066071725756//0.02</t>
  </si>
  <si>
    <t>2015-3-2 11:30:5.742: MarketData - Let Delta - discarding new delta value - outside tolerance - old/new/tolerance -0.388307309600332/-0.388312060457292//0.02</t>
  </si>
  <si>
    <t>2015-3-2 11:30:5.772: MarketData - Let Delta - discarding new delta value - outside tolerance - old/new/tolerance -0.388307309600332/-0.393319956841019//0.02</t>
  </si>
  <si>
    <t>2015-3-2 11:30:5.809: MarketData - Let Delta - discarding new delta value - outside tolerance - old/new/tolerance -0.48538727948517/-0.485506229940055//0.02</t>
  </si>
  <si>
    <t>2015-3-2 11:30:5.825: MarketData - Let Delta - discarding new delta value - outside tolerance - old/new/tolerance -0.48538727948517/-0.486044613657926//0.02</t>
  </si>
  <si>
    <t>2015-3-2 11:30:5.932: MarketData - Let Delta - discarding new delta value - outside tolerance - old/new/tolerance 0.324313673844078/0.314732018119316//0.02</t>
  </si>
  <si>
    <t>2015-3-2 11:30:5.982: MarketData - Let Delta - discarding new delta value - outside tolerance - old/new/tolerance 0.226233447791086/0.230864011903654//0.02</t>
  </si>
  <si>
    <t>2015-3-2 11:30:6.16: MarketData - Let Delta - discarding new delta value - outside tolerance - old/new/tolerance 0.226233447791086/0.241912085071413//0.02</t>
  </si>
  <si>
    <t>2015-3-2 11:30:6.99: MarketData - Let Delta - discarding new delta value - outside tolerance - old/new/tolerance -0.160184441493707/-0.164728697188401//0.02</t>
  </si>
  <si>
    <t>2015-3-2 11:30:6.144: MarketData - Let Delta - discarding new delta value - outside tolerance - old/new/tolerance -0.160184441493707/-0.177448299591863//0.02</t>
  </si>
  <si>
    <t>2015-3-2 11:30:6.185: MarketData - Let Delta - discarding new delta value - outside tolerance - old/new/tolerance -0.11314892454345/-0.113181336514081//0.02</t>
  </si>
  <si>
    <t>2015-3-2 11:30:6.200: MarketData - Let Delta - discarding new delta value - outside tolerance - old/new/tolerance -0.11314892454345/-0.1285471528119//0.02</t>
  </si>
  <si>
    <t>2015-3-2 11:30:6.244: MarketData - Let Delta - discarding new delta value - outside tolerance - old/new/tolerance -7.88083866011275E-02/-7.88650557437489E-02//0.02</t>
  </si>
  <si>
    <t>2015-3-2 11:30:6.269: MarketData - Let Delta - discarding new delta value - outside tolerance - old/new/tolerance -7.88083866011275E-02/-9.62538759147974E-02//0.02</t>
  </si>
  <si>
    <t>2015-3-2 11:30:6.321: MarketData - Let Delta - discarding new delta value - outside tolerance - old/new/tolerance 3.84576685189784E-02/6.21995325813805E-02//0.02</t>
  </si>
  <si>
    <t>2015-3-2 11:30:6.322: MarketData - Let ImpliedVol - discarding new iv value - outside tolerance - old/new/tolerance 7.11564325087054E-02/8.14613637744344E-02//0.1</t>
  </si>
  <si>
    <t>2015-3-2 11:30:6.359: MarketData - Let Delta - discarding new delta value - outside tolerance - old/new/tolerance 6.89318382128002E-02/6.10031408055976E-02//0.02</t>
  </si>
  <si>
    <t>2015-3-2 11:30:6.359: MarketData - Let ImpliedVol - discarding new iv value - outside tolerance - old/new/tolerance 7.78589386968118E-02/6.93307064922059E-02//0.1</t>
  </si>
  <si>
    <t>2015-3-2 11:30:6.389: MarketData - Let Delta - discarding new delta value - outside tolerance - old/new/tolerance 6.89318382128002E-02/8.30131395512633E-02//0.02</t>
  </si>
  <si>
    <t>2015-3-2 11:30:6.444: MarketData - Let Delta - discarding new delta value - outside tolerance - old/new/tolerance 0.10687667170228/0.124726377016477//0.02</t>
  </si>
  <si>
    <t>2015-3-2 11:30:6.515: MarketData - Let Delta - discarding new delta value - outside tolerance - old/new/tolerance 0.158467943135515/0.173389707120238//0.02</t>
  </si>
  <si>
    <t>2015-3-2 11:30:7.177: MarketData - Let Delta - discarding new delta value - outside tolerance - old/new/tolerance -0.48538727948517/-0.485943633159847//0.02</t>
  </si>
  <si>
    <t>2015-3-2 11:30:8.758: MarketData - Let Delta - discarding new delta value - outside tolerance - old/new/tolerance -0.48538727948517/-0.485387582783018//0.02</t>
  </si>
  <si>
    <t>2015-3-2 11:30:9.741: MarketData - Let Delta - discarding new delta value - outside tolerance - old/new/tolerance -0.144976320097935/-0.152648207092912//0.02</t>
  </si>
  <si>
    <t>2015-3-2 11:30:9.773: MarketData - Let Delta - discarding new delta value - outside tolerance - old/new/tolerance -0.222854384384645/-0.23074542507849//0.02</t>
  </si>
  <si>
    <t>2015-3-2 11:30:9.806: MarketData - Let Delta - discarding new delta value - outside tolerance - old/new/tolerance -0.328942848388473/-0.335491982588635//0.02</t>
  </si>
  <si>
    <t>2015-3-2 11:30:9.820: MarketData - Let Delta - discarding new delta value - outside tolerance - old/new/tolerance -0.454699445780046/-0.461054411621346//0.02</t>
  </si>
  <si>
    <t>2015-3-2 11:30:9.899: MarketData - Let Delta - discarding new delta value - outside tolerance - old/new/tolerance -0.841517411877704/-0.716624542216078//0.02</t>
  </si>
  <si>
    <t>2015-3-2 11:30:9.900: MarketData - Let ImpliedVol - discarding new iv value - outside tolerance - old/new/tolerance 0.047958464192483/8.88993168899859E-02//0.1</t>
  </si>
  <si>
    <t>2015-3-2 11:30:9.914: MarketData - Let Delta - discarding new delta value - outside tolerance - old/new/tolerance 0.17733288375185/0.186256270717674//0.02</t>
  </si>
  <si>
    <t>2015-3-2 11:30:9.941: MarketData - Let Delta - discarding new delta value - outside tolerance - old/new/tolerance -0.222734195212471/-0.227183395625217//0.02</t>
  </si>
  <si>
    <t>2015-3-2 11:30:9.956: MarketData - Let Delta - discarding new delta value - outside tolerance - old/new/tolerance -0.298284426282425/-0.301600641870097//0.02</t>
  </si>
  <si>
    <t>2015-3-2 11:30:9.987: MarketData - Let Delta - discarding new delta value - outside tolerance - old/new/tolerance -0.388307309600332/-0.389110218504374//0.02</t>
  </si>
  <si>
    <t>2015-3-2 11:30:10.7: MarketData - Let Delta - discarding new delta value - outside tolerance - old/new/tolerance -0.48538727948517/-0.486025810444797//0.02</t>
  </si>
  <si>
    <t>2015-3-2 11:30:10.64: MarketData - Let Delta - discarding new delta value - outside tolerance - old/new/tolerance 0.226233447791086/0.242553406449528//0.02</t>
  </si>
  <si>
    <t>2015-3-2 11:30:10.77: MarketData - Let Delta - discarding new delta value - outside tolerance - old/new/tolerance -9.06449168909247E-02/-9.93299506948027E-02//0.02</t>
  </si>
  <si>
    <t>2015-3-2 11:30:10.106: MarketData - Let Delta - discarding new delta value - outside tolerance - old/new/tolerance -5.48268661103477E-02/-6.46098482514047E-02//0.02</t>
  </si>
  <si>
    <t>2015-3-2 11:30:10.121: MarketData - Let Delta - discarding new delta value - outside tolerance - old/new/tolerance 3.27302040045527E-02/4.27646145803138E-02//0.02</t>
  </si>
  <si>
    <t>2015-3-2 11:30:10.150: MarketData - Let Delta - discarding new delta value - outside tolerance - old/new/tolerance 6.07614350622759E-02/7.10479095015866E-02//0.02</t>
  </si>
  <si>
    <t>2015-3-2 11:30:10.165: MarketData - Let Delta - discarding new delta value - outside tolerance - old/new/tolerance 0.110070358242798/0.116648209603606//0.02</t>
  </si>
  <si>
    <t>2015-3-2 11:30:10.192: MarketData - Let Delta - discarding new delta value - outside tolerance - old/new/tolerance -0.160184441493707/-0.166675534183761//0.02</t>
  </si>
  <si>
    <t>2015-3-2 11:30:10.207: MarketData - Let Delta - discarding new delta value - outside tolerance - old/new/tolerance -0.11314892454345/-0.11888567627158//0.02</t>
  </si>
  <si>
    <t>2015-3-2 11:30:10.236: MarketData - Let Delta - discarding new delta value - outside tolerance - old/new/tolerance -7.88083866011275E-02/-8.51790484519475E-02//0.02</t>
  </si>
  <si>
    <t>2015-3-2 11:30:10.256: MarketData - Let Delta - discarding new delta value - outside tolerance - old/new/tolerance 3.84576685189784E-02/5.75944783859617E-02//0.02</t>
  </si>
  <si>
    <t>2015-3-2 11:30:10.257: MarketData - Let ImpliedVol - discarding new iv value - outside tolerance - old/new/tolerance 7.11564325087054E-02/7.94640644573743E-02//0.1</t>
  </si>
  <si>
    <t>2015-3-2 11:30:10.277: MarketData - Let Delta - discarding new delta value - outside tolerance - old/new/tolerance 6.89318382128002E-02/8.34005957856991E-02//0.02</t>
  </si>
  <si>
    <t>2015-3-2 11:30:10.289: MarketData - Let Delta - discarding new delta value - outside tolerance - old/new/tolerance 0.10687667170228/0.12158008858156//0.02</t>
  </si>
  <si>
    <t>2015-3-2 11:30:10.312: MarketData - Let Delta - discarding new delta value - outside tolerance - old/new/tolerance 0.158467943135515/0.174884382497957//0.02</t>
  </si>
  <si>
    <t>2015-3-2 11:30:12.112: MarketData - Let Delta - discarding new delta value - outside tolerance - old/new/tolerance -0.144976320097935/-0.151140142888076//0.02</t>
  </si>
  <si>
    <t>2015-3-2 11:30:12.129: MarketData - Let Delta - discarding new delta value - outside tolerance - old/new/tolerance -0.222854384384645/-0.228757185204196//0.02</t>
  </si>
  <si>
    <t>2015-3-2 11:30:12.149: MarketData - Let Delta - discarding new delta value - outside tolerance - old/new/tolerance -0.328942848388473/-0.333094364044917//0.02</t>
  </si>
  <si>
    <t>2015-3-2 11:30:12.164: MarketData - Let Delta - discarding new delta value - outside tolerance - old/new/tolerance -0.454699445780046/-0.458410372482433//0.02</t>
  </si>
  <si>
    <t>2015-3-2 11:30:12.233: MarketData - Let Delta - discarding new delta value - outside tolerance - old/new/tolerance -0.841517411877704/-0.714534570042472//0.02</t>
  </si>
  <si>
    <t>2015-3-2 11:30:12.233: MarketData - Let ImpliedVol - discarding new iv value - outside tolerance - old/new/tolerance 0.047958464192483/8.88993168899859E-02//0.1</t>
  </si>
  <si>
    <t>2015-3-2 11:30:12.249: MarketData - Let Delta - discarding new delta value - outside tolerance - old/new/tolerance 0.17733288375185/0.187879795074477//0.02</t>
  </si>
  <si>
    <t>2015-3-2 11:30:12.279: MarketData - Let Delta - discarding new delta value - outside tolerance - old/new/tolerance -9.06449168909247E-02/-9.82836075310745E-02//0.02</t>
  </si>
  <si>
    <t>2015-3-2 11:30:12.294: MarketData - Let Delta - discarding new delta value - outside tolerance - old/new/tolerance -5.48268661103477E-02/-6.39458100447892E-02//0.02</t>
  </si>
  <si>
    <t>2015-3-2 11:30:12.317: MarketData - Let Delta - discarding new delta value - outside tolerance - old/new/tolerance 3.27302040045527E-02/4.32044344051198E-02//0.02</t>
  </si>
  <si>
    <t>2015-3-2 11:30:12.332: MarketData - Let Delta - discarding new delta value - outside tolerance - old/new/tolerance 6.07614350622759E-02/0.071793113105231//0.02</t>
  </si>
  <si>
    <t>2015-3-2 11:30:12.358: MarketData - Let Delta - discarding new delta value - outside tolerance - old/new/tolerance 0.110070358242798/0.117799660085664//0.02</t>
  </si>
  <si>
    <t>2015-3-2 11:30:12.832: MarketData - Let Delta - discarding new delta value - outside tolerance - old/new/tolerance -0.144976320097935/-0.145501245310877//0.02</t>
  </si>
  <si>
    <t>2015-3-2 11:30:12.858: MarketData - Let Delta - discarding new delta value - outside tolerance - old/new/tolerance -0.144976320097935/-0.163868851722064//0.02</t>
  </si>
  <si>
    <t>2015-3-2 11:30:12.891: MarketData - Let Delta - discarding new delta value - outside tolerance - old/new/tolerance -0.144976320097935/-0.151914834648566//0.02</t>
  </si>
  <si>
    <t>2015-3-2 11:30:12.906: MarketData - Let Delta - discarding new delta value - outside tolerance - old/new/tolerance -0.222854384384645/-0.229264877069284//0.02</t>
  </si>
  <si>
    <t>2015-3-2 11:30:12.942: MarketData - Let Delta - discarding new delta value - outside tolerance - old/new/tolerance -0.328942848388473/-0.333297164595868//0.02</t>
  </si>
  <si>
    <t>2015-3-2 11:30:12.956: MarketData - Let Delta - discarding new delta value - outside tolerance - old/new/tolerance -0.454699445780046/-0.458425338852181//0.02</t>
  </si>
  <si>
    <t>2015-3-2 11:30:13.24: MarketData - Let Delta - discarding new delta value - outside tolerance - old/new/tolerance -0.841517411877704/-0.714774429173821//0.02</t>
  </si>
  <si>
    <t>2015-3-2 11:30:13.24: MarketData - Let ImpliedVol - discarding new iv value - outside tolerance - old/new/tolerance 0.047958464192483/8.87802100714197E-02//0.1</t>
  </si>
  <si>
    <t>2015-3-2 11:30:13.39: MarketData - Let Delta - discarding new delta value - outside tolerance - old/new/tolerance 0.17733288375185/0.1874162936988//0.02</t>
  </si>
  <si>
    <t>2015-3-2 11:30:13.73: MarketData - Let Delta - discarding new delta value - outside tolerance - old/new/tolerance -9.06449168909247E-02/-9.91742918737206E-02//0.02</t>
  </si>
  <si>
    <t>2015-3-2 11:30:13.90: MarketData - Let Delta - discarding new delta value - outside tolerance - old/new/tolerance -5.48268661103477E-02/-6.47802980632463E-02//0.02</t>
  </si>
  <si>
    <t>2015-3-2 11:30:13.108: MarketData - Let Delta - discarding new delta value - outside tolerance - old/new/tolerance 3.27302040045527E-02/4.27288212433833E-02//0.02</t>
  </si>
  <si>
    <t>2015-3-2 11:30:13.123: MarketData - Let Delta - discarding new delta value - outside tolerance - old/new/tolerance 6.07614350622759E-02/7.12072938986983E-02//0.02</t>
  </si>
  <si>
    <t>2015-3-2 11:30:13.150: MarketData - Let Delta - discarding new delta value - outside tolerance - old/new/tolerance 0.110070358242798/0.11720668456353//0.02</t>
  </si>
  <si>
    <t>2015-3-2 11:30:13.165: MarketData - Let Delta - discarding new delta value - outside tolerance - old/new/tolerance -0.222854384384645/-0.223731807737714//0.02</t>
  </si>
  <si>
    <t>2015-3-2 11:30:13.195: MarketData - Let Delta - discarding new delta value - outside tolerance - old/new/tolerance -0.222854384384645/-0.237522874416675//0.02</t>
  </si>
  <si>
    <t>2015-3-2 11:30:13.233: MarketData - Let Delta - discarding new delta value - outside tolerance - old/new/tolerance -0.328942848388473/-0.330418993420331//0.02</t>
  </si>
  <si>
    <t>2015-3-2 11:30:13.249: MarketData - Let Delta - discarding new delta value - outside tolerance - old/new/tolerance -0.328942848388473/-0.338560029059387//0.02</t>
  </si>
  <si>
    <t>2015-3-2 11:30:13.293: MarketData - Let Delta - discarding new delta value - outside tolerance - old/new/tolerance -0.454699445780046/-0.457778223914205//0.02</t>
  </si>
  <si>
    <t>2015-3-2 11:30:13.353: MarketData - Let Delta - discarding new delta value - outside tolerance - old/new/tolerance -0.454699445780046/-0.459640708793143//0.02</t>
  </si>
  <si>
    <t>2015-3-2 11:30:13.476: MarketData - Let Delta - discarding new delta value - outside tolerance - old/new/tolerance 0.279766714356476/0.291231971584869//0.02</t>
  </si>
  <si>
    <t>2015-3-2 11:30:13.518: MarketData - Let Delta - discarding new delta value - outside tolerance - old/new/tolerance -0.841517411877704/-0.842511179854096//0.02</t>
  </si>
  <si>
    <t>2015-3-2 11:30:13.533: MarketData - Let Delta - discarding new delta value - outside tolerance - old/new/tolerance -0.841517411877704/-0.655194587464615//0.02</t>
  </si>
  <si>
    <t>2015-3-2 11:30:13.533: MarketData - Let ImpliedVol - discarding new iv value - outside tolerance - old/new/tolerance 4.99710939121191E-02/0.123750880926402//0.1</t>
  </si>
  <si>
    <t>2015-3-2 11:30:13.601: MarketData - Let Delta - discarding new delta value - outside tolerance - old/new/tolerance 0.177999845973687/0.19573626167341//0.02</t>
  </si>
  <si>
    <t>2015-3-2 11:30:13.642: MarketData - Let Delta - discarding new delta value - outside tolerance - old/new/tolerance -0.298284426282425/-0.307832416845988//0.02</t>
  </si>
  <si>
    <t>2015-3-2 11:30:13.685: MarketData - Let Delta - discarding new delta value - outside tolerance - old/new/tolerance -0.48538727948517/-0.485506229940055//0.02</t>
  </si>
  <si>
    <t>2015-3-2 11:30:13.726: MarketData - Let Delta - discarding new delta value - outside tolerance - old/new/tolerance -9.06449168909247E-02/-0.09089234467259//0.02</t>
  </si>
  <si>
    <t>2015-3-2 11:30:13.741: MarketData - Let Delta - discarding new delta value - outside tolerance - old/new/tolerance -9.06449168909247E-02/-0.10598025118199//0.02</t>
  </si>
  <si>
    <t>2015-3-2 11:30:13.781: MarketData - Let Delta - discarding new delta value - outside tolerance - old/new/tolerance -5.48268661103477E-02/-5.50034827699042E-02//0.02</t>
  </si>
  <si>
    <t>2015-3-2 11:30:13.812: MarketData - Let Delta - discarding new delta value - outside tolerance - old/new/tolerance -5.48268661103477E-02/-0.072069593968641//0.02</t>
  </si>
  <si>
    <t>2015-3-2 11:30:13.812: MarketData - Let ImpliedVol - discarding new iv value - outside tolerance - old/new/tolerance 9.99690427196126E-02/0.110086867271899//0.1</t>
  </si>
  <si>
    <t>2015-3-2 11:30:13.871: MarketData - Let Delta - discarding new delta value - outside tolerance - old/new/tolerance 3.27646419885749E-02/5.35195303092909E-02//0.02</t>
  </si>
  <si>
    <t>2015-3-2 11:30:13.871: MarketData - Let ImpliedVol - discarding new iv value - outside tolerance - old/new/tolerance 9.11959464114657E-02/0.104113048422329//0.1</t>
  </si>
  <si>
    <t>2015-3-2 11:30:13.933: MarketData - Let Delta - discarding new delta value - outside tolerance - old/new/tolerance 6.09255264830088E-02/7.95365558733417E-02//0.02</t>
  </si>
  <si>
    <t>2015-3-2 11:30:13.934: MarketData - Let ImpliedVol - discarding new iv value - outside tolerance - old/new/tolerance 8.94726214947274E-02/9.89517326320616E-02//0.1</t>
  </si>
  <si>
    <t>2015-3-2 11:30:13.975: MarketData - Let Delta - discarding new delta value - outside tolerance - old/new/tolerance 0.110070358242798/0.101523348881781//0.02</t>
  </si>
  <si>
    <t>2015-3-2 11:30:13.991: MarketData - Let Delta - discarding new delta value - outside tolerance - old/new/tolerance 0.110070358242798/0.125418407680064//0.02</t>
  </si>
  <si>
    <t>2015-3-2 11:30:13.992: MarketData - Let ImpliedVol - discarding new iv value - outside tolerance - old/new/tolerance 8.55792319110057E-02/9.55523000892594E-02//0.1</t>
  </si>
  <si>
    <t>2015-3-2 11:30:16.733: MarketData - Let Delta - discarding new delta value - outside tolerance - old/new/tolerance -0.222734195212471/-0.227279390660453//0.02</t>
  </si>
  <si>
    <t>2015-3-2 11:30:16.785: MarketData - Let Delta - discarding new delta value - outside tolerance - old/new/tolerance -0.298284426282425/-0.301708474003159//0.02</t>
  </si>
  <si>
    <t>2015-3-2 11:30:16.814: MarketData - Let Delta - discarding new delta value - outside tolerance - old/new/tolerance -0.388307309600332/-0.389184771708923//0.02</t>
  </si>
  <si>
    <t>2015-3-2 11:30:16.829: MarketData - Let Delta - discarding new delta value - outside tolerance - old/new/tolerance -0.48538727948517/-0.486032894020691//0.02</t>
  </si>
  <si>
    <t>2015-3-2 11:30:16.938: MarketData - Let Delta - discarding new delta value - outside tolerance - old/new/tolerance 0.226233447791086/0.242709825956431//0.02</t>
  </si>
  <si>
    <t>2015-3-2 11:30:16.950: MarketData - Let Delta - discarding new delta value - outside tolerance - old/new/tolerance -0.160184441493707/-0.166726029450663//0.02</t>
  </si>
  <si>
    <t>2015-3-2 11:30:16.981: MarketData - Let Delta - discarding new delta value - outside tolerance - old/new/tolerance -0.11314892454345/-0.118881524431869//0.02</t>
  </si>
  <si>
    <t>2015-3-2 11:30:16.997: MarketData - Let Delta - discarding new delta value - outside tolerance - old/new/tolerance -7.88083866011275E-02/-8.51108449338009E-02//0.02</t>
  </si>
  <si>
    <t>2015-3-2 11:30:17.28: MarketData - Let Delta - discarding new delta value - outside tolerance - old/new/tolerance 3.84576685189784E-02/5.75844792813948E-02//0.02</t>
  </si>
  <si>
    <t>2015-3-2 11:30:17.28: MarketData - Let ImpliedVol - discarding new iv value - outside tolerance - old/new/tolerance 7.11564325087054E-02/7.94598815290968E-02//0.1</t>
  </si>
  <si>
    <t>2015-3-2 11:30:17.45: MarketData - Let Delta - discarding new delta value - outside tolerance - old/new/tolerance 6.89318382128002E-02/0.083449151541469//0.02</t>
  </si>
  <si>
    <t>2015-3-2 11:30:17.63: MarketData - Let Delta - discarding new delta value - outside tolerance - old/new/tolerance 0.10687667170228/0.121665455119868//0.02</t>
  </si>
  <si>
    <t>2015-3-2 11:30:17.75: MarketData - Let Delta - discarding new delta value - outside tolerance - old/new/tolerance 0.158467943135515/0.175019118824763//0.02</t>
  </si>
  <si>
    <t>2015-3-2 11:30:19.930: MarketData - Let Delta - discarding new delta value - outside tolerance - old/new/tolerance -0.144976320097935/-0.153418229659387//0.02</t>
  </si>
  <si>
    <t>2015-3-2 11:30:20.2: MarketData - Let Delta - discarding new delta value - outside tolerance - old/new/tolerance -0.222854384384645/-0.231248704393458//0.02</t>
  </si>
  <si>
    <t>2015-3-2 11:30:20.20: MarketData - Let Delta - discarding new delta value - outside tolerance - old/new/tolerance -0.328942848388473/-0.33569163955043//0.02</t>
  </si>
  <si>
    <t>2015-3-2 11:30:20.64: MarketData - Let Delta - discarding new delta value - outside tolerance - old/new/tolerance -0.454699445780046/-0.461068330060827//0.02</t>
  </si>
  <si>
    <t>2015-3-2 11:30:20.123: MarketData - Let Delta - discarding new delta value - outside tolerance - old/new/tolerance -0.841517411877704/-0.716867214929415//0.02</t>
  </si>
  <si>
    <t>2015-3-2 11:30:20.123: MarketData - Let ImpliedVol - discarding new iv value - outside tolerance - old/new/tolerance 4.99710939121191E-02/8.87802100714197E-02//0.1</t>
  </si>
  <si>
    <t>2015-3-2 11:30:20.149: MarketData - Let Delta - discarding new delta value - outside tolerance - old/new/tolerance 0.177999845973687/0.185789324731217//0.02</t>
  </si>
  <si>
    <t>2015-3-2 11:30:20.164: MarketData - Let Delta - discarding new delta value - outside tolerance - old/new/tolerance -9.06449168909247E-02/-0.100216532246211//0.02</t>
  </si>
  <si>
    <t>2015-3-2 11:30:20.191: MarketData - Let Delta - discarding new delta value - outside tolerance - old/new/tolerance -5.48268661103477E-02/-6.54412293306893E-02//0.02</t>
  </si>
  <si>
    <t>2015-3-2 11:30:20.205: MarketData - Let Delta - discarding new delta value - outside tolerance - old/new/tolerance 3.27646419885749E-02/4.22873070149112E-02//0.02</t>
  </si>
  <si>
    <t>2015-3-2 11:30:20.233: MarketData - Let Delta - discarding new delta value - outside tolerance - old/new/tolerance 6.09255264830088E-02/7.04595682218244E-02//0.02</t>
  </si>
  <si>
    <t>2015-3-2 11:30:20.252: MarketData - Let Delta - discarding new delta value - outside tolerance - old/new/tolerance 0.110070358242798/0.1160520037653//0.02</t>
  </si>
  <si>
    <t>2015-3-2 11:30:20.748: MarketData - Let Delta - discarding new delta value - outside tolerance - old/new/tolerance -0.144976320097935/-0.152976284832207//0.02</t>
  </si>
  <si>
    <t>2015-3-2 11:30:20.801: MarketData - Let Delta - discarding new delta value - outside tolerance - old/new/tolerance -0.222854384384645/-0.231045777467653//0.02</t>
  </si>
  <si>
    <t>2015-3-2 11:30:20.845: MarketData - Let Delta - discarding new delta value - outside tolerance - old/new/tolerance -0.328942848388473/-0.335687210129169//0.02</t>
  </si>
  <si>
    <t>2015-3-2 11:30:20.868: MarketData - Let Delta - discarding new delta value - outside tolerance - old/new/tolerance -0.454699445780046/-0.461096175850511//0.02</t>
  </si>
  <si>
    <t>2015-3-2 11:30:20.941: MarketData - Let Delta - discarding new delta value - outside tolerance - old/new/tolerance -0.841517411877704/-0.716469914814488//0.02</t>
  </si>
  <si>
    <t>2015-3-2 11:30:20.942: MarketData - Let ImpliedVol - discarding new iv value - outside tolerance - old/new/tolerance 4.99710939121191E-02/8.89753753970624E-02//0.1</t>
  </si>
  <si>
    <t>2015-3-2 11:30:20.956: MarketData - Let Delta - discarding new delta value - outside tolerance - old/new/tolerance 0.177999845973687/0.1863941341252//0.02</t>
  </si>
  <si>
    <t>2015-3-2 11:30:20.982: MarketData - Let Delta - discarding new delta value - outside tolerance - old/new/tolerance -0.222734195212471/-0.227237704372877//0.02</t>
  </si>
  <si>
    <t>2015-3-2 11:30:20.997: MarketData - Let Delta - discarding new delta value - outside tolerance - old/new/tolerance -0.298284426282425/-0.301654261032682//0.02</t>
  </si>
  <si>
    <t>2015-3-2 11:30:21.24: MarketData - Let Delta - discarding new delta value - outside tolerance - old/new/tolerance -0.388307309600332/-0.389144628415797//0.02</t>
  </si>
  <si>
    <t>2015-3-2 11:30:21.39: MarketData - Let Delta - discarding new delta value - outside tolerance - old/new/tolerance -0.48538727948517/-0.486028912535326//0.02</t>
  </si>
  <si>
    <t>2015-3-2 11:30:21.106: MarketData - Let Delta - discarding new delta value - outside tolerance - old/new/tolerance 0.226233447791086/0.242613037036676//0.02</t>
  </si>
  <si>
    <t>2015-3-2 11:30:21.118: MarketData - Let Delta - discarding new delta value - outside tolerance - old/new/tolerance -9.06449168909247E-02/-9.96172988268963E-02//0.02</t>
  </si>
  <si>
    <t>2015-3-2 11:30:21.147: MarketData - Let Delta - discarding new delta value - outside tolerance - old/new/tolerance -5.48268661103477E-02/-6.48205575646688E-02//0.02</t>
  </si>
  <si>
    <t>2015-3-2 11:30:21.162: MarketData - Let Delta - discarding new delta value - outside tolerance - old/new/tolerance 3.27646419885749E-02/4.27360126338335E-02//0.02</t>
  </si>
  <si>
    <t>2015-3-2 11:30:21.191: MarketData - Let Delta - discarding new delta value - outside tolerance - old/new/tolerance 6.09255264830088E-02/7.10605635670753E-02//0.02</t>
  </si>
  <si>
    <t>2015-3-2 11:30:21.207: MarketData - Let Delta - discarding new delta value - outside tolerance - old/new/tolerance 0.110070358242798/0.116725077188732//0.02</t>
  </si>
  <si>
    <t>2015-3-2 11:30:21.232: MarketData - Let Delta - discarding new delta value - outside tolerance - old/new/tolerance -0.160184441493707/-0.166714752665534//0.02</t>
  </si>
  <si>
    <t>2015-3-2 11:30:21.247: MarketData - Let Delta - discarding new delta value - outside tolerance - old/new/tolerance -0.11314892454345/-0.118903052039995//0.02</t>
  </si>
  <si>
    <t>2015-3-2 11:30:21.277: MarketData - Let Delta - discarding new delta value - outside tolerance - old/new/tolerance -7.88083866011275E-02/-8.51763985011431E-02//0.02</t>
  </si>
  <si>
    <t>2015-3-2 11:30:21.292: MarketData - Let Delta - discarding new delta value - outside tolerance - old/new/tolerance 3.84576685189784E-02/5.75781067778071E-02//0.02</t>
  </si>
  <si>
    <t>2015-3-2 11:30:21.292: MarketData - Let ImpliedVol - discarding new iv value - outside tolerance - old/new/tolerance 7.11564325087054E-02/7.94572159465758E-02//0.1</t>
  </si>
  <si>
    <t>2015-3-2 11:30:21.314: MarketData - Let Delta - discarding new delta value - outside tolerance - old/new/tolerance 6.89318382128002E-02/8.34067944216556E-02//0.02</t>
  </si>
  <si>
    <t>2015-3-2 11:30:21.331: MarketData - Let Delta - discarding new delta value - outside tolerance - old/new/tolerance 0.10687667170228/0.121605744508701//0.02</t>
  </si>
  <si>
    <t>2015-3-2 11:30:21.354: MarketData - Let Delta - discarding new delta value - outside tolerance - old/new/tolerance 0.158467943135515/0.174931956191699//0.02</t>
  </si>
  <si>
    <t>2015-3-2 11:30:21.367: MarketData - Let Delta - discarding new delta value - outside tolerance - old/new/tolerance -0.144976320097935/-0.146010814886691//0.02</t>
  </si>
  <si>
    <t>2015-3-2 11:30:21.397: MarketData - Let Delta - discarding new delta value - outside tolerance - old/new/tolerance -0.144976320097935/-0.164399446589419//0.02</t>
  </si>
  <si>
    <t>2015-3-2 11:30:21.434: MarketData - Let Delta - discarding new delta value - outside tolerance - old/new/tolerance -0.222854384384645/-0.224619093931327//0.02</t>
  </si>
  <si>
    <t>2015-3-2 11:30:21.448: MarketData - Let Delta - discarding new delta value - outside tolerance - old/new/tolerance -0.222854384384645/-0.238424062709546//0.02</t>
  </si>
  <si>
    <t>2015-3-2 11:30:21.488: MarketData - Let Delta - discarding new delta value - outside tolerance - old/new/tolerance -0.328942848388473/-0.331909028316525//0.02</t>
  </si>
  <si>
    <t>2015-3-2 11:30:21.517: MarketData - Let Delta - discarding new delta value - outside tolerance - old/new/tolerance -0.328942848388473/-0.340023967700249//0.02</t>
  </si>
  <si>
    <t>2015-3-2 11:30:21.559: MarketData - Let Delta - discarding new delta value - outside tolerance - old/new/tolerance -0.454699445780046/-0.460194743079599//0.02</t>
  </si>
  <si>
    <t>2015-3-2 11:30:21.577: MarketData - Let Delta - discarding new delta value - outside tolerance - old/new/tolerance -0.454699445780046/-0.461953878009377//0.02</t>
  </si>
  <si>
    <t>2015-3-2 11:30:21.697: MarketData - Let Delta - discarding new delta value - outside tolerance - old/new/tolerance 0.278614611780016/0.290082329221852//0.02</t>
  </si>
  <si>
    <t>2015-3-2 11:30:21.737: MarketData - Let Delta - discarding new delta value - outside tolerance - old/new/tolerance -0.841517411877704/-0.855982358828364//0.02</t>
  </si>
  <si>
    <t>2015-3-2 11:30:21.767: MarketData - Let Delta - discarding new delta value - outside tolerance - old/new/tolerance -0.841517411877704/-0.658310073119151//0.02</t>
  </si>
  <si>
    <t>2015-3-2 11:30:21.767: MarketData - Let ImpliedVol - discarding new iv value - outside tolerance - old/new/tolerance 0.047958464192483/0.122671681900131//0.1</t>
  </si>
  <si>
    <t>2015-3-2 11:30:21.823: MarketData - Let Delta - discarding new delta value - outside tolerance - old/new/tolerance 0.17733288375185/0.195069222140502//0.02</t>
  </si>
  <si>
    <t>2015-3-2 11:30:21.926: MarketData - Let Delta - discarding new delta value - outside tolerance - old/new/tolerance -0.48538727948517/-0.485387582783018//0.02</t>
  </si>
  <si>
    <t>2015-3-2 11:30:22.15: MarketData - Let Delta - discarding new delta value - outside tolerance - old/new/tolerance -9.06449168909247E-02/-9.11548122663766E-02//0.02</t>
  </si>
  <si>
    <t>2015-3-2 11:30:22.58: MarketData - Let Delta - discarding new delta value - outside tolerance - old/new/tolerance -9.06449168909247E-02/-0.106353637132889//0.02</t>
  </si>
  <si>
    <t>2015-3-2 11:30:22.105: MarketData - Let Delta - discarding new delta value - outside tolerance - old/new/tolerance -5.48268661103477E-02/-5.51434923415181E-02//0.02</t>
  </si>
  <si>
    <t>2015-3-2 11:30:22.121: MarketData - Let Delta - discarding new delta value - outside tolerance - old/new/tolerance -5.48268661103477E-02/-7.22482866745758E-02//0.02</t>
  </si>
  <si>
    <t>2015-3-2 11:30:22.121: MarketData - Let ImpliedVol - discarding new iv value - outside tolerance - old/new/tolerance 9.96689423759432E-02/0.109789398610769//0.1</t>
  </si>
  <si>
    <t>2015-3-2 11:30:22.185: MarketData - Let Delta - discarding new delta value - outside tolerance - old/new/tolerance 3.27302040045527E-02/5.33978241498475E-02//0.02</t>
  </si>
  <si>
    <t>2015-3-2 11:30:22.185: MarketData - Let ImpliedVol - discarding new iv value - outside tolerance - old/new/tolerance 0.091494686998305/0.104414764988424//0.1</t>
  </si>
  <si>
    <t>2015-3-2 11:30:22.241: MarketData - Let Delta - discarding new delta value - outside tolerance - old/new/tolerance 6.07614350622759E-02/7.92864888017736E-02//0.02</t>
  </si>
  <si>
    <t>2015-3-2 11:30:22.241: MarketData - Let ImpliedVol - discarding new iv value - outside tolerance - old/new/tolerance 8.97755274328415E-02/9.92759499250112E-02//0.1</t>
  </si>
  <si>
    <t>2015-3-2 11:30:22.280: MarketData - Let Delta - discarding new delta value - outside tolerance - old/new/tolerance 0.110070358242798/0.101192823461372//0.02</t>
  </si>
  <si>
    <t>2015-3-2 11:30:22.309: MarketData - Let Delta - discarding new delta value - outside tolerance - old/new/tolerance 0.110070358242798/0.1250397893836//0.02</t>
  </si>
  <si>
    <t>2015-3-2 11:30:22.310: MarketData - Let ImpliedVol - discarding new iv value - outside tolerance - old/new/tolerance 8.59188208560561E-02/9.58922135770133E-02//0.1</t>
  </si>
  <si>
    <t>2015-3-2 11:30:24.752: MarketData - Let Delta - discarding new delta value - outside tolerance - old/new/tolerance -0.222734195212471/-0.227262702155368//0.02</t>
  </si>
  <si>
    <t>2015-3-2 11:30:24.847: MarketData - Let Delta - discarding new delta value - outside tolerance - old/new/tolerance -0.298284426282425/-0.301674946974319//0.02</t>
  </si>
  <si>
    <t>2015-3-2 11:30:24.892: MarketData - Let Delta - discarding new delta value - outside tolerance - old/new/tolerance -0.388307309600332/-0.389156330740972//0.02</t>
  </si>
  <si>
    <t>2015-3-2 11:30:24.911: MarketData - Let Delta - discarding new delta value - outside tolerance - old/new/tolerance -0.48538727948517/-0.486029867354981//0.02</t>
  </si>
  <si>
    <t>2015-3-2 11:30:24.984: MarketData - Let Delta - discarding new delta value - outside tolerance - old/new/tolerance 0.226233447791086/0.242626972339362//0.02</t>
  </si>
  <si>
    <t>2015-3-2 11:30:25.16: MarketData - Let Delta - discarding new delta value - outside tolerance - old/new/tolerance -0.160184441493707/-0.166738697443517//0.02</t>
  </si>
  <si>
    <t>2015-3-2 11:30:25.30: MarketData - Let Delta - discarding new delta value - outside tolerance - old/new/tolerance -0.11314892454345/-0.118922056631531//0.02</t>
  </si>
  <si>
    <t>2015-3-2 11:30:25.69: MarketData - Let Delta - discarding new delta value - outside tolerance - old/new/tolerance -7.88083866011275E-02/-8.51953758435455E-02//0.02</t>
  </si>
  <si>
    <t>2015-3-2 11:30:25.88: MarketData - Let Delta - discarding new delta value - outside tolerance - old/new/tolerance 3.84576685189784E-02/5.75697955027989E-02//0.02</t>
  </si>
  <si>
    <t>2015-3-2 11:30:25.88: MarketData - Let ImpliedVol - discarding new iv value - outside tolerance - old/new/tolerance 7.11564325087054E-02/0.079453739654392//0.1</t>
  </si>
  <si>
    <t>2015-3-2 11:30:25.107: MarketData - Let Delta - discarding new delta value - outside tolerance - old/new/tolerance 6.89318382128002E-02/8.34035247000733E-02//0.02</t>
  </si>
  <si>
    <t>2015-3-2 11:30:25.120: MarketData - Let Delta - discarding new delta value - outside tolerance - old/new/tolerance 0.10687667170228/0.121608911074397//0.02</t>
  </si>
  <si>
    <t>2015-3-2 11:30:25.146: MarketData - Let Delta - discarding new delta value - outside tolerance - old/new/tolerance 0.158467943135515/0.174941406835366//0.02</t>
  </si>
  <si>
    <t>2015-3-2 11:30:25.187: MarketData - Let Delta - discarding new delta value - outside tolerance - old/new/tolerance -0.298284426282425/-0.310066071725756//0.02</t>
  </si>
  <si>
    <t>2015-3-2 11:30:25.896: MarketData - Let Delta - discarding new delta value - outside tolerance - old/new/tolerance -0.144976320097935/-0.151470209977392//0.02</t>
  </si>
  <si>
    <t>2015-3-2 11:30:25.934: MarketData - Let Delta - discarding new delta value - outside tolerance - old/new/tolerance -0.222854384384645/-0.22906017094575//0.02</t>
  </si>
  <si>
    <t>2015-3-2 11:30:25.950: MarketData - Let Delta - discarding new delta value - outside tolerance - old/new/tolerance -0.328942848388473/-0.333292665432529//0.02</t>
  </si>
  <si>
    <t>2015-3-2 11:30:25.984: MarketData - Let Delta - discarding new delta value - outside tolerance - old/new/tolerance -0.454699445780046/-0.458455281310925//0.02</t>
  </si>
  <si>
    <t>2015-3-2 11:30:26.26: MarketData - Let Delta - discarding new delta value - outside tolerance - old/new/tolerance 0.278614611780016/0.285699030548098//0.02</t>
  </si>
  <si>
    <t>2015-3-2 11:30:26.42: MarketData - Let Delta - discarding new delta value - outside tolerance - old/new/tolerance -0.841517411877704/-0.714381735379968//0.02</t>
  </si>
  <si>
    <t>2015-3-2 11:30:26.43: MarketData - Let ImpliedVol - discarding new iv value - outside tolerance - old/new/tolerance 0.047958464192483/8.89753753970624E-02//0.1</t>
  </si>
  <si>
    <t>2015-3-2 11:30:26.67: MarketData - Let Delta - discarding new delta value - outside tolerance - old/new/tolerance 0.17733288375185/0.188016641493521//0.02</t>
  </si>
  <si>
    <t>2015-3-2 11:30:26.82: MarketData - Let Delta - discarding new delta value - outside tolerance - old/new/tolerance -9.06449168909247E-02/-9.85722853951007E-02//0.02</t>
  </si>
  <si>
    <t>2015-3-2 11:30:26.110: MarketData - Let Delta - discarding new delta value - outside tolerance - old/new/tolerance -5.48268661103477E-02/-6.41573067853617E-02//0.02</t>
  </si>
  <si>
    <t>2015-3-2 11:30:26.125: MarketData - Let Delta - discarding new delta value - outside tolerance - old/new/tolerance 3.27302040045527E-02/4.31759339921065E-02//0.02</t>
  </si>
  <si>
    <t>2015-3-2 11:30:26.155: MarketData - Let Delta - discarding new delta value - outside tolerance - old/new/tolerance 6.07614350622759E-02/7.18057129265343E-02//0.02</t>
  </si>
  <si>
    <t>2015-3-2 11:30:26.174: MarketData - Let Delta - discarding new delta value - outside tolerance - old/new/tolerance 0.110070358242798/0.117876111198303//0.02</t>
  </si>
  <si>
    <t>2015-3-2 11:30:26.774: MarketData - Let Delta - discarding new delta value - outside tolerance - old/new/tolerance -0.144976320097935/-0.145501245310877//0.02</t>
  </si>
  <si>
    <t>2015-3-2 11:30:26.804: MarketData - Let Delta - discarding new delta value - outside tolerance - old/new/tolerance -0.144976320097935/-0.163868851722064//0.02</t>
  </si>
  <si>
    <t>2015-3-2 11:30:26.850: MarketData - Let Delta - discarding new delta value - outside tolerance - old/new/tolerance -0.222854384384645/-0.223731807737714//0.02</t>
  </si>
  <si>
    <t>2015-3-2 11:30:26.864: MarketData - Let Delta - discarding new delta value - outside tolerance - old/new/tolerance -0.222854384384645/-0.237522874416675//0.02</t>
  </si>
  <si>
    <t>2015-3-2 11:30:26.905: MarketData - Let Delta - discarding new delta value - outside tolerance - old/new/tolerance -0.328942848388473/-0.330418993420331//0.02</t>
  </si>
  <si>
    <t>2015-3-2 11:30:26.938: MarketData - Let Delta - discarding new delta value - outside tolerance - old/new/tolerance -0.328942848388473/-0.338560029059387//0.02</t>
  </si>
  <si>
    <t>2015-3-2 11:30:26.976: MarketData - Let Delta - discarding new delta value - outside tolerance - old/new/tolerance -0.454699445780046/-0.457778223914205//0.02</t>
  </si>
  <si>
    <t>2015-3-2 11:30:26.991: MarketData - Let Delta - discarding new delta value - outside tolerance - old/new/tolerance -0.454699445780046/-0.459640708793143//0.02</t>
  </si>
  <si>
    <t>2015-3-2 11:30:27.115: MarketData - Let Delta - discarding new delta value - outside tolerance - old/new/tolerance 0.279766714356476/0.291231971584869//0.02</t>
  </si>
  <si>
    <t>2015-3-2 11:30:27.155: MarketData - Let Delta - discarding new delta value - outside tolerance - old/new/tolerance -0.841517411877704/-0.842511179854096//0.02</t>
  </si>
  <si>
    <t>2015-3-2 11:30:27.185: MarketData - Let Delta - discarding new delta value - outside tolerance - old/new/tolerance -0.841517411877704/-0.655194587464615//0.02</t>
  </si>
  <si>
    <t>2015-3-2 11:30:27.186: MarketData - Let ImpliedVol - discarding new iv value - outside tolerance - old/new/tolerance 4.99710939121191E-02/0.123750880926402//0.1</t>
  </si>
  <si>
    <t>2015-3-2 11:30:27.240: MarketData - Let Delta - discarding new delta value - outside tolerance - old/new/tolerance 0.177999845973687/0.19573626167341//0.02</t>
  </si>
  <si>
    <t>2015-3-2 11:30:27.426: MarketData - Let Delta - discarding new delta value - outside tolerance - old/new/tolerance -9.06449168909247E-02/-0.09089234467259//0.02</t>
  </si>
  <si>
    <t>2015-3-2 11:30:27.442: MarketData - Let Delta - discarding new delta value - outside tolerance - old/new/tolerance -9.06449168909247E-02/-0.10598025118199//0.02</t>
  </si>
  <si>
    <t>2015-3-2 11:30:27.488: MarketData - Let Delta - discarding new delta value - outside tolerance - old/new/tolerance -5.48268661103477E-02/-5.50034827699042E-02//0.02</t>
  </si>
  <si>
    <t>2015-3-2 11:30:27.521: MarketData - Let Delta - discarding new delta value - outside tolerance - old/new/tolerance -5.48268661103477E-02/-0.072069593968641//0.02</t>
  </si>
  <si>
    <t>2015-3-2 11:30:27.521: MarketData - Let ImpliedVol - discarding new iv value - outside tolerance - old/new/tolerance 9.99690427196126E-02/0.110086867271899//0.1</t>
  </si>
  <si>
    <t>2015-3-2 11:30:27.580: MarketData - Let Delta - discarding new delta value - outside tolerance - old/new/tolerance 3.27646419885749E-02/5.35195303092909E-02//0.02</t>
  </si>
  <si>
    <t>2015-3-2 11:30:27.580: MarketData - Let ImpliedVol - discarding new iv value - outside tolerance - old/new/tolerance 9.11959464114657E-02/0.104113048422329//0.1</t>
  </si>
  <si>
    <t>2015-3-2 11:30:27.645: MarketData - Let Delta - discarding new delta value - outside tolerance - old/new/tolerance 6.09255264830088E-02/7.95365558733417E-02//0.02</t>
  </si>
  <si>
    <t>2015-3-2 11:30:27.645: MarketData - Let ImpliedVol - discarding new iv value - outside tolerance - old/new/tolerance 8.94726214947274E-02/9.89517326320616E-02//0.1</t>
  </si>
  <si>
    <t>2015-3-2 11:30:27.687: MarketData - Let Delta - discarding new delta value - outside tolerance - old/new/tolerance 0.110070358242798/0.101523348881781//0.02</t>
  </si>
  <si>
    <t>2015-3-2 11:30:27.704: MarketData - Let Delta - discarding new delta value - outside tolerance - old/new/tolerance 0.110070358242798/0.125418407680064//0.02</t>
  </si>
  <si>
    <t>2015-3-2 11:30:27.704: MarketData - Let ImpliedVol - discarding new iv value - outside tolerance - old/new/tolerance 8.55792319110057E-02/9.55523000892594E-02//0.1</t>
  </si>
  <si>
    <t>2015-3-2 11:30:28.728: MarketData - Let Delta - discarding new delta value - outside tolerance - old/new/tolerance -0.144976320097935/-0.151914834648566//0.02</t>
  </si>
  <si>
    <t>2015-3-2 11:30:28.803: MarketData - Let Delta - discarding new delta value - outside tolerance - old/new/tolerance -0.222854384384645/-0.229264877069284//0.02</t>
  </si>
  <si>
    <t>2015-3-2 11:30:28.827: MarketData - Let Delta - discarding new delta value - outside tolerance - old/new/tolerance -0.328942848388473/-0.333297164595868//0.02</t>
  </si>
  <si>
    <t>2015-3-2 11:30:28.861: MarketData - Let Delta - discarding new delta value - outside tolerance - old/new/tolerance -0.454699445780046/-0.458425338852181//0.02</t>
  </si>
  <si>
    <t>2015-3-2 11:30:28.915: MarketData - Let Delta - discarding new delta value - outside tolerance - old/new/tolerance -0.841517411877704/-0.714774429173821//0.02</t>
  </si>
  <si>
    <t>2015-3-2 11:30:28.915: MarketData - Let ImpliedVol - discarding new iv value - outside tolerance - old/new/tolerance 4.99710939121191E-02/8.87802100714197E-02//0.1</t>
  </si>
  <si>
    <t>2015-3-2 11:30:28.941: MarketData - Let Delta - discarding new delta value - outside tolerance - old/new/tolerance 0.177999845973687/0.1874162936988//0.02</t>
  </si>
  <si>
    <t>2015-3-2 11:30:28.957: MarketData - Let Delta - discarding new delta value - outside tolerance - old/new/tolerance -0.222734195212471/-0.227401127112701//0.02</t>
  </si>
  <si>
    <t>2015-3-2 11:30:28.984: MarketData - Let Delta - discarding new delta value - outside tolerance - old/new/tolerance -0.298284426282425/-0.30182331982202//0.02</t>
  </si>
  <si>
    <t>2015-3-2 11:30:28.998: MarketData - Let Delta - discarding new delta value - outside tolerance - old/new/tolerance -0.388307309600332/-0.389256463869078//0.02</t>
  </si>
  <si>
    <t>2015-3-2 11:30:29.25: MarketData - Let Delta - discarding new delta value - outside tolerance - old/new/tolerance -0.48538727948517/-0.486039236875585//0.02</t>
  </si>
  <si>
    <t>2015-3-2 11:30:29.84: MarketData - Let Delta - discarding new delta value - outside tolerance - old/new/tolerance 0.226233447791086/0.242828616492011//0.02</t>
  </si>
  <si>
    <t>2015-3-2 11:30:29.104: MarketData - Let Delta - discarding new delta value - outside tolerance - old/new/tolerance -9.06449168909247E-02/-9.91742918737206E-02//0.02</t>
  </si>
  <si>
    <t>2015-3-2 11:30:29.119: MarketData - Let Delta - discarding new delta value - outside tolerance - old/new/tolerance -5.48268661103477E-02/-6.47802980632463E-02//0.02</t>
  </si>
  <si>
    <t>2015-3-2 11:30:29.150: MarketData - Let Delta - discarding new delta value - outside tolerance - old/new/tolerance 3.27646419885749E-02/4.27288212433833E-02//0.02</t>
  </si>
  <si>
    <t>2015-3-2 11:30:29.165: MarketData - Let Delta - discarding new delta value - outside tolerance - old/new/tolerance 6.09255264830088E-02/7.12072938986983E-02//0.02</t>
  </si>
  <si>
    <t>2015-3-2 11:30:29.193: MarketData - Let Delta - discarding new delta value - outside tolerance - old/new/tolerance 0.110070358242798/0.11720668456353//0.02</t>
  </si>
  <si>
    <t>2015-3-2 11:30:29.207: MarketData - Let Delta - discarding new delta value - outside tolerance - old/new/tolerance -0.160184441493707/-0.166822010088482//0.02</t>
  </si>
  <si>
    <t>2015-3-2 11:30:29.235: MarketData - Let Delta - discarding new delta value - outside tolerance - old/new/tolerance -0.11314892454345/-0.11893566143093//0.02</t>
  </si>
  <si>
    <t>2015-3-2 11:30:29.249: MarketData - Let Delta - discarding new delta value - outside tolerance - old/new/tolerance -7.88083866011275E-02/-8.51329347398783E-02//0.02</t>
  </si>
  <si>
    <t>2015-3-2 11:30:29.278: MarketData - Let Delta - discarding new delta value - outside tolerance - old/new/tolerance 3.84576685189784E-02/5.75542225454864E-02//0.02</t>
  </si>
  <si>
    <t>2015-3-2 11:30:29.279: MarketData - Let ImpliedVol - discarding new iv value - outside tolerance - old/new/tolerance 7.11564325087054E-02/7.94472268902577E-02//0.1</t>
  </si>
  <si>
    <t>2015-3-2 11:30:29.291: MarketData - Let Delta - discarding new delta value - outside tolerance - old/new/tolerance 6.89318382128002E-02/8.34629592368591E-02//0.02</t>
  </si>
  <si>
    <t>2015-3-2 11:30:29.317: MarketData - Let Delta - discarding new delta value - outside tolerance - old/new/tolerance 0.10687667170228/0.121716867712126//0.02</t>
  </si>
  <si>
    <t>2015-3-2 11:30:29.334: MarketData - Let Delta - discarding new delta value - outside tolerance - old/new/tolerance 0.158467943135515/0.175113753925425//0.02</t>
  </si>
  <si>
    <t>2015-3-2 11:30:31.57: MarketData - Let Delta - discarding new delta value - outside tolerance - old/new/tolerance -0.48538727948517/-0.485506229940055//0.02</t>
  </si>
  <si>
    <t>2015-3-2 11:30:31.109: MarketData - Let Delta - discarding new delta value - outside tolerance - old/new/tolerance 0.324361752012773/0.317265639232989//0.02</t>
  </si>
  <si>
    <t>2015-3-2 11:30:32.861: MarketData - Let Delta - discarding new delta value - outside tolerance - old/new/tolerance -0.222734195212471/-0.227278390834111//0.02</t>
  </si>
  <si>
    <t>2015-3-2 11:30:32.891: MarketData - Let Delta - discarding new delta value - outside tolerance - old/new/tolerance -0.298284426282425/-0.301693696023469//0.02</t>
  </si>
  <si>
    <t>2015-3-2 11:30:32.931: MarketData - Let Delta - discarding new delta value - outside tolerance - old/new/tolerance -0.388307309600332/-0.389169747190344//0.02</t>
  </si>
  <si>
    <t>2015-3-2 11:30:32.945: MarketData - Let Delta - discarding new delta value - outside tolerance - old/new/tolerance -0.48538727948517/-0.486031175513277//0.02</t>
  </si>
  <si>
    <t>2015-3-2 11:30:33.23: MarketData - Let Delta - discarding new delta value - outside tolerance - old/new/tolerance 0.226233447791086/0.242658466646805//0.02</t>
  </si>
  <si>
    <t>2015-3-2 11:30:33.178: MarketData - Let Delta - discarding new delta value - outside tolerance - old/new/tolerance -0.48538727948517/-0.485387582783018//0.02</t>
  </si>
  <si>
    <t>2015-3-2 11:30:33.232: MarketData - Let Delta - discarding new delta value - outside tolerance - old/new/tolerance 0.324213721924069/0.314732018119316//0.02</t>
  </si>
  <si>
    <t>2015-3-2 11:30:33.344: MarketData - Let Delta - discarding new delta value - outside tolerance - old/new/tolerance -0.160184441493707/-0.166745427096593//0.02</t>
  </si>
  <si>
    <t>2015-3-2 11:30:33.360: MarketData - Let Delta - discarding new delta value - outside tolerance - old/new/tolerance -0.11314892454345/-0.118918630432185//0.02</t>
  </si>
  <si>
    <t>2015-3-2 11:30:33.407: MarketData - Let Delta - discarding new delta value - outside tolerance - old/new/tolerance -7.88083866011275E-02/-8.51793375253243E-02//0.02</t>
  </si>
  <si>
    <t>2015-3-2 11:30:33.425: MarketData - Let Delta - discarding new delta value - outside tolerance - old/new/tolerance 3.84576685189784E-02/5.75734612902764E-02//0.02</t>
  </si>
  <si>
    <t>2015-3-2 11:30:33.425: MarketData - Let ImpliedVol - discarding new iv value - outside tolerance - old/new/tolerance 7.11564325087054E-02/7.94552728774036E-02//0.1</t>
  </si>
  <si>
    <t>2015-3-2 11:30:33.446: MarketData - Let Delta - discarding new delta value - outside tolerance - old/new/tolerance 6.89318382128002E-02/0.083418628091661//0.02</t>
  </si>
  <si>
    <t>2015-3-2 11:30:33.458: MarketData - Let Delta - discarding new delta value - outside tolerance - old/new/tolerance 0.10687667170228/0.121628939031639//0.02</t>
  </si>
  <si>
    <t>2015-3-2 11:30:33.479: MarketData - Let Delta - discarding new delta value - outside tolerance - old/new/tolerance 0.158467943135515/0.174970017493936//0.02</t>
  </si>
  <si>
    <t>2015-3-2 11:30:35.94: MarketData - Let Delta - discarding new delta value - outside tolerance - old/new/tolerance -0.48538727948517/-0.485506229940055//0.02</t>
  </si>
  <si>
    <t>2015-3-2 11:30:36.815: MarketData - Let Delta - discarding new delta value - outside tolerance - old/new/tolerance -0.222734195212471/-0.227401127112701//0.02</t>
  </si>
  <si>
    <t>2015-3-2 11:30:36.856: MarketData - Let Delta - discarding new delta value - outside tolerance - old/new/tolerance -0.298284426282425/-0.30182331982202//0.02</t>
  </si>
  <si>
    <t>2015-3-2 11:30:36.893: MarketData - Let Delta - discarding new delta value - outside tolerance - old/new/tolerance -0.388307309600332/-0.389256463869078//0.02</t>
  </si>
  <si>
    <t>2015-3-2 11:30:36.934: MarketData - Let Delta - discarding new delta value - outside tolerance - old/new/tolerance -0.48538727948517/-0.486039236875585//0.02</t>
  </si>
  <si>
    <t>2015-3-2 11:30:37.16: MarketData - Let Delta - discarding new delta value - outside tolerance - old/new/tolerance 0.226233447791086/0.242828616492011//0.02</t>
  </si>
  <si>
    <t>2015-3-2 11:30:37.98: MarketData - Let Delta - discarding new delta value - outside tolerance - old/new/tolerance -0.160184441493707/-0.166822010088482//0.02</t>
  </si>
  <si>
    <t>2015-3-2 11:30:37.115: MarketData - Let Delta - discarding new delta value - outside tolerance - old/new/tolerance -0.11314892454345/-0.11893566143093//0.02</t>
  </si>
  <si>
    <t>2015-3-2 11:30:37.152: MarketData - Let Delta - discarding new delta value - outside tolerance - old/new/tolerance -7.88083866011275E-02/-8.51329347398783E-02//0.02</t>
  </si>
  <si>
    <t>2015-3-2 11:30:37.167: MarketData - Let Delta - discarding new delta value - outside tolerance - old/new/tolerance 3.84576685189784E-02/5.75542225454864E-02//0.02</t>
  </si>
  <si>
    <t>2015-3-2 11:30:37.167: MarketData - Let ImpliedVol - discarding new iv value - outside tolerance - old/new/tolerance 7.11564325087054E-02/7.94472268902577E-02//0.1</t>
  </si>
  <si>
    <t>2015-3-2 11:30:37.194: MarketData - Let Delta - discarding new delta value - outside tolerance - old/new/tolerance 6.89318382128002E-02/8.34629592368591E-02//0.02</t>
  </si>
  <si>
    <t>2015-3-2 11:30:37.206: MarketData - Let Delta - discarding new delta value - outside tolerance - old/new/tolerance 0.10687667170228/0.121716867712126//0.02</t>
  </si>
  <si>
    <t>2015-3-2 11:30:37.228: MarketData - Let Delta - discarding new delta value - outside tolerance - old/new/tolerance 0.158467943135515/0.175113753925425//0.02</t>
  </si>
  <si>
    <t>2015-3-2 11:30:39.18: MarketData - Let Delta - discarding new delta value - outside tolerance - old/new/tolerance -0.298284426282425/-0.307832416845988//0.02</t>
  </si>
  <si>
    <t>2015-3-2 11:30:39.99: MarketData - Let Delta - discarding new delta value - outside tolerance - old/new/tolerance 0.324361752012773/0.317265639232989//0.02</t>
  </si>
  <si>
    <t>2015-3-2 11:30:40.915: MarketData - Let Delta - discarding new delta value - outside tolerance - old/new/tolerance -0.222734195212471/-0.227300601268803//0.02</t>
  </si>
  <si>
    <t>2015-3-2 11:30:40.935: MarketData - Let Delta - discarding new delta value - outside tolerance - old/new/tolerance -0.298284426282425/-0.301735886465953//0.02</t>
  </si>
  <si>
    <t>2015-3-2 11:30:40.950: MarketData - Let Delta - discarding new delta value - outside tolerance - old/new/tolerance -0.388307309600332/-0.389205146206951//0.02</t>
  </si>
  <si>
    <t>2015-3-2 11:30:40.984: MarketData - Let Delta - discarding new delta value - outside tolerance - old/new/tolerance -0.48538727948517/-0.486034932349225//0.02</t>
  </si>
  <si>
    <t>2015-3-2 11:30:41.42: MarketData - Let Delta - discarding new delta value - outside tolerance - old/new/tolerance 0.226233447791086/0.242762594507502//0.02</t>
  </si>
  <si>
    <t>2015-3-2 11:30:41.68: MarketData - Let Delta - discarding new delta value - outside tolerance - old/new/tolerance -0.160184441493707/-0.16673228320176//0.02</t>
  </si>
  <si>
    <t>2015-3-2 11:30:41.101: MarketData - Let Delta - discarding new delta value - outside tolerance - old/new/tolerance -0.11314892454345/-0.118871716788829//0.02</t>
  </si>
  <si>
    <t>2015-3-2 11:30:41.115: MarketData - Let Delta - discarding new delta value - outside tolerance - old/new/tolerance -7.88083866011275E-02/-8.50798738338595E-02//0.02</t>
  </si>
  <si>
    <t>2015-3-2 11:30:41.155: MarketData - Let Delta - discarding new delta value - outside tolerance - old/new/tolerance 3.84576685189784E-02/5.75975621306739E-02//0.02</t>
  </si>
  <si>
    <t>2015-3-2 11:30:41.155: MarketData - Let ImpliedVol - discarding new iv value - outside tolerance - old/new/tolerance 7.11564325087054E-02/7.94653545696526E-02//0.1</t>
  </si>
  <si>
    <t>2015-3-2 11:30:41.168: MarketData - Let Delta - discarding new delta value - outside tolerance - old/new/tolerance 6.89318382128002E-02/8.34810051258603E-02//0.02</t>
  </si>
  <si>
    <t>2015-3-2 11:30:41.188: MarketData - Let Delta - discarding new delta value - outside tolerance - old/new/tolerance 0.10687667170228/0.121702524101355//0.02</t>
  </si>
  <si>
    <t>2015-3-2 11:30:41.200: MarketData - Let Delta - discarding new delta value - outside tolerance - old/new/tolerance 0.158467943135515/0.175068901339629//0.02</t>
  </si>
  <si>
    <t>2015-3-2 11:30:43.94: MarketData - Let Delta - discarding new delta value - outside tolerance - old/new/tolerance 0.324291186566044/0.314726444388839//0.02</t>
  </si>
  <si>
    <t>2015-3-2 11:30:45.726: MarketData - Let Delta - discarding new delta value - outside tolerance - old/new/tolerance -0.222734195212471/-0.22728783003523//0.02</t>
  </si>
  <si>
    <t>2015-3-2 11:30:45.788: MarketData - Let Delta - discarding new delta value - outside tolerance - old/new/tolerance -0.298284426282425/-0.30172195669215//0.02</t>
  </si>
  <si>
    <t>2015-3-2 11:30:45.816: MarketData - Let Delta - discarding new delta value - outside tolerance - old/new/tolerance -0.388307309600332/-0.389195467938786//0.02</t>
  </si>
  <si>
    <t>2015-3-2 11:30:45.831: MarketData - Let Delta - discarding new delta value - outside tolerance - old/new/tolerance -0.48538727948517/-0.486033989124621//0.02</t>
  </si>
  <si>
    <t>2015-3-2 11:30:45.898: MarketData - Let Delta - discarding new delta value - outside tolerance - old/new/tolerance 0.226233447791086/0.242737080316026//0.02</t>
  </si>
  <si>
    <t>2015-3-2 11:30:45.911: MarketData - Let Delta - discarding new delta value - outside tolerance - old/new/tolerance -0.160184441493707/-0.166724555088663//0.02</t>
  </si>
  <si>
    <t>2015-3-2 11:30:45.940: MarketData - Let Delta - discarding new delta value - outside tolerance - old/new/tolerance -0.11314892454345/-0.118870104738982//0.02</t>
  </si>
  <si>
    <t>2015-3-2 11:30:45.956: MarketData - Let Delta - discarding new delta value - outside tolerance - old/new/tolerance -7.88083866011275E-02/-0.085084545305082//0.02</t>
  </si>
  <si>
    <t>2015-3-2 11:30:45.986: MarketData - Let Delta - discarding new delta value - outside tolerance - old/new/tolerance 3.84576685189784E-02/5.75842780039023E-02//0.02</t>
  </si>
  <si>
    <t>2015-3-2 11:30:45.986: MarketData - Let ImpliedVol - discarding new iv value - outside tolerance - old/new/tolerance 7.11564325087054E-02/7.94622363272346E-02//0.1</t>
  </si>
  <si>
    <t>2015-3-2 11:30:45.998: MarketData - Let Delta - discarding new delta value - outside tolerance - old/new/tolerance 6.89318382128002E-02/8.34594611677078E-02//0.02</t>
  </si>
  <si>
    <t>2015-3-2 11:30:46.20: MarketData - Let Delta - discarding new delta value - outside tolerance - old/new/tolerance 0.10687667170228/0.12168156113836//0.02</t>
  </si>
  <si>
    <t>2015-3-2 11:30:46.37: MarketData - Let Delta - discarding new delta value - outside tolerance - old/new/tolerance 0.158467943135515/0.175043386459622//0.02</t>
  </si>
  <si>
    <t>2015-3-2 11:30:47.122: MarketData - Let Delta - discarding new delta value - outside tolerance - old/new/tolerance -0.144976320097935/-0.15189504524272//0.02</t>
  </si>
  <si>
    <t>2015-3-2 11:30:47.151: MarketData - Let Delta - discarding new delta value - outside tolerance - old/new/tolerance -0.222854384384645/-0.229246738942478//0.02</t>
  </si>
  <si>
    <t>2015-3-2 11:30:47.183: MarketData - Let Delta - discarding new delta value - outside tolerance - old/new/tolerance -0.222854384384645/-0.228543633108772//0.02</t>
  </si>
  <si>
    <t>2015-3-2 11:30:47.197: MarketData - Let Delta - discarding new delta value - outside tolerance - old/new/tolerance -0.222854384384645/-0.23755779139474//0.02</t>
  </si>
  <si>
    <t>2015-3-2 11:30:47.238: MarketData - Let Delta - discarding new delta value - outside tolerance - old/new/tolerance -0.328942848388473/-0.333284870738859//0.02</t>
  </si>
  <si>
    <t>2015-3-2 11:30:47.268: MarketData - Let Delta - discarding new delta value - outside tolerance - old/new/tolerance -0.454699445780046/-0.458422330119773//0.02</t>
  </si>
  <si>
    <t>2015-3-2 11:30:47.335: MarketData - Let Delta - discarding new delta value - outside tolerance - old/new/tolerance -0.841517411877704/-0.714788705334627//0.02</t>
  </si>
  <si>
    <t>2015-3-2 11:30:47.335: MarketData - Let ImpliedVol - discarding new iv value - outside tolerance - old/new/tolerance 4.99710939121191E-02/8.87802100714197E-02//0.1</t>
  </si>
  <si>
    <t>2015-3-2 11:30:47.359: MarketData - Let Delta - discarding new delta value - outside tolerance - old/new/tolerance 0.177999845973687/0.187398749450088//0.02</t>
  </si>
  <si>
    <t>2015-3-2 11:30:47.374: MarketData - Let Delta - discarding new delta value - outside tolerance - old/new/tolerance -0.454699445780046/-0.457784344120936//0.02</t>
  </si>
  <si>
    <t>2015-3-2 11:30:47.399: MarketData - Let Delta - discarding new delta value - outside tolerance - old/new/tolerance -0.454699445780046/-0.459646501041537//0.02</t>
  </si>
  <si>
    <t>2015-3-2 11:30:47.518: MarketData - Let Delta - discarding new delta value - outside tolerance - old/new/tolerance 0.279795890755791/0.291264114109111//0.02</t>
  </si>
  <si>
    <t>2015-3-2 11:30:47.569: MarketData - Let Delta - discarding new delta value - outside tolerance - old/new/tolerance -0.298284426282425/-0.31006068456843//0.02</t>
  </si>
  <si>
    <t>2015-3-2 11:30:47.719: MarketData - Let Delta - discarding new delta value - outside tolerance - old/new/tolerance 0.226233447791086/0.241946455421495//0.02</t>
  </si>
  <si>
    <t>2015-3-2 11:30:47.767: MarketData - Let Delta - discarding new delta value - outside tolerance - old/new/tolerance -9.06449168909247E-02/-9.91563730866247E-02//0.02</t>
  </si>
  <si>
    <t>2015-3-2 11:30:47.783: MarketData - Let Delta - discarding new delta value - outside tolerance - old/new/tolerance -5.48268661103477E-02/-6.47662675259833E-02//0.02</t>
  </si>
  <si>
    <t>2015-3-2 11:30:47.821: MarketData - Let Delta - discarding new delta value - outside tolerance - old/new/tolerance 3.27646419885749E-02/4.27188397722152E-02//0.02</t>
  </si>
  <si>
    <t>2015-3-2 11:30:47.838: MarketData - Let Delta - discarding new delta value - outside tolerance - old/new/tolerance 6.09255264830088E-02/7.11933312032889E-02//0.02</t>
  </si>
  <si>
    <t>2015-3-2 11:30:47.860: MarketData - Let Delta - discarding new delta value - outside tolerance - old/new/tolerance 0.110070358242798/0.117189672472687//0.02</t>
  </si>
  <si>
    <t>2015-3-2 11:30:47.875: MarketData - Let Delta - discarding new delta value - outside tolerance - old/new/tolerance -9.06449168909247E-02/-0.106035483409553//0.02</t>
  </si>
  <si>
    <t>2015-3-2 11:30:48.751: MarketData - Let Delta - discarding new delta value - outside tolerance - old/new/tolerance -0.144976320097935/-0.151756478395796//0.02</t>
  </si>
  <si>
    <t>2015-3-2 11:30:48.790: MarketData - Let Delta - discarding new delta value - outside tolerance - old/new/tolerance -0.222854384384645/-0.229100889265738//0.02</t>
  </si>
  <si>
    <t>2015-3-2 11:30:48.811: MarketData - Let Delta - discarding new delta value - outside tolerance - old/new/tolerance -0.328942848388473/-0.333178762871544//0.02</t>
  </si>
  <si>
    <t>2015-3-2 11:30:48.826: MarketData - Let Delta - discarding new delta value - outside tolerance - old/new/tolerance -0.454699445780046/-0.458396101532028//0.02</t>
  </si>
  <si>
    <t>2015-3-2 11:30:48.933: MarketData - Let Delta - discarding new delta value - outside tolerance - old/new/tolerance -0.841517411877704/-0.714892953949824//0.02</t>
  </si>
  <si>
    <t>2015-3-2 11:30:48.934: MarketData - Let ImpliedVol - discarding new iv value - outside tolerance - old/new/tolerance 4.99710939121191E-02/8.87285459998708E-02//0.1</t>
  </si>
  <si>
    <t>2015-3-2 11:30:48.949: MarketData - Let Delta - discarding new delta value - outside tolerance - old/new/tolerance 0.177999845973687/0.187296430478487//0.02</t>
  </si>
  <si>
    <t>2015-3-2 11:30:49.52: MarketData - Let Delta - discarding new delta value - outside tolerance - old/new/tolerance -0.222734195212471/-0.227236828430391//0.02</t>
  </si>
  <si>
    <t>2015-3-2 11:30:49.99: MarketData - Let Delta - discarding new delta value - outside tolerance - old/new/tolerance -0.298284426282425/-0.301679653849951//0.02</t>
  </si>
  <si>
    <t>2015-3-2 11:30:49.146: MarketData - Let Delta - discarding new delta value - outside tolerance - old/new/tolerance -0.388307309600332/-0.389172054490824//0.02</t>
  </si>
  <si>
    <t>2015-3-2 11:30:49.198: MarketData - Let Delta - discarding new delta value - outside tolerance - old/new/tolerance -0.48538727948517/-0.486032176640958//0.02</t>
  </si>
  <si>
    <t>2015-3-2 11:30:49.246: MarketData - Let Delta - discarding new delta value - outside tolerance - old/new/tolerance 0.226233447791086/0.242726329094466//0.02</t>
  </si>
  <si>
    <t>2015-3-2 11:30:49.271: MarketData - Let Delta - discarding new delta value - outside tolerance - old/new/tolerance -9.06449168909247E-02/-9.90562936122132E-02//0.02</t>
  </si>
  <si>
    <t>2015-3-2 11:30:49.286: MarketData - Let Delta - discarding new delta value - outside tolerance - old/new/tolerance -5.48268661103477E-02/-6.47119647573418E-02//0.02</t>
  </si>
  <si>
    <t>2015-3-2 11:30:49.317: MarketData - Let Delta - discarding new delta value - outside tolerance - old/new/tolerance 3.27646419885749E-02/4.27274416896892E-02//0.02</t>
  </si>
  <si>
    <t>2015-3-2 11:30:49.332: MarketData - Let Delta - discarding new delta value - outside tolerance - old/new/tolerance 6.09255264830088E-02/0.071170094265044//0.02</t>
  </si>
  <si>
    <t>2015-3-2 11:30:49.359: MarketData - Let Delta - discarding new delta value - outside tolerance - old/new/tolerance 0.110070358242798/0.117122882336837//0.02</t>
  </si>
  <si>
    <t>2015-3-2 11:30:49.373: MarketData - Let Delta - discarding new delta value - outside tolerance - old/new/tolerance -0.160184441493707/-0.166677025917234//0.02</t>
  </si>
  <si>
    <t>2015-3-2 11:30:49.407: MarketData - Let Delta - discarding new delta value - outside tolerance - old/new/tolerance -0.11314892454345/-0.11883463680925//0.02</t>
  </si>
  <si>
    <t>2015-3-2 11:30:49.423: MarketData - Let Delta - discarding new delta value - outside tolerance - old/new/tolerance -7.88083866011275E-02/-8.50531946955357E-02//0.02</t>
  </si>
  <si>
    <t>2015-3-2 11:30:49.446: MarketData - Let Delta - discarding new delta value - outside tolerance - old/new/tolerance 3.84576685189784E-02/5.76445500606125E-02//0.02</t>
  </si>
  <si>
    <t>2015-3-2 11:30:49.446: MarketData - Let ImpliedVol - discarding new iv value - outside tolerance - old/new/tolerance 7.11564325087054E-02/7.94874573207345E-02//0.1</t>
  </si>
  <si>
    <t>2015-3-2 11:30:49.458: MarketData - Let Delta - discarding new delta value - outside tolerance - old/new/tolerance 6.89318382128002E-02/8.35123175849582E-02//0.02</t>
  </si>
  <si>
    <t>2015-3-2 11:30:49.479: MarketData - Let Delta - discarding new delta value - outside tolerance - old/new/tolerance 0.10687667170228/0.121705842917707//0.02</t>
  </si>
  <si>
    <t>2015-3-2 11:30:49.492: MarketData - Let Delta - discarding new delta value - outside tolerance - old/new/tolerance 0.158467943135515/0.175049980706253//0.02</t>
  </si>
  <si>
    <t>2015-3-2 11:30:51.908: MarketData - Let Delta - discarding new delta value - outside tolerance - old/new/tolerance -0.144976320097935/-0.153260827856475//0.02</t>
  </si>
  <si>
    <t>2015-3-2 11:30:51.943: MarketData - Let Delta - discarding new delta value - outside tolerance - old/new/tolerance -0.222854384384645/-0.23108614188443//0.02</t>
  </si>
  <si>
    <t>2015-3-2 11:30:51.957: MarketData - Let Delta - discarding new delta value - outside tolerance - old/new/tolerance -0.328942848388473/-0.335575073163998//0.02</t>
  </si>
  <si>
    <t>2015-3-2 11:30:51.984: MarketData - Let Delta - discarding new delta value - outside tolerance - old/new/tolerance -0.454699445780046/-0.461041139834709//0.02</t>
  </si>
  <si>
    <t>2015-3-2 11:30:52.45: MarketData - Let Delta - discarding new delta value - outside tolerance - old/new/tolerance -0.841517411877704/-0.716987130051083//0.02</t>
  </si>
  <si>
    <t>2015-3-2 11:30:52.46: MarketData - Let ImpliedVol - discarding new iv value - outside tolerance - old/new/tolerance 4.99710939121191E-02/8.87285459998708E-02//0.1</t>
  </si>
  <si>
    <t>2015-3-2 11:30:52.67: MarketData - Let Delta - discarding new delta value - outside tolerance - old/new/tolerance 0.177999845973687/0.185668570708769//0.02</t>
  </si>
  <si>
    <t>2015-3-2 11:30:52.82: MarketData - Let Delta - discarding new delta value - outside tolerance - old/new/tolerance -9.06449168909247E-02/-0.100099077531663//0.02</t>
  </si>
  <si>
    <t>2015-3-2 11:30:52.110: MarketData - Let Delta - discarding new delta value - outside tolerance - old/new/tolerance -5.48268661103477E-02/-6.53731504450358E-02//0.02</t>
  </si>
  <si>
    <t>2015-3-2 11:30:52.124: MarketData - Let Delta - discarding new delta value - outside tolerance - old/new/tolerance 3.27646419885749E-02/0.042285922546465//0.02</t>
  </si>
  <si>
    <t>2015-3-2 11:30:52.150: MarketData - Let Delta - discarding new delta value - outside tolerance - old/new/tolerance 6.09255264830088E-02/7.04222084341169E-02//0.02</t>
  </si>
  <si>
    <t>2015-3-2 11:30:52.165: MarketData - Let Delta - discarding new delta value - outside tolerance - old/new/tolerance 0.110070358242798/0.115967745008475//0.02</t>
  </si>
  <si>
    <t>2015-3-2 11:30:52.732: MarketData - Let Delta - discarding new delta value - outside tolerance - old/new/tolerance -0.144976320097935/-0.152754280967349//0.02</t>
  </si>
  <si>
    <t>2015-3-2 11:30:52.780: MarketData - Let Delta - discarding new delta value - outside tolerance - old/new/tolerance -0.144976320097935/-0.145990552156164//0.02</t>
  </si>
  <si>
    <t>2015-3-2 11:30:52.807: MarketData - Let Delta - discarding new delta value - outside tolerance - old/new/tolerance -0.144976320097935/-0.164380666004656//0.02</t>
  </si>
  <si>
    <t>2015-3-2 11:30:52.851: MarketData - Let Delta - discarding new delta value - outside tolerance - old/new/tolerance -0.222854384384645/-0.230810885622261//0.02</t>
  </si>
  <si>
    <t>2015-3-2 11:30:52.867: MarketData - Let Delta - discarding new delta value - outside tolerance - old/new/tolerance -0.222854384384645/-0.229418610715056//0.02</t>
  </si>
  <si>
    <t>2015-3-2 11:30:52.900: MarketData - Let Delta - discarding new delta value - outside tolerance - old/new/tolerance -0.222854384384645/-0.23840666786342//0.02</t>
  </si>
  <si>
    <t>2015-3-2 11:30:52.935: MarketData - Let Delta - discarding new delta value - outside tolerance - old/new/tolerance -0.328942848388473/-0.335516191437238//0.02</t>
  </si>
  <si>
    <t>2015-3-2 11:30:52.950: MarketData - Let Delta - discarding new delta value - outside tolerance - old/new/tolerance -0.328942848388473/-0.331896622194314//0.02</t>
  </si>
  <si>
    <t>2015-3-2 11:30:52.984: MarketData - Let Delta - discarding new delta value - outside tolerance - old/new/tolerance -0.328942848388473/-0.340012224325419//0.02</t>
  </si>
  <si>
    <t>2015-3-2 11:30:53.19: MarketData - Let Delta - discarding new delta value - outside tolerance - old/new/tolerance -0.454699445780046/-0.461055887356066//0.02</t>
  </si>
  <si>
    <t>2015-3-2 11:30:53.87: MarketData - Let Delta - discarding new delta value - outside tolerance - old/new/tolerance -0.841517411877704/-0.716649398025882//0.02</t>
  </si>
  <si>
    <t>2015-3-2 11:30:53.87: MarketData - Let ImpliedVol - discarding new iv value - outside tolerance - old/new/tolerance 4.99710939121191E-02/8.88941910077108E-02//0.1</t>
  </si>
  <si>
    <t>2015-3-2 11:30:53.109: MarketData - Let Delta - discarding new delta value - outside tolerance - old/new/tolerance -0.454699445780046/-0.460191874772334//0.02</t>
  </si>
  <si>
    <t>2015-3-2 11:30:53.125: MarketData - Let Delta - discarding new delta value - outside tolerance - old/new/tolerance -0.454699445780046/-0.461951165525917//0.02</t>
  </si>
  <si>
    <t>2015-3-2 11:30:53.159: MarketData - Let Delta - discarding new delta value - outside tolerance - old/new/tolerance 0.177999845973687/0.186213304609347//0.02</t>
  </si>
  <si>
    <t>2015-3-2 11:30:53.185: MarketData - Let Delta - discarding new delta value - outside tolerance - old/new/tolerance -0.222734195212471/-0.227257169767517//0.02</t>
  </si>
  <si>
    <t>2015-3-2 11:30:53.268: MarketData - Let Delta - discarding new delta value - outside tolerance - old/new/tolerance -0.298284426282425/-0.301696428298619//0.02</t>
  </si>
  <si>
    <t>2015-3-2 11:30:53.283: MarketData - Let Delta - discarding new delta value - outside tolerance - old/new/tolerance -0.388307309600332/-0.389181516153007//0.02</t>
  </si>
  <si>
    <t>2015-3-2 11:30:53.322: MarketData - Let Delta - discarding new delta value - outside tolerance - old/new/tolerance -0.48538727948517/-0.48603294646029//0.02</t>
  </si>
  <si>
    <t>2015-3-2 11:30:53.360: MarketData - Let Delta - discarding new delta value - outside tolerance - old/new/tolerance 0.278599811670925/0.290065951210436//0.02</t>
  </si>
  <si>
    <t>2015-3-2 11:30:53.439: MarketData - Let Delta - discarding new delta value - outside tolerance - old/new/tolerance 0.226233447791086/0.24273746381282//0.02</t>
  </si>
  <si>
    <t>2015-3-2 11:30:53.453: MarketData - Let Delta - discarding new delta value - outside tolerance - old/new/tolerance -0.841517411877704/-0.856003245461251//0.02</t>
  </si>
  <si>
    <t>2015-3-2 11:30:53.481: MarketData - Let Delta - discarding new delta value - outside tolerance - old/new/tolerance -0.841517411877704/-0.658297786423906//0.02</t>
  </si>
  <si>
    <t>2015-3-2 11:30:53.481: MarketData - Let ImpliedVol - discarding new iv value - outside tolerance - old/new/tolerance 0.047958464192483/0.122691190360497//0.1</t>
  </si>
  <si>
    <t>2015-3-2 11:30:53.518: MarketData - Let Delta - discarding new delta value - outside tolerance - old/new/tolerance -9.06449168909247E-02/-9.94583730531837E-02//0.02</t>
  </si>
  <si>
    <t>2015-3-2 11:30:53.533: MarketData - Let Delta - discarding new delta value - outside tolerance - old/new/tolerance -5.48268661103477E-02/-6.47358162985238E-02//0.02</t>
  </si>
  <si>
    <t>2015-3-2 11:30:53.586: MarketData - Let Delta - discarding new delta value - outside tolerance - old/new/tolerance 0.177314546111155/0.195052283582101//0.02</t>
  </si>
  <si>
    <t>2015-3-2 11:30:53.670: MarketData - Let Delta - discarding new delta value - outside tolerance - old/new/tolerance 3.27646419885749E-02/4.27360734538419E-02//0.02</t>
  </si>
  <si>
    <t>2015-3-2 11:30:53.685: MarketData - Let Delta - discarding new delta value - outside tolerance - old/new/tolerance 6.09255264830088E-02/7.10061212755918E-02//0.02</t>
  </si>
  <si>
    <t>2015-3-2 11:30:53.736: MarketData - Let Delta - discarding new delta value - outside tolerance - old/new/tolerance 0.110070358242798/0.116599495484024//0.02</t>
  </si>
  <si>
    <t>2015-3-2 11:30:53.767: MarketData - Let Delta - discarding new delta value - outside tolerance - old/new/tolerance -0.160184441493707/-0.166696594641244//0.02</t>
  </si>
  <si>
    <t>2015-3-2 11:30:53.782: MarketData - Let Delta - discarding new delta value - outside tolerance - old/new/tolerance -0.11314892454345/-0.118850256854528//0.02</t>
  </si>
  <si>
    <t>2015-3-2 11:30:53.820: MarketData - Let Delta - discarding new delta value - outside tolerance - old/new/tolerance -7.88083866011275E-02/-8.50689187468499E-02//0.02</t>
  </si>
  <si>
    <t>2015-3-2 11:30:53.841: MarketData - Let Delta - discarding new delta value - outside tolerance - old/new/tolerance 3.84576685189784E-02/5.76377513914707E-02//0.02</t>
  </si>
  <si>
    <t>2015-3-2 11:30:53.841: MarketData - Let ImpliedVol - discarding new iv value - outside tolerance - old/new/tolerance 7.11564325087054E-02/7.94846116029824E-02//0.1</t>
  </si>
  <si>
    <t>2015-3-2 11:30:53.862: MarketData - Let Delta - discarding new delta value - outside tolerance - old/new/tolerance 6.89318382128002E-02/8.35095450609284E-02//0.02</t>
  </si>
  <si>
    <t>2015-3-2 11:30:53.890: MarketData - Let Delta - discarding new delta value - outside tolerance - old/new/tolerance 0.10687667170228/0.121708279950955//0.02</t>
  </si>
  <si>
    <t>2015-3-2 11:30:53.902: MarketData - Let Delta - discarding new delta value - outside tolerance - old/new/tolerance 0.158467943135515/0.175057478373406//0.02</t>
  </si>
  <si>
    <t>2015-3-2 11:30:54.17: MarketData - Let Delta - discarding new delta value - outside tolerance - old/new/tolerance -9.06449168909247E-02/-9.11362505145125E-02//0.02</t>
  </si>
  <si>
    <t>2015-3-2 11:30:54.61: MarketData - Let Delta - discarding new delta value - outside tolerance - old/new/tolerance -9.06449168909247E-02/-0.106336297972355//0.02</t>
  </si>
  <si>
    <t>2015-3-2 11:30:55.30: MarketData - Let Delta - discarding new delta value - outside tolerance - old/new/tolerance -0.298284426282425/-0.3078269591221//0.02</t>
  </si>
  <si>
    <t>2015-3-2 11:30:55.95: MarketData - Let Delta - discarding new delta value - outside tolerance - old/new/tolerance -0.48538727948517/-0.485387294319632//0.02</t>
  </si>
  <si>
    <t>2015-3-2 11:30:57.752: MarketData - Let Delta - discarding new delta value - outside tolerance - old/new/tolerance -0.144976320097935/-0.151460854001957//0.02</t>
  </si>
  <si>
    <t>2015-3-2 11:30:57.768: MarketData - Let Delta - discarding new delta value - outside tolerance - old/new/tolerance -0.222854384384645/-0.229051951118036//0.02</t>
  </si>
  <si>
    <t>2015-3-2 11:30:57.805: MarketData - Let Delta - discarding new delta value - outside tolerance - old/new/tolerance -0.328942848388473/-0.333287251032535//0.02</t>
  </si>
  <si>
    <t>2015-3-2 11:30:57.821: MarketData - Let Delta - discarding new delta value - outside tolerance - old/new/tolerance -0.454699445780046/-0.458453971325444//0.02</t>
  </si>
  <si>
    <t>2015-3-2 11:30:57.876: MarketData - Let Delta - discarding new delta value - outside tolerance - old/new/tolerance 0.278599811670925/0.28569260669135//0.02</t>
  </si>
  <si>
    <t>2015-3-2 11:30:57.900: MarketData - Let Delta - discarding new delta value - outside tolerance - old/new/tolerance -0.841517411877704/-0.714388158145196//0.02</t>
  </si>
  <si>
    <t>2015-3-2 11:30:57.900: MarketData - Let ImpliedVol - discarding new iv value - outside tolerance - old/new/tolerance 0.047958464192483/8.89792715023887E-02//0.1</t>
  </si>
  <si>
    <t>2015-3-2 11:30:57.916: MarketData - Let Delta - discarding new delta value - outside tolerance - old/new/tolerance 0.177314546111155/0.188008409753812//0.02</t>
  </si>
  <si>
    <t>2015-3-2 11:30:57.943: MarketData - Let Delta - discarding new delta value - outside tolerance - old/new/tolerance -0.222734195212471/-0.227266805378982//0.02</t>
  </si>
  <si>
    <t>2015-3-2 11:30:57.959: MarketData - Let Delta - discarding new delta value - outside tolerance - old/new/tolerance -0.298284426282425/-0.301689102198571//0.02</t>
  </si>
  <si>
    <t>2015-3-2 11:30:57.984: MarketData - Let Delta - discarding new delta value - outside tolerance - old/new/tolerance -0.388307309600332/-0.389169800121479//0.02</t>
  </si>
  <si>
    <t>2015-3-2 11:30:57.999: MarketData - Let Delta - discarding new delta value - outside tolerance - old/new/tolerance -0.48538727948517/-0.486031403220797//0.02</t>
  </si>
  <si>
    <t>2015-3-2 11:30:58.65: MarketData - Let Delta - discarding new delta value - outside tolerance - old/new/tolerance 0.226233447791086/0.242678711569483//0.02</t>
  </si>
  <si>
    <t>2015-3-2 11:30:58.78: MarketData - Let Delta - discarding new delta value - outside tolerance - old/new/tolerance -9.06449168909247E-02/-9.85633606424693E-02//0.02</t>
  </si>
  <si>
    <t>2015-3-2 11:30:58.107: MarketData - Let Delta - discarding new delta value - outside tolerance - old/new/tolerance -5.48268661103477E-02/-6.41499017102742E-02//0.02</t>
  </si>
  <si>
    <t>2015-3-2 11:30:58.125: MarketData - Let Delta - discarding new delta value - outside tolerance - old/new/tolerance 3.27194307937138E-02/4.31703032109472E-02//0.02</t>
  </si>
  <si>
    <t>2015-3-2 11:30:58.151: MarketData - Let Delta - discarding new delta value - outside tolerance - old/new/tolerance 6.07466463330473E-02/7.17983469173677E-02//0.02</t>
  </si>
  <si>
    <t>2015-3-2 11:30:58.166: MarketData - Let Delta - discarding new delta value - outside tolerance - old/new/tolerance 0.110070358242798/0.117867682433966//0.02</t>
  </si>
  <si>
    <t>2015-3-2 11:30:58.193: MarketData - Let Delta - discarding new delta value - outside tolerance - old/new/tolerance -0.160184441493707/-0.166727600418939//0.02</t>
  </si>
  <si>
    <t>2015-3-2 11:30:58.208: MarketData - Let Delta - discarding new delta value - outside tolerance - old/new/tolerance -0.11314892454345/-0.118897701273013//0.02</t>
  </si>
  <si>
    <t>2015-3-2 11:30:58.238: MarketData - Let Delta - discarding new delta value - outside tolerance - old/new/tolerance -7.88083866011275E-02/-8.51489953345624E-02//0.02</t>
  </si>
  <si>
    <t>2015-3-2 11:30:58.255: MarketData - Let Delta - discarding new delta value - outside tolerance - old/new/tolerance 3.84576685189784E-02/5.76018522708041E-02//0.02</t>
  </si>
  <si>
    <t>2015-3-2 11:30:58.255: MarketData - Let ImpliedVol - discarding new iv value - outside tolerance - old/new/tolerance 7.11564325087054E-02/7.94695886774335E-02//0.1</t>
  </si>
  <si>
    <t>2015-3-2 11:30:58.274: MarketData - Let Delta - discarding new delta value - outside tolerance - old/new/tolerance 6.89318382128002E-02/8.34530179758964E-02//0.02</t>
  </si>
  <si>
    <t>2015-3-2 11:30:58.288: MarketData - Let Delta - discarding new delta value - outside tolerance - old/new/tolerance 0.10687667170228/0.121655132463695//0.02</t>
  </si>
  <si>
    <t>2015-3-2 11:30:58.312: MarketData - Let Delta - discarding new delta value - outside tolerance - old/new/tolerance 0.158467943135515/0.174995459141559//0.02</t>
  </si>
  <si>
    <t>2015-3-2 11:30:58.725: MarketData - Let Delta - discarding new delta value - outside tolerance - old/new/tolerance -0.144976320097935/-0.14548094337398//0.02</t>
  </si>
  <si>
    <t>2015-3-2 11:30:58.788: MarketData - Let Delta - discarding new delta value - outside tolerance - old/new/tolerance -0.144976320097935/-0.163850030265565//0.02</t>
  </si>
  <si>
    <t>2015-3-2 11:30:58.862: MarketData - Let Delta - discarding new delta value - outside tolerance - old/new/tolerance -0.222854384384645/-0.228543633108772//0.02</t>
  </si>
  <si>
    <t>2015-3-2 11:30:58.894: MarketData - Let Delta - discarding new delta value - outside tolerance - old/new/tolerance -0.222854384384645/-0.23755779139474//0.02</t>
  </si>
  <si>
    <t>2015-3-2 11:30:58.956: MarketData - Let Delta - discarding new delta value - outside tolerance - old/new/tolerance -0.328942848388473/-0.330406470587742//0.02</t>
  </si>
  <si>
    <t>2015-3-2 11:30:58.977: MarketData - Let Delta - discarding new delta value - outside tolerance - old/new/tolerance -0.328942848388473/-0.338548171049496//0.02</t>
  </si>
  <si>
    <t>2015-3-2 11:30:59.18: MarketData - Let Delta - discarding new delta value - outside tolerance - old/new/tolerance -0.454699445780046/-0.457784344120936//0.02</t>
  </si>
  <si>
    <t>2015-3-2 11:30:59.32: MarketData - Let Delta - discarding new delta value - outside tolerance - old/new/tolerance -0.454699445780046/-0.459646501041537//0.02</t>
  </si>
  <si>
    <t>2015-3-2 11:30:59.164: MarketData - Let Delta - discarding new delta value - outside tolerance - old/new/tolerance 0.279795890755791/0.291264114109111//0.02</t>
  </si>
  <si>
    <t>2015-3-2 11:30:59.209: MarketData - Let Delta - discarding new delta value - outside tolerance - old/new/tolerance -0.841517411877704/-0.842530995478639//0.02</t>
  </si>
  <si>
    <t>2015-3-2 11:30:59.266: MarketData - Let Delta - discarding new delta value - outside tolerance - old/new/tolerance -0.841517411877704/-0.655206708593222//0.02</t>
  </si>
  <si>
    <t>2015-3-2 11:30:59.266: MarketData - Let ImpliedVol - discarding new iv value - outside tolerance - old/new/tolerance 4.99710939121191E-02/0.123750880926402//0.1</t>
  </si>
  <si>
    <t>2015-3-2 11:30:59.325: MarketData - Let Delta - discarding new delta value - outside tolerance - old/new/tolerance 0.177981562986974/0.195719377794354//0.02</t>
  </si>
  <si>
    <t>2015-3-2 11:30:59.429: MarketData - Let Delta - discarding new delta value - outside tolerance - old/new/tolerance -0.48538727948517/-0.485505947116193//0.02</t>
  </si>
  <si>
    <t>2015-3-2 11:30:59.517: MarketData - Let Delta - discarding new delta value - outside tolerance - old/new/tolerance -9.06449168909247E-02/-9.08737630907327E-02//0.02</t>
  </si>
  <si>
    <t>2015-3-2 11:30:59.560: MarketData - Let Delta - discarding new delta value - outside tolerance - old/new/tolerance -9.06449168909247E-02/-0.106035483409553//0.02</t>
  </si>
  <si>
    <t>2015-3-2 11:30:59.602: MarketData - Let Delta - discarding new delta value - outside tolerance - old/new/tolerance -5.48268661103477E-02/-5.49886691393659E-02//0.02</t>
  </si>
  <si>
    <t>2015-3-2 11:30:59.617: MarketData - Let Delta - discarding new delta value - outside tolerance - old/new/tolerance -5.48268661103477E-02/-7.20561518349898E-02//0.02</t>
  </si>
  <si>
    <t>2015-3-2 11:30:59.617: MarketData - Let ImpliedVol - discarding new iv value - outside tolerance - old/new/tolerance 9.99690427196126E-02/0.110086867271899//0.1</t>
  </si>
  <si>
    <t>2015-3-2 11:30:59.687: MarketData - Let Delta - discarding new delta value - outside tolerance - old/new/tolerance 3.27538720632135E-02/5.35041259299203E-02//0.02</t>
  </si>
  <si>
    <t>2015-3-2 11:30:59.687: MarketData - Let ImpliedVol - discarding new iv value - outside tolerance - old/new/tolerance 9.11959464114657E-02/0.104113048422329//0.1</t>
  </si>
  <si>
    <t>2015-3-2 11:30:59.743: MarketData - Let Delta - discarding new delta value - outside tolerance - old/new/tolerance 6.09107516360807E-02/7.95165026121198E-02//0.02</t>
  </si>
  <si>
    <t>2015-3-2 11:30:59.744: MarketData - Let ImpliedVol - discarding new iv value - outside tolerance - old/new/tolerance 8.94726214947274E-02/9.89517326320616E-02//0.1</t>
  </si>
  <si>
    <t>2015-3-2 11:30:59.781: MarketData - Let Delta - discarding new delta value - outside tolerance - old/new/tolerance 0.110070358242798/0.101505099099934//0.02</t>
  </si>
  <si>
    <t>2015-3-2 11:30:59.810: MarketData - Let Delta - discarding new delta value - outside tolerance - old/new/tolerance 0.110070358242798/0.125402048185449//0.02</t>
  </si>
  <si>
    <t>2015-3-2 11:30:59.810: MarketData - Let ImpliedVol - discarding new iv value - outside tolerance - old/new/tolerance 8.55792319110057E-02/9.55523000892594E-02//0.1</t>
  </si>
  <si>
    <t>2015-3-2 11:31:1.141: MarketData - Let Delta - discarding new delta value - outside tolerance - old/new/tolerance -0.144976320097935/-0.151542458632609//0.02</t>
  </si>
  <si>
    <t>2015-3-2 11:31:1.187: MarketData - Let Delta - discarding new delta value - outside tolerance - old/new/tolerance -0.222854384384645/-0.223713227364629//0.02</t>
  </si>
  <si>
    <t>2015-3-2 11:31:1.227: MarketData - Let Delta - discarding new delta value - outside tolerance - old/new/tolerance -0.222854384384645/-0.22892772317784//0.02</t>
  </si>
  <si>
    <t>2015-3-2 11:31:1.242: MarketData - Let Delta - discarding new delta value - outside tolerance - old/new/tolerance -0.328942848388473/-0.333078867250359//0.02</t>
  </si>
  <si>
    <t>2015-3-2 11:31:1.278: MarketData - Let Delta - discarding new delta value - outside tolerance - old/new/tolerance -0.454699445780046/-0.458376303566119//0.02</t>
  </si>
  <si>
    <t>2015-3-2 11:31:1.359: MarketData - Let Delta - discarding new delta value - outside tolerance - old/new/tolerance -0.841517411877704/-0.714939858781566//0.02</t>
  </si>
  <si>
    <t>2015-3-2 11:31:1.359: MarketData - Let ImpliedVol - discarding new iv value - outside tolerance - old/new/tolerance 4.99710939121191E-02/8.87053201017665E-02//0.1</t>
  </si>
  <si>
    <t>2015-3-2 11:31:1.374: MarketData - Let Delta - discarding new delta value - outside tolerance - old/new/tolerance 0.177981562986974/0.187267808958927//0.02</t>
  </si>
  <si>
    <t>2015-3-2 11:31:1.401: MarketData - Let Delta - discarding new delta value - outside tolerance - old/new/tolerance -0.222734195212471/-0.227318613501526//0.02</t>
  </si>
  <si>
    <t>2015-3-2 11:31:1.416: MarketData - Let Delta - discarding new delta value - outside tolerance - old/new/tolerance -0.841517411877704/-0.855127167266318//0.02</t>
  </si>
  <si>
    <t>2015-3-2 11:31:1.475: MarketData - Let Delta - discarding new delta value - outside tolerance - old/new/tolerance -0.298284426282425/-0.301745800034393//0.02</t>
  </si>
  <si>
    <t>2015-3-2 11:31:1.518: MarketData - Let Delta - discarding new delta value - outside tolerance - old/new/tolerance -0.388307309600332/-0.389208485813167//0.02</t>
  </si>
  <si>
    <t>2015-3-2 11:31:1.559: MarketData - Let Delta - discarding new delta value - outside tolerance - old/new/tolerance -0.48538727948517/-0.486035048537757//0.02</t>
  </si>
  <si>
    <t>2015-3-2 11:31:1.626: MarketData - Let Delta - discarding new delta value - outside tolerance - old/new/tolerance -0.48538727948517/-0.485387294319632//0.02</t>
  </si>
  <si>
    <t>2015-3-2 11:31:1.654: MarketData - Let Delta - discarding new delta value - outside tolerance - old/new/tolerance 0.226233447791086/0.242758165206278//0.02</t>
  </si>
  <si>
    <t>2015-3-2 11:31:1.683: MarketData - Let Delta - discarding new delta value - outside tolerance - old/new/tolerance -9.06449168909247E-02/-0.098842869243732//0.02</t>
  </si>
  <si>
    <t>2015-3-2 11:31:1.697: MarketData - Let Delta - discarding new delta value - outside tolerance - old/new/tolerance -5.48268661103477E-02/-6.45319914945789E-02//0.02</t>
  </si>
  <si>
    <t>2015-3-2 11:31:1.736: MarketData - Let Delta - discarding new delta value - outside tolerance - old/new/tolerance 3.27538720632135E-02/4.27555966920051E-02//0.02</t>
  </si>
  <si>
    <t>2015-3-2 11:31:1.751: MarketData - Let Delta - discarding new delta value - outside tolerance - old/new/tolerance 6.09107516360807E-02/7.11904460928435E-02//0.02</t>
  </si>
  <si>
    <t>2015-3-2 11:31:1.777: MarketData - Let Delta - discarding new delta value - outside tolerance - old/new/tolerance 0.110070358242798/0.11712225505269//0.02</t>
  </si>
  <si>
    <t>2015-3-2 11:31:1.792: MarketData - Let Delta - discarding new delta value - outside tolerance - old/new/tolerance -0.160184441493707/-0.166757063180058//0.02</t>
  </si>
  <si>
    <t>2015-3-2 11:31:1.821: MarketData - Let Delta - discarding new delta value - outside tolerance - old/new/tolerance -0.11314892454345/-0.118899585420584//0.02</t>
  </si>
  <si>
    <t>2015-3-2 11:31:1.836: MarketData - Let Delta - discarding new delta value - outside tolerance - old/new/tolerance -7.88083866011275E-02/-8.51197437509675E-02//0.02</t>
  </si>
  <si>
    <t>2015-3-2 11:31:1.863: MarketData - Let Delta - discarding new delta value - outside tolerance - old/new/tolerance 3.84576685189784E-02/5.75963936007763E-02//0.02</t>
  </si>
  <si>
    <t>2015-3-2 11:31:1.863: MarketData - Let ImpliedVol - discarding new iv value - outside tolerance - old/new/tolerance 7.11564325087054E-02/7.94673048494676E-02//0.1</t>
  </si>
  <si>
    <t>2015-3-2 11:31:1.875: MarketData - Let Delta - discarding new delta value - outside tolerance - old/new/tolerance 6.89318382128002E-02/8.34771878573816E-02//0.02</t>
  </si>
  <si>
    <t>2015-3-2 11:31:1.897: MarketData - Let Delta - discarding new delta value - outside tolerance - old/new/tolerance 0.10687667170228/0.121698143257653//0.02</t>
  </si>
  <si>
    <t>2015-3-2 11:31:1.910: MarketData - Let Delta - discarding new delta value - outside tolerance - old/new/tolerance 0.158467943135515/0.175063660437052//0.02</t>
  </si>
  <si>
    <t>2015-3-2 11:31:2.52: MarketData - Let Delta - discarding new delta value - outside tolerance - old/new/tolerance -0.160184441493707/-0.160184411846491//0.02</t>
  </si>
  <si>
    <t>2015-3-2 11:31:2.69: MarketData - Let Delta - discarding new delta value - outside tolerance - old/new/tolerance -0.160184441493707/-0.177475443709682//0.02</t>
  </si>
  <si>
    <t>2015-3-2 11:31:3.308: MarketData - Let Delta - discarding new delta value - outside tolerance - old/new/tolerance -0.841517411877704/-0.842530995478639//0.02</t>
  </si>
  <si>
    <t>2015-3-2 11:31:3.386: MarketData - Let Delta - discarding new delta value - outside tolerance - old/new/tolerance -0.298284426282425/-0.31006068456843//0.02</t>
  </si>
  <si>
    <t>2015-3-2 11:31:3.440: MarketData - Let Delta - discarding new delta value - outside tolerance - old/new/tolerance -0.48538727948517/-0.485505947116193//0.02</t>
  </si>
  <si>
    <t>2015-3-2 11:31:3.600: MarketData - Let Delta - discarding new delta value - outside tolerance - old/new/tolerance -0.160184441493707/-0.164721511853304//0.02</t>
  </si>
  <si>
    <t>2015-3-2 11:31:4.146: MarketData - Let Delta - discarding new delta value - outside tolerance - old/new/tolerance -0.144976320097935/-0.153048098032//0.02</t>
  </si>
  <si>
    <t>2015-3-2 11:31:4.161: MarketData - Let Delta - discarding new delta value - outside tolerance - old/new/tolerance -0.222854384384645/-0.230914480851763//0.02</t>
  </si>
  <si>
    <t>2015-3-2 11:31:4.197: MarketData - Let Delta - discarding new delta value - outside tolerance - old/new/tolerance -0.328942848388473/-0.335476725998105//0.02</t>
  </si>
  <si>
    <t>2015-3-2 11:31:4.213: MarketData - Let Delta - discarding new delta value - outside tolerance - old/new/tolerance -0.454699445780046/-0.461022727983597//0.02</t>
  </si>
  <si>
    <t>2015-3-2 11:31:4.323: MarketData - Let Delta - discarding new delta value - outside tolerance - old/new/tolerance -0.841517411877704/-0.717034585096848//0.02</t>
  </si>
  <si>
    <t>2015-3-2 11:31:4.323: MarketData - Let ImpliedVol - discarding new iv value - outside tolerance - old/new/tolerance 4.99710939121191E-02/8.87053201017665E-02//0.1</t>
  </si>
  <si>
    <t>2015-3-2 11:31:4.340: MarketData - Let Delta - discarding new delta value - outside tolerance - old/new/tolerance 0.177981562986974/0.185639736478306//0.02</t>
  </si>
  <si>
    <t>2015-3-2 11:31:4.358: MarketData - Let Delta - discarding new delta value - outside tolerance - old/new/tolerance -9.06449168909247E-02/-9.98866362757786E-02//0.02</t>
  </si>
  <si>
    <t>2015-3-2 11:31:4.373: MarketData - Let Delta - discarding new delta value - outside tolerance - old/new/tolerance -5.48268661103477E-02/-6.51938472605006E-02//0.02</t>
  </si>
  <si>
    <t>2015-3-2 11:31:4.400: MarketData - Let Delta - discarding new delta value - outside tolerance - old/new/tolerance 3.27538720632135E-02/4.23141778540082E-02//0.02</t>
  </si>
  <si>
    <t>2015-3-2 11:31:4.414: MarketData - Let Delta - discarding new delta value - outside tolerance - old/new/tolerance 6.09107516360807E-02/7.04426478818924E-02//0.02</t>
  </si>
  <si>
    <t>2015-3-2 11:31:4.443: MarketData - Let Delta - discarding new delta value - outside tolerance - old/new/tolerance 0.110070358242798/0.11596711430706//0.02</t>
  </si>
  <si>
    <t>2015-3-2 11:31:5.68: MarketData - Let Delta - discarding new delta value - outside tolerance - old/new/tolerance -0.144976320097935/-0.145990552156164//0.02</t>
  </si>
  <si>
    <t>2015-3-2 11:31:5.83: MarketData - Let Delta - discarding new delta value - outside tolerance - old/new/tolerance -0.144976320097935/-0.164380666004656//0.02</t>
  </si>
  <si>
    <t>2015-3-2 11:31:5.116: MarketData - Let Delta - discarding new delta value - outside tolerance - old/new/tolerance -0.144976320097935/-0.152837106394421//0.02</t>
  </si>
  <si>
    <t>2015-3-2 11:31:5.143: MarketData - Let Delta - discarding new delta value - outside tolerance - old/new/tolerance -0.222854384384645/-0.230884028472425//0.02</t>
  </si>
  <si>
    <t>2015-3-2 11:31:5.158: MarketData - Let Delta - discarding new delta value - outside tolerance - old/new/tolerance -0.328942848388473/-0.335561969000545//0.02</t>
  </si>
  <si>
    <t>2015-3-2 11:31:5.193: MarketData - Let Delta - discarding new delta value - outside tolerance - old/new/tolerance -0.454699445780046/-0.46106526355229//0.02</t>
  </si>
  <si>
    <t>2015-3-2 11:31:5.252: MarketData - Let Delta - discarding new delta value - outside tolerance - old/new/tolerance -0.841517411877704/-0.716619264302974//0.02</t>
  </si>
  <si>
    <t>2015-3-2 11:31:5.252: MarketData - Let ImpliedVol - discarding new iv value - outside tolerance - old/new/tolerance 4.99710939121191E-02/8.89090002849784E-02//0.1</t>
  </si>
  <si>
    <t>2015-3-2 11:31:5.276: MarketData - Let Delta - discarding new delta value - outside tolerance - old/new/tolerance 0.177981562986974/0.186236061453675//0.02</t>
  </si>
  <si>
    <t>2015-3-2 11:31:5.291: MarketData - Let Delta - discarding new delta value - outside tolerance - old/new/tolerance -0.222734195212471/-0.227201349353346//0.02</t>
  </si>
  <si>
    <t>2015-3-2 11:31:5.318: MarketData - Let Delta - discarding new delta value - outside tolerance - old/new/tolerance -0.298284426282425/-0.301636806366517//0.02</t>
  </si>
  <si>
    <t>2015-3-2 11:31:5.333: MarketData - Let Delta - discarding new delta value - outside tolerance - old/new/tolerance -0.388307309600332/-0.389141245981238//0.02</t>
  </si>
  <si>
    <t>2015-3-2 11:31:5.364: MarketData - Let Delta - discarding new delta value - outside tolerance - old/new/tolerance -0.48538727948517/-0.486029164085325//0.02</t>
  </si>
  <si>
    <t>2015-3-2 11:31:5.412: MarketData - Let Delta - discarding new delta value - outside tolerance - old/new/tolerance 0.226233447791086/0.24265339868543//0.02</t>
  </si>
  <si>
    <t>2015-3-2 11:31:5.437: MarketData - Let Delta - discarding new delta value - outside tolerance - old/new/tolerance -9.06449168909247E-02/-9.95336481000657E-02//0.02</t>
  </si>
  <si>
    <t>2015-3-2 11:31:5.453: MarketData - Let Delta - discarding new delta value - outside tolerance - old/new/tolerance -5.48268661103477E-02/-6.47932911692671E-02//0.02</t>
  </si>
  <si>
    <t>2015-3-2 11:31:5.484: MarketData - Let Delta - discarding new delta value - outside tolerance - old/new/tolerance 3.27538720632135E-02/0.042721518590592//0.02</t>
  </si>
  <si>
    <t>2015-3-2 11:31:5.500: MarketData - Let Delta - discarding new delta value - outside tolerance - old/new/tolerance 6.09107516360807E-02/7.09989583106504E-02//0.02</t>
  </si>
  <si>
    <t>2015-3-2 11:31:5.525: MarketData - Let Delta - discarding new delta value - outside tolerance - old/new/tolerance 0.110070358242798/0.116606546530679//0.02</t>
  </si>
  <si>
    <t>2015-3-2 11:31:5.540: MarketData - Let Delta - discarding new delta value - outside tolerance - old/new/tolerance -0.160184441493707/-0.166662460559584//0.02</t>
  </si>
  <si>
    <t>2015-3-2 11:31:5.571: MarketData - Let Delta - discarding new delta value - outside tolerance - old/new/tolerance -0.11314892454345/-0.118843602652432//0.02</t>
  </si>
  <si>
    <t>2015-3-2 11:31:5.585: MarketData - Let Delta - discarding new delta value - outside tolerance - old/new/tolerance -7.88083866011275E-02/-8.50916969850428E-02//0.02</t>
  </si>
  <si>
    <t>2015-3-2 11:31:5.613: MarketData - Let Delta - discarding new delta value - outside tolerance - old/new/tolerance 3.84576685189784E-02/5.76356239548326E-02//0.02</t>
  </si>
  <si>
    <t>2015-3-2 11:31:5.613: MarketData - Let ImpliedVol - discarding new iv value - outside tolerance - old/new/tolerance 7.11564325087054E-02/7.94837211638839E-02//0.1</t>
  </si>
  <si>
    <t>2015-3-2 11:31:5.629: MarketData - Let Delta - discarding new delta value - outside tolerance - old/new/tolerance 6.89318382128002E-02/8.34769066940538E-02//0.02</t>
  </si>
  <si>
    <t>2015-3-2 11:31:5.649: MarketData - Let Delta - discarding new delta value - outside tolerance - old/new/tolerance 0.10687667170228/0.121659216009225//0.02</t>
  </si>
  <si>
    <t>2015-3-2 11:31:5.662: MarketData - Let Delta - discarding new delta value - outside tolerance - old/new/tolerance 0.158467943135515/0.174983588101792//0.02</t>
  </si>
  <si>
    <t>2015-3-2 11:31:5.688: MarketData - Let Delta - discarding new delta value - outside tolerance - old/new/tolerance -0.222854384384645/-0.229418610715056//0.02</t>
  </si>
  <si>
    <t>2015-3-2 11:31:5.704: MarketData - Let Delta - discarding new delta value - outside tolerance - old/new/tolerance -0.222854384384645/-0.23840666786342//0.02</t>
  </si>
  <si>
    <t>2015-3-2 11:31:5.741: MarketData - Let Delta - discarding new delta value - outside tolerance - old/new/tolerance -0.328942848388473/-0.334699677775042//0.02</t>
  </si>
  <si>
    <t>2015-3-2 11:31:5.768: MarketData - Let Delta - discarding new delta value - outside tolerance - old/new/tolerance -0.328942848388473/-0.342538607975327//0.02</t>
  </si>
  <si>
    <t>2015-3-2 11:31:5.813: MarketData - Let Delta - discarding new delta value - outside tolerance - old/new/tolerance -0.454699445780046/-0.460191874772334//0.02</t>
  </si>
  <si>
    <t>2015-3-2 11:31:5.828: MarketData - Let Delta - discarding new delta value - outside tolerance - old/new/tolerance -0.454699445780046/-0.461951165525917//0.02</t>
  </si>
  <si>
    <t>2015-3-2 11:31:5.950: MarketData - Let Delta - discarding new delta value - outside tolerance - old/new/tolerance 0.278599811670925/0.290065951210436//0.02</t>
  </si>
  <si>
    <t>2015-3-2 11:31:5.989: MarketData - Let Delta - discarding new delta value - outside tolerance - old/new/tolerance -0.841517411877704/-0.856003245461251//0.02</t>
  </si>
  <si>
    <t>2015-3-2 11:31:6.19: MarketData - Let Delta - discarding new delta value - outside tolerance - old/new/tolerance -0.841517411877704/-0.658297786423906//0.02</t>
  </si>
  <si>
    <t>2015-3-2 11:31:6.19: MarketData - Let ImpliedVol - discarding new iv value - outside tolerance - old/new/tolerance 0.047958464192483/0.122691190360497//0.1</t>
  </si>
  <si>
    <t>2015-3-2 11:31:6.75: MarketData - Let Delta - discarding new delta value - outside tolerance - old/new/tolerance 0.177314546111155/0.195052283582101//0.02</t>
  </si>
  <si>
    <t>2015-3-2 11:31:6.266: MarketData - Let Delta - discarding new delta value - outside tolerance - old/new/tolerance -9.06449168909247E-02/-9.11362505145125E-02//0.02</t>
  </si>
  <si>
    <t>2015-3-2 11:31:6.311: MarketData - Let Delta - discarding new delta value - outside tolerance - old/new/tolerance -9.06449168909247E-02/-0.106336297972355//0.02</t>
  </si>
  <si>
    <t>2015-3-2 11:31:6.352: MarketData - Let Delta - discarding new delta value - outside tolerance - old/new/tolerance -5.48268661103477E-02/-0.055128689098709//0.02</t>
  </si>
  <si>
    <t>2015-3-2 11:31:6.368: MarketData - Let Delta - discarding new delta value - outside tolerance - old/new/tolerance -5.48268661103477E-02/-7.22348580166118E-02//0.02</t>
  </si>
  <si>
    <t>2015-3-2 11:31:6.368: MarketData - Let ImpliedVol - discarding new iv value - outside tolerance - old/new/tolerance 9.96689423759432E-02/0.109789398610769//0.1</t>
  </si>
  <si>
    <t>2015-3-2 11:31:6.443: MarketData - Let Delta - discarding new delta value - outside tolerance - old/new/tolerance 3.27194307937138E-02/5.33824092685921E-02//0.02</t>
  </si>
  <si>
    <t>2015-3-2 11:31:6.443: MarketData - Let ImpliedVol - discarding new iv value - outside tolerance - old/new/tolerance 0.091494686998305/0.104414764988424//0.1</t>
  </si>
  <si>
    <t>2015-3-2 11:31:6.491: MarketData - Let Delta - discarding new delta value - outside tolerance - old/new/tolerance 6.07466463330473E-02/7.92664145011965E-02//0.02</t>
  </si>
  <si>
    <t>2015-3-2 11:31:6.491: MarketData - Let ImpliedVol - discarding new iv value - outside tolerance - old/new/tolerance 8.97755274328415E-02/9.92759499250112E-02//0.1</t>
  </si>
  <si>
    <t>2015-3-2 11:31:6.530: MarketData - Let Delta - discarding new delta value - outside tolerance - old/new/tolerance 0.110070358242798/0.101174546201076//0.02</t>
  </si>
  <si>
    <t>2015-3-2 11:31:6.559: MarketData - Let Delta - discarding new delta value - outside tolerance - old/new/tolerance 0.110070358242798/0.125023398574162//0.02</t>
  </si>
  <si>
    <t>2015-3-2 11:31:6.560: MarketData - Let ImpliedVol - discarding new iv value - outside tolerance - old/new/tolerance 8.59188208560561E-02/9.58922135770133E-02//0.1</t>
  </si>
  <si>
    <t>2015-3-2 11:31:6.859: MarketData - Let Delta - discarding new delta value - outside tolerance - old/new/tolerance -0.48538727948517/-0.486044357324365//0.02</t>
  </si>
  <si>
    <t>2015-3-2 11:31:8.753: MarketData - Let Delta - discarding new delta value - outside tolerance - old/new/tolerance -0.222734195212471/-0.227247852932234//0.02</t>
  </si>
  <si>
    <t>2015-3-2 11:31:8.844: MarketData - Let Delta - discarding new delta value - outside tolerance - old/new/tolerance -0.298284426282425/-0.301688750193852//0.02</t>
  </si>
  <si>
    <t>2015-3-2 11:31:8.908: MarketData - Let Delta - discarding new delta value - outside tolerance - old/new/tolerance -0.388307309600332/-0.389177226857312//0.02</t>
  </si>
  <si>
    <t>2015-3-2 11:31:8.930: MarketData - Let Delta - discarding new delta value - outside tolerance - old/new/tolerance -0.48538727948517/-0.486032604667397//0.02</t>
  </si>
  <si>
    <t>2015-3-2 11:31:9.97: MarketData - Let Delta - discarding new delta value - outside tolerance - old/new/tolerance 0.226233447791086/0.242733633744656//0.02</t>
  </si>
  <si>
    <t>2015-3-2 11:31:9.142: MarketData - Let Delta - discarding new delta value - outside tolerance - old/new/tolerance -0.160184441493707/-0.166687706082475//0.02</t>
  </si>
  <si>
    <t>2015-3-2 11:31:9.158: MarketData - Let Delta - discarding new delta value - outside tolerance - old/new/tolerance -0.11314892454345/-0.118843299116022//0.02</t>
  </si>
  <si>
    <t>2015-3-2 11:31:9.195: MarketData - Let Delta - discarding new delta value - outside tolerance - old/new/tolerance -7.88083866011275E-02/-8.50621674435912E-02//0.02</t>
  </si>
  <si>
    <t>2015-3-2 11:31:9.260: MarketData - Let Delta - discarding new delta value - outside tolerance - old/new/tolerance 3.84576685189784E-02/5.76438780952081E-02//0.02</t>
  </si>
  <si>
    <t>2015-3-2 11:31:9.260: MarketData - Let ImpliedVol - discarding new iv value - outside tolerance - old/new/tolerance 7.11564325087054E-02/7.94871760472535E-02//0.1</t>
  </si>
  <si>
    <t>2015-3-2 11:31:9.311: MarketData - Let Delta - discarding new delta value - outside tolerance - old/new/tolerance 6.89318382128002E-02/8.35140441312557E-02//0.02</t>
  </si>
  <si>
    <t>2015-3-2 11:31:9.323: MarketData - Let Delta - discarding new delta value - outside tolerance - old/new/tolerance 0.10687667170228/0.121709327264444//0.02</t>
  </si>
  <si>
    <t>2015-3-2 11:31:9.367: MarketData - Let Delta - discarding new delta value - outside tolerance - old/new/tolerance 0.158467943135515/0.17505588095173//0.02</t>
  </si>
  <si>
    <t>2015-3-2 11:31:10.726: MarketData - Let Delta - discarding new delta value - outside tolerance - old/new/tolerance -0.11314892454345/-0.13326617203789//0.02</t>
  </si>
  <si>
    <t>2015-3-2 11:31:10.813: MarketData - Let Delta - discarding new delta value - outside tolerance - old/new/tolerance 0.10687667170228/0.100200586153284//0.02</t>
  </si>
  <si>
    <t>2015-3-2 11:31:12.733: MarketData - Let Delta - discarding new delta value - outside tolerance - old/new/tolerance 0.177314546111155/0.189467288400079//0.02</t>
  </si>
  <si>
    <t>2015-3-2 11:31:12.775: MarketData - Let Delta - discarding new delta value - outside tolerance - old/new/tolerance -0.222734195212471/-0.227259916577793//0.02</t>
  </si>
  <si>
    <t>2015-3-2 11:31:12.809: MarketData - Let Delta - discarding new delta value - outside tolerance - old/new/tolerance -0.298284426282425/-0.30168626559077//0.02</t>
  </si>
  <si>
    <t>2015-3-2 11:31:12.824: MarketData - Let Delta - discarding new delta value - outside tolerance - old/new/tolerance -0.388307309600332/-0.389168544245126//0.02</t>
  </si>
  <si>
    <t>2015-3-2 11:31:12.859: MarketData - Let Delta - discarding new delta value - outside tolerance - old/new/tolerance -0.48538727948517/-0.486031219589854//0.02</t>
  </si>
  <si>
    <t>2015-3-2 11:31:12.912: MarketData - Let Delta - discarding new delta value - outside tolerance - old/new/tolerance 0.226913286432093/0.242652700421501//0.02</t>
  </si>
  <si>
    <t>2015-3-2 11:31:12.938: MarketData - Let Delta - discarding new delta value - outside tolerance - old/new/tolerance -0.160184441493707/-0.16671469697681//0.02</t>
  </si>
  <si>
    <t>2015-3-2 11:31:12.952: MarketData - Let Delta - discarding new delta value - outside tolerance - old/new/tolerance -0.11314892454345/-0.118879221580344//0.02</t>
  </si>
  <si>
    <t>2015-3-2 11:31:12.987: MarketData - Let Delta - discarding new delta value - outside tolerance - old/new/tolerance -7.88083866011275E-02/-8.51171798274735E-02//0.02</t>
  </si>
  <si>
    <t>2015-3-2 11:31:13.2: MarketData - Let Delta - discarding new delta value - outside tolerance - old/new/tolerance 3.84576685189784E-02/5.75281131262374E-02//0.02</t>
  </si>
  <si>
    <t>2015-3-2 11:31:13.2: MarketData - Let ImpliedVol - discarding new iv value - outside tolerance - old/new/tolerance 7.11564325087054E-02/0.079438748331933//0.1</t>
  </si>
  <si>
    <t>2015-3-2 11:31:13.24: MarketData - Let Delta - discarding new delta value - outside tolerance - old/new/tolerance 6.89318382128002E-02/8.33763921719188E-02//0.02</t>
  </si>
  <si>
    <t>2015-3-2 11:31:13.38: MarketData - Let Delta - discarding new delta value - outside tolerance - old/new/tolerance 0.10687667170228/0.121605718579143//0.02</t>
  </si>
  <si>
    <t>2015-3-2 11:31:13.38: MarketData - Let ImpliedVol - discarding new iv value - outside tolerance - old/new/tolerance 6.94587861214471E-02/7.65079474911072E-02//0.1</t>
  </si>
  <si>
    <t>2015-3-2 11:31:13.63: MarketData - Let Delta - discarding new delta value - outside tolerance - old/new/tolerance 0.158467943135515/0.174955474109563//0.02</t>
  </si>
  <si>
    <t>2015-3-2 11:31:15.139: MarketData - Let Delta - discarding new delta value - outside tolerance - old/new/tolerance -0.328942848388473/-0.331896622194314//0.02</t>
  </si>
  <si>
    <t>2015-3-2 11:31:15.169: MarketData - Let Delta - discarding new delta value - outside tolerance - old/new/tolerance -0.328942848388473/-0.340012224325419//0.02</t>
  </si>
  <si>
    <t>2015-3-2 11:31:15.260: MarketData - Let Delta - discarding new delta value - outside tolerance - old/new/tolerance 0.177314546111155/0.195052283582101//0.02</t>
  </si>
  <si>
    <t>2015-3-2 11:31:16.722: MarketData - Let Delta - discarding new delta value - outside tolerance - old/new/tolerance -0.144976320097935/-0.152672484599745//0.02</t>
  </si>
  <si>
    <t>2015-3-2 11:31:16.754: MarketData - Let Delta - discarding new delta value - outside tolerance - old/new/tolerance -0.222854384384645/-0.230709058122875//0.02</t>
  </si>
  <si>
    <t>2015-3-2 11:31:16.770: MarketData - Let Delta - discarding new delta value - outside tolerance - old/new/tolerance -0.328942848388473/-0.335434373231584//0.02</t>
  </si>
  <si>
    <t>2015-3-2 11:31:16.817: MarketData - Let Delta - discarding new delta value - outside tolerance - old/new/tolerance -0.454699445780046/-0.461035223605349//0.02</t>
  </si>
  <si>
    <t>2015-3-2 11:31:16.879: MarketData - Let Delta - discarding new delta value - outside tolerance - old/new/tolerance -0.841517411877704/-0.7167518203677//0.02</t>
  </si>
  <si>
    <t>2015-3-2 11:31:16.879: MarketData - Let ImpliedVol - discarding new iv value - outside tolerance - old/new/tolerance 0.047958464192483/8.88438918986907E-02//0.1</t>
  </si>
  <si>
    <t>2015-3-2 11:31:16.905: MarketData - Let Delta - discarding new delta value - outside tolerance - old/new/tolerance 0.177314546111155/0.186104145175681//0.02</t>
  </si>
  <si>
    <t>2015-3-2 11:31:16.923: MarketData - Let Delta - discarding new delta value - outside tolerance - old/new/tolerance -9.06449168909247E-02/-9.94169339170647E-02//0.02</t>
  </si>
  <si>
    <t>2015-3-2 11:31:16.945: MarketData - Let Delta - discarding new delta value - outside tolerance - old/new/tolerance -5.48268661103477E-02/-6.47324385876478E-02//0.02</t>
  </si>
  <si>
    <t>2015-3-2 11:31:16.961: MarketData - Let Delta - discarding new delta value - outside tolerance - old/new/tolerance 3.27194307937138E-02/4.27263960042946E-02//0.02</t>
  </si>
  <si>
    <t>2015-3-2 11:31:16.986: MarketData - Let Delta - discarding new delta value - outside tolerance - old/new/tolerance 6.07466463330473E-02/0.070963510223424//0.02</t>
  </si>
  <si>
    <t>2015-3-2 11:31:17.3: MarketData - Let Delta - discarding new delta value - outside tolerance - old/new/tolerance 0.110070358242798/0.116517347349836//0.02</t>
  </si>
  <si>
    <t>2015-3-2 11:31:19.186: MarketData - Let Delta - discarding new delta value - outside tolerance - old/new/tolerance -0.48538727948517/-0.485943371733785//0.02</t>
  </si>
  <si>
    <t>2015-3-2 11:31:20.733: MarketData - Let Delta - discarding new delta value - outside tolerance - old/new/tolerance -0.144976320097935/-0.152966985245291//0.02</t>
  </si>
  <si>
    <t>2015-3-2 11:31:20.795: MarketData - Let Delta - discarding new delta value - outside tolerance - old/new/tolerance -0.222854384384645/-0.23103762907922//0.02</t>
  </si>
  <si>
    <t>2015-3-2 11:31:20.820: MarketData - Let Delta - discarding new delta value - outside tolerance - old/new/tolerance -0.328942848388473/-0.335681879652302//0.02</t>
  </si>
  <si>
    <t>2015-3-2 11:31:20.855: MarketData - Let Delta - discarding new delta value - outside tolerance - old/new/tolerance -0.454699445780046/-0.461094957563803//0.02</t>
  </si>
  <si>
    <t>2015-3-2 11:31:20.931: MarketData - Let Delta - discarding new delta value - outside tolerance - old/new/tolerance -0.841517411877704/-0.716476412927292//0.02</t>
  </si>
  <si>
    <t>2015-3-2 11:31:20.931: MarketData - Let ImpliedVol - discarding new iv value - outside tolerance - old/new/tolerance 0.047958464192483/8.89792715023887E-02//0.1</t>
  </si>
  <si>
    <t>2015-3-2 11:31:20.945: MarketData - Let Delta - discarding new delta value - outside tolerance - old/new/tolerance 0.177314546111155/0.186385841210961//0.02</t>
  </si>
  <si>
    <t>2015-3-2 11:31:20.978: MarketData - Let Delta - discarding new delta value - outside tolerance - old/new/tolerance -0.222734195212471/-0.227367907060241//0.02</t>
  </si>
  <si>
    <t>2015-3-2 11:31:20.990: MarketData - Let Delta - discarding new delta value - outside tolerance - old/new/tolerance -0.298284426282425/-0.301781446881055//0.02</t>
  </si>
  <si>
    <t>2015-3-2 11:31:21.16: MarketData - Let Delta - discarding new delta value - outside tolerance - old/new/tolerance -0.388307309600332/-0.389224617667304//0.02</t>
  </si>
  <si>
    <t>2015-3-2 11:31:21.27: MarketData - Let Delta - discarding new delta value - outside tolerance - old/new/tolerance -0.48538727948517/-0.486035900704371//0.02</t>
  </si>
  <si>
    <t>2015-3-2 11:31:21.108: MarketData - Let Delta - discarding new delta value - outside tolerance - old/new/tolerance 0.226913286432093/0.242716469456733//0.02</t>
  </si>
  <si>
    <t>2015-3-2 11:31:21.136: MarketData - Let Delta - discarding new delta value - outside tolerance - old/new/tolerance -9.06449168909247E-02/-9.96084151837275E-02//0.02</t>
  </si>
  <si>
    <t>2015-3-2 11:31:21.149: MarketData - Let Delta - discarding new delta value - outside tolerance - old/new/tolerance -5.48268661103477E-02/-6.48131800593103E-02//0.02</t>
  </si>
  <si>
    <t>2015-3-2 11:31:21.192: MarketData - Let Delta - discarding new delta value - outside tolerance - old/new/tolerance 3.27194307937138E-02/4.27303617929122E-02//0.02</t>
  </si>
  <si>
    <t>2015-3-2 11:31:21.201: MarketData - Let Delta - discarding new delta value - outside tolerance - old/new/tolerance 6.07466463330473E-02/7.10531658462089E-02//0.02</t>
  </si>
  <si>
    <t>2015-3-2 11:31:21.211: MarketData - Let Delta - discarding new delta value - outside tolerance - old/new/tolerance 0.110070358242798/0.116716602508388//0.02</t>
  </si>
  <si>
    <t>2015-3-2 11:31:21.220: MarketData - Let Delta - discarding new delta value - outside tolerance - old/new/tolerance -0.160184441493707/-0.166808496084603//0.02</t>
  </si>
  <si>
    <t>2015-3-2 11:31:21.230: MarketData - Let Delta - discarding new delta value - outside tolerance - old/new/tolerance -0.11314892454345/-0.118942557822559//0.02</t>
  </si>
  <si>
    <t>2015-3-2 11:31:21.239: MarketData - Let Delta - discarding new delta value - outside tolerance - old/new/tolerance -7.88083866011275E-02/-8.51635466615982E-02//0.02</t>
  </si>
  <si>
    <t>2015-3-2 11:31:21.248: MarketData - Let Delta - discarding new delta value - outside tolerance - old/new/tolerance 3.84576685189784E-02/0.057454350504275//0.02</t>
  </si>
  <si>
    <t>2015-3-2 11:31:21.248: MarketData - Let ImpliedVol - discarding new iv value - outside tolerance - old/new/tolerance 7.11564325087054E-02/7.94079220015167E-02//0.1</t>
  </si>
  <si>
    <t>2015-3-2 11:31:21.255: MarketData - Let Delta - discarding new delta value - outside tolerance - old/new/tolerance 6.89318382128002E-02/8.33295760440161E-02//0.02</t>
  </si>
  <si>
    <t>2015-3-2 11:31:21.272: MarketData - Let Delta - discarding new delta value - outside tolerance - old/new/tolerance 0.10687667170228/0.121604234245256//0.02</t>
  </si>
  <si>
    <t>2015-3-2 11:31:21.272: MarketData - Let ImpliedVol - discarding new iv value - outside tolerance - old/new/tolerance 6.94587861214471E-02/7.65074072078669E-02//0.1</t>
  </si>
  <si>
    <t>2015-3-2 11:31:21.343: MarketData - Let Delta - discarding new delta value - outside tolerance - old/new/tolerance 0.158467943135515/0.174990987944701//0.02</t>
  </si>
  <si>
    <t>2015-3-2 11:31:21.362: MarketData - Let Delta - discarding new delta value - outside tolerance - old/new/tolerance -0.11314892454345/-0.128538877116067//0.02</t>
  </si>
  <si>
    <t>2015-3-2 11:31:23.111: MarketData - Let Delta - discarding new delta value - outside tolerance - old/new/tolerance -0.144976320097935/-0.151460854001957//0.02</t>
  </si>
  <si>
    <t>2015-3-2 11:31:23.125: MarketData - Let Delta - discarding new delta value - outside tolerance - old/new/tolerance -0.144976320097935/-0.14548094337398//0.02</t>
  </si>
  <si>
    <t>2015-3-2 11:31:23.151: MarketData - Let Delta - discarding new delta value - outside tolerance - old/new/tolerance -0.144976320097935/-0.163850030265565//0.02</t>
  </si>
  <si>
    <t>2015-3-2 11:31:23.183: MarketData - Let Delta - discarding new delta value - outside tolerance - old/new/tolerance -0.222854384384645/-0.229051951118036//0.02</t>
  </si>
  <si>
    <t>2015-3-2 11:31:23.197: MarketData - Let Delta - discarding new delta value - outside tolerance - old/new/tolerance -0.222854384384645/-0.223713227364629//0.02</t>
  </si>
  <si>
    <t>2015-3-2 11:31:23.246: MarketData - Let Delta - discarding new delta value - outside tolerance - old/new/tolerance -0.222854384384645/-0.23755779139474//0.02</t>
  </si>
  <si>
    <t>2015-3-2 11:31:23.270: MarketData - Let Delta - discarding new delta value - outside tolerance - old/new/tolerance -0.328942848388473/-0.333287251032535//0.02</t>
  </si>
  <si>
    <t>2015-3-2 11:31:23.283: MarketData - Let Delta - discarding new delta value - outside tolerance - old/new/tolerance -0.328942848388473/-0.330431609405382//0.02</t>
  </si>
  <si>
    <t>2015-3-2 11:31:23.310: MarketData - Let Delta - discarding new delta value - outside tolerance - old/new/tolerance -0.328942848388473/-0.338571887897966//0.02</t>
  </si>
  <si>
    <t>2015-3-2 11:31:23.328: MarketData - Let Delta - discarding new delta value - outside tolerance - old/new/tolerance -0.454699445780046/-0.458453971325444//0.02</t>
  </si>
  <si>
    <t>2015-3-2 11:31:23.365: MarketData - Let Delta - discarding new delta value - outside tolerance - old/new/tolerance -0.454699445780046/-0.457784344120936//0.02</t>
  </si>
  <si>
    <t>2015-3-2 11:31:23.390: MarketData - Let Delta - discarding new delta value - outside tolerance - old/new/tolerance -0.454699445780046/-0.459646501041537//0.02</t>
  </si>
  <si>
    <t>2015-3-2 11:31:23.517: MarketData - Let Delta - discarding new delta value - outside tolerance - old/new/tolerance -0.841517411877704/-0.714388158145196//0.02</t>
  </si>
  <si>
    <t>2015-3-2 11:31:23.517: MarketData - Let ImpliedVol - discarding new iv value - outside tolerance - old/new/tolerance 0.047958464192483/8.89792715023887E-02//0.1</t>
  </si>
  <si>
    <t>2015-3-2 11:31:23.530: MarketData - Let Delta - discarding new delta value - outside tolerance - old/new/tolerance 0.177314546111155/0.188008409753812//0.02</t>
  </si>
  <si>
    <t>2015-3-2 11:31:23.561: MarketData - Let Delta - discarding new delta value - outside tolerance - old/new/tolerance 0.28569260669135/0.279795890755791//0.02</t>
  </si>
  <si>
    <t>2015-3-2 11:31:23.607: MarketData - Let Delta - discarding new delta value - outside tolerance - old/new/tolerance -0.841517411877704/-0.842530995478639//0.02</t>
  </si>
  <si>
    <t>2015-3-2 11:31:23.621: MarketData - Let Delta - discarding new delta value - outside tolerance - old/new/tolerance -0.841517411877704/-0.655206708593222//0.02</t>
  </si>
  <si>
    <t>2015-3-2 11:31:23.621: MarketData - Let ImpliedVol - discarding new iv value - outside tolerance - old/new/tolerance 4.99710939121191E-02/0.123750880926402//0.1</t>
  </si>
  <si>
    <t>2015-3-2 11:31:23.682: MarketData - Let Delta - discarding new delta value - outside tolerance - old/new/tolerance 0.177981562986974/0.195719377794354//0.02</t>
  </si>
  <si>
    <t>2015-3-2 11:31:23.726: MarketData - Let Delta - discarding new delta value - outside tolerance - old/new/tolerance -0.298284426282425/-0.3078269591221//0.02</t>
  </si>
  <si>
    <t>2015-3-2 11:31:23.777: MarketData - Let Delta - discarding new delta value - outside tolerance - old/new/tolerance 0.324280949118128/0.317260141298078//0.02</t>
  </si>
  <si>
    <t>2015-3-2 11:31:23.816: MarketData - Let Delta - discarding new delta value - outside tolerance - old/new/tolerance -9.06449168909247E-02/-9.85633606424693E-02//0.02</t>
  </si>
  <si>
    <t>2015-3-2 11:31:23.851: MarketData - Let Delta - discarding new delta value - outside tolerance - old/new/tolerance -5.48268661103477E-02/-6.41499017102742E-02//0.02</t>
  </si>
  <si>
    <t>2015-3-2 11:31:23.864: MarketData - Let Delta - discarding new delta value - outside tolerance - old/new/tolerance 3.27194307937138E-02/4.31703032109472E-02//0.02</t>
  </si>
  <si>
    <t>2015-3-2 11:31:23.893: MarketData - Let Delta - discarding new delta value - outside tolerance - old/new/tolerance 6.07466463330473E-02/7.17983469173677E-02//0.02</t>
  </si>
  <si>
    <t>2015-3-2 11:31:23.906: MarketData - Let Delta - discarding new delta value - outside tolerance - old/new/tolerance 0.110070358242798/0.117867682433966//0.02</t>
  </si>
  <si>
    <t>2015-3-2 11:31:23.936: MarketData - Let Delta - discarding new delta value - outside tolerance - old/new/tolerance -9.06449168909247E-02/-9.08737630907327E-02//0.02</t>
  </si>
  <si>
    <t>2015-3-2 11:31:23.949: MarketData - Let Delta - discarding new delta value - outside tolerance - old/new/tolerance -9.06449168909247E-02/-0.106035483409553//0.02</t>
  </si>
  <si>
    <t>2015-3-2 11:31:23.981: MarketData - Let Delta - discarding new delta value - outside tolerance - old/new/tolerance -5.48268661103477E-02/-5.49886691393659E-02//0.02</t>
  </si>
  <si>
    <t>2015-3-2 11:31:23.995: MarketData - Let Delta - discarding new delta value - outside tolerance - old/new/tolerance -5.48268661103477E-02/-7.20561518349898E-02//0.02</t>
  </si>
  <si>
    <t>2015-3-2 11:31:23.995: MarketData - Let ImpliedVol - discarding new iv value - outside tolerance - old/new/tolerance 9.99690427196126E-02/0.110086867271899//0.1</t>
  </si>
  <si>
    <t>2015-3-2 11:31:24.58: MarketData - Let Delta - discarding new delta value - outside tolerance - old/new/tolerance 3.27538720632135E-02/5.35041259299203E-02//0.02</t>
  </si>
  <si>
    <t>2015-3-2 11:31:24.58: MarketData - Let ImpliedVol - discarding new iv value - outside tolerance - old/new/tolerance 9.11959464114657E-02/0.104113048422329//0.1</t>
  </si>
  <si>
    <t>2015-3-2 11:31:24.111: MarketData - Let Delta - discarding new delta value - outside tolerance - old/new/tolerance 6.09107516360807E-02/7.95165026121198E-02//0.02</t>
  </si>
  <si>
    <t>2015-3-2 11:31:24.111: MarketData - Let ImpliedVol - discarding new iv value - outside tolerance - old/new/tolerance 8.94726214947274E-02/9.89517326320616E-02//0.1</t>
  </si>
  <si>
    <t>2015-3-2 11:31:24.152: MarketData - Let Delta - discarding new delta value - outside tolerance - old/new/tolerance 0.110035213132761/0.125402048185449//0.02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</si>
</sst>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[$$-409]* #,##0_ ;_-[$$-409]* \-#,##0\ ;_-[$$-409]* &quot;-&quot;??_ ;_-@_ "/>
    <numFmt numFmtId="175" formatCode="_-* #,##0.0000_-;\-* #,##0.00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rgb="FF0000F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8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172" fontId="0" fillId="0" borderId="0" xfId="0" applyNumberForma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4" fontId="8" fillId="7" borderId="0" xfId="0" applyNumberFormat="1" applyFont="1" applyFill="1" applyBorder="1" applyAlignment="1"/>
    <xf numFmtId="1" fontId="17" fillId="10" borderId="0" xfId="0" applyNumberFormat="1" applyFont="1" applyFill="1"/>
    <xf numFmtId="0" fontId="3" fillId="10" borderId="2" xfId="0" applyFont="1" applyFill="1" applyBorder="1" applyAlignment="1"/>
    <xf numFmtId="0" fontId="3" fillId="10" borderId="13" xfId="0" applyFont="1" applyFill="1" applyBorder="1" applyAlignment="1"/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5" fontId="8" fillId="7" borderId="0" xfId="0" applyNumberFormat="1" applyFont="1" applyFill="1" applyBorder="1" applyAlignment="1"/>
    <xf numFmtId="175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4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19" fillId="0" borderId="0" xfId="0" applyFont="1"/>
    <xf numFmtId="0" fontId="20" fillId="0" borderId="0" xfId="0" applyFont="1"/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3" xfId="0" applyFont="1" applyFill="1" applyBorder="1" applyAlignment="1" applyProtection="1">
      <alignment horizontal="center" wrapText="1"/>
      <protection locked="0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2" fillId="6" borderId="10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2" fillId="2" borderId="1" xfId="0" applyFont="1" applyFill="1" applyBorder="1" applyAlignment="1"/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2" fillId="2" borderId="6" xfId="0" applyFont="1" applyFill="1" applyBorder="1" applyAlignment="1"/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161925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266700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66675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123825</xdr:colOff>
          <xdr:row>25</xdr:row>
          <xdr:rowOff>0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29"/>
  <sheetViews>
    <sheetView tabSelected="1" zoomScale="65" zoomScaleNormal="65" workbookViewId="0">
      <selection activeCell="T72" sqref="T72"/>
    </sheetView>
  </sheetViews>
  <sheetFormatPr defaultRowHeight="15" x14ac:dyDescent="0.25"/>
  <cols>
    <col min="1" max="1" width="17.7109375" customWidth="1"/>
    <col min="2" max="2" width="9.7109375" customWidth="1"/>
    <col min="3" max="3" width="25.4257812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2" x14ac:dyDescent="0.25">
      <c r="B1" t="s">
        <v>183</v>
      </c>
      <c r="C1">
        <v>3</v>
      </c>
      <c r="D1" t="s">
        <v>184</v>
      </c>
    </row>
    <row r="5" spans="1:32" x14ac:dyDescent="0.25">
      <c r="A5" s="60" t="s">
        <v>14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AF5" s="36"/>
    </row>
    <row r="6" spans="1:32" x14ac:dyDescent="0.25">
      <c r="A6" s="112" t="s">
        <v>124</v>
      </c>
      <c r="B6" s="112"/>
      <c r="C6" s="112"/>
      <c r="D6" s="112"/>
      <c r="E6" s="112" t="s">
        <v>125</v>
      </c>
      <c r="F6" s="112"/>
      <c r="G6" s="112" t="s">
        <v>126</v>
      </c>
      <c r="H6" s="112"/>
      <c r="I6" s="112" t="s">
        <v>127</v>
      </c>
      <c r="J6" s="112"/>
      <c r="K6" s="112" t="s">
        <v>128</v>
      </c>
      <c r="L6" s="112"/>
      <c r="M6" s="112" t="s">
        <v>129</v>
      </c>
      <c r="N6" s="112"/>
      <c r="O6" s="112"/>
      <c r="P6" s="112"/>
      <c r="Q6" s="112"/>
      <c r="R6" s="112"/>
      <c r="S6" s="112"/>
      <c r="T6" s="112"/>
      <c r="U6" s="61"/>
      <c r="V6" s="61"/>
      <c r="W6" s="61"/>
      <c r="AF6" s="36"/>
    </row>
    <row r="7" spans="1:32" x14ac:dyDescent="0.25">
      <c r="A7" s="113" t="s">
        <v>205</v>
      </c>
      <c r="B7" s="113"/>
      <c r="C7" s="113">
        <v>7497</v>
      </c>
      <c r="D7" s="113"/>
      <c r="E7" s="113">
        <v>7</v>
      </c>
      <c r="F7" s="113"/>
      <c r="G7" s="113">
        <v>5</v>
      </c>
      <c r="H7" s="113"/>
      <c r="I7" s="114">
        <v>0.96388888888888891</v>
      </c>
      <c r="J7" s="115"/>
      <c r="K7" s="110" t="s">
        <v>207</v>
      </c>
      <c r="L7" s="111"/>
      <c r="M7" s="116"/>
      <c r="N7" s="117"/>
      <c r="O7" s="116"/>
      <c r="P7" s="117"/>
      <c r="Q7" s="116"/>
      <c r="R7" s="117"/>
      <c r="S7" s="116"/>
      <c r="T7" s="117"/>
      <c r="U7" s="62"/>
      <c r="V7" s="63"/>
      <c r="W7" s="63"/>
      <c r="AF7" s="36"/>
    </row>
    <row r="11" spans="1:32" ht="23.25" x14ac:dyDescent="0.35">
      <c r="A11" s="17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39"/>
    </row>
    <row r="12" spans="1:32" ht="23.25" x14ac:dyDescent="0.35">
      <c r="A12" s="121" t="s">
        <v>134</v>
      </c>
      <c r="B12" s="121"/>
      <c r="C12" s="121" t="s">
        <v>135</v>
      </c>
      <c r="D12" s="121"/>
      <c r="E12" s="65" t="s">
        <v>136</v>
      </c>
      <c r="F12" s="65"/>
      <c r="G12" s="121" t="s">
        <v>137</v>
      </c>
      <c r="H12" s="121"/>
      <c r="I12" s="121" t="s">
        <v>138</v>
      </c>
      <c r="J12" s="121"/>
      <c r="K12" s="112" t="s">
        <v>139</v>
      </c>
      <c r="L12" s="112"/>
      <c r="M12" s="112" t="s">
        <v>140</v>
      </c>
      <c r="N12" s="112"/>
      <c r="O12" s="61" t="s">
        <v>141</v>
      </c>
      <c r="P12" s="61"/>
      <c r="Q12" s="61" t="s">
        <v>142</v>
      </c>
      <c r="R12" s="61"/>
      <c r="S12" s="61"/>
      <c r="T12" s="61"/>
      <c r="U12" s="61"/>
      <c r="V12" s="61"/>
      <c r="W12" s="61"/>
      <c r="AB12" s="39"/>
    </row>
    <row r="13" spans="1:32" ht="23.25" x14ac:dyDescent="0.35">
      <c r="A13" s="5">
        <v>1041135.25</v>
      </c>
      <c r="B13" s="3"/>
      <c r="C13" s="5">
        <v>334931.34000000003</v>
      </c>
      <c r="D13" s="3"/>
      <c r="E13" s="5">
        <v>267951.81</v>
      </c>
      <c r="F13" s="5"/>
      <c r="G13" s="5">
        <v>706203.91</v>
      </c>
      <c r="H13" s="5"/>
      <c r="I13" s="5">
        <v>-3701</v>
      </c>
      <c r="J13" s="5"/>
      <c r="K13" s="6">
        <v>0</v>
      </c>
      <c r="L13" s="4"/>
      <c r="M13" s="62" t="s">
        <v>206</v>
      </c>
      <c r="N13" s="63"/>
      <c r="O13" s="62" t="b">
        <v>1</v>
      </c>
      <c r="P13" s="63"/>
      <c r="Q13" s="66"/>
      <c r="R13" s="67"/>
      <c r="S13" s="62"/>
      <c r="T13" s="63"/>
      <c r="U13" s="62"/>
      <c r="V13" s="63"/>
      <c r="W13" s="63"/>
      <c r="Y13" s="39"/>
      <c r="Z13" s="39"/>
      <c r="AA13" s="39"/>
      <c r="AB13" s="39"/>
    </row>
    <row r="14" spans="1:32" ht="23.25" x14ac:dyDescent="0.35">
      <c r="Y14" s="39"/>
      <c r="Z14" s="39"/>
      <c r="AA14" s="39"/>
      <c r="AB14" s="39"/>
    </row>
    <row r="15" spans="1:32" ht="23.25" x14ac:dyDescent="0.35">
      <c r="Y15" s="39"/>
      <c r="Z15" s="39"/>
      <c r="AA15" s="39"/>
      <c r="AB15" s="39"/>
    </row>
    <row r="16" spans="1:32" ht="23.25" x14ac:dyDescent="0.35">
      <c r="Y16" s="39"/>
      <c r="Z16" s="39"/>
      <c r="AA16" s="39"/>
      <c r="AB16" s="39"/>
    </row>
    <row r="17" spans="1:37" ht="23.25" x14ac:dyDescent="0.35">
      <c r="Y17" s="39"/>
      <c r="Z17" s="39"/>
      <c r="AA17" s="39"/>
      <c r="AB17" s="39"/>
    </row>
    <row r="18" spans="1:37" ht="23.25" x14ac:dyDescent="0.35">
      <c r="Y18" s="39"/>
      <c r="Z18" s="39"/>
      <c r="AA18" s="39"/>
      <c r="AB18" s="39"/>
    </row>
    <row r="19" spans="1:37" ht="23.25" x14ac:dyDescent="0.35">
      <c r="A19" s="100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S19" s="101"/>
      <c r="T19" s="101"/>
      <c r="U19" s="101"/>
      <c r="V19" s="101"/>
      <c r="W19" s="101"/>
      <c r="Y19" s="39"/>
      <c r="Z19" s="39"/>
      <c r="AA19" s="39"/>
      <c r="AB19" s="39"/>
    </row>
    <row r="20" spans="1:37" s="11" customFormat="1" ht="46.5" x14ac:dyDescent="0.35">
      <c r="A20" s="10" t="s">
        <v>144</v>
      </c>
      <c r="B20" s="10" t="s">
        <v>145</v>
      </c>
      <c r="C20" s="10"/>
      <c r="D20" s="10"/>
      <c r="E20" s="10" t="s">
        <v>146</v>
      </c>
      <c r="F20" s="10"/>
      <c r="G20" s="10" t="s">
        <v>147</v>
      </c>
      <c r="H20" s="10" t="s">
        <v>148</v>
      </c>
      <c r="I20" s="10" t="s">
        <v>149</v>
      </c>
      <c r="J20" s="10"/>
      <c r="K20" s="10" t="s">
        <v>150</v>
      </c>
      <c r="L20" s="10"/>
      <c r="M20" s="10" t="s">
        <v>151</v>
      </c>
      <c r="N20" s="10" t="s">
        <v>152</v>
      </c>
      <c r="Y20" s="39"/>
      <c r="Z20" s="39"/>
      <c r="AA20" s="39"/>
      <c r="AB20" s="40"/>
      <c r="AC20"/>
      <c r="AD20"/>
      <c r="AE20"/>
      <c r="AF20"/>
      <c r="AG20"/>
      <c r="AH20"/>
      <c r="AI20"/>
      <c r="AJ20"/>
    </row>
    <row r="21" spans="1:37" ht="21" x14ac:dyDescent="0.35">
      <c r="A21" s="78">
        <v>1</v>
      </c>
      <c r="B21" s="78">
        <v>1</v>
      </c>
      <c r="C21" s="79"/>
      <c r="D21" s="80"/>
      <c r="E21" s="118">
        <v>5</v>
      </c>
      <c r="F21" s="118"/>
      <c r="G21" s="81">
        <v>5</v>
      </c>
      <c r="H21" s="81">
        <v>10</v>
      </c>
      <c r="I21" s="81">
        <v>0.2</v>
      </c>
      <c r="J21" s="81"/>
      <c r="K21" s="119">
        <v>8</v>
      </c>
      <c r="L21" s="120"/>
      <c r="M21" s="82">
        <v>1</v>
      </c>
      <c r="N21" s="83" t="s">
        <v>100</v>
      </c>
    </row>
    <row r="23" spans="1:37" ht="18.75" x14ac:dyDescent="0.3">
      <c r="Y23" s="37"/>
      <c r="Z23" s="37"/>
      <c r="AA23" s="37"/>
      <c r="AB23" s="37"/>
    </row>
    <row r="24" spans="1:37" ht="18.75" x14ac:dyDescent="0.3">
      <c r="Y24" s="37"/>
      <c r="Z24" s="37"/>
      <c r="AA24" s="37"/>
      <c r="AB24" s="37"/>
    </row>
    <row r="25" spans="1:37" ht="18.75" x14ac:dyDescent="0.3">
      <c r="A25" s="17" t="s">
        <v>153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Y25" s="37"/>
      <c r="Z25" s="44"/>
      <c r="AA25" s="37"/>
      <c r="AB25" s="37"/>
    </row>
    <row r="26" spans="1:37" s="11" customFormat="1" ht="30.75" x14ac:dyDescent="0.3">
      <c r="A26" s="10" t="s">
        <v>0</v>
      </c>
      <c r="B26" s="10" t="s">
        <v>1</v>
      </c>
      <c r="C26" s="10"/>
      <c r="D26" s="10" t="s">
        <v>5</v>
      </c>
      <c r="E26" s="10"/>
      <c r="F26" s="10" t="s">
        <v>7</v>
      </c>
      <c r="G26" s="10" t="s">
        <v>8</v>
      </c>
      <c r="H26" s="10" t="s">
        <v>9</v>
      </c>
      <c r="I26" s="10" t="s">
        <v>10</v>
      </c>
      <c r="J26" s="10" t="s">
        <v>11</v>
      </c>
      <c r="K26" s="10" t="s">
        <v>19</v>
      </c>
      <c r="L26" s="10" t="s">
        <v>21</v>
      </c>
      <c r="M26" s="10" t="s">
        <v>22</v>
      </c>
      <c r="N26" s="10" t="s">
        <v>18</v>
      </c>
      <c r="O26" s="10" t="s">
        <v>20</v>
      </c>
      <c r="P26" s="10" t="s">
        <v>154</v>
      </c>
      <c r="Q26" s="10"/>
      <c r="R26" s="10" t="s">
        <v>155</v>
      </c>
      <c r="S26" s="10" t="s">
        <v>156</v>
      </c>
      <c r="T26" s="10" t="s">
        <v>157</v>
      </c>
      <c r="U26" s="10" t="s">
        <v>158</v>
      </c>
      <c r="V26" s="10" t="s">
        <v>159</v>
      </c>
      <c r="W26" s="10"/>
      <c r="Y26" s="38"/>
      <c r="Z26" s="38"/>
      <c r="AA26" s="38"/>
      <c r="AB26" s="38"/>
      <c r="AC26"/>
      <c r="AD26"/>
      <c r="AE26"/>
      <c r="AF26"/>
      <c r="AG26"/>
      <c r="AH26"/>
      <c r="AI26"/>
      <c r="AJ26"/>
    </row>
    <row r="27" spans="1:37" ht="18.75" x14ac:dyDescent="0.3">
      <c r="A27" s="64" t="s">
        <v>15</v>
      </c>
      <c r="B27" s="64" t="s">
        <v>24</v>
      </c>
      <c r="C27" s="64">
        <v>20150316</v>
      </c>
      <c r="D27" s="64">
        <v>62500</v>
      </c>
      <c r="E27" s="64"/>
      <c r="F27" s="64" t="s">
        <v>17</v>
      </c>
      <c r="G27" s="64" t="s">
        <v>16</v>
      </c>
      <c r="H27" s="64" t="s">
        <v>179</v>
      </c>
      <c r="I27" s="64" t="s">
        <v>25</v>
      </c>
      <c r="J27" s="64">
        <v>-10</v>
      </c>
      <c r="K27" s="64">
        <v>1.5415000000000001</v>
      </c>
      <c r="L27" s="64"/>
      <c r="M27" s="64">
        <v>28</v>
      </c>
      <c r="N27" s="64">
        <v>1.5414000000000001</v>
      </c>
      <c r="O27" s="64">
        <v>1.5416000000000001</v>
      </c>
      <c r="P27" s="64">
        <v>20</v>
      </c>
      <c r="Q27" s="64"/>
      <c r="R27" s="64">
        <v>1.54145</v>
      </c>
      <c r="S27" s="64">
        <v>-963406.26</v>
      </c>
      <c r="T27" s="64">
        <v>96111.895000000004</v>
      </c>
      <c r="U27" s="64">
        <v>-2287.31</v>
      </c>
      <c r="V27" s="64">
        <v>0</v>
      </c>
      <c r="W27" s="64"/>
      <c r="Y27" s="37"/>
      <c r="Z27" s="37"/>
      <c r="AA27" s="37"/>
      <c r="AB27" s="37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5"/>
      <c r="Y28" s="37"/>
      <c r="Z28" s="37"/>
      <c r="AA28" s="37"/>
      <c r="AB28" s="37"/>
      <c r="AC28" s="37"/>
      <c r="AD28" s="37"/>
      <c r="AE28" s="37"/>
    </row>
    <row r="29" spans="1:37" ht="18.75" x14ac:dyDescent="0.3">
      <c r="C29" s="108" t="s">
        <v>160</v>
      </c>
      <c r="D29" s="109"/>
      <c r="E29" s="12">
        <v>1.54</v>
      </c>
      <c r="F29" s="12"/>
      <c r="G29" s="109" t="s">
        <v>161</v>
      </c>
      <c r="H29" s="109"/>
      <c r="I29" s="12">
        <v>1.5449999999999999</v>
      </c>
      <c r="J29" s="12"/>
      <c r="K29" s="109" t="s">
        <v>162</v>
      </c>
      <c r="L29" s="109"/>
      <c r="M29" s="12">
        <v>-10</v>
      </c>
      <c r="N29" s="13"/>
      <c r="O29" s="109" t="s">
        <v>163</v>
      </c>
      <c r="P29" s="109"/>
      <c r="Q29" s="30">
        <v>1.5414854009247889</v>
      </c>
      <c r="R29" s="13"/>
      <c r="S29" s="12"/>
      <c r="T29" s="13"/>
      <c r="U29" s="12"/>
      <c r="V29" s="13"/>
      <c r="W29" s="13"/>
      <c r="Y29" s="37"/>
      <c r="Z29" s="37"/>
      <c r="AA29" s="37"/>
      <c r="AB29" s="37"/>
      <c r="AC29" s="37"/>
      <c r="AD29" s="37"/>
      <c r="AE29" s="37"/>
    </row>
    <row r="30" spans="1:37" ht="18.75" x14ac:dyDescent="0.3">
      <c r="C30" s="108"/>
      <c r="D30" s="109"/>
      <c r="E30" s="12">
        <v>15</v>
      </c>
      <c r="F30" s="12"/>
      <c r="G30" s="109" t="s">
        <v>194</v>
      </c>
      <c r="H30" s="109"/>
      <c r="I30" s="12">
        <v>35</v>
      </c>
      <c r="J30" s="12"/>
      <c r="K30" s="109" t="s">
        <v>195</v>
      </c>
      <c r="L30" s="109"/>
      <c r="M30" s="12">
        <v>-10</v>
      </c>
      <c r="N30" s="13"/>
      <c r="O30" s="109" t="s">
        <v>164</v>
      </c>
      <c r="P30" s="109"/>
      <c r="Q30" s="30">
        <v>1.5414648235007178</v>
      </c>
      <c r="R30" s="13"/>
      <c r="S30" s="12"/>
      <c r="T30" s="13"/>
      <c r="U30" s="12"/>
      <c r="V30" s="13"/>
      <c r="W30" s="13"/>
      <c r="Y30" s="37"/>
      <c r="Z30" s="37"/>
      <c r="AA30" s="37"/>
      <c r="AB30" s="37"/>
      <c r="AC30" s="37"/>
      <c r="AD30" s="37"/>
      <c r="AE30" s="37"/>
      <c r="AI30" s="42"/>
      <c r="AK30" s="42"/>
    </row>
    <row r="31" spans="1:37" ht="18.75" x14ac:dyDescent="0.3">
      <c r="C31" s="108"/>
      <c r="D31" s="109"/>
      <c r="E31" s="12">
        <v>14</v>
      </c>
      <c r="F31" s="12"/>
      <c r="G31" s="109" t="s">
        <v>192</v>
      </c>
      <c r="H31" s="109"/>
      <c r="I31" s="12">
        <v>34</v>
      </c>
      <c r="J31" s="12"/>
      <c r="K31" s="109" t="s">
        <v>196</v>
      </c>
      <c r="L31" s="109"/>
      <c r="M31" s="12">
        <v>0</v>
      </c>
      <c r="N31" s="13"/>
      <c r="O31" s="109" t="s">
        <v>99</v>
      </c>
      <c r="P31" s="109"/>
      <c r="Q31" s="12">
        <v>1</v>
      </c>
      <c r="R31" s="13"/>
      <c r="S31" s="12"/>
      <c r="T31" s="13"/>
      <c r="U31" s="12"/>
      <c r="V31" s="13"/>
      <c r="W31" s="13"/>
      <c r="Y31" s="37"/>
      <c r="Z31" s="37"/>
      <c r="AA31" s="37"/>
      <c r="AB31" s="37"/>
      <c r="AC31" s="37"/>
      <c r="AD31" s="37"/>
      <c r="AE31" s="37"/>
      <c r="AI31" s="41"/>
    </row>
    <row r="32" spans="1:37" ht="2.25" customHeight="1" x14ac:dyDescent="0.3">
      <c r="A32" t="s">
        <v>179</v>
      </c>
      <c r="B32" t="s">
        <v>193</v>
      </c>
      <c r="C32" s="104">
        <v>73</v>
      </c>
      <c r="D32" s="94"/>
      <c r="E32" s="94">
        <v>1.5037</v>
      </c>
      <c r="F32" s="94"/>
      <c r="G32" s="94" t="s">
        <v>192</v>
      </c>
      <c r="H32" s="94"/>
      <c r="I32" s="94">
        <v>73</v>
      </c>
      <c r="J32" s="94"/>
      <c r="K32" s="94">
        <v>0</v>
      </c>
      <c r="L32" s="94"/>
      <c r="M32" s="94"/>
      <c r="N32" s="95"/>
      <c r="O32" s="94"/>
      <c r="P32" s="94"/>
      <c r="Q32" s="94"/>
      <c r="R32" s="95"/>
      <c r="S32" s="94"/>
      <c r="T32" s="95"/>
      <c r="U32" s="94"/>
      <c r="V32" s="95"/>
      <c r="W32" s="26"/>
      <c r="Y32" s="37"/>
      <c r="Z32" s="37"/>
      <c r="AA32" s="37"/>
      <c r="AB32" s="37"/>
      <c r="AC32" s="37"/>
      <c r="AD32" s="37"/>
      <c r="AE32" s="37"/>
      <c r="AI32" s="43"/>
    </row>
    <row r="33" spans="1:33" ht="18.75" x14ac:dyDescent="0.3">
      <c r="Y33" s="37"/>
      <c r="Z33" s="37"/>
      <c r="AA33" s="37"/>
      <c r="AB33" s="37"/>
      <c r="AC33" s="37"/>
      <c r="AD33" s="37"/>
      <c r="AE33" s="37"/>
    </row>
    <row r="34" spans="1:33" ht="18.75" customHeight="1" x14ac:dyDescent="0.3">
      <c r="A34" s="100" t="s">
        <v>165</v>
      </c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Q34" s="96" t="s">
        <v>185</v>
      </c>
      <c r="R34" s="96"/>
      <c r="S34" s="96"/>
      <c r="T34" s="96"/>
      <c r="U34" s="96"/>
      <c r="V34" s="96"/>
      <c r="W34" s="96"/>
    </row>
    <row r="35" spans="1:33" s="11" customFormat="1" ht="39" customHeight="1" x14ac:dyDescent="0.3">
      <c r="A35" s="87" t="s">
        <v>26</v>
      </c>
      <c r="B35" s="98" t="s">
        <v>27</v>
      </c>
      <c r="C35" s="98"/>
      <c r="D35" s="98"/>
      <c r="E35" s="98"/>
      <c r="F35" s="88"/>
      <c r="G35" s="98" t="s">
        <v>28</v>
      </c>
      <c r="H35" s="98"/>
      <c r="I35" s="98"/>
      <c r="J35" s="98"/>
      <c r="K35" s="98"/>
      <c r="L35" s="88"/>
      <c r="M35" s="98" t="s">
        <v>166</v>
      </c>
      <c r="N35" s="98"/>
      <c r="O35" s="99"/>
      <c r="Q35" s="71" t="s">
        <v>103</v>
      </c>
      <c r="R35" s="71" t="s">
        <v>104</v>
      </c>
      <c r="S35" s="71" t="s">
        <v>105</v>
      </c>
      <c r="T35" s="71" t="s">
        <v>109</v>
      </c>
      <c r="U35" s="71" t="s">
        <v>110</v>
      </c>
      <c r="V35" s="71" t="s">
        <v>111</v>
      </c>
      <c r="W35" s="71" t="s">
        <v>120</v>
      </c>
      <c r="X35" s="38"/>
      <c r="Y35" s="38"/>
      <c r="AC35" s="38"/>
    </row>
    <row r="36" spans="1:33" s="11" customFormat="1" ht="42" customHeight="1" x14ac:dyDescent="0.4">
      <c r="A36" s="89" t="s">
        <v>0</v>
      </c>
      <c r="B36" s="90" t="s">
        <v>32</v>
      </c>
      <c r="C36" s="90" t="s">
        <v>33</v>
      </c>
      <c r="D36" s="90" t="s">
        <v>34</v>
      </c>
      <c r="E36" s="90" t="s">
        <v>47</v>
      </c>
      <c r="F36" s="90" t="s">
        <v>197</v>
      </c>
      <c r="G36" s="90" t="s">
        <v>12</v>
      </c>
      <c r="H36" s="90" t="s">
        <v>37</v>
      </c>
      <c r="I36" s="90" t="s">
        <v>38</v>
      </c>
      <c r="J36" s="90" t="s">
        <v>39</v>
      </c>
      <c r="K36" s="90" t="s">
        <v>40</v>
      </c>
      <c r="L36" s="90" t="s">
        <v>167</v>
      </c>
      <c r="M36" s="90" t="s">
        <v>168</v>
      </c>
      <c r="N36" s="90" t="s">
        <v>169</v>
      </c>
      <c r="O36" s="90" t="s">
        <v>170</v>
      </c>
      <c r="Q36" s="75">
        <f>SUM(U47:U87)+J27</f>
        <v>6.543264932555811</v>
      </c>
      <c r="R36" s="76">
        <f>SUM(X47:X87)</f>
        <v>-4168.0993249974108</v>
      </c>
      <c r="S36" s="74">
        <f>SUM(W47:W87)</f>
        <v>0.11233106289919005</v>
      </c>
      <c r="T36" s="76">
        <f>S36*62500</f>
        <v>7020.6914311993778</v>
      </c>
      <c r="U36" s="73">
        <v>0.1</v>
      </c>
      <c r="V36" s="77">
        <f>-1*U36*W36</f>
        <v>-3735.3125</v>
      </c>
      <c r="W36" s="77">
        <f>AG45</f>
        <v>37353.125</v>
      </c>
      <c r="X36" s="46"/>
      <c r="Y36" s="46"/>
      <c r="AC36" s="38"/>
    </row>
    <row r="37" spans="1:33" ht="18.75" x14ac:dyDescent="0.3">
      <c r="A37" s="2"/>
      <c r="B37" s="16"/>
      <c r="C37" s="16"/>
      <c r="D37" s="16"/>
      <c r="E37" s="16"/>
      <c r="F37" s="2"/>
      <c r="G37" s="18"/>
      <c r="H37" s="2"/>
      <c r="I37" s="2"/>
      <c r="J37" s="2"/>
      <c r="K37" s="2"/>
      <c r="L37" s="2"/>
      <c r="M37" s="2"/>
      <c r="N37" s="2"/>
      <c r="O37" s="2"/>
      <c r="Q37" s="71" t="s">
        <v>130</v>
      </c>
      <c r="R37" s="76">
        <f>ticksUpToLoss(V36,Q36,R36)</f>
        <v>71.503231133639375</v>
      </c>
      <c r="S37" s="76">
        <f>ticksDownToLoss(V36,Q36,R36)</f>
        <v>-40.106354896483602</v>
      </c>
      <c r="T37" s="76"/>
      <c r="U37" s="76"/>
      <c r="V37" s="76"/>
      <c r="W37" s="76"/>
      <c r="X37" s="37"/>
      <c r="Y37" s="37"/>
      <c r="Z37" s="37"/>
      <c r="AA37" s="37"/>
      <c r="AB37" s="37"/>
      <c r="AC37" s="37"/>
    </row>
    <row r="38" spans="1:33" ht="23.25" x14ac:dyDescent="0.35">
      <c r="A38" s="2"/>
      <c r="B38" s="16"/>
      <c r="C38" s="16"/>
      <c r="D38" s="16"/>
      <c r="E38" s="16"/>
      <c r="F38" s="2"/>
      <c r="G38" s="18"/>
      <c r="H38" s="2"/>
      <c r="I38" s="2"/>
      <c r="J38" s="2"/>
      <c r="K38" s="2"/>
      <c r="L38" s="2"/>
      <c r="M38" s="2"/>
      <c r="N38" s="2"/>
      <c r="O38" s="2"/>
      <c r="Q38" s="71" t="s">
        <v>131</v>
      </c>
      <c r="R38" s="76">
        <f>Q36+R36*(R37*0.0001)</f>
        <v>-23.259992009769803</v>
      </c>
      <c r="S38" s="76">
        <f>Q36+R36*(S37*0.0001)</f>
        <v>23.259992009769803</v>
      </c>
      <c r="T38" s="76"/>
      <c r="U38" s="76"/>
      <c r="V38" s="76"/>
      <c r="W38" s="76"/>
      <c r="Y38" s="32"/>
      <c r="Z38" s="32"/>
      <c r="AA38" s="32"/>
      <c r="AB38" s="32"/>
      <c r="AC38" s="45"/>
      <c r="AD38" s="45"/>
      <c r="AE38" s="45"/>
    </row>
    <row r="39" spans="1:33" ht="18.75" x14ac:dyDescent="0.3">
      <c r="A39" s="2"/>
      <c r="B39" s="16"/>
      <c r="C39" s="16"/>
      <c r="D39" s="16"/>
      <c r="E39" s="16"/>
      <c r="F39" s="2"/>
      <c r="G39" s="18"/>
      <c r="H39" s="2"/>
      <c r="I39" s="2"/>
      <c r="J39" s="2"/>
      <c r="K39" s="2"/>
      <c r="L39" s="2"/>
      <c r="M39" s="2"/>
      <c r="N39" s="2"/>
      <c r="O39" s="2"/>
      <c r="Q39" s="96" t="s">
        <v>132</v>
      </c>
      <c r="R39" s="96"/>
      <c r="S39" s="96"/>
      <c r="T39" s="96" t="s">
        <v>188</v>
      </c>
      <c r="U39" s="96"/>
      <c r="V39" s="96" t="s">
        <v>189</v>
      </c>
      <c r="W39" s="96"/>
      <c r="Y39" s="37"/>
      <c r="Z39" s="37"/>
      <c r="AA39" s="37"/>
      <c r="AB39" s="37"/>
      <c r="AC39" s="37"/>
    </row>
    <row r="40" spans="1:33" ht="21" x14ac:dyDescent="0.35">
      <c r="A40" s="2"/>
      <c r="B40" s="16"/>
      <c r="C40" s="16"/>
      <c r="D40" s="16"/>
      <c r="E40" s="16"/>
      <c r="F40" s="2"/>
      <c r="G40" s="18"/>
      <c r="H40" s="2"/>
      <c r="I40" s="2"/>
      <c r="J40" s="2"/>
      <c r="K40" s="2"/>
      <c r="L40" s="2"/>
      <c r="M40" s="2"/>
      <c r="N40" s="2"/>
      <c r="O40" s="2"/>
      <c r="Q40" s="71" t="s">
        <v>133</v>
      </c>
      <c r="R40" s="84">
        <f>midMarket(N27,O27)+R37/10000</f>
        <v>1.5486503231133639</v>
      </c>
      <c r="S40" s="76">
        <f>ROUND(-R38,0)</f>
        <v>23</v>
      </c>
      <c r="T40" s="72" t="s">
        <v>186</v>
      </c>
      <c r="U40" s="78">
        <v>10</v>
      </c>
      <c r="V40" s="84"/>
      <c r="W40" s="76"/>
      <c r="X40" s="29">
        <f>(R40-V40) *10000</f>
        <v>15486.50323113364</v>
      </c>
      <c r="Y40" s="37"/>
      <c r="Z40" s="37"/>
      <c r="AA40" s="37"/>
      <c r="AB40" s="37"/>
      <c r="AC40" s="37"/>
    </row>
    <row r="41" spans="1:33" ht="21" x14ac:dyDescent="0.35">
      <c r="A41" s="2"/>
      <c r="B41" s="16"/>
      <c r="C41" s="16"/>
      <c r="D41" s="16"/>
      <c r="E41" s="16"/>
      <c r="F41" s="2"/>
      <c r="G41" s="18"/>
      <c r="H41" s="2"/>
      <c r="I41" s="2"/>
      <c r="J41" s="2"/>
      <c r="K41" s="2"/>
      <c r="L41" s="2"/>
      <c r="M41" s="2"/>
      <c r="N41" s="2"/>
      <c r="O41" s="2"/>
      <c r="Q41" s="71" t="s">
        <v>143</v>
      </c>
      <c r="R41" s="84">
        <f>midMarket(N27,O27)+S37/10000</f>
        <v>1.5374893645103518</v>
      </c>
      <c r="S41" s="76">
        <f>ROUND(-S38,0)</f>
        <v>-23</v>
      </c>
      <c r="T41" s="72" t="s">
        <v>187</v>
      </c>
      <c r="U41" s="78">
        <v>1</v>
      </c>
      <c r="V41" s="84"/>
      <c r="W41" s="76"/>
      <c r="X41" s="29">
        <f>(R41-V41) *10000</f>
        <v>15374.893645103517</v>
      </c>
      <c r="Y41" s="37"/>
      <c r="Z41" s="37"/>
      <c r="AA41" s="37"/>
      <c r="AB41" s="37"/>
      <c r="AC41" s="37"/>
    </row>
    <row r="42" spans="1:33" ht="15.75" x14ac:dyDescent="0.25">
      <c r="A42" s="91" t="s">
        <v>199</v>
      </c>
      <c r="B42" s="76">
        <f>ticksUpToLoss(F41,A41,B41)</f>
        <v>0</v>
      </c>
      <c r="C42" s="91" t="s">
        <v>200</v>
      </c>
      <c r="D42" s="76">
        <f>ticksUpToLoss(H41,C41,D41)</f>
        <v>0</v>
      </c>
      <c r="E42" s="91" t="s">
        <v>173</v>
      </c>
      <c r="F42" s="76">
        <f>ticksUpToLoss(J41,E41,F41)</f>
        <v>0</v>
      </c>
      <c r="G42" s="91" t="s">
        <v>201</v>
      </c>
      <c r="H42" s="76">
        <f>ticksUpToLoss(L41,G41,H41)</f>
        <v>0</v>
      </c>
      <c r="I42" s="107" t="s">
        <v>202</v>
      </c>
      <c r="J42" s="107"/>
      <c r="K42" s="76"/>
      <c r="L42" s="76"/>
      <c r="M42" s="76"/>
      <c r="N42" s="76"/>
      <c r="O42" s="76"/>
    </row>
    <row r="43" spans="1:33" ht="15.75" x14ac:dyDescent="0.25">
      <c r="A43" s="91" t="s">
        <v>198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</row>
    <row r="45" spans="1:33" x14ac:dyDescent="0.25">
      <c r="A45" s="101" t="s">
        <v>13</v>
      </c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97" t="s">
        <v>101</v>
      </c>
      <c r="O45" s="97"/>
      <c r="P45" s="97"/>
      <c r="Q45" s="97"/>
      <c r="R45" s="97"/>
      <c r="S45" s="97"/>
      <c r="T45" s="97" t="s">
        <v>108</v>
      </c>
      <c r="U45" s="97"/>
      <c r="V45" s="97"/>
      <c r="W45" s="97"/>
      <c r="AG45" s="48">
        <f>SUM(AD47:AD67)</f>
        <v>37353.125</v>
      </c>
    </row>
    <row r="46" spans="1:33" ht="30" x14ac:dyDescent="0.25">
      <c r="A46" s="1" t="s">
        <v>9</v>
      </c>
      <c r="B46" s="1" t="s">
        <v>11</v>
      </c>
      <c r="C46" s="1" t="s">
        <v>171</v>
      </c>
      <c r="D46" s="1" t="s">
        <v>156</v>
      </c>
      <c r="E46" s="1" t="s">
        <v>157</v>
      </c>
      <c r="F46" s="1" t="s">
        <v>178</v>
      </c>
      <c r="G46" s="1" t="s">
        <v>172</v>
      </c>
      <c r="H46" s="61" t="s">
        <v>19</v>
      </c>
      <c r="I46" s="61" t="s">
        <v>21</v>
      </c>
      <c r="J46" s="61" t="s">
        <v>22</v>
      </c>
      <c r="K46" s="61" t="s">
        <v>18</v>
      </c>
      <c r="L46" s="61" t="s">
        <v>20</v>
      </c>
      <c r="M46" s="61" t="s">
        <v>23</v>
      </c>
      <c r="N46" s="31" t="s">
        <v>102</v>
      </c>
      <c r="O46" s="31" t="s">
        <v>103</v>
      </c>
      <c r="P46" s="31" t="s">
        <v>104</v>
      </c>
      <c r="Q46" s="31" t="s">
        <v>105</v>
      </c>
      <c r="R46" s="31" t="s">
        <v>106</v>
      </c>
      <c r="S46" s="31" t="s">
        <v>107</v>
      </c>
      <c r="T46" s="35" t="s">
        <v>112</v>
      </c>
      <c r="U46" s="31" t="s">
        <v>103</v>
      </c>
      <c r="V46" s="31" t="s">
        <v>104</v>
      </c>
      <c r="W46" s="31" t="s">
        <v>105</v>
      </c>
      <c r="X46" s="35" t="s">
        <v>113</v>
      </c>
      <c r="Y46" s="35" t="s">
        <v>114</v>
      </c>
      <c r="Z46" s="35" t="s">
        <v>119</v>
      </c>
      <c r="AA46" s="50" t="s">
        <v>118</v>
      </c>
      <c r="AB46" s="50" t="s">
        <v>115</v>
      </c>
      <c r="AC46" s="50" t="s">
        <v>116</v>
      </c>
      <c r="AD46" s="50" t="s">
        <v>117</v>
      </c>
    </row>
    <row r="47" spans="1:33" x14ac:dyDescent="0.25">
      <c r="A47" s="2" t="s">
        <v>219</v>
      </c>
      <c r="B47" s="2">
        <v>-20</v>
      </c>
      <c r="C47" s="2">
        <v>3.971E-4</v>
      </c>
      <c r="D47" s="2">
        <v>-496.36</v>
      </c>
      <c r="E47" s="2">
        <v>22.54</v>
      </c>
      <c r="F47" s="28">
        <v>-45.56</v>
      </c>
      <c r="G47" s="2">
        <v>0</v>
      </c>
      <c r="H47" s="2">
        <v>0</v>
      </c>
      <c r="I47" s="2">
        <v>0</v>
      </c>
      <c r="J47" s="2">
        <v>55</v>
      </c>
      <c r="K47" s="2">
        <v>4.0000000000000002E-4</v>
      </c>
      <c r="L47" s="2">
        <v>5.9999999999999995E-4</v>
      </c>
      <c r="M47" s="2">
        <v>50</v>
      </c>
      <c r="N47" s="2">
        <v>9.9969042719612572E-2</v>
      </c>
      <c r="O47" s="2">
        <v>-5.4826866110347733E-2</v>
      </c>
      <c r="P47" s="2">
        <v>0</v>
      </c>
      <c r="Q47" s="33">
        <v>-2.9477190604458944E-4</v>
      </c>
      <c r="R47" s="2">
        <v>2.7481836254651519E-4</v>
      </c>
      <c r="S47" s="2">
        <v>1.5415000000000001</v>
      </c>
      <c r="T47" s="2">
        <v>8.4089938719587476</v>
      </c>
      <c r="U47" s="2">
        <f>O47*B47</f>
        <v>1.0965373222069545</v>
      </c>
      <c r="V47" s="2">
        <v>1.5804</v>
      </c>
      <c r="W47" s="2">
        <f t="shared" ref="W47:W67" si="0">Q47*B47</f>
        <v>5.895438120891789E-3</v>
      </c>
      <c r="X47">
        <f>IF(ISERR(T47),0,T47*B47)</f>
        <v>-168.17987743917496</v>
      </c>
      <c r="Y47">
        <f t="shared" ref="Y47:Y67" si="1">IF(X47 = 0,0,(W47*-10000)/X47)</f>
        <v>0.35054360906071963</v>
      </c>
      <c r="Z47" s="85">
        <f>midMarket(K47,L47) +AA47/10000</f>
        <v>5.0000000000000001E-4</v>
      </c>
      <c r="AA47">
        <f>IF(rightFromSymbol(A47)="C",MAX(0,$N$27-strikeFromSymbol(A47)),MAX(0,strikeFromSymbol(A47)-$N$27))*10000</f>
        <v>0</v>
      </c>
      <c r="AB47" s="86">
        <f>MAX(0,Z47-AA47) * 10000</f>
        <v>5</v>
      </c>
      <c r="AC47" s="49">
        <f t="shared" ref="AC47:AC67" si="2">-AB47*B47</f>
        <v>100</v>
      </c>
      <c r="AD47" s="48">
        <f t="shared" ref="AD47:AD55" si="3">MAX(0,AC47*6.25)</f>
        <v>625</v>
      </c>
    </row>
    <row r="48" spans="1:33" x14ac:dyDescent="0.25">
      <c r="A48" s="2" t="s">
        <v>221</v>
      </c>
      <c r="B48" s="2">
        <v>-10</v>
      </c>
      <c r="C48" s="2">
        <v>6.9709999999999998E-4</v>
      </c>
      <c r="D48" s="2">
        <v>-435.68</v>
      </c>
      <c r="E48" s="2">
        <v>41.29</v>
      </c>
      <c r="F48" s="28">
        <v>-22.78</v>
      </c>
      <c r="G48" s="2">
        <v>0</v>
      </c>
      <c r="H48" s="2">
        <v>8.0000000000000004E-4</v>
      </c>
      <c r="I48" s="2">
        <v>300</v>
      </c>
      <c r="J48" s="2">
        <v>50</v>
      </c>
      <c r="K48" s="2">
        <v>6.9999999999999999E-4</v>
      </c>
      <c r="L48" s="2">
        <v>8.9999999999999998E-4</v>
      </c>
      <c r="M48" s="2">
        <v>50</v>
      </c>
      <c r="N48" s="2">
        <v>0.10368478110349562</v>
      </c>
      <c r="O48" s="2">
        <v>-9.0644916890924701E-2</v>
      </c>
      <c r="P48" s="2">
        <v>0</v>
      </c>
      <c r="Q48" s="33">
        <v>-3.6840689268603002E-4</v>
      </c>
      <c r="R48" s="2">
        <v>2.9702315397177553E-4</v>
      </c>
      <c r="S48" s="2">
        <v>1.5415000000000001</v>
      </c>
      <c r="T48" s="2">
        <v>11.035774829766297</v>
      </c>
      <c r="U48" s="2">
        <f t="shared" ref="U48:U67" si="4">O48*B48</f>
        <v>0.90644916890924698</v>
      </c>
      <c r="V48" s="2">
        <v>1.5804</v>
      </c>
      <c r="W48" s="2">
        <f t="shared" si="0"/>
        <v>3.6840689268603003E-3</v>
      </c>
      <c r="X48">
        <f t="shared" ref="X48:X67" si="5">IF(ISERR(T48),0,T48*B48)</f>
        <v>-110.35774829766297</v>
      </c>
      <c r="Y48">
        <f t="shared" si="1"/>
        <v>0.33382965706435286</v>
      </c>
      <c r="Z48" s="85">
        <f>midMarket(K48,L48) +AA48/10000</f>
        <v>7.9999999999999993E-4</v>
      </c>
      <c r="AA48">
        <f>IF(rightFromSymbol(A48)="C",MAX(0,$N$27-strikeFromSymbol(A48)),MAX(0,strikeFromSymbol(A48)-$N$27))*10000</f>
        <v>0</v>
      </c>
      <c r="AB48" s="86">
        <f t="shared" ref="AB48:AB67" si="6">MAX(0,Z48-AA48) * 10000</f>
        <v>7.9999999999999991</v>
      </c>
      <c r="AC48" s="49">
        <f t="shared" si="2"/>
        <v>79.999999999999986</v>
      </c>
      <c r="AD48" s="48">
        <f t="shared" si="3"/>
        <v>499.99999999999989</v>
      </c>
    </row>
    <row r="49" spans="1:30" x14ac:dyDescent="0.25">
      <c r="A49" s="2" t="s">
        <v>223</v>
      </c>
      <c r="B49" s="2">
        <v>-10</v>
      </c>
      <c r="C49" s="2">
        <v>1.1976999999999999E-3</v>
      </c>
      <c r="D49" s="2">
        <v>-748.57</v>
      </c>
      <c r="E49" s="2">
        <v>78.790000000000006</v>
      </c>
      <c r="F49" s="28">
        <v>39.33</v>
      </c>
      <c r="G49" s="2">
        <v>0</v>
      </c>
      <c r="H49" s="2">
        <v>0</v>
      </c>
      <c r="I49" s="2">
        <v>0</v>
      </c>
      <c r="J49" s="2">
        <v>40</v>
      </c>
      <c r="K49" s="2">
        <v>1.1999999999999999E-3</v>
      </c>
      <c r="L49" s="2">
        <v>1.5E-3</v>
      </c>
      <c r="M49" s="2">
        <v>75</v>
      </c>
      <c r="N49" s="2">
        <v>0.10125039264565941</v>
      </c>
      <c r="O49" s="2">
        <v>-0.14497632009793524</v>
      </c>
      <c r="P49" s="2">
        <v>0</v>
      </c>
      <c r="Q49" s="33">
        <v>-4.8558824995532295E-4</v>
      </c>
      <c r="R49" s="2">
        <v>4.1065162965221898E-4</v>
      </c>
      <c r="S49" s="2">
        <v>1.5415000000000001</v>
      </c>
      <c r="T49" s="2">
        <v>14.200773870149815</v>
      </c>
      <c r="U49" s="2">
        <f t="shared" si="4"/>
        <v>1.4497632009793524</v>
      </c>
      <c r="V49" s="2">
        <v>1.5804</v>
      </c>
      <c r="W49" s="2">
        <f t="shared" si="0"/>
        <v>4.8558824995532292E-3</v>
      </c>
      <c r="X49">
        <f t="shared" si="5"/>
        <v>-142.00773870149814</v>
      </c>
      <c r="Y49">
        <f t="shared" si="1"/>
        <v>0.34194492102718066</v>
      </c>
      <c r="Z49" s="85">
        <f>midMarket(K49,L49) +AA49/10000</f>
        <v>1.3500000000000001E-3</v>
      </c>
      <c r="AA49">
        <f>IF(rightFromSymbol(A49)="C",MAX(0,$N$27-strikeFromSymbol(A49)),MAX(0,strikeFromSymbol(A49)-$N$27))*10000</f>
        <v>0</v>
      </c>
      <c r="AB49" s="86">
        <f t="shared" si="6"/>
        <v>13.5</v>
      </c>
      <c r="AC49" s="49">
        <f t="shared" si="2"/>
        <v>135</v>
      </c>
      <c r="AD49" s="48">
        <f t="shared" si="3"/>
        <v>843.75</v>
      </c>
    </row>
    <row r="50" spans="1:30" x14ac:dyDescent="0.25">
      <c r="A50" s="2" t="s">
        <v>225</v>
      </c>
      <c r="B50" s="2">
        <v>-10</v>
      </c>
      <c r="C50" s="2">
        <v>2.068E-3</v>
      </c>
      <c r="D50" s="2">
        <v>-1292.5</v>
      </c>
      <c r="E50" s="2">
        <v>135.04</v>
      </c>
      <c r="F50" s="28">
        <v>57.9</v>
      </c>
      <c r="G50" s="2">
        <v>0</v>
      </c>
      <c r="H50" s="2">
        <v>0</v>
      </c>
      <c r="I50" s="2">
        <v>0</v>
      </c>
      <c r="J50" s="2">
        <v>60</v>
      </c>
      <c r="K50" s="2">
        <v>2E-3</v>
      </c>
      <c r="L50" s="2">
        <v>2.3E-3</v>
      </c>
      <c r="M50" s="2">
        <v>43</v>
      </c>
      <c r="N50" s="2">
        <v>9.6641211489908382E-2</v>
      </c>
      <c r="O50" s="2">
        <v>-0.22285438438464519</v>
      </c>
      <c r="P50" s="2">
        <v>0</v>
      </c>
      <c r="Q50" s="33">
        <v>-5.8002208054358962E-4</v>
      </c>
      <c r="R50" s="2">
        <v>5.2350459461968351E-4</v>
      </c>
      <c r="S50" s="2">
        <v>1.5415000000000001</v>
      </c>
      <c r="T50" s="2">
        <v>17.566392587693649</v>
      </c>
      <c r="U50" s="2">
        <f t="shared" si="4"/>
        <v>2.228543843846452</v>
      </c>
      <c r="V50" s="2">
        <v>1.5804</v>
      </c>
      <c r="W50" s="2">
        <f t="shared" si="0"/>
        <v>5.800220805435896E-3</v>
      </c>
      <c r="X50">
        <f t="shared" si="5"/>
        <v>-175.6639258769365</v>
      </c>
      <c r="Y50">
        <f t="shared" si="1"/>
        <v>0.33018849923115751</v>
      </c>
      <c r="Z50" s="85">
        <f t="shared" ref="Z50:Z67" si="7">midMarket(K50,L50) +AA50/10000</f>
        <v>2.15E-3</v>
      </c>
      <c r="AA50">
        <f>IF(rightFromSymbol(A50)="C",MAX(0,$N$27-strikeFromSymbol(A50)),MAX(0,strikeFromSymbol(A50)-$N$27))*10000</f>
        <v>0</v>
      </c>
      <c r="AB50" s="86">
        <f t="shared" si="6"/>
        <v>21.5</v>
      </c>
      <c r="AC50" s="49">
        <f t="shared" si="2"/>
        <v>215</v>
      </c>
      <c r="AD50" s="48">
        <f t="shared" si="3"/>
        <v>1343.75</v>
      </c>
    </row>
    <row r="51" spans="1:30" x14ac:dyDescent="0.25">
      <c r="A51" s="2" t="s">
        <v>227</v>
      </c>
      <c r="B51" s="2">
        <v>-10</v>
      </c>
      <c r="C51" s="2">
        <v>3.2946500000000001E-3</v>
      </c>
      <c r="D51" s="2">
        <v>-2059.17</v>
      </c>
      <c r="E51" s="2">
        <v>216.29</v>
      </c>
      <c r="F51" s="28">
        <v>103.73</v>
      </c>
      <c r="G51" s="2">
        <v>0</v>
      </c>
      <c r="H51" s="2">
        <v>4.0000000000000001E-3</v>
      </c>
      <c r="I51" s="2">
        <v>1</v>
      </c>
      <c r="J51" s="2">
        <v>35</v>
      </c>
      <c r="K51" s="2">
        <v>3.3E-3</v>
      </c>
      <c r="L51" s="2">
        <v>3.5999999999999999E-3</v>
      </c>
      <c r="M51" s="2">
        <v>33</v>
      </c>
      <c r="N51" s="2">
        <v>9.3952198253095143E-2</v>
      </c>
      <c r="O51" s="2">
        <v>-0.32894284838847271</v>
      </c>
      <c r="P51" s="34">
        <v>0</v>
      </c>
      <c r="Q51" s="33">
        <v>-6.6773884330864185E-4</v>
      </c>
      <c r="R51" s="2">
        <v>6.155530880989895E-4</v>
      </c>
      <c r="S51" s="2">
        <v>1.5415000000000001</v>
      </c>
      <c r="T51" s="2">
        <v>20.482101800324603</v>
      </c>
      <c r="U51" s="2">
        <f t="shared" si="4"/>
        <v>3.289428483884727</v>
      </c>
      <c r="V51" s="2">
        <v>1.5804</v>
      </c>
      <c r="W51" s="2">
        <f t="shared" si="0"/>
        <v>6.6773884330864185E-3</v>
      </c>
      <c r="X51">
        <f t="shared" si="5"/>
        <v>-204.82101800324602</v>
      </c>
      <c r="Y51">
        <f t="shared" si="1"/>
        <v>0.32601089957382184</v>
      </c>
      <c r="Z51" s="85">
        <f t="shared" si="7"/>
        <v>3.4499999999999999E-3</v>
      </c>
      <c r="AA51">
        <f>IF(rightFromSymbol(A51)="C",MAX(0,$N$27-strikeFromSymbol(A51)),MAX(0,strikeFromSymbol(A51)-$N$27))*10000</f>
        <v>0</v>
      </c>
      <c r="AB51" s="86">
        <f t="shared" si="6"/>
        <v>34.5</v>
      </c>
      <c r="AC51" s="49">
        <f t="shared" si="2"/>
        <v>345</v>
      </c>
      <c r="AD51" s="48">
        <f t="shared" si="3"/>
        <v>2156.25</v>
      </c>
    </row>
    <row r="52" spans="1:30" x14ac:dyDescent="0.25">
      <c r="A52" s="2" t="s">
        <v>229</v>
      </c>
      <c r="B52" s="2">
        <v>-10</v>
      </c>
      <c r="C52" s="2">
        <v>4.1954499999999999E-3</v>
      </c>
      <c r="D52" s="2">
        <v>-2622.14</v>
      </c>
      <c r="E52" s="2">
        <v>247.54</v>
      </c>
      <c r="F52" s="28">
        <v>-146.74</v>
      </c>
      <c r="G52" s="2">
        <v>0</v>
      </c>
      <c r="H52" s="2">
        <v>0</v>
      </c>
      <c r="I52" s="2">
        <v>0</v>
      </c>
      <c r="J52" s="2">
        <v>40</v>
      </c>
      <c r="K52" s="2">
        <v>4.1999999999999997E-3</v>
      </c>
      <c r="L52" s="2">
        <v>4.4999999999999997E-3</v>
      </c>
      <c r="M52" s="2">
        <v>26</v>
      </c>
      <c r="N52" s="2">
        <v>9.048266959011958E-2</v>
      </c>
      <c r="O52" s="2">
        <v>0.4108088439227483</v>
      </c>
      <c r="P52" s="2">
        <v>0</v>
      </c>
      <c r="Q52" s="33">
        <v>-6.8634163502984829E-4</v>
      </c>
      <c r="R52" s="2">
        <v>6.6901636347264058E-4</v>
      </c>
      <c r="S52" s="2">
        <v>1.5415000000000001</v>
      </c>
      <c r="T52" s="2">
        <v>21.976587661293848</v>
      </c>
      <c r="U52" s="2">
        <f t="shared" si="4"/>
        <v>-4.1080884392274832</v>
      </c>
      <c r="V52" s="2">
        <v>1.5804</v>
      </c>
      <c r="W52" s="2">
        <f t="shared" si="0"/>
        <v>6.8634163502984827E-3</v>
      </c>
      <c r="X52">
        <f t="shared" si="5"/>
        <v>-219.76587661293848</v>
      </c>
      <c r="Y52">
        <f t="shared" si="1"/>
        <v>0.31230582545745444</v>
      </c>
      <c r="Z52" s="85">
        <f t="shared" si="7"/>
        <v>4.3499999999999997E-3</v>
      </c>
      <c r="AA52">
        <f>IF(rightFromSymbol(A52)="C",MAX(0,$N$27-strikeFromSymbol(A52)),MAX(0,strikeFromSymbol(A52)-$N$27))*10000</f>
        <v>0</v>
      </c>
      <c r="AB52" s="86">
        <f t="shared" si="6"/>
        <v>43.5</v>
      </c>
      <c r="AC52" s="49">
        <f t="shared" si="2"/>
        <v>435</v>
      </c>
      <c r="AD52" s="48">
        <f t="shared" si="3"/>
        <v>2718.75</v>
      </c>
    </row>
    <row r="53" spans="1:30" x14ac:dyDescent="0.25">
      <c r="A53" s="2" t="s">
        <v>231</v>
      </c>
      <c r="B53" s="2">
        <v>-10</v>
      </c>
      <c r="C53" s="2">
        <v>5.1935999999999996E-3</v>
      </c>
      <c r="D53" s="2">
        <v>-3246</v>
      </c>
      <c r="E53" s="2">
        <v>335.04</v>
      </c>
      <c r="F53" s="28">
        <v>104.4</v>
      </c>
      <c r="G53" s="2">
        <v>0</v>
      </c>
      <c r="H53" s="2">
        <v>5.4000000000000003E-3</v>
      </c>
      <c r="I53" s="2">
        <v>2</v>
      </c>
      <c r="J53" s="2">
        <v>25</v>
      </c>
      <c r="K53" s="2">
        <v>5.1999999999999998E-3</v>
      </c>
      <c r="L53" s="2">
        <v>5.4999999999999997E-3</v>
      </c>
      <c r="M53" s="2">
        <v>33</v>
      </c>
      <c r="N53" s="2">
        <v>9.2310019919978697E-2</v>
      </c>
      <c r="O53" s="2">
        <v>-0.45469944578004601</v>
      </c>
      <c r="P53" s="2">
        <v>0</v>
      </c>
      <c r="Q53" s="33">
        <v>-7.1265207759199276E-4</v>
      </c>
      <c r="R53" s="2">
        <v>6.6793523821411568E-4</v>
      </c>
      <c r="S53" s="2">
        <v>1.5415000000000001</v>
      </c>
      <c r="T53" s="2">
        <v>22.144037344853768</v>
      </c>
      <c r="U53" s="2">
        <f t="shared" si="4"/>
        <v>4.5469944578004604</v>
      </c>
      <c r="V53" s="2">
        <v>1.5804</v>
      </c>
      <c r="W53" s="2">
        <f t="shared" si="0"/>
        <v>7.126520775919928E-3</v>
      </c>
      <c r="X53">
        <f t="shared" si="5"/>
        <v>-221.44037344853768</v>
      </c>
      <c r="Y53">
        <f t="shared" si="1"/>
        <v>0.321825720618924</v>
      </c>
      <c r="Z53" s="85">
        <f t="shared" si="7"/>
        <v>5.3499999999999997E-3</v>
      </c>
      <c r="AA53">
        <f>IF(rightFromSymbol(A53)="C",MAX(0,$N$27-strikeFromSymbol(A53)),MAX(0,strikeFromSymbol(A53)-$N$27))*10000</f>
        <v>0</v>
      </c>
      <c r="AB53" s="86">
        <f t="shared" si="6"/>
        <v>53.5</v>
      </c>
      <c r="AC53" s="49">
        <f t="shared" si="2"/>
        <v>535</v>
      </c>
      <c r="AD53" s="48">
        <f t="shared" si="3"/>
        <v>3343.75</v>
      </c>
    </row>
    <row r="54" spans="1:30" x14ac:dyDescent="0.25">
      <c r="A54" s="2" t="s">
        <v>233</v>
      </c>
      <c r="B54" s="2">
        <v>-10</v>
      </c>
      <c r="C54" s="2">
        <v>2.496E-3</v>
      </c>
      <c r="D54" s="2">
        <v>-1560</v>
      </c>
      <c r="E54" s="2">
        <v>147.54</v>
      </c>
      <c r="F54" s="28">
        <v>-84.6</v>
      </c>
      <c r="G54" s="2">
        <v>0</v>
      </c>
      <c r="H54" s="2">
        <v>2.5999999999999999E-3</v>
      </c>
      <c r="I54" s="2">
        <v>1</v>
      </c>
      <c r="J54" s="2">
        <v>45</v>
      </c>
      <c r="K54" s="2">
        <v>2.5000000000000001E-3</v>
      </c>
      <c r="L54" s="2">
        <v>2.8E-3</v>
      </c>
      <c r="M54" s="2">
        <v>35</v>
      </c>
      <c r="N54" s="2">
        <v>9.1425268597508297E-2</v>
      </c>
      <c r="O54" s="2">
        <v>0.29126411410911068</v>
      </c>
      <c r="P54" s="2">
        <v>0</v>
      </c>
      <c r="Q54" s="33">
        <v>-6.1389027842390239E-4</v>
      </c>
      <c r="R54" s="2">
        <v>6.1855190133353142E-4</v>
      </c>
      <c r="S54" s="2">
        <v>1.5415000000000001</v>
      </c>
      <c r="T54" s="2">
        <v>19.991131158821485</v>
      </c>
      <c r="U54" s="2">
        <f t="shared" si="4"/>
        <v>-2.9126411410911066</v>
      </c>
      <c r="V54" s="2">
        <v>1.5804</v>
      </c>
      <c r="W54" s="2">
        <f t="shared" si="0"/>
        <v>6.1389027842390243E-3</v>
      </c>
      <c r="X54">
        <f t="shared" si="5"/>
        <v>-199.91131158821486</v>
      </c>
      <c r="Y54">
        <f t="shared" si="1"/>
        <v>0.30708131198119376</v>
      </c>
      <c r="Z54" s="85">
        <f t="shared" si="7"/>
        <v>2.65E-3</v>
      </c>
      <c r="AA54">
        <f>IF(rightFromSymbol(A54)="C",MAX(0,$N$27-strikeFromSymbol(A54)),MAX(0,strikeFromSymbol(A54)-$N$27))*10000</f>
        <v>0</v>
      </c>
      <c r="AB54" s="86">
        <f t="shared" si="6"/>
        <v>26.5</v>
      </c>
      <c r="AC54" s="49">
        <f t="shared" si="2"/>
        <v>265</v>
      </c>
      <c r="AD54" s="48">
        <f t="shared" si="3"/>
        <v>1656.25</v>
      </c>
    </row>
    <row r="55" spans="1:30" x14ac:dyDescent="0.25">
      <c r="A55" s="2" t="s">
        <v>235</v>
      </c>
      <c r="B55" s="2">
        <v>-10</v>
      </c>
      <c r="C55" s="2">
        <v>1.39645E-3</v>
      </c>
      <c r="D55" s="2">
        <v>-872.78</v>
      </c>
      <c r="E55" s="2">
        <v>78.790000000000006</v>
      </c>
      <c r="F55" s="28">
        <v>-84.88</v>
      </c>
      <c r="G55" s="2">
        <v>0</v>
      </c>
      <c r="H55" s="2">
        <v>1.5E-3</v>
      </c>
      <c r="I55" s="2">
        <v>3</v>
      </c>
      <c r="J55" s="2">
        <v>46</v>
      </c>
      <c r="K55" s="2">
        <v>1.4E-3</v>
      </c>
      <c r="L55" s="2">
        <v>1.6999999999999999E-3</v>
      </c>
      <c r="M55" s="2">
        <v>65</v>
      </c>
      <c r="N55" s="2">
        <v>9.3428615704547899E-2</v>
      </c>
      <c r="O55" s="2">
        <v>0.17798156298697418</v>
      </c>
      <c r="P55" s="2">
        <v>0</v>
      </c>
      <c r="Q55" s="33">
        <v>-5.0578387891631125E-4</v>
      </c>
      <c r="R55" s="2">
        <v>5.2027437004944035E-4</v>
      </c>
      <c r="S55" s="2">
        <v>1.5415000000000001</v>
      </c>
      <c r="T55" s="2">
        <v>16.796175704252519</v>
      </c>
      <c r="U55" s="2">
        <f t="shared" si="4"/>
        <v>-1.7798156298697418</v>
      </c>
      <c r="V55" s="2">
        <v>1.5804</v>
      </c>
      <c r="W55" s="2">
        <f t="shared" si="0"/>
        <v>5.0578387891631127E-3</v>
      </c>
      <c r="X55">
        <f t="shared" si="5"/>
        <v>-167.96175704252519</v>
      </c>
      <c r="Y55">
        <f t="shared" si="1"/>
        <v>0.30113038099991712</v>
      </c>
      <c r="Z55" s="85">
        <f t="shared" si="7"/>
        <v>1.5499999999999999E-3</v>
      </c>
      <c r="AA55">
        <f>IF(rightFromSymbol(A55)="C",MAX(0,$N$27-strikeFromSymbol(A55)),MAX(0,strikeFromSymbol(A55)-$N$27))*10000</f>
        <v>0</v>
      </c>
      <c r="AB55" s="86">
        <f t="shared" si="6"/>
        <v>15.5</v>
      </c>
      <c r="AC55" s="49">
        <f t="shared" si="2"/>
        <v>155</v>
      </c>
      <c r="AD55" s="48">
        <f t="shared" si="3"/>
        <v>968.75</v>
      </c>
    </row>
    <row r="56" spans="1:30" x14ac:dyDescent="0.25">
      <c r="A56" s="2" t="s">
        <v>237</v>
      </c>
      <c r="B56" s="2">
        <v>-10</v>
      </c>
      <c r="C56" s="2">
        <v>1.0762499999999999E-2</v>
      </c>
      <c r="D56" s="2">
        <v>-6726.56</v>
      </c>
      <c r="E56" s="2">
        <v>685.04</v>
      </c>
      <c r="F56" s="28">
        <v>123.84</v>
      </c>
      <c r="G56" s="2">
        <v>0</v>
      </c>
      <c r="H56" s="2">
        <v>0</v>
      </c>
      <c r="I56" s="2">
        <v>0</v>
      </c>
      <c r="J56" s="2">
        <v>20</v>
      </c>
      <c r="K56" s="2">
        <v>9.1999999999999998E-3</v>
      </c>
      <c r="L56" s="2">
        <v>1.3299999999999999E-2</v>
      </c>
      <c r="M56" s="2">
        <v>30</v>
      </c>
      <c r="N56" s="2">
        <v>4.9971093912119069E-2</v>
      </c>
      <c r="O56" s="2">
        <v>-0.84151741187770379</v>
      </c>
      <c r="P56" s="2">
        <v>0</v>
      </c>
      <c r="Q56" s="33">
        <v>-8.8563079115407584E-4</v>
      </c>
      <c r="R56" s="2">
        <v>6.1854901429773089E-4</v>
      </c>
      <c r="S56" s="2">
        <v>1.5415000000000001</v>
      </c>
      <c r="T56" s="2">
        <v>28.198454836426588</v>
      </c>
      <c r="U56" s="2">
        <f t="shared" si="4"/>
        <v>8.4151741187770384</v>
      </c>
      <c r="V56" s="2">
        <v>1.5804</v>
      </c>
      <c r="W56" s="2">
        <f t="shared" si="0"/>
        <v>8.8563079115407586E-3</v>
      </c>
      <c r="X56">
        <f t="shared" si="5"/>
        <v>-281.98454836426589</v>
      </c>
      <c r="Y56">
        <f t="shared" si="1"/>
        <v>0.31407068092611357</v>
      </c>
      <c r="Z56" s="85">
        <f t="shared" si="7"/>
        <v>1.9849999999999941E-2</v>
      </c>
      <c r="AA56">
        <f>IF(rightFromSymbol(A56)="C",MAX(0,$N$27-strikeFromSymbol(A56)),MAX(0,strikeFromSymbol(A56)-$N$27))*10000</f>
        <v>85.999999999999403</v>
      </c>
      <c r="AB56" s="86">
        <f t="shared" si="6"/>
        <v>0</v>
      </c>
      <c r="AC56" s="49">
        <f t="shared" si="2"/>
        <v>0</v>
      </c>
      <c r="AD56" s="48">
        <f>MAX(0,AC56*6.25)</f>
        <v>0</v>
      </c>
    </row>
    <row r="57" spans="1:30" x14ac:dyDescent="0.25">
      <c r="A57" s="2" t="s">
        <v>239</v>
      </c>
      <c r="B57" s="2">
        <v>-20</v>
      </c>
      <c r="C57" s="2">
        <v>7.9710000000000002E-4</v>
      </c>
      <c r="D57" s="2">
        <v>-996.36</v>
      </c>
      <c r="E57" s="2">
        <v>41.29</v>
      </c>
      <c r="F57" s="28">
        <v>-170.56</v>
      </c>
      <c r="G57" s="2">
        <v>0</v>
      </c>
      <c r="H57" s="2">
        <v>8.0000000000000004E-4</v>
      </c>
      <c r="I57" s="2">
        <v>1</v>
      </c>
      <c r="J57" s="2">
        <v>15</v>
      </c>
      <c r="K57" s="2">
        <v>8.0000000000000004E-4</v>
      </c>
      <c r="L57" s="2">
        <v>1E-3</v>
      </c>
      <c r="M57" s="2">
        <v>50</v>
      </c>
      <c r="N57" s="2">
        <v>9.5552300089259426E-2</v>
      </c>
      <c r="O57" s="2">
        <v>0.11003521313276113</v>
      </c>
      <c r="P57" s="2">
        <v>0</v>
      </c>
      <c r="Q57" s="33">
        <v>-3.8560332058567621E-4</v>
      </c>
      <c r="R57" s="2">
        <v>4.039162989981119E-4</v>
      </c>
      <c r="S57" s="2">
        <v>1.5415000000000001</v>
      </c>
      <c r="T57" s="2">
        <v>13.237441805566466</v>
      </c>
      <c r="U57" s="2">
        <f t="shared" si="4"/>
        <v>-2.2007042626552225</v>
      </c>
      <c r="V57" s="2">
        <v>1.5804</v>
      </c>
      <c r="W57" s="2">
        <f t="shared" si="0"/>
        <v>7.7120664117135244E-3</v>
      </c>
      <c r="X57">
        <f t="shared" si="5"/>
        <v>-264.7488361113293</v>
      </c>
      <c r="Y57">
        <f t="shared" si="1"/>
        <v>0.29129746234164861</v>
      </c>
      <c r="Z57" s="85">
        <f t="shared" si="7"/>
        <v>8.9999999999999998E-4</v>
      </c>
      <c r="AA57">
        <f>IF(rightFromSymbol(A57)="C",MAX(0,$N$27-strikeFromSymbol(A57)),MAX(0,strikeFromSymbol(A57)-$N$27))*10000</f>
        <v>0</v>
      </c>
      <c r="AB57" s="86">
        <f t="shared" si="6"/>
        <v>9</v>
      </c>
      <c r="AC57" s="49">
        <f t="shared" si="2"/>
        <v>180</v>
      </c>
      <c r="AD57" s="48">
        <f t="shared" ref="AD57:AD67" si="8">MAX(0,AC57*6.25)</f>
        <v>1125</v>
      </c>
    </row>
    <row r="58" spans="1:30" x14ac:dyDescent="0.25">
      <c r="A58" s="2" t="s">
        <v>241</v>
      </c>
      <c r="B58" s="2">
        <v>-10</v>
      </c>
      <c r="C58" s="2">
        <v>3.968E-4</v>
      </c>
      <c r="D58" s="2">
        <v>-248</v>
      </c>
      <c r="E58" s="2">
        <v>16.29</v>
      </c>
      <c r="F58" s="28">
        <v>-85.1</v>
      </c>
      <c r="G58" s="2">
        <v>0</v>
      </c>
      <c r="H58" s="2">
        <v>0</v>
      </c>
      <c r="I58" s="2">
        <v>0</v>
      </c>
      <c r="J58" s="2">
        <v>50</v>
      </c>
      <c r="K58" s="2">
        <v>4.0000000000000002E-4</v>
      </c>
      <c r="L58" s="2">
        <v>5.9999999999999995E-4</v>
      </c>
      <c r="M58" s="2">
        <v>50</v>
      </c>
      <c r="N58" s="2">
        <v>8.9472621494727442E-2</v>
      </c>
      <c r="O58" s="2">
        <v>6.0910751636080673E-2</v>
      </c>
      <c r="P58" s="2">
        <v>0</v>
      </c>
      <c r="Q58" s="33">
        <v>-2.857724175531907E-4</v>
      </c>
      <c r="R58" s="2">
        <v>3.0124265408868866E-4</v>
      </c>
      <c r="S58" s="2">
        <v>1.5415000000000001</v>
      </c>
      <c r="T58" s="2">
        <v>9.989182123790874</v>
      </c>
      <c r="U58" s="2">
        <f t="shared" si="4"/>
        <v>-0.60910751636080673</v>
      </c>
      <c r="V58" s="2"/>
      <c r="W58" s="2">
        <f t="shared" si="0"/>
        <v>2.857724175531907E-3</v>
      </c>
      <c r="X58">
        <f t="shared" si="5"/>
        <v>-99.891821237908744</v>
      </c>
      <c r="Y58">
        <f t="shared" si="1"/>
        <v>0.28608189740837425</v>
      </c>
      <c r="Z58" s="85">
        <f t="shared" si="7"/>
        <v>5.0000000000000001E-4</v>
      </c>
      <c r="AA58">
        <f>IF(rightFromSymbol(A58)="C",MAX(0,$N$27-strikeFromSymbol(A58)),MAX(0,strikeFromSymbol(A58)-$N$27))*10000</f>
        <v>0</v>
      </c>
      <c r="AB58" s="86">
        <f t="shared" si="6"/>
        <v>5</v>
      </c>
      <c r="AC58" s="49">
        <f t="shared" si="2"/>
        <v>50</v>
      </c>
      <c r="AD58" s="48">
        <f t="shared" si="8"/>
        <v>312.5</v>
      </c>
    </row>
    <row r="59" spans="1:30" x14ac:dyDescent="0.25">
      <c r="A59" s="2" t="s">
        <v>243</v>
      </c>
      <c r="B59" s="2">
        <v>-10</v>
      </c>
      <c r="C59" s="2">
        <v>1.9680000000000001E-4</v>
      </c>
      <c r="D59" s="2">
        <v>-123</v>
      </c>
      <c r="E59" s="2">
        <v>3.79</v>
      </c>
      <c r="F59" s="28">
        <v>-85.1</v>
      </c>
      <c r="G59" s="2">
        <v>0</v>
      </c>
      <c r="H59" s="2">
        <v>0</v>
      </c>
      <c r="I59" s="2">
        <v>0</v>
      </c>
      <c r="J59" s="2">
        <v>50</v>
      </c>
      <c r="K59" s="2">
        <v>2.0000000000000001E-4</v>
      </c>
      <c r="L59" s="2">
        <v>4.0000000000000002E-4</v>
      </c>
      <c r="M59" s="2">
        <v>58</v>
      </c>
      <c r="N59" s="2">
        <v>9.1195946411465667E-2</v>
      </c>
      <c r="O59" s="2">
        <v>3.2753872063213549E-2</v>
      </c>
      <c r="P59" s="2">
        <v>0</v>
      </c>
      <c r="Q59" s="33">
        <v>-2.1932269568828496E-4</v>
      </c>
      <c r="R59" s="2">
        <v>2.0114864760262203E-4</v>
      </c>
      <c r="S59" s="2">
        <v>1.5415000000000001</v>
      </c>
      <c r="T59" s="2">
        <v>7.3788267816192317</v>
      </c>
      <c r="U59" s="2">
        <f t="shared" si="4"/>
        <v>-0.32753872063213552</v>
      </c>
      <c r="V59" s="2"/>
      <c r="W59" s="2">
        <f t="shared" si="0"/>
        <v>2.1932269568828494E-3</v>
      </c>
      <c r="X59">
        <f t="shared" si="5"/>
        <v>-73.788267816192317</v>
      </c>
      <c r="Y59">
        <f t="shared" si="1"/>
        <v>0.29723247635331551</v>
      </c>
      <c r="Z59" s="85">
        <f t="shared" si="7"/>
        <v>3.0000000000000003E-4</v>
      </c>
      <c r="AA59">
        <f>IF(rightFromSymbol(A59)="C",MAX(0,$N$27-strikeFromSymbol(A59)),MAX(0,strikeFromSymbol(A59)-$N$27))*10000</f>
        <v>0</v>
      </c>
      <c r="AB59" s="86">
        <f t="shared" si="6"/>
        <v>3.0000000000000004</v>
      </c>
      <c r="AC59" s="49">
        <f t="shared" si="2"/>
        <v>30.000000000000004</v>
      </c>
      <c r="AD59" s="48">
        <f t="shared" si="8"/>
        <v>187.50000000000003</v>
      </c>
    </row>
    <row r="60" spans="1:30" x14ac:dyDescent="0.25">
      <c r="A60" s="2" t="s">
        <v>245</v>
      </c>
      <c r="B60" s="2">
        <v>-10</v>
      </c>
      <c r="C60" s="2">
        <v>8.9554999999999995E-4</v>
      </c>
      <c r="D60" s="2">
        <v>-559.71</v>
      </c>
      <c r="E60" s="2">
        <v>47.54</v>
      </c>
      <c r="F60" s="28">
        <v>-84.31</v>
      </c>
      <c r="G60" s="2">
        <v>0</v>
      </c>
      <c r="H60" s="2">
        <v>0</v>
      </c>
      <c r="I60" s="2">
        <v>0</v>
      </c>
      <c r="J60" s="2">
        <v>25</v>
      </c>
      <c r="K60" s="2">
        <v>8.0000000000000004E-4</v>
      </c>
      <c r="L60" s="2">
        <v>1.1000000000000001E-3</v>
      </c>
      <c r="M60" s="2">
        <v>55</v>
      </c>
      <c r="N60" s="2">
        <v>8.3941409747978923E-2</v>
      </c>
      <c r="O60" s="2">
        <v>-7.8808386601127531E-2</v>
      </c>
      <c r="P60" s="2">
        <v>0</v>
      </c>
      <c r="Q60" s="33">
        <v>-1.5740940516208307E-4</v>
      </c>
      <c r="R60" s="2">
        <v>4.7679969401323444E-4</v>
      </c>
      <c r="S60" s="2">
        <v>1.5406</v>
      </c>
      <c r="T60" s="2">
        <v>7.2906837330613756</v>
      </c>
      <c r="U60" s="2">
        <f t="shared" si="4"/>
        <v>0.78808386601127534</v>
      </c>
      <c r="V60" s="2"/>
      <c r="W60" s="2">
        <f t="shared" si="0"/>
        <v>1.5740940516208307E-3</v>
      </c>
      <c r="X60">
        <f t="shared" si="5"/>
        <v>-72.906837330613754</v>
      </c>
      <c r="Y60">
        <f t="shared" si="1"/>
        <v>0.21590486012755142</v>
      </c>
      <c r="Z60" s="85">
        <f t="shared" si="7"/>
        <v>9.5000000000000011E-4</v>
      </c>
      <c r="AA60">
        <f>IF(rightFromSymbol(A60)="C",MAX(0,$N$27-strikeFromSymbol(A60)),MAX(0,strikeFromSymbol(A60)-$N$27))*10000</f>
        <v>0</v>
      </c>
      <c r="AB60" s="86">
        <f t="shared" si="6"/>
        <v>9.5000000000000018</v>
      </c>
      <c r="AC60" s="49">
        <f t="shared" si="2"/>
        <v>95.000000000000014</v>
      </c>
      <c r="AD60" s="48">
        <f t="shared" si="8"/>
        <v>593.75000000000011</v>
      </c>
    </row>
    <row r="61" spans="1:30" x14ac:dyDescent="0.25">
      <c r="A61" s="2" t="s">
        <v>247</v>
      </c>
      <c r="B61" s="2">
        <v>-10</v>
      </c>
      <c r="C61" s="2">
        <v>1.32175E-3</v>
      </c>
      <c r="D61" s="2">
        <v>-826.1</v>
      </c>
      <c r="E61" s="2">
        <v>78.790000000000006</v>
      </c>
      <c r="F61" s="28">
        <v>-38.200000000000003</v>
      </c>
      <c r="G61" s="2">
        <v>0</v>
      </c>
      <c r="H61" s="2">
        <v>0</v>
      </c>
      <c r="I61" s="2">
        <v>0</v>
      </c>
      <c r="J61" s="2">
        <v>30</v>
      </c>
      <c r="K61" s="2">
        <v>1.1999999999999999E-3</v>
      </c>
      <c r="L61" s="2">
        <v>1.5E-3</v>
      </c>
      <c r="M61" s="2">
        <v>5</v>
      </c>
      <c r="N61" s="2">
        <v>8.5263970628407834E-2</v>
      </c>
      <c r="O61" s="2">
        <v>-0.11314892454344988</v>
      </c>
      <c r="P61" s="2">
        <v>0</v>
      </c>
      <c r="Q61" s="33">
        <v>-2.1681730194367924E-4</v>
      </c>
      <c r="R61" s="2">
        <v>6.5952695741346439E-4</v>
      </c>
      <c r="S61" s="2">
        <v>1.5406</v>
      </c>
      <c r="T61" s="2">
        <v>8.9356493542224911</v>
      </c>
      <c r="U61" s="2">
        <f t="shared" si="4"/>
        <v>1.1314892454344987</v>
      </c>
      <c r="V61" s="2"/>
      <c r="W61" s="2">
        <f t="shared" si="0"/>
        <v>2.1681730194367923E-3</v>
      </c>
      <c r="X61">
        <f t="shared" si="5"/>
        <v>-89.356493542224911</v>
      </c>
      <c r="Y61">
        <f t="shared" si="1"/>
        <v>0.24264302833371973</v>
      </c>
      <c r="Z61" s="85">
        <f t="shared" si="7"/>
        <v>1.3500000000000001E-3</v>
      </c>
      <c r="AA61">
        <f>IF(rightFromSymbol(A61)="C",MAX(0,$N$27-strikeFromSymbol(A61)),MAX(0,strikeFromSymbol(A61)-$N$27))*10000</f>
        <v>0</v>
      </c>
      <c r="AB61" s="86">
        <f t="shared" si="6"/>
        <v>13.5</v>
      </c>
      <c r="AC61" s="49">
        <f t="shared" si="2"/>
        <v>135</v>
      </c>
      <c r="AD61" s="48">
        <f t="shared" si="8"/>
        <v>843.75</v>
      </c>
    </row>
    <row r="62" spans="1:30" x14ac:dyDescent="0.25">
      <c r="A62" s="2" t="s">
        <v>249</v>
      </c>
      <c r="B62" s="2">
        <v>-10</v>
      </c>
      <c r="C62" s="2">
        <v>1.9672000000000001E-3</v>
      </c>
      <c r="D62" s="2">
        <v>-1229.49</v>
      </c>
      <c r="E62" s="2">
        <v>110.04</v>
      </c>
      <c r="F62" s="28">
        <v>-129.09</v>
      </c>
      <c r="G62" s="2">
        <v>0</v>
      </c>
      <c r="H62" s="2">
        <v>0</v>
      </c>
      <c r="I62" s="2">
        <v>0</v>
      </c>
      <c r="J62" s="2">
        <v>22</v>
      </c>
      <c r="K62" s="2">
        <v>1.9E-3</v>
      </c>
      <c r="L62" s="2">
        <v>2.2000000000000001E-3</v>
      </c>
      <c r="M62" s="2">
        <v>35</v>
      </c>
      <c r="N62" s="2">
        <v>7.9645975647727241E-2</v>
      </c>
      <c r="O62" s="2">
        <v>-0.16018444149370656</v>
      </c>
      <c r="P62" s="2">
        <v>0</v>
      </c>
      <c r="Q62" s="33">
        <v>-2.3956942730892121E-4</v>
      </c>
      <c r="R62" s="2">
        <v>6.6061742890500424E-4</v>
      </c>
      <c r="S62" s="2">
        <v>1.5406</v>
      </c>
      <c r="T62" s="2">
        <v>10.75285086862012</v>
      </c>
      <c r="U62" s="2">
        <f t="shared" si="4"/>
        <v>1.6018444149370656</v>
      </c>
      <c r="V62" s="2"/>
      <c r="W62" s="2">
        <f t="shared" si="0"/>
        <v>2.3956942730892121E-3</v>
      </c>
      <c r="X62">
        <f t="shared" si="5"/>
        <v>-107.52850868620121</v>
      </c>
      <c r="Y62">
        <f t="shared" si="1"/>
        <v>0.22279619631669306</v>
      </c>
      <c r="Z62" s="85">
        <f t="shared" si="7"/>
        <v>2.0500000000000002E-3</v>
      </c>
      <c r="AA62">
        <f>IF(rightFromSymbol(A62)="C",MAX(0,$N$27-strikeFromSymbol(A62)),MAX(0,strikeFromSymbol(A62)-$N$27))*10000</f>
        <v>0</v>
      </c>
      <c r="AB62" s="86">
        <f t="shared" si="6"/>
        <v>20.5</v>
      </c>
      <c r="AC62" s="49">
        <f t="shared" si="2"/>
        <v>205</v>
      </c>
      <c r="AD62" s="48">
        <f t="shared" si="8"/>
        <v>1281.25</v>
      </c>
    </row>
    <row r="63" spans="1:30" x14ac:dyDescent="0.25">
      <c r="A63" s="2" t="s">
        <v>251</v>
      </c>
      <c r="B63" s="2">
        <v>-20</v>
      </c>
      <c r="C63" s="2">
        <v>2.8402499999999999E-3</v>
      </c>
      <c r="D63" s="2">
        <v>-3550.3</v>
      </c>
      <c r="E63" s="2">
        <v>169.41499999999999</v>
      </c>
      <c r="F63" s="28">
        <v>-162</v>
      </c>
      <c r="G63" s="2">
        <v>0</v>
      </c>
      <c r="H63" s="2">
        <v>0</v>
      </c>
      <c r="I63" s="2">
        <v>0</v>
      </c>
      <c r="J63" s="2">
        <v>17</v>
      </c>
      <c r="K63" s="2">
        <v>2.8E-3</v>
      </c>
      <c r="L63" s="2">
        <v>3.0999999999999999E-3</v>
      </c>
      <c r="M63" s="2">
        <v>35</v>
      </c>
      <c r="N63" s="2">
        <v>7.7988891476731936E-2</v>
      </c>
      <c r="O63" s="2">
        <v>-0.22273419521247101</v>
      </c>
      <c r="P63" s="2">
        <v>0</v>
      </c>
      <c r="Q63" s="33">
        <v>-2.831336909788035E-4</v>
      </c>
      <c r="R63" s="2">
        <v>8.4216878776075801E-4</v>
      </c>
      <c r="S63" s="2">
        <v>1.5406</v>
      </c>
      <c r="T63" s="2">
        <v>12.611874096875791</v>
      </c>
      <c r="U63" s="2">
        <f t="shared" si="4"/>
        <v>4.4546839042494204</v>
      </c>
      <c r="V63" s="2"/>
      <c r="W63" s="2">
        <f t="shared" si="0"/>
        <v>5.6626738195760702E-3</v>
      </c>
      <c r="X63">
        <f t="shared" si="5"/>
        <v>-252.23748193751584</v>
      </c>
      <c r="Y63">
        <f t="shared" si="1"/>
        <v>0.22449771445858413</v>
      </c>
      <c r="Z63" s="85">
        <f t="shared" si="7"/>
        <v>2.9499999999999999E-3</v>
      </c>
      <c r="AA63">
        <f>IF(rightFromSymbol(A63)="C",MAX(0,$N$27-strikeFromSymbol(A63)),MAX(0,strikeFromSymbol(A63)-$N$27))*10000</f>
        <v>0</v>
      </c>
      <c r="AB63" s="86">
        <f t="shared" si="6"/>
        <v>29.5</v>
      </c>
      <c r="AC63" s="49">
        <f t="shared" si="2"/>
        <v>590</v>
      </c>
      <c r="AD63" s="48">
        <f t="shared" si="8"/>
        <v>3687.5</v>
      </c>
    </row>
    <row r="64" spans="1:30" x14ac:dyDescent="0.25">
      <c r="A64" s="2" t="s">
        <v>253</v>
      </c>
      <c r="B64" s="2">
        <v>-11</v>
      </c>
      <c r="C64" s="2">
        <v>3.9906000000000004E-3</v>
      </c>
      <c r="D64" s="2">
        <v>-2743.53</v>
      </c>
      <c r="E64" s="2">
        <v>247.54</v>
      </c>
      <c r="F64" s="28">
        <v>-20.59</v>
      </c>
      <c r="G64" s="2">
        <v>0</v>
      </c>
      <c r="H64" s="2">
        <v>0</v>
      </c>
      <c r="I64" s="2">
        <v>0</v>
      </c>
      <c r="J64" s="2">
        <v>17</v>
      </c>
      <c r="K64" s="2">
        <v>4.0000000000000001E-3</v>
      </c>
      <c r="L64" s="2">
        <v>4.3E-3</v>
      </c>
      <c r="M64" s="2">
        <v>5</v>
      </c>
      <c r="N64" s="2">
        <v>7.937320747420272E-2</v>
      </c>
      <c r="O64" s="2">
        <v>-0.29828442628242513</v>
      </c>
      <c r="P64" s="2">
        <v>0</v>
      </c>
      <c r="Q64" s="2">
        <v>-3.3688643723188351E-4</v>
      </c>
      <c r="R64" s="2">
        <v>9.9025296928923791E-4</v>
      </c>
      <c r="S64" s="2">
        <v>1.5406</v>
      </c>
      <c r="T64" s="2">
        <v>14.339939221829612</v>
      </c>
      <c r="U64" s="2">
        <f t="shared" si="4"/>
        <v>3.2811286891066764</v>
      </c>
      <c r="V64" s="2"/>
      <c r="W64" s="2">
        <f t="shared" si="0"/>
        <v>3.7057508095507188E-3</v>
      </c>
      <c r="X64">
        <f t="shared" si="5"/>
        <v>-157.73933144012574</v>
      </c>
      <c r="Y64">
        <f t="shared" si="1"/>
        <v>0.23492877621060146</v>
      </c>
      <c r="Z64" s="85">
        <f t="shared" si="7"/>
        <v>4.15E-3</v>
      </c>
      <c r="AA64">
        <f>IF(rightFromSymbol(A64)="C",MAX(0,$N$27-strikeFromSymbol(A64)),MAX(0,strikeFromSymbol(A64)-$N$27))*10000</f>
        <v>0</v>
      </c>
      <c r="AB64" s="86">
        <f t="shared" si="6"/>
        <v>41.5</v>
      </c>
      <c r="AC64" s="49">
        <f t="shared" si="2"/>
        <v>456.5</v>
      </c>
      <c r="AD64" s="48">
        <f t="shared" si="8"/>
        <v>2853.125</v>
      </c>
    </row>
    <row r="65" spans="1:30" x14ac:dyDescent="0.25">
      <c r="A65" s="2" t="s">
        <v>255</v>
      </c>
      <c r="B65" s="2">
        <v>-10</v>
      </c>
      <c r="C65" s="2">
        <v>5.5954000000000004E-3</v>
      </c>
      <c r="D65" s="2">
        <v>-3497.14</v>
      </c>
      <c r="E65" s="2">
        <v>347.54</v>
      </c>
      <c r="F65" s="28">
        <v>-21.74</v>
      </c>
      <c r="G65" s="2">
        <v>0</v>
      </c>
      <c r="H65" s="2">
        <v>0</v>
      </c>
      <c r="I65" s="2">
        <v>0</v>
      </c>
      <c r="J65" s="2">
        <v>17</v>
      </c>
      <c r="K65" s="2">
        <v>5.5999999999999999E-3</v>
      </c>
      <c r="L65" s="2">
        <v>6.0000000000000001E-3</v>
      </c>
      <c r="M65" s="2">
        <v>17</v>
      </c>
      <c r="N65" s="2">
        <v>7.5655988892997073E-2</v>
      </c>
      <c r="O65" s="2">
        <v>-0.38830730960033205</v>
      </c>
      <c r="P65" s="2">
        <v>0</v>
      </c>
      <c r="Q65" s="2">
        <v>-3.5244977787889911E-4</v>
      </c>
      <c r="R65" s="2">
        <v>1.0745306027787824E-3</v>
      </c>
      <c r="S65" s="2">
        <v>1.5406</v>
      </c>
      <c r="T65" s="2">
        <v>15.636605435143441</v>
      </c>
      <c r="U65" s="2">
        <f t="shared" si="4"/>
        <v>3.8830730960033204</v>
      </c>
      <c r="V65" s="2"/>
      <c r="W65" s="2">
        <f t="shared" si="0"/>
        <v>3.5244977787889913E-3</v>
      </c>
      <c r="X65">
        <f t="shared" si="5"/>
        <v>-156.3660543514344</v>
      </c>
      <c r="Y65">
        <f t="shared" si="1"/>
        <v>0.22540044214888511</v>
      </c>
      <c r="Z65" s="85">
        <f t="shared" si="7"/>
        <v>5.7999999999999996E-3</v>
      </c>
      <c r="AA65">
        <f>IF(rightFromSymbol(A65)="C",MAX(0,$N$27-strikeFromSymbol(A65)),MAX(0,strikeFromSymbol(A65)-$N$27))*10000</f>
        <v>0</v>
      </c>
      <c r="AB65" s="86">
        <f t="shared" si="6"/>
        <v>57.999999999999993</v>
      </c>
      <c r="AC65" s="49">
        <f t="shared" si="2"/>
        <v>579.99999999999989</v>
      </c>
      <c r="AD65" s="48">
        <f t="shared" si="8"/>
        <v>3624.9999999999991</v>
      </c>
    </row>
    <row r="66" spans="1:30" x14ac:dyDescent="0.25">
      <c r="A66" s="2" t="s">
        <v>257</v>
      </c>
      <c r="B66" s="2">
        <v>-10</v>
      </c>
      <c r="C66" s="2">
        <v>5.8517500000000002E-3</v>
      </c>
      <c r="D66" s="2">
        <v>-3657.34</v>
      </c>
      <c r="E66" s="2">
        <v>350.66500000000002</v>
      </c>
      <c r="F66" s="28">
        <v>-150.69</v>
      </c>
      <c r="G66" s="2">
        <v>0</v>
      </c>
      <c r="H66" s="2">
        <v>0</v>
      </c>
      <c r="I66" s="2">
        <v>0</v>
      </c>
      <c r="J66" s="2">
        <v>5</v>
      </c>
      <c r="K66" s="2">
        <v>5.7999999999999996E-3</v>
      </c>
      <c r="L66" s="2">
        <v>6.1999999999999998E-3</v>
      </c>
      <c r="M66" s="2">
        <v>12</v>
      </c>
      <c r="N66" s="2">
        <v>7.4631440653607939E-2</v>
      </c>
      <c r="O66" s="2">
        <v>0.41671871684478351</v>
      </c>
      <c r="P66" s="2">
        <v>0</v>
      </c>
      <c r="Q66" s="2">
        <v>-3.5168752059274957E-4</v>
      </c>
      <c r="R66" s="2">
        <v>1.0780141814059271E-3</v>
      </c>
      <c r="S66" s="2">
        <v>1.5406</v>
      </c>
      <c r="T66" s="2">
        <v>16.927909123006291</v>
      </c>
      <c r="U66" s="2">
        <f t="shared" si="4"/>
        <v>-4.1671871684478354</v>
      </c>
      <c r="V66" s="2"/>
      <c r="W66" s="2">
        <f t="shared" si="0"/>
        <v>3.5168752059274956E-3</v>
      </c>
      <c r="X66">
        <f t="shared" si="5"/>
        <v>-169.2790912300629</v>
      </c>
      <c r="Y66">
        <f t="shared" si="1"/>
        <v>0.20775603061028963</v>
      </c>
      <c r="Z66" s="85">
        <f t="shared" si="7"/>
        <v>6.0000000000000001E-3</v>
      </c>
      <c r="AA66">
        <f>IF(rightFromSymbol(A66)="C",MAX(0,$N$27-strikeFromSymbol(A66)),MAX(0,strikeFromSymbol(A66)-$N$27))*10000</f>
        <v>0</v>
      </c>
      <c r="AB66" s="86">
        <f t="shared" si="6"/>
        <v>60</v>
      </c>
      <c r="AC66" s="49">
        <f t="shared" si="2"/>
        <v>600</v>
      </c>
      <c r="AD66" s="48">
        <f t="shared" si="8"/>
        <v>3750</v>
      </c>
    </row>
    <row r="67" spans="1:30" x14ac:dyDescent="0.25">
      <c r="A67" s="2" t="s">
        <v>259</v>
      </c>
      <c r="B67" s="2">
        <v>-10</v>
      </c>
      <c r="C67" s="2">
        <v>7.6826500000000001E-3</v>
      </c>
      <c r="D67" s="2">
        <v>-4801.66</v>
      </c>
      <c r="E67" s="2">
        <v>478.79</v>
      </c>
      <c r="F67" s="28">
        <v>-13.76</v>
      </c>
      <c r="G67" s="2">
        <v>0</v>
      </c>
      <c r="H67" s="2">
        <v>0</v>
      </c>
      <c r="I67" s="2">
        <v>0</v>
      </c>
      <c r="J67" s="2">
        <v>5</v>
      </c>
      <c r="K67" s="2">
        <v>7.7000000000000002E-3</v>
      </c>
      <c r="L67" s="2">
        <v>8.0999999999999996E-3</v>
      </c>
      <c r="M67" s="2">
        <v>12</v>
      </c>
      <c r="N67" s="2">
        <v>7.4980170480259289E-2</v>
      </c>
      <c r="O67" s="2">
        <v>-0.48538727948516963</v>
      </c>
      <c r="P67" s="2">
        <v>0</v>
      </c>
      <c r="Q67" s="2">
        <v>-3.6241031217978649E-4</v>
      </c>
      <c r="R67" s="2">
        <v>1.0762800960363176E-3</v>
      </c>
      <c r="S67" s="2">
        <v>1.5406</v>
      </c>
      <c r="T67" s="2">
        <v>15.768442722933489</v>
      </c>
      <c r="U67" s="2">
        <f t="shared" si="4"/>
        <v>4.8538727948516964</v>
      </c>
      <c r="V67" s="2"/>
      <c r="W67" s="2">
        <f t="shared" si="0"/>
        <v>3.6241031217978648E-3</v>
      </c>
      <c r="X67">
        <f t="shared" si="5"/>
        <v>-157.68442722933489</v>
      </c>
      <c r="Y67">
        <f t="shared" si="1"/>
        <v>0.22983265915834544</v>
      </c>
      <c r="Z67" s="85">
        <f t="shared" si="7"/>
        <v>7.9000000000000008E-3</v>
      </c>
      <c r="AA67">
        <f>IF(rightFromSymbol(A67)="C",MAX(0,$N$27-strikeFromSymbol(A67)),MAX(0,strikeFromSymbol(A67)-$N$27))*10000</f>
        <v>0</v>
      </c>
      <c r="AB67" s="86">
        <f t="shared" si="6"/>
        <v>79.000000000000014</v>
      </c>
      <c r="AC67" s="49">
        <f t="shared" si="2"/>
        <v>790.00000000000011</v>
      </c>
      <c r="AD67" s="48">
        <f t="shared" si="8"/>
        <v>4937.5000000000009</v>
      </c>
    </row>
    <row r="68" spans="1:30" x14ac:dyDescent="0.25">
      <c r="A68" s="2" t="s">
        <v>261</v>
      </c>
      <c r="B68" s="2">
        <v>-10</v>
      </c>
      <c r="C68" s="2">
        <v>3.9876499999999997E-3</v>
      </c>
      <c r="D68" s="2">
        <v>-2492.2800000000002</v>
      </c>
      <c r="E68" s="2">
        <v>238.16499999999999</v>
      </c>
      <c r="F68" s="28">
        <v>-110.63</v>
      </c>
      <c r="G68" s="2">
        <v>0</v>
      </c>
      <c r="H68" s="2">
        <v>0</v>
      </c>
      <c r="I68" s="2">
        <v>0</v>
      </c>
      <c r="J68" s="2">
        <v>5</v>
      </c>
      <c r="K68" s="2">
        <v>4.0000000000000001E-3</v>
      </c>
      <c r="L68" s="2">
        <v>4.3E-3</v>
      </c>
      <c r="M68" s="2">
        <v>22</v>
      </c>
      <c r="N68" s="2">
        <v>7.1801818431008593E-2</v>
      </c>
      <c r="O68" s="2">
        <v>0.32428094911812833</v>
      </c>
      <c r="P68" s="2">
        <v>0</v>
      </c>
      <c r="Q68" s="2">
        <v>-3.0849345023842929E-4</v>
      </c>
      <c r="R68" s="2">
        <v>9.9670056026982586E-4</v>
      </c>
      <c r="S68" s="2">
        <v>1.5406</v>
      </c>
      <c r="T68" s="2">
        <v>15.536600822793073</v>
      </c>
      <c r="U68" s="2">
        <f t="shared" ref="U68:U87" si="9">O68*B68</f>
        <v>-3.2428094911812835</v>
      </c>
      <c r="V68" s="2"/>
      <c r="W68" s="2">
        <f t="shared" ref="W68:W87" si="10">Q68*B68</f>
        <v>3.0849345023842931E-3</v>
      </c>
      <c r="X68">
        <f t="shared" ref="X68:X87" si="11">IF(ISERR(T68),0,T68*B68)</f>
        <v>-155.36600822793073</v>
      </c>
      <c r="Y68">
        <f t="shared" ref="Y68:Y87" si="12">IF(X68 = 0,0,(W68*-10000)/X68)</f>
        <v>0.19855916603447257</v>
      </c>
      <c r="Z68" s="85">
        <f t="shared" ref="Z68:Z87" si="13">midMarket(K68,L68) +AA68/10000</f>
        <v>4.15E-3</v>
      </c>
      <c r="AA68">
        <f>IF(rightFromSymbol(A68)="C",MAX(0,$N$27-strikeFromSymbol(A68)),MAX(0,strikeFromSymbol(A68)-$N$27))*10000</f>
        <v>0</v>
      </c>
      <c r="AB68" s="86">
        <f t="shared" ref="AB68:AB87" si="14">MAX(0,Z68-AA68) * 10000</f>
        <v>41.5</v>
      </c>
      <c r="AC68" s="49">
        <f t="shared" ref="AC68:AC87" si="15">-AB68*B68</f>
        <v>415</v>
      </c>
      <c r="AD68" s="48">
        <f t="shared" ref="AD68:AD87" si="16">MAX(0,AC68*6.25)</f>
        <v>2593.75</v>
      </c>
    </row>
    <row r="69" spans="1:30" x14ac:dyDescent="0.25">
      <c r="A69" s="2" t="s">
        <v>263</v>
      </c>
      <c r="B69" s="2">
        <v>-10</v>
      </c>
      <c r="C69" s="2">
        <v>2.6208E-3</v>
      </c>
      <c r="D69" s="2">
        <v>-1638</v>
      </c>
      <c r="E69" s="2">
        <v>156.91499999999999</v>
      </c>
      <c r="F69" s="28">
        <v>-68.849999999999994</v>
      </c>
      <c r="G69" s="2">
        <v>0</v>
      </c>
      <c r="H69" s="2">
        <v>0</v>
      </c>
      <c r="I69" s="2">
        <v>0</v>
      </c>
      <c r="J69" s="2">
        <v>5</v>
      </c>
      <c r="K69" s="2">
        <v>2.5999999999999999E-3</v>
      </c>
      <c r="L69" s="2">
        <v>2.8999999999999998E-3</v>
      </c>
      <c r="M69" s="2">
        <v>22</v>
      </c>
      <c r="N69" s="2">
        <v>7.1196966451295057E-2</v>
      </c>
      <c r="O69" s="2">
        <v>0.23085680892810229</v>
      </c>
      <c r="P69" s="2">
        <v>0</v>
      </c>
      <c r="Q69" s="2">
        <v>-2.608121765346656E-4</v>
      </c>
      <c r="R69" s="2">
        <v>8.5040984722011426E-4</v>
      </c>
      <c r="S69" s="2">
        <v>1.5406</v>
      </c>
      <c r="T69" s="2">
        <v>14.177431830108832</v>
      </c>
      <c r="U69" s="2">
        <f t="shared" si="9"/>
        <v>-2.3085680892810228</v>
      </c>
      <c r="V69" s="2"/>
      <c r="W69" s="2">
        <f t="shared" si="10"/>
        <v>2.608121765346656E-3</v>
      </c>
      <c r="X69">
        <f t="shared" si="11"/>
        <v>-141.77431830108833</v>
      </c>
      <c r="Y69">
        <f t="shared" si="12"/>
        <v>0.18396292054868127</v>
      </c>
      <c r="Z69" s="85">
        <f t="shared" si="13"/>
        <v>2.7499999999999998E-3</v>
      </c>
      <c r="AA69">
        <f>IF(rightFromSymbol(A69)="C",MAX(0,$N$27-strikeFromSymbol(A69)),MAX(0,strikeFromSymbol(A69)-$N$27))*10000</f>
        <v>0</v>
      </c>
      <c r="AB69" s="86">
        <f t="shared" si="14"/>
        <v>27.5</v>
      </c>
      <c r="AC69" s="49">
        <f t="shared" si="15"/>
        <v>275</v>
      </c>
      <c r="AD69" s="48">
        <f t="shared" si="16"/>
        <v>1718.75</v>
      </c>
    </row>
    <row r="70" spans="1:30" x14ac:dyDescent="0.25">
      <c r="A70" s="2" t="s">
        <v>265</v>
      </c>
      <c r="B70" s="2">
        <v>-10</v>
      </c>
      <c r="C70" s="2">
        <v>1.7219500000000001E-3</v>
      </c>
      <c r="D70" s="2">
        <v>-1076.23</v>
      </c>
      <c r="E70" s="2">
        <v>97.54</v>
      </c>
      <c r="F70" s="28">
        <v>-100.83</v>
      </c>
      <c r="G70" s="2">
        <v>0</v>
      </c>
      <c r="H70" s="2">
        <v>0</v>
      </c>
      <c r="I70" s="2">
        <v>0</v>
      </c>
      <c r="J70" s="2">
        <v>27</v>
      </c>
      <c r="K70" s="2">
        <v>1.6000000000000001E-3</v>
      </c>
      <c r="L70" s="2">
        <v>1.9E-3</v>
      </c>
      <c r="M70" s="2">
        <v>5</v>
      </c>
      <c r="N70" s="2">
        <v>7.5547782690174259E-2</v>
      </c>
      <c r="O70" s="2">
        <v>0.15846794313551532</v>
      </c>
      <c r="P70" s="2">
        <v>0</v>
      </c>
      <c r="Q70" s="2">
        <v>-2.3453995662704732E-4</v>
      </c>
      <c r="R70" s="2">
        <v>7.0165252613207897E-4</v>
      </c>
      <c r="S70" s="2">
        <v>1.5406</v>
      </c>
      <c r="T70" s="2">
        <v>12.393277432166242</v>
      </c>
      <c r="U70" s="2">
        <f t="shared" si="9"/>
        <v>-1.5846794313551533</v>
      </c>
      <c r="V70" s="2"/>
      <c r="W70" s="2">
        <f t="shared" si="10"/>
        <v>2.3453995662704734E-3</v>
      </c>
      <c r="X70">
        <f t="shared" si="11"/>
        <v>-123.93277432166242</v>
      </c>
      <c r="Y70">
        <f t="shared" si="12"/>
        <v>0.18924772555991407</v>
      </c>
      <c r="Z70" s="85">
        <f t="shared" si="13"/>
        <v>1.75E-3</v>
      </c>
      <c r="AA70">
        <f>IF(rightFromSymbol(A70)="C",MAX(0,$N$27-strikeFromSymbol(A70)),MAX(0,strikeFromSymbol(A70)-$N$27))*10000</f>
        <v>0</v>
      </c>
      <c r="AB70" s="86">
        <f t="shared" si="14"/>
        <v>17.5</v>
      </c>
      <c r="AC70" s="49">
        <f t="shared" si="15"/>
        <v>175</v>
      </c>
      <c r="AD70" s="48">
        <f t="shared" si="16"/>
        <v>1093.75</v>
      </c>
    </row>
    <row r="71" spans="1:30" x14ac:dyDescent="0.25">
      <c r="A71" s="2" t="s">
        <v>267</v>
      </c>
      <c r="B71" s="2">
        <v>-10</v>
      </c>
      <c r="C71" s="2">
        <v>1.0168499999999999E-3</v>
      </c>
      <c r="D71" s="2">
        <v>-635.53</v>
      </c>
      <c r="E71" s="2">
        <v>60.04</v>
      </c>
      <c r="F71" s="28">
        <v>-35.130000000000003</v>
      </c>
      <c r="G71" s="2">
        <v>0</v>
      </c>
      <c r="H71" s="2">
        <v>0</v>
      </c>
      <c r="I71" s="2">
        <v>0</v>
      </c>
      <c r="J71" s="2">
        <v>60</v>
      </c>
      <c r="K71" s="2">
        <v>8.9999999999999998E-4</v>
      </c>
      <c r="L71" s="2">
        <v>1.2999999999999999E-3</v>
      </c>
      <c r="M71" s="2">
        <v>30</v>
      </c>
      <c r="N71" s="2">
        <v>6.9458786121447111E-2</v>
      </c>
      <c r="O71" s="2">
        <v>0.10687667170227995</v>
      </c>
      <c r="P71" s="2">
        <v>0</v>
      </c>
      <c r="Q71" s="2">
        <v>-1.8676091067501257E-4</v>
      </c>
      <c r="R71" s="2">
        <v>6.2615398036970074E-4</v>
      </c>
      <c r="S71" s="2">
        <v>1.5406</v>
      </c>
      <c r="T71" s="2">
        <v>10.491361848767616</v>
      </c>
      <c r="U71" s="2">
        <f t="shared" si="9"/>
        <v>-1.0687667170227995</v>
      </c>
      <c r="V71" s="2"/>
      <c r="W71" s="2">
        <f t="shared" si="10"/>
        <v>1.8676091067501258E-3</v>
      </c>
      <c r="X71">
        <f t="shared" si="11"/>
        <v>-104.91361848767616</v>
      </c>
      <c r="Y71">
        <f t="shared" si="12"/>
        <v>0.17801398270992885</v>
      </c>
      <c r="Z71" s="85">
        <f t="shared" si="13"/>
        <v>1.0999999999999998E-3</v>
      </c>
      <c r="AA71">
        <f>IF(rightFromSymbol(A71)="C",MAX(0,$N$27-strikeFromSymbol(A71)),MAX(0,strikeFromSymbol(A71)-$N$27))*10000</f>
        <v>0</v>
      </c>
      <c r="AB71" s="86">
        <f t="shared" si="14"/>
        <v>10.999999999999998</v>
      </c>
      <c r="AC71" s="49">
        <f t="shared" si="15"/>
        <v>109.99999999999999</v>
      </c>
      <c r="AD71" s="48">
        <f t="shared" si="16"/>
        <v>687.49999999999989</v>
      </c>
    </row>
    <row r="72" spans="1:30" x14ac:dyDescent="0.25">
      <c r="A72" s="2" t="s">
        <v>269</v>
      </c>
      <c r="B72" s="2">
        <v>-10</v>
      </c>
      <c r="C72" s="2">
        <v>6.4734999999999999E-4</v>
      </c>
      <c r="D72" s="2">
        <v>-404.6</v>
      </c>
      <c r="E72" s="2">
        <v>28.79</v>
      </c>
      <c r="F72" s="28">
        <v>-116.7</v>
      </c>
      <c r="G72" s="2">
        <v>0</v>
      </c>
      <c r="H72" s="2">
        <v>0</v>
      </c>
      <c r="I72" s="2">
        <v>0</v>
      </c>
      <c r="J72" s="2">
        <v>30</v>
      </c>
      <c r="K72" s="2">
        <v>5.0000000000000001E-4</v>
      </c>
      <c r="L72" s="2">
        <v>8.0000000000000004E-4</v>
      </c>
      <c r="M72" s="2">
        <v>25</v>
      </c>
      <c r="N72" s="2">
        <v>7.7794120311651227E-2</v>
      </c>
      <c r="O72" s="2">
        <v>6.8931838212800231E-2</v>
      </c>
      <c r="P72" s="2">
        <v>0</v>
      </c>
      <c r="Q72" s="2">
        <v>-1.4382716651463524E-4</v>
      </c>
      <c r="R72" s="2">
        <v>4.8617998612235347E-4</v>
      </c>
      <c r="S72" s="2">
        <v>1.5406</v>
      </c>
      <c r="T72" s="2">
        <v>8.5712061027194153</v>
      </c>
      <c r="U72" s="2">
        <f t="shared" si="9"/>
        <v>-0.68931838212800234</v>
      </c>
      <c r="V72" s="2"/>
      <c r="W72" s="2">
        <f t="shared" si="10"/>
        <v>1.4382716651463524E-3</v>
      </c>
      <c r="X72">
        <f t="shared" si="11"/>
        <v>-85.712061027194153</v>
      </c>
      <c r="Y72">
        <f t="shared" si="12"/>
        <v>0.16780271620000212</v>
      </c>
      <c r="Z72" s="85">
        <f t="shared" si="13"/>
        <v>6.4999999999999997E-4</v>
      </c>
      <c r="AA72">
        <f>IF(rightFromSymbol(A72)="C",MAX(0,$N$27-strikeFromSymbol(A72)),MAX(0,strikeFromSymbol(A72)-$N$27))*10000</f>
        <v>0</v>
      </c>
      <c r="AB72" s="86">
        <f t="shared" si="14"/>
        <v>6.5</v>
      </c>
      <c r="AC72" s="49">
        <f t="shared" si="15"/>
        <v>65</v>
      </c>
      <c r="AD72" s="48">
        <f t="shared" si="16"/>
        <v>406.25</v>
      </c>
    </row>
    <row r="73" spans="1:30" x14ac:dyDescent="0.25">
      <c r="A73" s="2" t="s">
        <v>271</v>
      </c>
      <c r="B73" s="2">
        <v>-10</v>
      </c>
      <c r="C73" s="2">
        <v>3.6519999999999999E-4</v>
      </c>
      <c r="D73" s="2">
        <v>-228.26</v>
      </c>
      <c r="E73" s="2">
        <v>16.29</v>
      </c>
      <c r="F73" s="28">
        <v>-65.36</v>
      </c>
      <c r="G73" s="2">
        <v>0</v>
      </c>
      <c r="H73" s="2">
        <v>0</v>
      </c>
      <c r="I73" s="2">
        <v>0</v>
      </c>
      <c r="J73" s="2">
        <v>20</v>
      </c>
      <c r="K73" s="2">
        <v>2.9999999999999997E-4</v>
      </c>
      <c r="L73" s="2">
        <v>5.9999999999999995E-4</v>
      </c>
      <c r="M73" s="2">
        <v>25</v>
      </c>
      <c r="N73" s="2">
        <v>7.1156432508705444E-2</v>
      </c>
      <c r="O73" s="2">
        <v>3.8457668518978354E-2</v>
      </c>
      <c r="P73" s="2">
        <v>0</v>
      </c>
      <c r="Q73" s="2">
        <v>-1.0958612723869681E-4</v>
      </c>
      <c r="R73" s="2">
        <v>3.3611882559778192E-4</v>
      </c>
      <c r="S73" s="2">
        <v>1.5406</v>
      </c>
      <c r="T73" s="2">
        <v>6.2779218343913907</v>
      </c>
      <c r="U73" s="2">
        <f t="shared" si="9"/>
        <v>-0.38457668518978355</v>
      </c>
      <c r="V73" s="2"/>
      <c r="W73" s="2">
        <f t="shared" si="10"/>
        <v>1.0958612723869681E-3</v>
      </c>
      <c r="X73">
        <f t="shared" si="11"/>
        <v>-62.779218343913911</v>
      </c>
      <c r="Y73">
        <f t="shared" si="12"/>
        <v>0.174557966998518</v>
      </c>
      <c r="Z73" s="85">
        <f t="shared" si="13"/>
        <v>4.4999999999999999E-4</v>
      </c>
      <c r="AA73">
        <f>IF(rightFromSymbol(A73)="C",MAX(0,$N$27-strikeFromSymbol(A73)),MAX(0,strikeFromSymbol(A73)-$N$27))*10000</f>
        <v>0</v>
      </c>
      <c r="AB73" s="86">
        <f t="shared" si="14"/>
        <v>4.5</v>
      </c>
      <c r="AC73" s="49">
        <f t="shared" si="15"/>
        <v>45</v>
      </c>
      <c r="AD73" s="48">
        <f t="shared" si="16"/>
        <v>281.25</v>
      </c>
    </row>
    <row r="74" spans="1:30" x14ac:dyDescent="0.25">
      <c r="A74" s="2"/>
      <c r="B74" s="2"/>
      <c r="C74" s="2"/>
      <c r="D74" s="2"/>
      <c r="E74" s="2"/>
      <c r="F74" s="28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>
        <f t="shared" si="9"/>
        <v>0</v>
      </c>
      <c r="V74" s="2"/>
      <c r="W74" s="2">
        <f t="shared" si="10"/>
        <v>0</v>
      </c>
      <c r="X74">
        <f t="shared" si="11"/>
        <v>0</v>
      </c>
      <c r="Y74">
        <f t="shared" si="12"/>
        <v>0</v>
      </c>
      <c r="Z74" s="85">
        <f t="shared" si="13"/>
        <v>0</v>
      </c>
      <c r="AA74">
        <f>IF(rightFromSymbol(A74)="C",MAX(0,$N$27-strikeFromSymbol(A74)),MAX(0,strikeFromSymbol(A74)-$N$27))*10000</f>
        <v>0</v>
      </c>
      <c r="AB74" s="86">
        <f t="shared" si="14"/>
        <v>0</v>
      </c>
      <c r="AC74" s="49">
        <f t="shared" si="15"/>
        <v>0</v>
      </c>
      <c r="AD74" s="48">
        <f t="shared" si="16"/>
        <v>0</v>
      </c>
    </row>
    <row r="75" spans="1:30" x14ac:dyDescent="0.25">
      <c r="A75" s="2"/>
      <c r="B75" s="2"/>
      <c r="C75" s="2"/>
      <c r="D75" s="2"/>
      <c r="E75" s="2"/>
      <c r="F75" s="28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>
        <f t="shared" si="9"/>
        <v>0</v>
      </c>
      <c r="V75" s="2"/>
      <c r="W75" s="2">
        <f t="shared" si="10"/>
        <v>0</v>
      </c>
      <c r="X75">
        <f t="shared" si="11"/>
        <v>0</v>
      </c>
      <c r="Y75">
        <f t="shared" si="12"/>
        <v>0</v>
      </c>
      <c r="Z75" s="85">
        <f t="shared" si="13"/>
        <v>0</v>
      </c>
      <c r="AA75">
        <f>IF(rightFromSymbol(A75)="C",MAX(0,$N$27-strikeFromSymbol(A75)),MAX(0,strikeFromSymbol(A75)-$N$27))*10000</f>
        <v>0</v>
      </c>
      <c r="AB75" s="86">
        <f t="shared" si="14"/>
        <v>0</v>
      </c>
      <c r="AC75" s="49">
        <f t="shared" si="15"/>
        <v>0</v>
      </c>
      <c r="AD75" s="48">
        <f t="shared" si="16"/>
        <v>0</v>
      </c>
    </row>
    <row r="76" spans="1:30" x14ac:dyDescent="0.25">
      <c r="A76" s="2"/>
      <c r="B76" s="2"/>
      <c r="C76" s="2"/>
      <c r="D76" s="2"/>
      <c r="E76" s="2"/>
      <c r="F76" s="28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>
        <f t="shared" si="9"/>
        <v>0</v>
      </c>
      <c r="V76" s="2"/>
      <c r="W76" s="2">
        <f t="shared" si="10"/>
        <v>0</v>
      </c>
      <c r="X76">
        <f t="shared" si="11"/>
        <v>0</v>
      </c>
      <c r="Y76">
        <f t="shared" si="12"/>
        <v>0</v>
      </c>
      <c r="Z76" s="85">
        <f t="shared" si="13"/>
        <v>0</v>
      </c>
      <c r="AA76">
        <f>IF(rightFromSymbol(A76)="C",MAX(0,$N$27-strikeFromSymbol(A76)),MAX(0,strikeFromSymbol(A76)-$N$27))*10000</f>
        <v>0</v>
      </c>
      <c r="AB76" s="86">
        <f t="shared" si="14"/>
        <v>0</v>
      </c>
      <c r="AC76" s="49">
        <f t="shared" si="15"/>
        <v>0</v>
      </c>
      <c r="AD76" s="48">
        <f t="shared" si="16"/>
        <v>0</v>
      </c>
    </row>
    <row r="77" spans="1:30" x14ac:dyDescent="0.25">
      <c r="A77" s="2"/>
      <c r="B77" s="2"/>
      <c r="C77" s="2"/>
      <c r="D77" s="2"/>
      <c r="E77" s="2"/>
      <c r="F77" s="28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>
        <f t="shared" si="9"/>
        <v>0</v>
      </c>
      <c r="V77" s="2"/>
      <c r="W77" s="2">
        <f t="shared" si="10"/>
        <v>0</v>
      </c>
      <c r="X77">
        <f t="shared" si="11"/>
        <v>0</v>
      </c>
      <c r="Y77">
        <f t="shared" si="12"/>
        <v>0</v>
      </c>
      <c r="Z77" s="85">
        <f t="shared" si="13"/>
        <v>0</v>
      </c>
      <c r="AA77">
        <f>IF(rightFromSymbol(A77)="C",MAX(0,$N$27-strikeFromSymbol(A77)),MAX(0,strikeFromSymbol(A77)-$N$27))*10000</f>
        <v>0</v>
      </c>
      <c r="AB77" s="86">
        <f t="shared" si="14"/>
        <v>0</v>
      </c>
      <c r="AC77" s="49">
        <f t="shared" si="15"/>
        <v>0</v>
      </c>
      <c r="AD77" s="48">
        <f t="shared" si="16"/>
        <v>0</v>
      </c>
    </row>
    <row r="78" spans="1:30" x14ac:dyDescent="0.25">
      <c r="A78" s="2"/>
      <c r="B78" s="2"/>
      <c r="C78" s="2"/>
      <c r="D78" s="2"/>
      <c r="E78" s="2"/>
      <c r="F78" s="28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>
        <f t="shared" si="9"/>
        <v>0</v>
      </c>
      <c r="V78" s="2"/>
      <c r="W78" s="2">
        <f t="shared" si="10"/>
        <v>0</v>
      </c>
      <c r="X78">
        <f t="shared" si="11"/>
        <v>0</v>
      </c>
      <c r="Y78">
        <f t="shared" si="12"/>
        <v>0</v>
      </c>
      <c r="Z78" s="85">
        <f t="shared" si="13"/>
        <v>0</v>
      </c>
      <c r="AA78">
        <f>IF(rightFromSymbol(A78)="C",MAX(0,$N$27-strikeFromSymbol(A78)),MAX(0,strikeFromSymbol(A78)-$N$27))*10000</f>
        <v>0</v>
      </c>
      <c r="AB78" s="86">
        <f t="shared" si="14"/>
        <v>0</v>
      </c>
      <c r="AC78" s="49">
        <f t="shared" si="15"/>
        <v>0</v>
      </c>
      <c r="AD78" s="48">
        <f t="shared" si="16"/>
        <v>0</v>
      </c>
    </row>
    <row r="79" spans="1:30" x14ac:dyDescent="0.25">
      <c r="A79" s="2"/>
      <c r="B79" s="2"/>
      <c r="C79" s="2"/>
      <c r="D79" s="2"/>
      <c r="E79" s="2"/>
      <c r="F79" s="28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>
        <f t="shared" si="9"/>
        <v>0</v>
      </c>
      <c r="V79" s="2"/>
      <c r="W79" s="2">
        <f t="shared" si="10"/>
        <v>0</v>
      </c>
      <c r="X79">
        <f t="shared" si="11"/>
        <v>0</v>
      </c>
      <c r="Y79">
        <f t="shared" si="12"/>
        <v>0</v>
      </c>
      <c r="Z79" s="85">
        <f t="shared" si="13"/>
        <v>0</v>
      </c>
      <c r="AA79">
        <f>IF(rightFromSymbol(A79)="C",MAX(0,$N$27-strikeFromSymbol(A79)),MAX(0,strikeFromSymbol(A79)-$N$27))*10000</f>
        <v>0</v>
      </c>
      <c r="AB79" s="86">
        <f t="shared" si="14"/>
        <v>0</v>
      </c>
      <c r="AC79" s="49">
        <f t="shared" si="15"/>
        <v>0</v>
      </c>
      <c r="AD79" s="48">
        <f t="shared" si="16"/>
        <v>0</v>
      </c>
    </row>
    <row r="80" spans="1:30" x14ac:dyDescent="0.25">
      <c r="A80" s="2"/>
      <c r="B80" s="2"/>
      <c r="C80" s="2"/>
      <c r="D80" s="2"/>
      <c r="E80" s="2"/>
      <c r="F80" s="28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>
        <f t="shared" si="9"/>
        <v>0</v>
      </c>
      <c r="V80" s="2"/>
      <c r="W80" s="2">
        <f t="shared" si="10"/>
        <v>0</v>
      </c>
      <c r="X80">
        <f t="shared" si="11"/>
        <v>0</v>
      </c>
      <c r="Y80">
        <f t="shared" si="12"/>
        <v>0</v>
      </c>
      <c r="Z80" s="85">
        <f t="shared" si="13"/>
        <v>0</v>
      </c>
      <c r="AA80">
        <f>IF(rightFromSymbol(A80)="C",MAX(0,$N$27-strikeFromSymbol(A80)),MAX(0,strikeFromSymbol(A80)-$N$27))*10000</f>
        <v>0</v>
      </c>
      <c r="AB80" s="86">
        <f t="shared" si="14"/>
        <v>0</v>
      </c>
      <c r="AC80" s="49">
        <f t="shared" si="15"/>
        <v>0</v>
      </c>
      <c r="AD80" s="48">
        <f t="shared" si="16"/>
        <v>0</v>
      </c>
    </row>
    <row r="81" spans="1:30" x14ac:dyDescent="0.25">
      <c r="A81" s="2"/>
      <c r="B81" s="2"/>
      <c r="C81" s="2"/>
      <c r="D81" s="2"/>
      <c r="E81" s="2"/>
      <c r="F81" s="28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>
        <f t="shared" si="9"/>
        <v>0</v>
      </c>
      <c r="V81" s="2"/>
      <c r="W81" s="2">
        <f t="shared" si="10"/>
        <v>0</v>
      </c>
      <c r="X81">
        <f t="shared" si="11"/>
        <v>0</v>
      </c>
      <c r="Y81">
        <f t="shared" si="12"/>
        <v>0</v>
      </c>
      <c r="Z81" s="85">
        <f t="shared" si="13"/>
        <v>0</v>
      </c>
      <c r="AA81">
        <f>IF(rightFromSymbol(A81)="C",MAX(0,$N$27-strikeFromSymbol(A81)),MAX(0,strikeFromSymbol(A81)-$N$27))*10000</f>
        <v>0</v>
      </c>
      <c r="AB81" s="86">
        <f t="shared" si="14"/>
        <v>0</v>
      </c>
      <c r="AC81" s="49">
        <f t="shared" si="15"/>
        <v>0</v>
      </c>
      <c r="AD81" s="48">
        <f t="shared" si="16"/>
        <v>0</v>
      </c>
    </row>
    <row r="82" spans="1:30" x14ac:dyDescent="0.25">
      <c r="A82" s="2"/>
      <c r="B82" s="2"/>
      <c r="C82" s="2"/>
      <c r="D82" s="2"/>
      <c r="E82" s="2"/>
      <c r="F82" s="28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>
        <f t="shared" si="9"/>
        <v>0</v>
      </c>
      <c r="V82" s="2"/>
      <c r="W82" s="2">
        <f t="shared" si="10"/>
        <v>0</v>
      </c>
      <c r="X82">
        <f t="shared" si="11"/>
        <v>0</v>
      </c>
      <c r="Y82">
        <f t="shared" si="12"/>
        <v>0</v>
      </c>
      <c r="Z82" s="85">
        <f t="shared" si="13"/>
        <v>0</v>
      </c>
      <c r="AA82">
        <f>IF(rightFromSymbol(A82)="C",MAX(0,$N$27-strikeFromSymbol(A82)),MAX(0,strikeFromSymbol(A82)-$N$27))*10000</f>
        <v>0</v>
      </c>
      <c r="AB82" s="86">
        <f t="shared" si="14"/>
        <v>0</v>
      </c>
      <c r="AC82" s="49">
        <f t="shared" si="15"/>
        <v>0</v>
      </c>
      <c r="AD82" s="48">
        <f t="shared" si="16"/>
        <v>0</v>
      </c>
    </row>
    <row r="83" spans="1:30" x14ac:dyDescent="0.25">
      <c r="A83" s="2"/>
      <c r="B83" s="2"/>
      <c r="C83" s="2"/>
      <c r="D83" s="2"/>
      <c r="E83" s="2"/>
      <c r="F83" s="28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>
        <f t="shared" si="9"/>
        <v>0</v>
      </c>
      <c r="V83" s="2"/>
      <c r="W83" s="2">
        <f t="shared" si="10"/>
        <v>0</v>
      </c>
      <c r="X83">
        <f t="shared" si="11"/>
        <v>0</v>
      </c>
      <c r="Y83">
        <f t="shared" si="12"/>
        <v>0</v>
      </c>
      <c r="Z83" s="85">
        <f t="shared" si="13"/>
        <v>0</v>
      </c>
      <c r="AA83">
        <f>IF(rightFromSymbol(A83)="C",MAX(0,$N$27-strikeFromSymbol(A83)),MAX(0,strikeFromSymbol(A83)-$N$27))*10000</f>
        <v>0</v>
      </c>
      <c r="AB83" s="86">
        <f t="shared" si="14"/>
        <v>0</v>
      </c>
      <c r="AC83" s="49">
        <f t="shared" si="15"/>
        <v>0</v>
      </c>
      <c r="AD83" s="48">
        <f t="shared" si="16"/>
        <v>0</v>
      </c>
    </row>
    <row r="84" spans="1:30" x14ac:dyDescent="0.25">
      <c r="A84" s="2"/>
      <c r="B84" s="2"/>
      <c r="C84" s="2"/>
      <c r="D84" s="2"/>
      <c r="E84" s="2"/>
      <c r="F84" s="28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>
        <f t="shared" si="9"/>
        <v>0</v>
      </c>
      <c r="V84" s="2"/>
      <c r="W84" s="2">
        <f t="shared" si="10"/>
        <v>0</v>
      </c>
      <c r="X84">
        <f t="shared" si="11"/>
        <v>0</v>
      </c>
      <c r="Y84">
        <f t="shared" si="12"/>
        <v>0</v>
      </c>
      <c r="Z84" s="85">
        <f t="shared" si="13"/>
        <v>0</v>
      </c>
      <c r="AA84">
        <f>IF(rightFromSymbol(A84)="C",MAX(0,$N$27-strikeFromSymbol(A84)),MAX(0,strikeFromSymbol(A84)-$N$27))*10000</f>
        <v>0</v>
      </c>
      <c r="AB84" s="86">
        <f t="shared" si="14"/>
        <v>0</v>
      </c>
      <c r="AC84" s="49">
        <f t="shared" si="15"/>
        <v>0</v>
      </c>
      <c r="AD84" s="48">
        <f t="shared" si="16"/>
        <v>0</v>
      </c>
    </row>
    <row r="85" spans="1:30" x14ac:dyDescent="0.25">
      <c r="A85" s="2"/>
      <c r="B85" s="2"/>
      <c r="C85" s="2"/>
      <c r="D85" s="2"/>
      <c r="E85" s="2"/>
      <c r="F85" s="28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>
        <f t="shared" si="9"/>
        <v>0</v>
      </c>
      <c r="V85" s="2"/>
      <c r="W85" s="2">
        <f t="shared" si="10"/>
        <v>0</v>
      </c>
      <c r="X85">
        <f t="shared" si="11"/>
        <v>0</v>
      </c>
      <c r="Y85">
        <f t="shared" si="12"/>
        <v>0</v>
      </c>
      <c r="Z85" s="85">
        <f t="shared" si="13"/>
        <v>0</v>
      </c>
      <c r="AA85">
        <f>IF(rightFromSymbol(A85)="C",MAX(0,$N$27-strikeFromSymbol(A85)),MAX(0,strikeFromSymbol(A85)-$N$27))*10000</f>
        <v>0</v>
      </c>
      <c r="AB85" s="86">
        <f t="shared" si="14"/>
        <v>0</v>
      </c>
      <c r="AC85" s="49">
        <f t="shared" si="15"/>
        <v>0</v>
      </c>
      <c r="AD85" s="48">
        <f t="shared" si="16"/>
        <v>0</v>
      </c>
    </row>
    <row r="86" spans="1:30" x14ac:dyDescent="0.25">
      <c r="A86" s="2"/>
      <c r="B86" s="2"/>
      <c r="C86" s="2"/>
      <c r="D86" s="2"/>
      <c r="E86" s="2"/>
      <c r="F86" s="28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>
        <f t="shared" si="9"/>
        <v>0</v>
      </c>
      <c r="V86" s="2"/>
      <c r="W86" s="2">
        <f t="shared" si="10"/>
        <v>0</v>
      </c>
      <c r="X86">
        <f t="shared" si="11"/>
        <v>0</v>
      </c>
      <c r="Y86">
        <f t="shared" si="12"/>
        <v>0</v>
      </c>
      <c r="Z86" s="85">
        <f t="shared" si="13"/>
        <v>0</v>
      </c>
      <c r="AA86">
        <f>IF(rightFromSymbol(A86)="C",MAX(0,$N$27-strikeFromSymbol(A86)),MAX(0,strikeFromSymbol(A86)-$N$27))*10000</f>
        <v>0</v>
      </c>
      <c r="AB86" s="86">
        <f t="shared" si="14"/>
        <v>0</v>
      </c>
      <c r="AC86" s="49">
        <f t="shared" si="15"/>
        <v>0</v>
      </c>
      <c r="AD86" s="48">
        <f t="shared" si="16"/>
        <v>0</v>
      </c>
    </row>
    <row r="87" spans="1:30" x14ac:dyDescent="0.25">
      <c r="A87" s="2"/>
      <c r="B87" s="2"/>
      <c r="C87" s="2"/>
      <c r="D87" s="2"/>
      <c r="E87" s="2"/>
      <c r="F87" s="28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>
        <f t="shared" si="9"/>
        <v>0</v>
      </c>
      <c r="V87" s="2"/>
      <c r="W87" s="2">
        <f t="shared" si="10"/>
        <v>0</v>
      </c>
      <c r="X87">
        <f t="shared" si="11"/>
        <v>0</v>
      </c>
      <c r="Y87">
        <f t="shared" si="12"/>
        <v>0</v>
      </c>
      <c r="Z87" s="85">
        <f t="shared" si="13"/>
        <v>0</v>
      </c>
      <c r="AA87">
        <f>IF(rightFromSymbol(A87)="C",MAX(0,$N$27-strikeFromSymbol(A87)),MAX(0,strikeFromSymbol(A87)-$N$27))*10000</f>
        <v>0</v>
      </c>
      <c r="AB87" s="86">
        <f t="shared" si="14"/>
        <v>0</v>
      </c>
      <c r="AC87" s="49">
        <f t="shared" si="15"/>
        <v>0</v>
      </c>
      <c r="AD87" s="48">
        <f t="shared" si="16"/>
        <v>0</v>
      </c>
    </row>
    <row r="93" spans="1:30" x14ac:dyDescent="0.25">
      <c r="A93" s="105" t="s">
        <v>173</v>
      </c>
      <c r="B93" s="106"/>
      <c r="C93" s="106"/>
      <c r="D93" s="106"/>
      <c r="E93" s="106"/>
      <c r="F93" s="106"/>
      <c r="G93" s="106"/>
      <c r="H93" s="106"/>
      <c r="I93" s="106"/>
      <c r="J93" s="106"/>
      <c r="K93" s="106"/>
      <c r="L93" s="106"/>
      <c r="M93" s="106"/>
    </row>
    <row r="94" spans="1:30" x14ac:dyDescent="0.25">
      <c r="A94" s="102" t="s">
        <v>41</v>
      </c>
      <c r="B94" s="103"/>
      <c r="C94" s="103"/>
      <c r="D94" s="103"/>
      <c r="E94" s="103"/>
      <c r="F94" s="103"/>
      <c r="G94" s="103"/>
      <c r="H94" s="103"/>
      <c r="I94" s="103"/>
      <c r="J94" s="103"/>
      <c r="K94" s="103"/>
      <c r="L94" s="103"/>
      <c r="M94" s="103"/>
    </row>
    <row r="95" spans="1:30" x14ac:dyDescent="0.25">
      <c r="A95" s="70" t="s">
        <v>9</v>
      </c>
      <c r="B95" s="69" t="s">
        <v>42</v>
      </c>
      <c r="C95" s="69" t="s">
        <v>43</v>
      </c>
      <c r="D95" s="69" t="s">
        <v>44</v>
      </c>
      <c r="E95" s="69" t="s">
        <v>45</v>
      </c>
      <c r="F95" s="69" t="s">
        <v>33</v>
      </c>
      <c r="G95" s="69" t="s">
        <v>46</v>
      </c>
      <c r="H95" s="69" t="s">
        <v>47</v>
      </c>
      <c r="I95" s="69" t="s">
        <v>48</v>
      </c>
      <c r="J95" s="69" t="s">
        <v>49</v>
      </c>
      <c r="K95" s="69" t="s">
        <v>50</v>
      </c>
      <c r="L95" s="69" t="s">
        <v>51</v>
      </c>
      <c r="M95" s="69" t="s">
        <v>52</v>
      </c>
    </row>
    <row r="96" spans="1:30" x14ac:dyDescent="0.25">
      <c r="A96" s="2"/>
      <c r="B96" s="16"/>
      <c r="C96" s="20"/>
      <c r="D96" s="16"/>
      <c r="E96" s="16"/>
      <c r="F96" s="16"/>
      <c r="G96" s="16"/>
      <c r="H96" s="16"/>
      <c r="I96" s="16"/>
      <c r="J96" s="16"/>
      <c r="K96" s="16"/>
      <c r="L96" s="16"/>
      <c r="M96" s="16"/>
    </row>
    <row r="97" spans="1:13" x14ac:dyDescent="0.25">
      <c r="A97" s="2"/>
      <c r="B97" s="16"/>
      <c r="C97" s="20"/>
      <c r="D97" s="16"/>
      <c r="E97" s="16"/>
      <c r="F97" s="16"/>
      <c r="G97" s="16"/>
      <c r="H97" s="16"/>
      <c r="I97" s="16"/>
      <c r="J97" s="16"/>
      <c r="K97" s="16"/>
      <c r="L97" s="16"/>
      <c r="M97" s="16"/>
    </row>
    <row r="98" spans="1:13" x14ac:dyDescent="0.25">
      <c r="A98" s="2"/>
      <c r="B98" s="16"/>
      <c r="C98" s="20"/>
      <c r="D98" s="16"/>
      <c r="E98" s="16"/>
      <c r="F98" s="16"/>
      <c r="G98" s="16"/>
      <c r="H98" s="16"/>
      <c r="I98" s="16"/>
      <c r="J98" s="16"/>
      <c r="K98" s="16"/>
      <c r="L98" s="16"/>
      <c r="M98" s="16"/>
    </row>
    <row r="99" spans="1:13" x14ac:dyDescent="0.25">
      <c r="A99" s="2"/>
      <c r="B99" s="16"/>
      <c r="C99" s="20"/>
      <c r="D99" s="16"/>
      <c r="E99" s="16"/>
      <c r="F99" s="16"/>
      <c r="G99" s="16"/>
      <c r="H99" s="16"/>
      <c r="I99" s="16"/>
      <c r="J99" s="16"/>
      <c r="K99" s="16"/>
      <c r="L99" s="16"/>
      <c r="M99" s="16"/>
    </row>
    <row r="100" spans="1:13" x14ac:dyDescent="0.25">
      <c r="A100" s="2"/>
      <c r="B100" s="16"/>
      <c r="C100" s="22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2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2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0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2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0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2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0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2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0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2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2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2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0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0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0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0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2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2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2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2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2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2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0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0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2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0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2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2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2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2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2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2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2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2"/>
      <c r="D134" s="16"/>
      <c r="E134" s="16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2"/>
      <c r="D135" s="16"/>
      <c r="E135" s="16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2"/>
      <c r="D136" s="16"/>
      <c r="E136" s="16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2"/>
      <c r="D137" s="16"/>
      <c r="E137" s="16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2"/>
      <c r="D138" s="16"/>
      <c r="E138" s="16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2"/>
      <c r="D139" s="16"/>
      <c r="E139" s="16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2"/>
      <c r="D140" s="16"/>
      <c r="E140" s="16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2"/>
      <c r="D141" s="16"/>
      <c r="E141" s="16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2"/>
      <c r="D142" s="16"/>
      <c r="E142" s="16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2"/>
      <c r="D143" s="16"/>
      <c r="E143" s="16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2"/>
      <c r="D144" s="16"/>
      <c r="E144" s="16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2"/>
      <c r="D145" s="16"/>
      <c r="E145" s="16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2"/>
      <c r="D146" s="16"/>
      <c r="E146" s="16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2"/>
      <c r="D147" s="16"/>
      <c r="E147" s="16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2"/>
      <c r="D148" s="16"/>
      <c r="E148" s="16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2"/>
      <c r="D149" s="16"/>
      <c r="E149" s="16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2"/>
      <c r="D150" s="16"/>
      <c r="E150" s="16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2"/>
      <c r="D151" s="16"/>
      <c r="E151" s="16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2"/>
      <c r="D152" s="16"/>
      <c r="E152" s="16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2"/>
      <c r="D153" s="16"/>
      <c r="E153" s="16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2"/>
      <c r="D154" s="16"/>
      <c r="E154" s="16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2"/>
      <c r="D155" s="16"/>
      <c r="E155" s="16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2"/>
      <c r="D156" s="16"/>
      <c r="E156" s="21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2"/>
      <c r="D157" s="16"/>
      <c r="E157" s="21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2"/>
      <c r="D158" s="16"/>
      <c r="E158" s="21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2"/>
      <c r="D159" s="16"/>
      <c r="E159" s="21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2"/>
      <c r="D160" s="16"/>
      <c r="E160" s="21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2"/>
      <c r="D161" s="16"/>
      <c r="E161" s="21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2"/>
      <c r="D162" s="16"/>
      <c r="E162" s="21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2"/>
      <c r="D163" s="16"/>
      <c r="E163" s="21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2"/>
      <c r="D164" s="16"/>
      <c r="E164" s="21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2"/>
      <c r="D165" s="16"/>
      <c r="E165" s="21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2"/>
      <c r="D166" s="16"/>
      <c r="E166" s="21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2"/>
      <c r="D167" s="16"/>
      <c r="E167" s="21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2"/>
      <c r="D168" s="16"/>
      <c r="E168" s="21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2"/>
      <c r="D169" s="16"/>
      <c r="E169" s="21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2"/>
      <c r="D170" s="16"/>
      <c r="E170" s="21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2"/>
      <c r="D171" s="16"/>
      <c r="E171" s="21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2"/>
      <c r="D172" s="16"/>
      <c r="E172" s="21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2"/>
      <c r="D173" s="16"/>
      <c r="E173" s="21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2"/>
      <c r="D174" s="16"/>
      <c r="E174" s="21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2"/>
      <c r="D175" s="16"/>
      <c r="E175" s="21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2"/>
      <c r="D176" s="16"/>
      <c r="E176" s="21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2"/>
      <c r="D177" s="16"/>
      <c r="E177" s="21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2"/>
      <c r="D178" s="16"/>
      <c r="E178" s="21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2"/>
      <c r="D179" s="16"/>
      <c r="E179" s="21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2"/>
      <c r="D180" s="16"/>
      <c r="E180" s="21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2"/>
      <c r="D181" s="16"/>
      <c r="E181" s="21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2"/>
      <c r="D182" s="16"/>
      <c r="E182" s="21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2"/>
      <c r="D183" s="16"/>
      <c r="E183" s="21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2"/>
      <c r="D184" s="16"/>
      <c r="E184" s="21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2"/>
      <c r="D185" s="16"/>
      <c r="E185" s="21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2"/>
      <c r="D186" s="16"/>
      <c r="E186" s="21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2"/>
      <c r="D187" s="16"/>
      <c r="E187" s="21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2"/>
      <c r="D188" s="16"/>
      <c r="E188" s="21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2"/>
      <c r="D189" s="16"/>
      <c r="E189" s="21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2"/>
      <c r="D190" s="16"/>
      <c r="E190" s="21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2"/>
      <c r="D191" s="16"/>
      <c r="E191" s="21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2"/>
      <c r="D192" s="16"/>
      <c r="E192" s="21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2"/>
      <c r="D193" s="16"/>
      <c r="E193" s="21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2"/>
      <c r="D194" s="16"/>
      <c r="E194" s="21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2"/>
      <c r="D195" s="16"/>
      <c r="E195" s="21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2"/>
      <c r="D196" s="16"/>
      <c r="E196" s="21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2"/>
      <c r="D197" s="16"/>
      <c r="E197" s="21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2"/>
      <c r="D198" s="16"/>
      <c r="E198" s="21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2"/>
      <c r="D199" s="16"/>
      <c r="E199" s="21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2"/>
      <c r="D200" s="16"/>
      <c r="E200" s="21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2"/>
      <c r="D201" s="16"/>
      <c r="E201" s="21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2"/>
      <c r="D202" s="16"/>
      <c r="E202" s="21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2"/>
      <c r="D203" s="16"/>
      <c r="E203" s="21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2"/>
      <c r="D204" s="16"/>
      <c r="E204" s="21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2"/>
      <c r="D205" s="16"/>
      <c r="E205" s="21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2"/>
      <c r="D206" s="16"/>
      <c r="E206" s="21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2"/>
      <c r="D207" s="16"/>
      <c r="E207" s="21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2"/>
      <c r="D208" s="16"/>
      <c r="E208" s="21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2"/>
      <c r="D209" s="16"/>
      <c r="E209" s="21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2"/>
      <c r="D210" s="16"/>
      <c r="E210" s="21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2"/>
      <c r="D211" s="16"/>
      <c r="E211" s="21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2"/>
      <c r="D212" s="16"/>
      <c r="E212" s="21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2"/>
      <c r="D213" s="16"/>
      <c r="E213" s="21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2"/>
      <c r="D214" s="16"/>
      <c r="E214" s="21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2"/>
      <c r="D215" s="16"/>
      <c r="E215" s="21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2"/>
      <c r="D216" s="16"/>
      <c r="E216" s="21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2"/>
      <c r="D217" s="16"/>
      <c r="E217" s="21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2"/>
      <c r="D218" s="16"/>
      <c r="E218" s="21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2"/>
      <c r="D219" s="16"/>
      <c r="E219" s="21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2"/>
      <c r="D220" s="16"/>
      <c r="E220" s="21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2"/>
      <c r="D221" s="16"/>
      <c r="E221" s="21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2"/>
      <c r="D222" s="16"/>
      <c r="E222" s="21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2"/>
      <c r="D223" s="16"/>
      <c r="E223" s="21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2"/>
      <c r="D224" s="16"/>
      <c r="E224" s="21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2"/>
      <c r="D225" s="16"/>
      <c r="E225" s="21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2"/>
      <c r="D226" s="16"/>
      <c r="E226" s="21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2"/>
      <c r="D227" s="16"/>
      <c r="E227" s="21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2"/>
      <c r="D228" s="16"/>
      <c r="E228" s="21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2"/>
      <c r="D229" s="16"/>
      <c r="E229" s="21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2"/>
      <c r="D230" s="16"/>
      <c r="E230" s="21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2"/>
      <c r="D231" s="16"/>
      <c r="E231" s="21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2"/>
      <c r="D232" s="16"/>
      <c r="E232" s="21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2"/>
      <c r="D233" s="16"/>
      <c r="E233" s="21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2"/>
      <c r="D234" s="16"/>
      <c r="E234" s="21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2"/>
      <c r="D235" s="16"/>
      <c r="E235" s="21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2"/>
      <c r="D236" s="16"/>
      <c r="E236" s="21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2"/>
      <c r="D237" s="16"/>
      <c r="E237" s="21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2"/>
      <c r="D238" s="16"/>
      <c r="E238" s="21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2"/>
      <c r="D239" s="16"/>
      <c r="E239" s="21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2"/>
      <c r="D240" s="16"/>
      <c r="E240" s="21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2"/>
      <c r="D241" s="16"/>
      <c r="E241" s="21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2"/>
      <c r="D242" s="16"/>
      <c r="E242" s="21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2"/>
      <c r="D243" s="16"/>
      <c r="E243" s="21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2"/>
      <c r="D244" s="16"/>
      <c r="E244" s="21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2"/>
      <c r="D245" s="16"/>
      <c r="E245" s="21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2"/>
      <c r="D246" s="16"/>
      <c r="E246" s="21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2"/>
      <c r="D247" s="16"/>
      <c r="E247" s="21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2"/>
      <c r="D248" s="16"/>
      <c r="E248" s="21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2"/>
      <c r="D249" s="16"/>
      <c r="E249" s="21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2"/>
      <c r="D250" s="16"/>
      <c r="E250" s="21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2"/>
      <c r="D251" s="16"/>
      <c r="E251" s="21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2"/>
      <c r="D252" s="16"/>
      <c r="E252" s="21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2"/>
      <c r="D253" s="16"/>
      <c r="E253" s="21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2"/>
      <c r="D254" s="16"/>
      <c r="E254" s="21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2"/>
      <c r="D255" s="16"/>
      <c r="E255" s="21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2"/>
      <c r="D256" s="16"/>
      <c r="E256" s="21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2"/>
      <c r="D257" s="16"/>
      <c r="E257" s="21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2"/>
      <c r="D258" s="16"/>
      <c r="E258" s="21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2"/>
      <c r="D259" s="16"/>
      <c r="E259" s="21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2"/>
      <c r="D260" s="16"/>
      <c r="E260" s="21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2"/>
      <c r="D261" s="16"/>
      <c r="E261" s="21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2"/>
      <c r="D262" s="16"/>
      <c r="E262" s="21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2"/>
      <c r="D263" s="16"/>
      <c r="E263" s="21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2"/>
      <c r="D264" s="16"/>
      <c r="E264" s="21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2"/>
      <c r="D265" s="16"/>
      <c r="E265" s="21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2"/>
      <c r="D266" s="16"/>
      <c r="E266" s="21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2"/>
      <c r="D267" s="16"/>
      <c r="E267" s="21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2"/>
      <c r="D268" s="16"/>
      <c r="E268" s="21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2"/>
      <c r="D269" s="16"/>
      <c r="E269" s="21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2"/>
      <c r="D270" s="16"/>
      <c r="E270" s="21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2"/>
      <c r="D271" s="16"/>
      <c r="E271" s="21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2"/>
      <c r="D272" s="16"/>
      <c r="E272" s="21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2"/>
      <c r="D273" s="16"/>
      <c r="E273" s="21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2"/>
      <c r="D274" s="16"/>
      <c r="E274" s="21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2"/>
      <c r="D275" s="16"/>
      <c r="E275" s="21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2"/>
      <c r="D276" s="16"/>
      <c r="E276" s="21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2"/>
      <c r="D277" s="16"/>
      <c r="E277" s="21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2"/>
      <c r="D278" s="16"/>
      <c r="E278" s="21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2"/>
      <c r="D279" s="16"/>
      <c r="E279" s="21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2"/>
      <c r="D280" s="16"/>
      <c r="E280" s="21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2"/>
      <c r="D281" s="16"/>
      <c r="E281" s="21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2"/>
      <c r="D282" s="16"/>
      <c r="E282" s="21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2"/>
      <c r="D283" s="16"/>
      <c r="E283" s="21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2"/>
      <c r="D284" s="16"/>
      <c r="E284" s="21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2"/>
      <c r="D285" s="16"/>
      <c r="E285" s="21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2"/>
      <c r="D286" s="16"/>
      <c r="E286" s="21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2"/>
      <c r="D287" s="16"/>
      <c r="E287" s="21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2"/>
      <c r="D288" s="16"/>
      <c r="E288" s="21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2"/>
      <c r="D289" s="16"/>
      <c r="E289" s="21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2"/>
      <c r="D290" s="16"/>
      <c r="E290" s="21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2"/>
      <c r="D291" s="16"/>
      <c r="E291" s="21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2"/>
      <c r="D292" s="16"/>
      <c r="E292" s="21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2"/>
      <c r="D293" s="16"/>
      <c r="E293" s="21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2"/>
      <c r="D294" s="16"/>
      <c r="E294" s="21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2"/>
      <c r="D295" s="16"/>
      <c r="E295" s="21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2"/>
      <c r="D296" s="16"/>
      <c r="E296" s="21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2"/>
      <c r="D297" s="16"/>
      <c r="E297" s="21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2"/>
      <c r="D298" s="16"/>
      <c r="E298" s="21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2"/>
      <c r="D299" s="16"/>
      <c r="E299" s="21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2"/>
      <c r="D300" s="16"/>
      <c r="E300" s="21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2"/>
      <c r="D301" s="16"/>
      <c r="E301" s="21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2"/>
      <c r="D302" s="16"/>
      <c r="E302" s="21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2"/>
      <c r="D303" s="16"/>
      <c r="E303" s="21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2"/>
      <c r="D304" s="16"/>
      <c r="E304" s="21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2"/>
      <c r="D305" s="16"/>
      <c r="E305" s="21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2"/>
      <c r="D306" s="16"/>
      <c r="E306" s="21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2"/>
      <c r="D307" s="16"/>
      <c r="E307" s="21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2"/>
      <c r="D308" s="16"/>
      <c r="E308" s="21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2"/>
      <c r="D309" s="16"/>
      <c r="E309" s="21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2"/>
      <c r="D310" s="16"/>
      <c r="E310" s="21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2"/>
      <c r="D311" s="16"/>
      <c r="E311" s="21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2"/>
      <c r="D312" s="16"/>
      <c r="E312" s="21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2"/>
      <c r="D313" s="16"/>
      <c r="E313" s="21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2"/>
      <c r="D314" s="16"/>
      <c r="E314" s="21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2"/>
      <c r="D315" s="16"/>
      <c r="E315" s="21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2"/>
      <c r="D316" s="16"/>
      <c r="E316" s="21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2"/>
      <c r="D317" s="16"/>
      <c r="E317" s="21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2"/>
      <c r="D318" s="16"/>
      <c r="E318" s="21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2"/>
      <c r="D319" s="16"/>
      <c r="E319" s="21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2"/>
      <c r="D320" s="16"/>
      <c r="E320" s="21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2"/>
      <c r="D321" s="16"/>
      <c r="E321" s="21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2"/>
      <c r="D322" s="16"/>
      <c r="E322" s="21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2"/>
      <c r="D323" s="16"/>
      <c r="E323" s="21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2"/>
      <c r="D324" s="16"/>
      <c r="E324" s="21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2"/>
      <c r="D325" s="16"/>
      <c r="E325" s="21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2"/>
      <c r="D326" s="16"/>
      <c r="E326" s="21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2"/>
      <c r="D327" s="16"/>
      <c r="E327" s="21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2"/>
      <c r="D328" s="16"/>
      <c r="E328" s="21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2"/>
      <c r="D329" s="16"/>
      <c r="E329" s="21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2"/>
      <c r="D330" s="16"/>
      <c r="E330" s="21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2"/>
      <c r="D331" s="16"/>
      <c r="E331" s="21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2"/>
      <c r="D332" s="16"/>
      <c r="E332" s="21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2"/>
      <c r="D333" s="16"/>
      <c r="E333" s="21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2"/>
      <c r="D334" s="16"/>
      <c r="E334" s="21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2"/>
      <c r="D335" s="16"/>
      <c r="E335" s="21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2"/>
      <c r="D336" s="16"/>
      <c r="E336" s="21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2"/>
      <c r="D337" s="16"/>
      <c r="E337" s="21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2"/>
      <c r="D338" s="16"/>
      <c r="E338" s="21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2"/>
      <c r="D339" s="16"/>
      <c r="E339" s="21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2"/>
      <c r="D340" s="16"/>
      <c r="E340" s="21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2"/>
      <c r="D341" s="16"/>
      <c r="E341" s="21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2"/>
      <c r="D342" s="16"/>
      <c r="E342" s="21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2"/>
      <c r="D343" s="16"/>
      <c r="E343" s="21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2"/>
      <c r="D344" s="16"/>
      <c r="E344" s="21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2"/>
      <c r="D345" s="16"/>
      <c r="E345" s="21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2"/>
      <c r="D346" s="16"/>
      <c r="E346" s="21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2"/>
      <c r="D347" s="16"/>
      <c r="E347" s="21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2"/>
      <c r="D348" s="16"/>
      <c r="E348" s="21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2"/>
      <c r="D349" s="16"/>
      <c r="E349" s="21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2"/>
      <c r="D350" s="16"/>
      <c r="E350" s="21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2"/>
      <c r="D351" s="16"/>
      <c r="E351" s="21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2"/>
      <c r="D352" s="16"/>
      <c r="E352" s="21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2"/>
      <c r="D353" s="16"/>
      <c r="E353" s="21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2"/>
      <c r="D354" s="16"/>
      <c r="E354" s="21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2"/>
      <c r="D355" s="16"/>
      <c r="E355" s="21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2"/>
      <c r="D356" s="16"/>
      <c r="E356" s="21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2"/>
      <c r="D357" s="16"/>
      <c r="E357" s="21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2"/>
      <c r="D358" s="16"/>
      <c r="E358" s="21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2"/>
      <c r="D359" s="16"/>
      <c r="E359" s="21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2"/>
      <c r="D360" s="16"/>
      <c r="E360" s="21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2"/>
      <c r="D361" s="16"/>
      <c r="E361" s="21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2"/>
      <c r="D362" s="16"/>
      <c r="E362" s="21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2"/>
      <c r="D363" s="16"/>
      <c r="E363" s="21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2"/>
      <c r="D364" s="16"/>
      <c r="E364" s="21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2"/>
      <c r="D365" s="16"/>
      <c r="E365" s="21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2"/>
      <c r="D366" s="16"/>
      <c r="E366" s="21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2"/>
      <c r="D367" s="16"/>
      <c r="E367" s="21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2"/>
      <c r="D368" s="16"/>
      <c r="E368" s="21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2"/>
      <c r="D369" s="16"/>
      <c r="E369" s="21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2"/>
      <c r="D370" s="16"/>
      <c r="E370" s="21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2"/>
      <c r="D371" s="16"/>
      <c r="E371" s="21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2"/>
      <c r="D372" s="16"/>
      <c r="E372" s="21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2"/>
      <c r="D373" s="16"/>
      <c r="E373" s="21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2"/>
      <c r="D374" s="16"/>
      <c r="E374" s="21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2"/>
      <c r="D375" s="16"/>
      <c r="E375" s="21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2"/>
      <c r="D376" s="16"/>
      <c r="E376" s="21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2"/>
      <c r="D377" s="16"/>
      <c r="E377" s="21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2"/>
      <c r="D378" s="16"/>
      <c r="E378" s="21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2"/>
      <c r="D379" s="16"/>
      <c r="E379" s="21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2"/>
      <c r="D380" s="16"/>
      <c r="E380" s="21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2"/>
      <c r="D381" s="16"/>
      <c r="E381" s="21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2"/>
      <c r="D382" s="16"/>
      <c r="E382" s="21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2"/>
      <c r="D383" s="16"/>
      <c r="E383" s="21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2"/>
      <c r="D384" s="16"/>
      <c r="E384" s="21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2"/>
      <c r="D385" s="16"/>
      <c r="E385" s="21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2"/>
      <c r="D386" s="16"/>
      <c r="E386" s="21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2"/>
      <c r="D387" s="16"/>
      <c r="E387" s="21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2"/>
      <c r="D388" s="16"/>
      <c r="E388" s="21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2"/>
      <c r="D389" s="16"/>
      <c r="E389" s="21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2"/>
      <c r="D390" s="16"/>
      <c r="E390" s="21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2"/>
      <c r="D391" s="16"/>
      <c r="E391" s="21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2"/>
      <c r="D392" s="16"/>
      <c r="E392" s="21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2"/>
      <c r="D393" s="16"/>
      <c r="E393" s="21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2"/>
      <c r="D394" s="16"/>
      <c r="E394" s="21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2"/>
      <c r="D395" s="16"/>
      <c r="E395" s="21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2"/>
      <c r="D396" s="16"/>
      <c r="E396" s="21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2"/>
      <c r="D397" s="16"/>
      <c r="E397" s="21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2"/>
      <c r="D398" s="16"/>
      <c r="E398" s="21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2"/>
      <c r="D399" s="16"/>
      <c r="E399" s="21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2"/>
      <c r="D400" s="16"/>
      <c r="E400" s="21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2"/>
      <c r="D401" s="16"/>
      <c r="E401" s="21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2"/>
      <c r="D402" s="16"/>
      <c r="E402" s="21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2"/>
      <c r="D403" s="16"/>
      <c r="E403" s="21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2"/>
      <c r="D404" s="16"/>
      <c r="E404" s="21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2"/>
      <c r="D405" s="16"/>
      <c r="E405" s="21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2"/>
      <c r="D406" s="16"/>
      <c r="E406" s="21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2"/>
      <c r="D407" s="16"/>
      <c r="E407" s="21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2"/>
      <c r="D408" s="16"/>
      <c r="E408" s="21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2"/>
      <c r="D409" s="16"/>
      <c r="E409" s="21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2"/>
      <c r="D410" s="16"/>
      <c r="E410" s="21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2"/>
      <c r="D411" s="16"/>
      <c r="E411" s="21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2"/>
      <c r="D412" s="16"/>
      <c r="E412" s="21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2"/>
      <c r="D413" s="16"/>
      <c r="E413" s="21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2"/>
      <c r="D414" s="16"/>
      <c r="E414" s="21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2"/>
      <c r="D415" s="16"/>
      <c r="E415" s="21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2"/>
      <c r="D416" s="16"/>
      <c r="E416" s="21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2"/>
      <c r="D417" s="16"/>
      <c r="E417" s="21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2"/>
      <c r="D418" s="16"/>
      <c r="E418" s="21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2"/>
      <c r="D419" s="16"/>
      <c r="E419" s="21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2"/>
      <c r="D420" s="16"/>
      <c r="E420" s="21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2"/>
      <c r="D421" s="16"/>
      <c r="E421" s="21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2"/>
      <c r="D422" s="16"/>
      <c r="E422" s="21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2"/>
      <c r="D423" s="16"/>
      <c r="E423" s="21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2"/>
      <c r="D424" s="16"/>
      <c r="E424" s="21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2"/>
      <c r="D425" s="16"/>
      <c r="E425" s="21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2"/>
      <c r="D426" s="16"/>
      <c r="E426" s="21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2"/>
      <c r="D427" s="16"/>
      <c r="E427" s="21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2"/>
      <c r="D428" s="16"/>
      <c r="E428" s="21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2"/>
      <c r="D429" s="16"/>
      <c r="E429" s="21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2"/>
      <c r="D430" s="16"/>
      <c r="E430" s="21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2"/>
      <c r="D431" s="16"/>
      <c r="E431" s="21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2"/>
      <c r="D432" s="16"/>
      <c r="E432" s="21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2"/>
      <c r="D433" s="16"/>
      <c r="E433" s="21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2"/>
      <c r="D434" s="16"/>
      <c r="E434" s="21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2"/>
      <c r="D435" s="16"/>
      <c r="E435" s="21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2"/>
      <c r="D436" s="16"/>
      <c r="E436" s="21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2"/>
      <c r="D437" s="16"/>
      <c r="E437" s="21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2"/>
      <c r="D438" s="16"/>
      <c r="E438" s="21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2"/>
      <c r="D439" s="16"/>
      <c r="E439" s="21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2"/>
      <c r="D440" s="16"/>
      <c r="E440" s="21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2"/>
      <c r="D441" s="16"/>
      <c r="E441" s="21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2"/>
      <c r="D442" s="16"/>
      <c r="E442" s="21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2"/>
      <c r="D443" s="16"/>
      <c r="E443" s="21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2"/>
      <c r="D444" s="16"/>
      <c r="E444" s="21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2"/>
      <c r="D445" s="16"/>
      <c r="E445" s="21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2"/>
      <c r="D446" s="16"/>
      <c r="E446" s="21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2"/>
      <c r="D447" s="16"/>
      <c r="E447" s="21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2"/>
      <c r="D448" s="16"/>
      <c r="E448" s="21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2"/>
      <c r="D449" s="16"/>
      <c r="E449" s="21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2"/>
      <c r="D450" s="16"/>
      <c r="E450" s="21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2"/>
      <c r="D451" s="16"/>
      <c r="E451" s="21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2"/>
      <c r="D452" s="16"/>
      <c r="E452" s="21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2"/>
      <c r="D453" s="16"/>
      <c r="E453" s="21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2"/>
      <c r="D454" s="16"/>
      <c r="E454" s="21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2"/>
      <c r="D455" s="16"/>
      <c r="E455" s="21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2"/>
      <c r="D456" s="16"/>
      <c r="E456" s="21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2"/>
      <c r="D457" s="16"/>
      <c r="E457" s="21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2"/>
      <c r="D458" s="16"/>
      <c r="E458" s="21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2"/>
      <c r="D459" s="16"/>
      <c r="E459" s="21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2"/>
      <c r="D460" s="16"/>
      <c r="E460" s="21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2"/>
      <c r="D461" s="16"/>
      <c r="E461" s="21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2"/>
      <c r="D462" s="16"/>
      <c r="E462" s="21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2"/>
      <c r="D463" s="16"/>
      <c r="E463" s="21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2"/>
      <c r="D464" s="16"/>
      <c r="E464" s="21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2"/>
      <c r="D465" s="16"/>
      <c r="E465" s="21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2"/>
      <c r="D466" s="16"/>
      <c r="E466" s="21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2"/>
      <c r="D467" s="16"/>
      <c r="E467" s="21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2"/>
      <c r="D468" s="16"/>
      <c r="E468" s="21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2"/>
      <c r="D469" s="16"/>
      <c r="E469" s="21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2"/>
      <c r="D470" s="16"/>
      <c r="E470" s="21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2"/>
      <c r="D471" s="16"/>
      <c r="E471" s="21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2"/>
      <c r="D472" s="16"/>
      <c r="E472" s="21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2"/>
      <c r="D473" s="16"/>
      <c r="E473" s="21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2"/>
      <c r="D474" s="16"/>
      <c r="E474" s="21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2"/>
      <c r="D475" s="16"/>
      <c r="E475" s="21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2"/>
      <c r="D476" s="16"/>
      <c r="E476" s="21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2"/>
      <c r="D477" s="16"/>
      <c r="E477" s="21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2"/>
      <c r="D478" s="16"/>
      <c r="E478" s="21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2"/>
      <c r="D479" s="16"/>
      <c r="E479" s="21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2"/>
      <c r="D480" s="16"/>
      <c r="E480" s="21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2"/>
      <c r="D481" s="16"/>
      <c r="E481" s="21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2"/>
      <c r="D482" s="16"/>
      <c r="E482" s="21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2"/>
      <c r="D483" s="16"/>
      <c r="E483" s="21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2"/>
      <c r="D484" s="16"/>
      <c r="E484" s="21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2"/>
      <c r="D485" s="16"/>
      <c r="E485" s="21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2"/>
      <c r="D486" s="16"/>
      <c r="E486" s="21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2"/>
      <c r="D487" s="16"/>
      <c r="E487" s="21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2"/>
      <c r="D488" s="16"/>
      <c r="E488" s="21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2"/>
      <c r="D489" s="16"/>
      <c r="E489" s="21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2"/>
      <c r="D490" s="16"/>
      <c r="E490" s="21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2"/>
      <c r="D491" s="16"/>
      <c r="E491" s="21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2"/>
      <c r="D492" s="16"/>
      <c r="E492" s="21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2"/>
      <c r="D493" s="16"/>
      <c r="E493" s="21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2"/>
      <c r="D494" s="16"/>
      <c r="E494" s="21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2"/>
      <c r="D495" s="16"/>
      <c r="E495" s="21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2"/>
      <c r="D496" s="16"/>
      <c r="E496" s="21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2"/>
      <c r="D497" s="16"/>
      <c r="E497" s="21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2"/>
      <c r="D498" s="16"/>
      <c r="E498" s="21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2"/>
      <c r="D499" s="16"/>
      <c r="E499" s="21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2"/>
      <c r="D500" s="16"/>
      <c r="E500" s="21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2"/>
      <c r="D501" s="16"/>
      <c r="E501" s="21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2"/>
      <c r="D502" s="16"/>
      <c r="E502" s="21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2"/>
      <c r="D503" s="16"/>
      <c r="E503" s="21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2"/>
      <c r="D504" s="16"/>
      <c r="E504" s="21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2"/>
      <c r="D505" s="16"/>
      <c r="E505" s="21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2"/>
      <c r="D506" s="16"/>
      <c r="E506" s="21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2"/>
      <c r="D507" s="16"/>
      <c r="E507" s="21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2"/>
      <c r="D508" s="16"/>
      <c r="E508" s="21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2"/>
      <c r="D509" s="16"/>
      <c r="E509" s="21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2"/>
      <c r="D510" s="16"/>
      <c r="E510" s="21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2"/>
      <c r="D511" s="16"/>
      <c r="E511" s="21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2"/>
      <c r="D512" s="16"/>
      <c r="E512" s="21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2"/>
      <c r="D513" s="16"/>
      <c r="E513" s="21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2"/>
      <c r="D514" s="16"/>
      <c r="E514" s="21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2"/>
      <c r="D515" s="16"/>
      <c r="E515" s="21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2"/>
      <c r="D516" s="16"/>
      <c r="E516" s="21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2"/>
      <c r="D517" s="16"/>
      <c r="E517" s="21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2"/>
      <c r="D518" s="16"/>
      <c r="E518" s="21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2"/>
      <c r="D519" s="16"/>
      <c r="E519" s="21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2"/>
      <c r="D520" s="16"/>
      <c r="E520" s="21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2"/>
      <c r="D521" s="16"/>
      <c r="E521" s="21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2"/>
      <c r="D522" s="16"/>
      <c r="E522" s="21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2"/>
      <c r="D523" s="16"/>
      <c r="E523" s="21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2"/>
      <c r="D524" s="16"/>
      <c r="E524" s="21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2"/>
      <c r="D525" s="16"/>
      <c r="E525" s="21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2"/>
      <c r="D526" s="16"/>
      <c r="E526" s="21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2"/>
      <c r="D527" s="16"/>
      <c r="E527" s="21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2"/>
      <c r="D528" s="16"/>
      <c r="E528" s="21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2"/>
      <c r="D529" s="16"/>
      <c r="E529" s="21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2"/>
      <c r="D530" s="16"/>
      <c r="E530" s="21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2"/>
      <c r="D531" s="16"/>
      <c r="E531" s="21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2"/>
      <c r="D532" s="16"/>
      <c r="E532" s="21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2"/>
      <c r="D533" s="16"/>
      <c r="E533" s="21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2"/>
      <c r="D534" s="16"/>
      <c r="E534" s="21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2"/>
      <c r="D535" s="16"/>
      <c r="E535" s="21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2"/>
      <c r="D536" s="16"/>
      <c r="E536" s="21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2"/>
      <c r="D537" s="16"/>
      <c r="E537" s="21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2"/>
      <c r="D538" s="16"/>
      <c r="E538" s="21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2"/>
      <c r="D539" s="16"/>
      <c r="E539" s="21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2"/>
      <c r="D540" s="16"/>
      <c r="E540" s="21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2"/>
      <c r="D541" s="16"/>
      <c r="E541" s="21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2"/>
      <c r="D542" s="16"/>
      <c r="E542" s="21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2"/>
      <c r="D543" s="16"/>
      <c r="E543" s="21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2"/>
      <c r="D544" s="16"/>
      <c r="E544" s="21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2"/>
      <c r="D545" s="16"/>
      <c r="E545" s="21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2"/>
      <c r="D546" s="16"/>
      <c r="E546" s="21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2"/>
      <c r="D547" s="16"/>
      <c r="E547" s="21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2"/>
      <c r="D548" s="16"/>
      <c r="E548" s="21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2"/>
      <c r="D549" s="16"/>
      <c r="E549" s="21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2"/>
      <c r="D550" s="16"/>
      <c r="E550" s="21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2"/>
      <c r="D551" s="16"/>
      <c r="E551" s="21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2"/>
      <c r="D552" s="16"/>
      <c r="E552" s="21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2"/>
      <c r="D553" s="16"/>
      <c r="E553" s="21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2"/>
      <c r="D554" s="16"/>
      <c r="E554" s="21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2"/>
      <c r="D555" s="16"/>
      <c r="E555" s="21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2"/>
      <c r="D556" s="16"/>
      <c r="E556" s="21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2"/>
      <c r="D557" s="16"/>
      <c r="E557" s="21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2"/>
      <c r="D558" s="16"/>
      <c r="E558" s="21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2"/>
      <c r="D559" s="16"/>
      <c r="E559" s="21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2"/>
      <c r="D560" s="16"/>
      <c r="E560" s="21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2"/>
      <c r="D561" s="16"/>
      <c r="E561" s="21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2"/>
      <c r="D562" s="16"/>
      <c r="E562" s="21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2"/>
      <c r="D563" s="16"/>
      <c r="E563" s="21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2"/>
      <c r="D564" s="16"/>
      <c r="E564" s="21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2"/>
      <c r="D565" s="16"/>
      <c r="E565" s="21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2"/>
      <c r="D566" s="16"/>
      <c r="E566" s="21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2"/>
      <c r="D567" s="16"/>
      <c r="E567" s="21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2"/>
      <c r="D568" s="16"/>
      <c r="E568" s="21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2"/>
      <c r="D569" s="16"/>
      <c r="E569" s="21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2"/>
      <c r="D570" s="16"/>
      <c r="E570" s="21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2"/>
      <c r="D571" s="16"/>
      <c r="E571" s="21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2"/>
      <c r="D572" s="16"/>
      <c r="E572" s="21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2"/>
      <c r="D573" s="16"/>
      <c r="E573" s="21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2"/>
      <c r="D574" s="16"/>
      <c r="E574" s="21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2"/>
      <c r="D575" s="16"/>
      <c r="E575" s="21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2"/>
      <c r="D576" s="16"/>
      <c r="E576" s="21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2"/>
      <c r="D577" s="16"/>
      <c r="E577" s="21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2"/>
      <c r="D578" s="16"/>
      <c r="E578" s="21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2"/>
      <c r="D579" s="16"/>
      <c r="E579" s="21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2"/>
      <c r="D580" s="16"/>
      <c r="E580" s="21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2"/>
      <c r="D581" s="16"/>
      <c r="E581" s="21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2"/>
      <c r="D582" s="16"/>
      <c r="E582" s="21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2"/>
      <c r="D583" s="16"/>
      <c r="E583" s="21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2"/>
      <c r="D584" s="16"/>
      <c r="E584" s="21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2"/>
      <c r="D585" s="16"/>
      <c r="E585" s="21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2"/>
      <c r="D586" s="16"/>
      <c r="E586" s="21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2"/>
      <c r="D587" s="16"/>
      <c r="E587" s="21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2"/>
      <c r="D588" s="16"/>
      <c r="E588" s="21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2"/>
      <c r="D589" s="16"/>
      <c r="E589" s="21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2"/>
      <c r="D590" s="16"/>
      <c r="E590" s="21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2"/>
      <c r="D591" s="16"/>
      <c r="E591" s="21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2"/>
      <c r="D592" s="16"/>
      <c r="E592" s="21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2"/>
      <c r="D593" s="16"/>
      <c r="E593" s="21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2"/>
      <c r="D594" s="16"/>
      <c r="E594" s="21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2"/>
      <c r="D595" s="16"/>
      <c r="E595" s="21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2"/>
      <c r="D596" s="16"/>
      <c r="E596" s="21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2"/>
      <c r="D597" s="16"/>
      <c r="E597" s="21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2"/>
      <c r="D598" s="16"/>
      <c r="E598" s="21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2"/>
      <c r="D599" s="16"/>
      <c r="E599" s="21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2"/>
      <c r="D600" s="16"/>
      <c r="E600" s="21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2"/>
      <c r="D601" s="16"/>
      <c r="E601" s="21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2"/>
      <c r="D602" s="16"/>
      <c r="E602" s="21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2"/>
      <c r="D603" s="16"/>
      <c r="E603" s="21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2"/>
      <c r="D604" s="16"/>
      <c r="E604" s="21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2"/>
      <c r="D605" s="16"/>
      <c r="E605" s="21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2"/>
      <c r="D606" s="16"/>
      <c r="E606" s="21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2"/>
      <c r="D607" s="16"/>
      <c r="E607" s="21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2"/>
      <c r="D608" s="16"/>
      <c r="E608" s="21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2"/>
      <c r="D609" s="16"/>
      <c r="E609" s="21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2"/>
      <c r="D610" s="16"/>
      <c r="E610" s="21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2"/>
      <c r="D611" s="16"/>
      <c r="E611" s="21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2"/>
      <c r="D612" s="16"/>
      <c r="E612" s="21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2"/>
      <c r="D613" s="16"/>
      <c r="E613" s="21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2"/>
      <c r="D614" s="16"/>
      <c r="E614" s="21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2"/>
      <c r="D615" s="16"/>
      <c r="E615" s="21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2"/>
      <c r="D616" s="16"/>
      <c r="E616" s="21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2"/>
      <c r="D617" s="16"/>
      <c r="E617" s="21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2"/>
      <c r="D618" s="16"/>
      <c r="E618" s="21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2"/>
      <c r="D619" s="16"/>
      <c r="E619" s="21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2"/>
      <c r="D620" s="16"/>
      <c r="E620" s="21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2"/>
      <c r="D621" s="16"/>
      <c r="E621" s="21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2"/>
      <c r="D622" s="16"/>
      <c r="E622" s="21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2"/>
      <c r="D623" s="16"/>
      <c r="E623" s="21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2"/>
      <c r="D624" s="16"/>
      <c r="E624" s="21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2"/>
      <c r="D625" s="16"/>
      <c r="E625" s="21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2"/>
      <c r="D626" s="16"/>
      <c r="E626" s="21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2"/>
      <c r="D627" s="16"/>
      <c r="E627" s="21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2"/>
      <c r="D628" s="16"/>
      <c r="E628" s="21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2"/>
      <c r="D629" s="16"/>
      <c r="E629" s="21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2"/>
      <c r="D630" s="16"/>
      <c r="E630" s="21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2"/>
      <c r="D631" s="16"/>
      <c r="E631" s="21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2"/>
      <c r="D632" s="16"/>
      <c r="E632" s="21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2"/>
      <c r="D633" s="16"/>
      <c r="E633" s="21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2"/>
      <c r="D634" s="16"/>
      <c r="E634" s="21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2"/>
      <c r="D635" s="16"/>
      <c r="E635" s="21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2"/>
      <c r="D636" s="16"/>
      <c r="E636" s="21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2"/>
      <c r="D637" s="16"/>
      <c r="E637" s="21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2"/>
      <c r="D638" s="16"/>
      <c r="E638" s="21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2"/>
      <c r="D639" s="16"/>
      <c r="E639" s="21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2"/>
      <c r="D640" s="16"/>
      <c r="E640" s="21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2"/>
      <c r="D641" s="16"/>
      <c r="E641" s="21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2"/>
      <c r="D642" s="16"/>
      <c r="E642" s="21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2"/>
      <c r="D643" s="16"/>
      <c r="E643" s="21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2"/>
      <c r="D644" s="16"/>
      <c r="E644" s="21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2"/>
      <c r="D645" s="16"/>
      <c r="E645" s="21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2"/>
      <c r="D646" s="16"/>
      <c r="E646" s="21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2"/>
      <c r="D647" s="16"/>
      <c r="E647" s="21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2"/>
      <c r="D648" s="16"/>
      <c r="E648" s="21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2"/>
      <c r="D649" s="16"/>
      <c r="E649" s="21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2"/>
      <c r="D650" s="16"/>
      <c r="E650" s="21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2"/>
      <c r="D651" s="16"/>
      <c r="E651" s="21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2"/>
      <c r="D652" s="16"/>
      <c r="E652" s="21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2"/>
      <c r="D653" s="16"/>
      <c r="E653" s="21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2"/>
      <c r="D654" s="16"/>
      <c r="E654" s="21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2"/>
      <c r="D655" s="16"/>
      <c r="E655" s="21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2"/>
      <c r="D656" s="16"/>
      <c r="E656" s="21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2"/>
      <c r="D657" s="16"/>
      <c r="E657" s="21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2"/>
      <c r="D658" s="16"/>
      <c r="E658" s="21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2"/>
      <c r="D659" s="16"/>
      <c r="E659" s="21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2"/>
      <c r="D660" s="16"/>
      <c r="E660" s="21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2"/>
      <c r="D661" s="16"/>
      <c r="E661" s="21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2"/>
      <c r="D662" s="16"/>
      <c r="E662" s="21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2"/>
      <c r="D663" s="16"/>
      <c r="E663" s="21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2"/>
      <c r="D664" s="16"/>
      <c r="E664" s="21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2"/>
      <c r="D665" s="16"/>
      <c r="E665" s="21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2"/>
      <c r="D666" s="16"/>
      <c r="E666" s="21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2"/>
      <c r="D667" s="16"/>
      <c r="E667" s="21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2"/>
      <c r="D668" s="16"/>
      <c r="E668" s="21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2"/>
      <c r="D669" s="16"/>
      <c r="E669" s="21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2"/>
      <c r="D670" s="16"/>
      <c r="E670" s="21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2"/>
      <c r="D671" s="16"/>
      <c r="E671" s="21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2"/>
      <c r="D672" s="16"/>
      <c r="E672" s="21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2"/>
      <c r="D673" s="16"/>
      <c r="E673" s="21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2"/>
      <c r="D674" s="16"/>
      <c r="E674" s="21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2"/>
      <c r="D675" s="16"/>
      <c r="E675" s="21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2"/>
      <c r="D676" s="16"/>
      <c r="E676" s="21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2"/>
      <c r="D677" s="16"/>
      <c r="E677" s="21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2"/>
      <c r="D678" s="16"/>
      <c r="E678" s="21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2"/>
      <c r="D679" s="16"/>
      <c r="E679" s="21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2"/>
      <c r="D680" s="16"/>
      <c r="E680" s="21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2"/>
      <c r="D681" s="16"/>
      <c r="E681" s="21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2"/>
      <c r="D682" s="16"/>
      <c r="E682" s="21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2"/>
      <c r="D683" s="16"/>
      <c r="E683" s="21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2"/>
      <c r="D684" s="16"/>
      <c r="E684" s="21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2"/>
      <c r="D685" s="16"/>
      <c r="E685" s="21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2"/>
      <c r="D686" s="16"/>
      <c r="E686" s="21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2"/>
      <c r="D687" s="16"/>
      <c r="E687" s="21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2"/>
      <c r="D688" s="16"/>
      <c r="E688" s="21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2"/>
      <c r="D689" s="16"/>
      <c r="E689" s="21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2"/>
      <c r="D690" s="16"/>
      <c r="E690" s="21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2"/>
      <c r="D691" s="16"/>
      <c r="E691" s="21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2"/>
      <c r="D692" s="16"/>
      <c r="E692" s="21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2"/>
      <c r="D693" s="16"/>
      <c r="E693" s="21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2"/>
      <c r="D694" s="16"/>
      <c r="E694" s="21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2"/>
      <c r="D695" s="16"/>
      <c r="E695" s="21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2"/>
      <c r="D696" s="16"/>
      <c r="E696" s="21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2"/>
      <c r="D697" s="16"/>
      <c r="E697" s="21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2"/>
      <c r="D698" s="16"/>
      <c r="E698" s="21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2"/>
      <c r="D699" s="16"/>
      <c r="E699" s="21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2"/>
      <c r="D700" s="16"/>
      <c r="E700" s="21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2"/>
      <c r="D701" s="16"/>
      <c r="E701" s="21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2"/>
      <c r="D702" s="16"/>
      <c r="E702" s="21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2"/>
      <c r="D703" s="16"/>
      <c r="E703" s="21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2"/>
      <c r="D704" s="16"/>
      <c r="E704" s="21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2"/>
      <c r="D705" s="16"/>
      <c r="E705" s="21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2"/>
      <c r="D706" s="16"/>
      <c r="E706" s="21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2"/>
      <c r="D707" s="16"/>
      <c r="E707" s="21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2"/>
      <c r="D708" s="16"/>
      <c r="E708" s="21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2"/>
      <c r="D709" s="16"/>
      <c r="E709" s="21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2"/>
      <c r="D710" s="16"/>
      <c r="E710" s="21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2"/>
      <c r="D711" s="16"/>
      <c r="E711" s="21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2"/>
      <c r="D712" s="16"/>
      <c r="E712" s="21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2"/>
      <c r="D713" s="16"/>
      <c r="E713" s="21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2"/>
      <c r="D714" s="16"/>
      <c r="E714" s="21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2"/>
      <c r="D715" s="16"/>
      <c r="E715" s="21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2"/>
      <c r="D716" s="16"/>
      <c r="E716" s="21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2"/>
      <c r="D717" s="16"/>
      <c r="E717" s="21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2"/>
      <c r="D718" s="16"/>
      <c r="E718" s="21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2"/>
      <c r="D719" s="16"/>
      <c r="E719" s="21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2"/>
      <c r="D720" s="16"/>
      <c r="E720" s="21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2"/>
      <c r="D721" s="16"/>
      <c r="E721" s="21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2"/>
      <c r="D722" s="16"/>
      <c r="E722" s="21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2"/>
      <c r="D723" s="16"/>
      <c r="E723" s="21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2"/>
      <c r="D724" s="16"/>
      <c r="E724" s="21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2"/>
      <c r="D725" s="16"/>
      <c r="E725" s="21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2"/>
      <c r="D726" s="16"/>
      <c r="E726" s="21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2"/>
      <c r="D727" s="16"/>
      <c r="E727" s="21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2"/>
      <c r="D728" s="16"/>
      <c r="E728" s="21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2"/>
      <c r="D729" s="16"/>
      <c r="E729" s="21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2"/>
      <c r="D730" s="16"/>
      <c r="E730" s="21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2"/>
      <c r="D731" s="16"/>
      <c r="E731" s="21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2"/>
      <c r="D732" s="16"/>
      <c r="E732" s="21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2"/>
      <c r="D733" s="16"/>
      <c r="E733" s="21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2"/>
      <c r="D734" s="16"/>
      <c r="E734" s="21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2"/>
      <c r="D735" s="16"/>
      <c r="E735" s="21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2"/>
      <c r="D736" s="16"/>
      <c r="E736" s="21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2"/>
      <c r="D737" s="16"/>
      <c r="E737" s="21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2"/>
      <c r="D738" s="16"/>
      <c r="E738" s="21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2"/>
      <c r="D739" s="16"/>
      <c r="E739" s="21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2"/>
      <c r="D740" s="16"/>
      <c r="E740" s="21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2"/>
      <c r="D741" s="16"/>
      <c r="E741" s="21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2"/>
      <c r="D742" s="16"/>
      <c r="E742" s="21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2"/>
      <c r="D743" s="16"/>
      <c r="E743" s="21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2"/>
      <c r="D744" s="16"/>
      <c r="E744" s="21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2"/>
      <c r="D745" s="16"/>
      <c r="E745" s="21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2"/>
      <c r="D746" s="16"/>
      <c r="E746" s="21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2"/>
      <c r="D747" s="16"/>
      <c r="E747" s="21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2"/>
      <c r="D748" s="16"/>
      <c r="E748" s="21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2"/>
      <c r="D749" s="16"/>
      <c r="E749" s="21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2"/>
      <c r="D750" s="16"/>
      <c r="E750" s="21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2"/>
      <c r="D751" s="16"/>
      <c r="E751" s="21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2"/>
      <c r="D752" s="16"/>
      <c r="E752" s="21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2"/>
      <c r="D753" s="16"/>
      <c r="E753" s="21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2"/>
      <c r="D754" s="16"/>
      <c r="E754" s="21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2"/>
      <c r="D755" s="16"/>
      <c r="E755" s="21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2"/>
      <c r="D756" s="16"/>
      <c r="E756" s="21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2"/>
      <c r="D757" s="16"/>
      <c r="E757" s="21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2"/>
      <c r="D758" s="16"/>
      <c r="E758" s="21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2"/>
      <c r="D759" s="16"/>
      <c r="E759" s="21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2"/>
      <c r="D760" s="16"/>
      <c r="E760" s="21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2"/>
      <c r="D761" s="16"/>
      <c r="E761" s="21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2"/>
      <c r="D762" s="16"/>
      <c r="E762" s="21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2"/>
      <c r="D763" s="16"/>
      <c r="E763" s="21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2"/>
      <c r="D764" s="16"/>
      <c r="E764" s="21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2"/>
      <c r="D765" s="16"/>
      <c r="E765" s="21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2"/>
      <c r="D766" s="16"/>
      <c r="E766" s="21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2"/>
      <c r="D767" s="16"/>
      <c r="E767" s="21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2"/>
      <c r="D768" s="16"/>
      <c r="E768" s="21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2"/>
      <c r="D769" s="16"/>
      <c r="E769" s="21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2"/>
      <c r="D770" s="16"/>
      <c r="E770" s="21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2"/>
      <c r="D771" s="16"/>
      <c r="E771" s="21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2"/>
      <c r="D772" s="16"/>
      <c r="E772" s="21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2"/>
      <c r="D773" s="16"/>
      <c r="E773" s="21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2"/>
      <c r="D774" s="16"/>
      <c r="E774" s="21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2"/>
      <c r="D775" s="16"/>
      <c r="E775" s="21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2"/>
      <c r="D776" s="16"/>
      <c r="E776" s="21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2"/>
      <c r="D777" s="16"/>
      <c r="E777" s="21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2"/>
      <c r="D778" s="16"/>
      <c r="E778" s="21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2"/>
      <c r="D779" s="16"/>
      <c r="E779" s="21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2"/>
      <c r="D780" s="16"/>
      <c r="E780" s="21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2"/>
      <c r="D781" s="16"/>
      <c r="E781" s="21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2"/>
      <c r="D782" s="16"/>
      <c r="E782" s="21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2"/>
      <c r="D783" s="16"/>
      <c r="E783" s="21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2"/>
      <c r="D784" s="16"/>
      <c r="E784" s="21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2"/>
      <c r="D785" s="16"/>
      <c r="E785" s="21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2"/>
      <c r="D786" s="16"/>
      <c r="E786" s="21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2"/>
      <c r="D787" s="16"/>
      <c r="E787" s="21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2"/>
      <c r="D788" s="16"/>
      <c r="E788" s="21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2"/>
      <c r="D789" s="16"/>
      <c r="E789" s="21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2"/>
      <c r="D790" s="16"/>
      <c r="E790" s="21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2"/>
      <c r="D791" s="16"/>
      <c r="E791" s="21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2"/>
      <c r="D792" s="16"/>
      <c r="E792" s="21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2"/>
      <c r="D793" s="16"/>
      <c r="E793" s="21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2"/>
      <c r="D794" s="16"/>
      <c r="E794" s="21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2"/>
      <c r="D795" s="16"/>
      <c r="E795" s="21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2"/>
      <c r="D796" s="16"/>
      <c r="E796" s="21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2"/>
      <c r="D797" s="16"/>
      <c r="E797" s="21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2"/>
      <c r="D798" s="16"/>
      <c r="E798" s="21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2"/>
      <c r="D799" s="16"/>
      <c r="E799" s="21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2"/>
      <c r="D800" s="16"/>
      <c r="E800" s="21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2"/>
      <c r="D801" s="16"/>
      <c r="E801" s="21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2"/>
      <c r="D802" s="16"/>
      <c r="E802" s="21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2"/>
      <c r="D803" s="16"/>
      <c r="E803" s="21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2"/>
      <c r="D804" s="16"/>
      <c r="E804" s="21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2"/>
      <c r="D805" s="16"/>
      <c r="E805" s="21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2"/>
      <c r="D806" s="16"/>
      <c r="E806" s="21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2"/>
      <c r="D807" s="16"/>
      <c r="E807" s="21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2"/>
      <c r="D808" s="16"/>
      <c r="E808" s="21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2"/>
      <c r="D809" s="16"/>
      <c r="E809" s="21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2"/>
      <c r="D810" s="16"/>
      <c r="E810" s="21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2"/>
      <c r="D811" s="16"/>
      <c r="E811" s="21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2"/>
      <c r="D812" s="16"/>
      <c r="E812" s="21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2"/>
      <c r="D813" s="16"/>
      <c r="E813" s="21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2"/>
      <c r="D814" s="16"/>
      <c r="E814" s="21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2"/>
      <c r="D815" s="16"/>
      <c r="E815" s="21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2"/>
      <c r="D816" s="16"/>
      <c r="E816" s="21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2"/>
      <c r="D817" s="16"/>
      <c r="E817" s="21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2"/>
      <c r="D818" s="16"/>
      <c r="E818" s="21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2"/>
      <c r="D819" s="16"/>
      <c r="E819" s="21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2"/>
      <c r="D820" s="16"/>
      <c r="E820" s="21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2"/>
      <c r="D821" s="16"/>
      <c r="E821" s="21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2"/>
      <c r="D822" s="16"/>
      <c r="E822" s="21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2"/>
      <c r="D823" s="16"/>
      <c r="E823" s="21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2"/>
      <c r="D824" s="16"/>
      <c r="E824" s="21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2"/>
      <c r="D825" s="16"/>
      <c r="E825" s="21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2"/>
      <c r="D826" s="16"/>
      <c r="E826" s="21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2"/>
      <c r="D827" s="16"/>
      <c r="E827" s="21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2"/>
      <c r="D828" s="16"/>
      <c r="E828" s="21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2"/>
      <c r="D829" s="16"/>
      <c r="E829" s="21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2"/>
      <c r="D830" s="16"/>
      <c r="E830" s="21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2"/>
      <c r="D831" s="16"/>
      <c r="E831" s="21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2"/>
      <c r="D832" s="16"/>
      <c r="E832" s="21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2"/>
      <c r="D833" s="16"/>
      <c r="E833" s="21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2"/>
      <c r="D834" s="16"/>
      <c r="E834" s="21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2"/>
      <c r="D835" s="16"/>
      <c r="E835" s="21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2"/>
      <c r="D836" s="16"/>
      <c r="E836" s="21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2"/>
      <c r="D837" s="16"/>
      <c r="E837" s="21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2"/>
      <c r="D838" s="16"/>
      <c r="E838" s="21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2"/>
      <c r="D839" s="16"/>
      <c r="E839" s="21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2"/>
      <c r="D840" s="16"/>
      <c r="E840" s="21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2"/>
      <c r="D841" s="16"/>
      <c r="E841" s="21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2"/>
      <c r="D842" s="16"/>
      <c r="E842" s="21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2"/>
      <c r="D843" s="16"/>
      <c r="E843" s="21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2"/>
      <c r="D844" s="16"/>
      <c r="E844" s="21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2"/>
      <c r="D845" s="16"/>
      <c r="E845" s="21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2"/>
      <c r="D846" s="16"/>
      <c r="E846" s="21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2"/>
      <c r="D847" s="16"/>
      <c r="E847" s="21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2"/>
      <c r="D848" s="16"/>
      <c r="E848" s="21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2"/>
      <c r="D849" s="16"/>
      <c r="E849" s="21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2"/>
      <c r="D850" s="16"/>
      <c r="E850" s="21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2"/>
      <c r="D851" s="16"/>
      <c r="E851" s="21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2"/>
      <c r="D852" s="16"/>
      <c r="E852" s="21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2"/>
      <c r="D853" s="16"/>
      <c r="E853" s="21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2"/>
      <c r="D854" s="16"/>
      <c r="E854" s="21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2"/>
      <c r="D855" s="16"/>
      <c r="E855" s="21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2"/>
      <c r="D856" s="16"/>
      <c r="E856" s="21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2"/>
      <c r="D857" s="16"/>
      <c r="E857" s="21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2"/>
      <c r="D858" s="16"/>
      <c r="E858" s="21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2"/>
      <c r="D859" s="16"/>
      <c r="E859" s="21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2"/>
      <c r="D860" s="16"/>
      <c r="E860" s="21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2"/>
      <c r="D861" s="16"/>
      <c r="E861" s="21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2"/>
      <c r="D862" s="16"/>
      <c r="E862" s="21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2"/>
      <c r="D863" s="16"/>
      <c r="E863" s="21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2"/>
      <c r="D864" s="16"/>
      <c r="E864" s="21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2"/>
      <c r="D865" s="16"/>
      <c r="E865" s="21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2"/>
      <c r="D866" s="16"/>
      <c r="E866" s="21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2"/>
      <c r="D867" s="16"/>
      <c r="E867" s="21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2"/>
      <c r="D868" s="16"/>
      <c r="E868" s="21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2"/>
      <c r="D869" s="16"/>
      <c r="E869" s="21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2"/>
      <c r="D870" s="16"/>
      <c r="E870" s="21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2"/>
      <c r="D871" s="16"/>
      <c r="E871" s="21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2"/>
      <c r="D872" s="16"/>
      <c r="E872" s="21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2"/>
      <c r="D873" s="16"/>
      <c r="E873" s="21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2"/>
      <c r="D874" s="16"/>
      <c r="E874" s="21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2"/>
      <c r="D875" s="16"/>
      <c r="E875" s="21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2"/>
      <c r="D876" s="16"/>
      <c r="E876" s="21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2"/>
      <c r="D877" s="16"/>
      <c r="E877" s="21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2"/>
      <c r="D878" s="16"/>
      <c r="E878" s="21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2"/>
      <c r="D879" s="16"/>
      <c r="E879" s="21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2"/>
      <c r="D880" s="16"/>
      <c r="E880" s="21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2"/>
      <c r="D881" s="16"/>
      <c r="E881" s="21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2"/>
      <c r="D882" s="16"/>
      <c r="E882" s="21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2"/>
      <c r="D883" s="16"/>
      <c r="E883" s="21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2"/>
      <c r="D884" s="16"/>
      <c r="E884" s="21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2"/>
      <c r="D885" s="16"/>
      <c r="E885" s="21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2"/>
      <c r="D886" s="16"/>
      <c r="E886" s="21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2"/>
      <c r="D887" s="16"/>
      <c r="E887" s="21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2"/>
      <c r="D888" s="16"/>
      <c r="E888" s="21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2"/>
      <c r="D889" s="16"/>
      <c r="E889" s="21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2"/>
      <c r="D890" s="16"/>
      <c r="E890" s="21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2"/>
      <c r="D891" s="16"/>
      <c r="E891" s="21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2"/>
      <c r="D892" s="16"/>
      <c r="E892" s="21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2"/>
      <c r="D893" s="16"/>
      <c r="E893" s="21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2"/>
      <c r="D894" s="16"/>
      <c r="E894" s="21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2"/>
      <c r="D895" s="16"/>
      <c r="E895" s="21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2"/>
      <c r="D896" s="16"/>
      <c r="E896" s="21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2"/>
      <c r="D897" s="16"/>
      <c r="E897" s="21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2"/>
      <c r="D898" s="16"/>
      <c r="E898" s="21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2"/>
      <c r="D899" s="16"/>
      <c r="E899" s="21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2"/>
      <c r="D900" s="16"/>
      <c r="E900" s="21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2"/>
      <c r="D901" s="16"/>
      <c r="E901" s="21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2"/>
      <c r="D902" s="16"/>
      <c r="E902" s="21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2"/>
      <c r="D903" s="16"/>
      <c r="E903" s="21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2"/>
      <c r="D904" s="16"/>
      <c r="E904" s="21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2"/>
      <c r="D905" s="16"/>
      <c r="E905" s="21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2"/>
      <c r="D906" s="16"/>
      <c r="E906" s="21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2"/>
      <c r="D907" s="16"/>
      <c r="E907" s="21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2"/>
      <c r="D908" s="16"/>
      <c r="E908" s="21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2"/>
      <c r="D909" s="16"/>
      <c r="E909" s="21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2"/>
      <c r="D910" s="16"/>
      <c r="E910" s="21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2"/>
      <c r="D911" s="16"/>
      <c r="E911" s="21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2"/>
      <c r="D912" s="16"/>
      <c r="E912" s="21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2"/>
      <c r="D913" s="16"/>
      <c r="E913" s="21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2"/>
      <c r="D914" s="16"/>
      <c r="E914" s="21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2"/>
      <c r="D915" s="16"/>
      <c r="E915" s="21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2"/>
      <c r="D916" s="16"/>
      <c r="E916" s="21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2"/>
      <c r="D917" s="16"/>
      <c r="E917" s="21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2"/>
      <c r="D918" s="16"/>
      <c r="E918" s="21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2"/>
      <c r="D919" s="16"/>
      <c r="E919" s="21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2"/>
      <c r="D920" s="16"/>
      <c r="E920" s="21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2"/>
      <c r="D921" s="16"/>
      <c r="E921" s="21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2"/>
      <c r="D922" s="16"/>
      <c r="E922" s="21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2"/>
      <c r="D923" s="16"/>
      <c r="E923" s="21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2"/>
      <c r="D924" s="16"/>
      <c r="E924" s="21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2"/>
      <c r="D925" s="16"/>
      <c r="E925" s="21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2"/>
      <c r="D926" s="16"/>
      <c r="E926" s="21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2"/>
      <c r="D927" s="16"/>
      <c r="E927" s="21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2"/>
      <c r="D928" s="16"/>
      <c r="E928" s="21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2"/>
      <c r="D929" s="16"/>
      <c r="E929" s="21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2"/>
      <c r="D930" s="16"/>
      <c r="E930" s="21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2"/>
      <c r="D931" s="16"/>
      <c r="E931" s="21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2"/>
      <c r="D932" s="16"/>
      <c r="E932" s="21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2"/>
      <c r="D933" s="16"/>
      <c r="E933" s="21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2"/>
      <c r="D934" s="16"/>
      <c r="E934" s="21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2"/>
      <c r="D935" s="16"/>
      <c r="E935" s="21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2"/>
      <c r="D936" s="16"/>
      <c r="E936" s="21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2"/>
      <c r="D937" s="16"/>
      <c r="E937" s="21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2"/>
      <c r="D938" s="16"/>
      <c r="E938" s="21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2"/>
      <c r="D939" s="16"/>
      <c r="E939" s="21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2"/>
      <c r="D940" s="16"/>
      <c r="E940" s="21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2"/>
      <c r="D941" s="16"/>
      <c r="E941" s="21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2"/>
      <c r="D942" s="16"/>
      <c r="E942" s="21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2"/>
      <c r="D943" s="16"/>
      <c r="E943" s="21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2"/>
      <c r="D944" s="16"/>
      <c r="E944" s="21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2"/>
      <c r="D945" s="16"/>
      <c r="E945" s="21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2"/>
      <c r="D946" s="16"/>
      <c r="E946" s="21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2"/>
      <c r="D947" s="16"/>
      <c r="E947" s="21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2"/>
      <c r="D948" s="16"/>
      <c r="E948" s="21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2"/>
      <c r="D949" s="16"/>
      <c r="E949" s="21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2"/>
      <c r="D950" s="16"/>
      <c r="E950" s="21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2"/>
      <c r="D951" s="16"/>
      <c r="E951" s="21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2"/>
      <c r="D952" s="16"/>
      <c r="E952" s="21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2"/>
      <c r="D953" s="16"/>
      <c r="E953" s="21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2"/>
      <c r="D954" s="16"/>
      <c r="E954" s="21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2"/>
      <c r="D955" s="16"/>
      <c r="E955" s="21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2"/>
      <c r="D956" s="16"/>
      <c r="E956" s="21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2"/>
      <c r="D957" s="16"/>
      <c r="E957" s="21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2"/>
      <c r="D958" s="16"/>
      <c r="E958" s="21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2"/>
      <c r="D959" s="16"/>
      <c r="E959" s="21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2"/>
      <c r="D960" s="16"/>
      <c r="E960" s="21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2"/>
      <c r="D961" s="16"/>
      <c r="E961" s="21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2"/>
      <c r="D962" s="16"/>
      <c r="E962" s="21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2"/>
      <c r="D963" s="16"/>
      <c r="E963" s="21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2"/>
      <c r="D964" s="16"/>
      <c r="E964" s="21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2"/>
      <c r="D965" s="16"/>
      <c r="E965" s="21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2"/>
      <c r="D966" s="16"/>
      <c r="E966" s="21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2"/>
      <c r="D967" s="16"/>
      <c r="E967" s="21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2"/>
      <c r="D968" s="16"/>
      <c r="E968" s="21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2"/>
      <c r="D969" s="16"/>
      <c r="E969" s="21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2"/>
      <c r="D970" s="16"/>
      <c r="E970" s="21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2"/>
      <c r="D971" s="16"/>
      <c r="E971" s="21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2"/>
      <c r="D972" s="16"/>
      <c r="E972" s="21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2"/>
      <c r="D973" s="16"/>
      <c r="E973" s="21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2"/>
      <c r="D974" s="16"/>
      <c r="E974" s="21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2"/>
      <c r="D975" s="16"/>
      <c r="E975" s="21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2"/>
      <c r="D976" s="16"/>
      <c r="E976" s="21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2"/>
      <c r="D977" s="16"/>
      <c r="E977" s="21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2"/>
      <c r="D978" s="16"/>
      <c r="E978" s="21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2"/>
      <c r="D979" s="16"/>
      <c r="E979" s="21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2"/>
      <c r="D980" s="16"/>
      <c r="E980" s="21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2"/>
      <c r="D981" s="16"/>
      <c r="E981" s="21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2"/>
      <c r="D982" s="16"/>
      <c r="E982" s="21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2"/>
      <c r="D983" s="16"/>
      <c r="E983" s="21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2"/>
      <c r="D984" s="16"/>
      <c r="E984" s="21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2"/>
      <c r="D985" s="16"/>
      <c r="E985" s="21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2"/>
      <c r="D986" s="16"/>
      <c r="E986" s="21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2"/>
      <c r="D987" s="16"/>
      <c r="E987" s="21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2"/>
      <c r="D988" s="16"/>
      <c r="E988" s="21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2"/>
      <c r="D989" s="16"/>
      <c r="E989" s="21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2"/>
      <c r="D990" s="16"/>
      <c r="E990" s="21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2"/>
      <c r="D991" s="16"/>
      <c r="E991" s="21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2"/>
      <c r="D992" s="16"/>
      <c r="E992" s="21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2"/>
      <c r="D993" s="16"/>
      <c r="E993" s="21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2"/>
      <c r="D994" s="16"/>
      <c r="E994" s="21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2"/>
      <c r="D995" s="16"/>
      <c r="E995" s="21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2"/>
      <c r="D996" s="16"/>
      <c r="E996" s="21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2"/>
      <c r="D997" s="16"/>
      <c r="E997" s="21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2"/>
      <c r="D998" s="16"/>
      <c r="E998" s="21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2"/>
      <c r="D999" s="16"/>
      <c r="E999" s="21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2"/>
      <c r="D1000" s="16"/>
      <c r="E1000" s="21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2"/>
      <c r="D1001" s="16"/>
      <c r="E1001" s="21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2"/>
      <c r="D1002" s="16"/>
      <c r="E1002" s="21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2"/>
      <c r="D1003" s="16"/>
      <c r="E1003" s="21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2"/>
      <c r="D1004" s="16"/>
      <c r="E1004" s="21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2"/>
      <c r="D1005" s="16"/>
      <c r="E1005" s="21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2"/>
      <c r="D1006" s="16"/>
      <c r="E1006" s="21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2"/>
      <c r="D1007" s="16"/>
      <c r="E1007" s="21"/>
      <c r="F1007" s="16"/>
      <c r="G1007" s="16"/>
      <c r="H1007" s="16"/>
      <c r="I1007" s="16"/>
      <c r="J1007" s="16"/>
      <c r="K1007" s="16"/>
      <c r="L1007" s="16"/>
      <c r="M1007" s="16"/>
    </row>
    <row r="1008" spans="1:13" x14ac:dyDescent="0.25">
      <c r="A1008" s="2"/>
      <c r="B1008" s="16"/>
      <c r="C1008" s="22"/>
      <c r="D1008" s="16"/>
      <c r="E1008" s="21"/>
      <c r="F1008" s="16"/>
      <c r="G1008" s="16"/>
      <c r="H1008" s="16"/>
      <c r="I1008" s="16"/>
      <c r="J1008" s="16"/>
      <c r="K1008" s="16"/>
      <c r="L1008" s="16"/>
      <c r="M1008" s="16"/>
    </row>
    <row r="1009" spans="1:13" x14ac:dyDescent="0.25">
      <c r="A1009" s="2"/>
      <c r="B1009" s="16"/>
      <c r="C1009" s="22"/>
      <c r="D1009" s="16"/>
      <c r="E1009" s="21"/>
      <c r="F1009" s="16"/>
      <c r="G1009" s="16"/>
      <c r="H1009" s="16"/>
      <c r="I1009" s="16"/>
      <c r="J1009" s="16"/>
      <c r="K1009" s="16"/>
      <c r="L1009" s="16"/>
      <c r="M1009" s="16"/>
    </row>
    <row r="1010" spans="1:13" x14ac:dyDescent="0.25">
      <c r="A1010" s="2"/>
      <c r="B1010" s="16"/>
      <c r="C1010" s="22"/>
      <c r="D1010" s="16"/>
      <c r="E1010" s="21"/>
      <c r="F1010" s="16"/>
      <c r="G1010" s="16"/>
      <c r="H1010" s="16"/>
      <c r="I1010" s="16"/>
      <c r="J1010" s="16"/>
      <c r="K1010" s="16"/>
      <c r="L1010" s="16"/>
      <c r="M1010" s="16"/>
    </row>
    <row r="1011" spans="1:13" x14ac:dyDescent="0.25">
      <c r="A1011" s="2"/>
      <c r="B1011" s="16"/>
      <c r="C1011" s="22"/>
      <c r="D1011" s="16"/>
      <c r="E1011" s="21"/>
      <c r="F1011" s="16"/>
      <c r="G1011" s="16"/>
      <c r="H1011" s="16"/>
      <c r="I1011" s="16"/>
      <c r="J1011" s="16"/>
      <c r="K1011" s="16"/>
      <c r="L1011" s="16"/>
      <c r="M1011" s="16"/>
    </row>
    <row r="1012" spans="1:13" x14ac:dyDescent="0.25">
      <c r="A1012" s="2"/>
      <c r="B1012" s="16"/>
      <c r="C1012" s="22"/>
      <c r="D1012" s="16"/>
      <c r="E1012" s="21"/>
      <c r="F1012" s="16"/>
      <c r="G1012" s="16"/>
      <c r="H1012" s="16"/>
      <c r="I1012" s="16"/>
      <c r="J1012" s="16"/>
      <c r="K1012" s="16"/>
      <c r="L1012" s="16"/>
      <c r="M1012" s="16"/>
    </row>
    <row r="1013" spans="1:13" x14ac:dyDescent="0.25">
      <c r="A1013" s="2"/>
      <c r="B1013" s="16"/>
      <c r="C1013" s="22"/>
      <c r="D1013" s="16"/>
      <c r="E1013" s="21"/>
      <c r="F1013" s="16"/>
      <c r="G1013" s="16"/>
      <c r="H1013" s="16"/>
      <c r="I1013" s="16"/>
      <c r="J1013" s="16"/>
      <c r="K1013" s="16"/>
      <c r="L1013" s="16"/>
      <c r="M1013" s="16"/>
    </row>
    <row r="1014" spans="1:13" x14ac:dyDescent="0.25">
      <c r="A1014" s="2"/>
      <c r="B1014" s="16"/>
      <c r="C1014" s="22"/>
      <c r="D1014" s="16"/>
      <c r="E1014" s="21"/>
      <c r="F1014" s="16"/>
      <c r="G1014" s="16"/>
      <c r="H1014" s="16"/>
      <c r="I1014" s="16"/>
      <c r="J1014" s="16"/>
      <c r="K1014" s="16"/>
      <c r="L1014" s="16"/>
      <c r="M1014" s="16"/>
    </row>
    <row r="1015" spans="1:13" x14ac:dyDescent="0.25">
      <c r="A1015" s="2"/>
      <c r="B1015" s="16"/>
      <c r="C1015" s="22"/>
      <c r="D1015" s="16"/>
      <c r="E1015" s="21"/>
      <c r="F1015" s="16"/>
      <c r="G1015" s="16"/>
      <c r="H1015" s="16"/>
      <c r="I1015" s="16"/>
      <c r="J1015" s="16"/>
      <c r="K1015" s="16"/>
      <c r="L1015" s="16"/>
      <c r="M1015" s="16"/>
    </row>
    <row r="1016" spans="1:13" x14ac:dyDescent="0.25">
      <c r="A1016" s="2"/>
      <c r="B1016" s="16"/>
      <c r="C1016" s="22"/>
      <c r="D1016" s="16"/>
      <c r="E1016" s="21"/>
      <c r="F1016" s="16"/>
      <c r="G1016" s="16"/>
      <c r="H1016" s="16"/>
      <c r="I1016" s="16"/>
      <c r="J1016" s="16"/>
      <c r="K1016" s="16"/>
      <c r="L1016" s="16"/>
      <c r="M1016" s="16"/>
    </row>
    <row r="1017" spans="1:13" x14ac:dyDescent="0.25">
      <c r="A1017" s="2"/>
      <c r="B1017" s="16"/>
      <c r="C1017" s="22"/>
      <c r="D1017" s="16"/>
      <c r="E1017" s="21"/>
      <c r="F1017" s="16"/>
      <c r="G1017" s="16"/>
      <c r="H1017" s="16"/>
      <c r="I1017" s="16"/>
      <c r="J1017" s="16"/>
      <c r="K1017" s="16"/>
      <c r="L1017" s="16"/>
      <c r="M1017" s="16"/>
    </row>
    <row r="1018" spans="1:13" x14ac:dyDescent="0.25">
      <c r="A1018" s="2"/>
      <c r="B1018" s="16"/>
      <c r="C1018" s="22"/>
      <c r="D1018" s="16"/>
      <c r="E1018" s="21"/>
      <c r="F1018" s="16"/>
      <c r="G1018" s="16"/>
      <c r="H1018" s="16"/>
      <c r="I1018" s="16"/>
      <c r="J1018" s="16"/>
      <c r="K1018" s="16"/>
      <c r="L1018" s="16"/>
      <c r="M1018" s="16"/>
    </row>
    <row r="1019" spans="1:13" x14ac:dyDescent="0.25">
      <c r="A1019" s="2"/>
      <c r="B1019" s="16"/>
      <c r="C1019" s="22"/>
      <c r="D1019" s="16"/>
      <c r="E1019" s="21"/>
      <c r="F1019" s="16"/>
      <c r="G1019" s="16"/>
      <c r="H1019" s="16"/>
      <c r="I1019" s="16"/>
      <c r="J1019" s="16"/>
      <c r="K1019" s="16"/>
      <c r="L1019" s="16"/>
      <c r="M1019" s="16"/>
    </row>
    <row r="1020" spans="1:13" x14ac:dyDescent="0.25">
      <c r="A1020" s="2"/>
      <c r="B1020" s="16"/>
      <c r="C1020" s="22"/>
      <c r="D1020" s="16"/>
      <c r="E1020" s="21"/>
      <c r="F1020" s="16"/>
      <c r="G1020" s="16"/>
      <c r="H1020" s="16"/>
      <c r="I1020" s="16"/>
      <c r="J1020" s="16"/>
      <c r="K1020" s="16"/>
      <c r="L1020" s="16"/>
      <c r="M1020" s="16"/>
    </row>
    <row r="1021" spans="1:13" x14ac:dyDescent="0.25">
      <c r="A1021" s="2"/>
      <c r="B1021" s="16"/>
      <c r="C1021" s="22"/>
      <c r="D1021" s="16"/>
      <c r="E1021" s="21"/>
      <c r="F1021" s="16"/>
      <c r="G1021" s="16"/>
      <c r="H1021" s="16"/>
      <c r="I1021" s="16"/>
      <c r="J1021" s="16"/>
      <c r="K1021" s="16"/>
      <c r="L1021" s="16"/>
      <c r="M1021" s="16"/>
    </row>
    <row r="1022" spans="1:13" x14ac:dyDescent="0.25">
      <c r="A1022" s="2"/>
      <c r="B1022" s="16"/>
      <c r="C1022" s="22"/>
      <c r="D1022" s="16"/>
      <c r="E1022" s="21"/>
      <c r="F1022" s="16"/>
      <c r="G1022" s="16"/>
      <c r="H1022" s="16"/>
      <c r="I1022" s="16"/>
      <c r="J1022" s="16"/>
      <c r="K1022" s="16"/>
      <c r="L1022" s="16"/>
      <c r="M1022" s="16"/>
    </row>
    <row r="1023" spans="1:13" x14ac:dyDescent="0.25">
      <c r="A1023" s="2"/>
      <c r="B1023" s="16"/>
      <c r="C1023" s="22"/>
      <c r="D1023" s="16"/>
      <c r="E1023" s="21"/>
      <c r="F1023" s="16"/>
      <c r="G1023" s="16"/>
      <c r="H1023" s="16"/>
      <c r="I1023" s="16"/>
      <c r="J1023" s="16"/>
      <c r="K1023" s="16"/>
      <c r="L1023" s="16"/>
      <c r="M1023" s="16"/>
    </row>
    <row r="1024" spans="1:13" x14ac:dyDescent="0.25">
      <c r="A1024" s="2"/>
      <c r="B1024" s="16"/>
      <c r="C1024" s="22"/>
      <c r="D1024" s="16"/>
      <c r="E1024" s="21"/>
      <c r="F1024" s="16"/>
      <c r="G1024" s="16"/>
      <c r="H1024" s="16"/>
      <c r="I1024" s="16"/>
      <c r="J1024" s="16"/>
      <c r="K1024" s="16"/>
      <c r="L1024" s="16"/>
      <c r="M1024" s="16"/>
    </row>
    <row r="1025" spans="1:13" x14ac:dyDescent="0.25">
      <c r="A1025" s="2"/>
      <c r="B1025" s="16"/>
      <c r="C1025" s="22"/>
      <c r="D1025" s="16"/>
      <c r="E1025" s="21"/>
      <c r="F1025" s="16"/>
      <c r="G1025" s="16"/>
      <c r="H1025" s="16"/>
      <c r="I1025" s="16"/>
      <c r="J1025" s="16"/>
      <c r="K1025" s="16"/>
      <c r="L1025" s="16"/>
      <c r="M1025" s="16"/>
    </row>
    <row r="1026" spans="1:13" x14ac:dyDescent="0.25">
      <c r="A1026" s="2"/>
      <c r="B1026" s="16"/>
      <c r="C1026" s="22"/>
      <c r="D1026" s="16"/>
      <c r="E1026" s="21"/>
      <c r="F1026" s="16"/>
      <c r="G1026" s="16"/>
      <c r="H1026" s="16"/>
      <c r="I1026" s="16"/>
      <c r="J1026" s="16"/>
      <c r="K1026" s="16"/>
      <c r="L1026" s="16"/>
      <c r="M1026" s="16"/>
    </row>
    <row r="1027" spans="1:13" x14ac:dyDescent="0.25">
      <c r="A1027" s="2"/>
      <c r="B1027" s="16"/>
      <c r="C1027" s="22"/>
      <c r="D1027" s="16"/>
      <c r="E1027" s="21"/>
      <c r="F1027" s="16"/>
      <c r="G1027" s="16"/>
      <c r="H1027" s="16"/>
      <c r="I1027" s="16"/>
      <c r="J1027" s="16"/>
      <c r="K1027" s="16"/>
      <c r="L1027" s="16"/>
      <c r="M1027" s="16"/>
    </row>
    <row r="1028" spans="1:13" x14ac:dyDescent="0.25">
      <c r="A1028" s="2"/>
      <c r="B1028" s="16"/>
      <c r="C1028" s="22"/>
      <c r="D1028" s="16"/>
      <c r="E1028" s="21"/>
      <c r="F1028" s="16"/>
      <c r="G1028" s="16"/>
      <c r="H1028" s="16"/>
      <c r="I1028" s="16"/>
      <c r="J1028" s="16"/>
      <c r="K1028" s="16"/>
      <c r="L1028" s="16"/>
      <c r="M1028" s="16"/>
    </row>
    <row r="1029" spans="1:13" x14ac:dyDescent="0.25">
      <c r="A1029" s="2"/>
      <c r="B1029" s="16"/>
      <c r="C1029" s="22"/>
      <c r="D1029" s="16"/>
      <c r="E1029" s="21"/>
      <c r="F1029" s="16"/>
      <c r="G1029" s="16"/>
      <c r="H1029" s="16"/>
      <c r="I1029" s="16"/>
      <c r="J1029" s="16"/>
      <c r="K1029" s="16"/>
      <c r="L1029" s="16"/>
      <c r="M1029" s="16"/>
    </row>
  </sheetData>
  <dataConsolidate/>
  <mergeCells count="65">
    <mergeCell ref="M12:N12"/>
    <mergeCell ref="A19:W19"/>
    <mergeCell ref="E21:F21"/>
    <mergeCell ref="K21:L21"/>
    <mergeCell ref="C29:D29"/>
    <mergeCell ref="A12:B12"/>
    <mergeCell ref="C12:D12"/>
    <mergeCell ref="G12:H12"/>
    <mergeCell ref="I12:J12"/>
    <mergeCell ref="K12:L12"/>
    <mergeCell ref="G29:H29"/>
    <mergeCell ref="K29:L29"/>
    <mergeCell ref="O29:P29"/>
    <mergeCell ref="M6:N6"/>
    <mergeCell ref="O6:P6"/>
    <mergeCell ref="Q6:R6"/>
    <mergeCell ref="S6:T6"/>
    <mergeCell ref="M7:N7"/>
    <mergeCell ref="O7:P7"/>
    <mergeCell ref="Q7:R7"/>
    <mergeCell ref="S7:T7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C30:D30"/>
    <mergeCell ref="G30:H30"/>
    <mergeCell ref="K30:L30"/>
    <mergeCell ref="O30:P30"/>
    <mergeCell ref="C31:D31"/>
    <mergeCell ref="G31:H31"/>
    <mergeCell ref="K31:L31"/>
    <mergeCell ref="O31:P31"/>
    <mergeCell ref="A94:M94"/>
    <mergeCell ref="A45:M45"/>
    <mergeCell ref="O32:P32"/>
    <mergeCell ref="B35:E35"/>
    <mergeCell ref="G35:K35"/>
    <mergeCell ref="C32:D32"/>
    <mergeCell ref="E32:F32"/>
    <mergeCell ref="G32:H32"/>
    <mergeCell ref="I32:J32"/>
    <mergeCell ref="K32:L32"/>
    <mergeCell ref="M32:N32"/>
    <mergeCell ref="A93:M93"/>
    <mergeCell ref="I42:J42"/>
    <mergeCell ref="Q32:R32"/>
    <mergeCell ref="Q34:W34"/>
    <mergeCell ref="S32:T32"/>
    <mergeCell ref="N45:S45"/>
    <mergeCell ref="T45:W45"/>
    <mergeCell ref="U32:V32"/>
    <mergeCell ref="M35:O35"/>
    <mergeCell ref="A34:O34"/>
    <mergeCell ref="Q39:S39"/>
    <mergeCell ref="T39:U39"/>
    <mergeCell ref="V39:W3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mbConnect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4" name="cmbConnect"/>
      </mc:Fallback>
    </mc:AlternateContent>
    <mc:AlternateContent xmlns:mc="http://schemas.openxmlformats.org/markup-compatibility/2006">
      <mc:Choice Requires="x14">
        <control shapeId="14338" r:id="rId6" name="cmbSubscribeAccountInfo">
          <controlPr defaultSize="0" autoLine="0" r:id="rId7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161925</xdr:colOff>
                <xdr:row>1</xdr:row>
                <xdr:rowOff>114300</xdr:rowOff>
              </to>
            </anchor>
          </controlPr>
        </control>
      </mc:Choice>
      <mc:Fallback>
        <control shapeId="14338" r:id="rId6" name="cmbSubscribeAccountInfo"/>
      </mc:Fallback>
    </mc:AlternateContent>
    <mc:AlternateContent xmlns:mc="http://schemas.openxmlformats.org/markup-compatibility/2006">
      <mc:Choice Requires="x14">
        <control shapeId="14339" r:id="rId8" name="cmbSubscribePortfolio">
          <controlPr defaultSize="0" autoLine="0" autoPict="0" r:id="rId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266700</xdr:colOff>
                <xdr:row>1</xdr:row>
                <xdr:rowOff>114300</xdr:rowOff>
              </to>
            </anchor>
          </controlPr>
        </control>
      </mc:Choice>
      <mc:Fallback>
        <control shapeId="14339" r:id="rId8" name="cmbSubscribePortfolio"/>
      </mc:Fallback>
    </mc:AlternateContent>
    <mc:AlternateContent xmlns:mc="http://schemas.openxmlformats.org/markup-compatibility/2006">
      <mc:Choice Requires="x14">
        <control shapeId="14340" r:id="rId10" name="CommandButton1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4340" r:id="rId10" name="CommandButton1"/>
      </mc:Fallback>
    </mc:AlternateContent>
    <mc:AlternateContent xmlns:mc="http://schemas.openxmlformats.org/markup-compatibility/2006">
      <mc:Choice Requires="x14">
        <control shapeId="14341" r:id="rId12" name="obRebalanceOnStartup">
          <controlPr defaultSize="0" autoLine="0" r:id="rId13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2" name="obRebalanceOnStartup"/>
      </mc:Fallback>
    </mc:AlternateContent>
    <mc:AlternateContent xmlns:mc="http://schemas.openxmlformats.org/markup-compatibility/2006">
      <mc:Choice Requires="x14">
        <control shapeId="14342" r:id="rId14" name="obNoRebalanceOnStartup">
          <controlPr defaultSize="0" autoLine="0" r:id="rId15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14342" r:id="rId14" name="obNoRebalanceOnStartup"/>
      </mc:Fallback>
    </mc:AlternateContent>
    <mc:AlternateContent xmlns:mc="http://schemas.openxmlformats.org/markup-compatibility/2006">
      <mc:Choice Requires="x14">
        <control shapeId="14343" r:id="rId16" name="cmbEnableAutoHedge">
          <controlPr defaultSize="0" autoLine="0" r:id="rId17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6" name="cmbEnableAutoHedge"/>
      </mc:Fallback>
    </mc:AlternateContent>
    <mc:AlternateContent xmlns:mc="http://schemas.openxmlformats.org/markup-compatibility/2006">
      <mc:Choice Requires="x14">
        <control shapeId="14344" r:id="rId18" name="cmbDumpContracts">
          <controlPr defaultSize="0" autoLine="0" r:id="rId1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18" name="cmbDumpContracts"/>
      </mc:Fallback>
    </mc:AlternateContent>
    <mc:AlternateContent xmlns:mc="http://schemas.openxmlformats.org/markup-compatibility/2006">
      <mc:Choice Requires="x14">
        <control shapeId="14345" r:id="rId20" name="cbPreserveContract">
          <controlPr defaultSize="0" autoLine="0" r:id="rId21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123825</xdr:colOff>
                <xdr:row>25</xdr:row>
                <xdr:rowOff>0</xdr:rowOff>
              </to>
            </anchor>
          </controlPr>
        </control>
      </mc:Choice>
      <mc:Fallback>
        <control shapeId="14345" r:id="rId20" name="cbPreserveContract"/>
      </mc:Fallback>
    </mc:AlternateContent>
    <mc:AlternateContent xmlns:mc="http://schemas.openxmlformats.org/markup-compatibility/2006">
      <mc:Choice Requires="x14">
        <control shapeId="14346" r:id="rId22" name="cmbEnableAutoStop">
          <controlPr defaultSize="0" autoLine="0" r:id="rId23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22" name="cmbEnableAutoSto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56" customWidth="1"/>
    <col min="24" max="24" width="12.140625" customWidth="1"/>
    <col min="26" max="26" width="16.28515625" customWidth="1"/>
    <col min="31" max="31" width="10.42578125" customWidth="1"/>
    <col min="32" max="32" width="9.140625" style="58"/>
    <col min="33" max="33" width="9.5703125" bestFit="1" customWidth="1"/>
    <col min="34" max="34" width="9.85546875" customWidth="1"/>
  </cols>
  <sheetData>
    <row r="1" spans="2:37" x14ac:dyDescent="0.25">
      <c r="AE1" s="123" t="s">
        <v>123</v>
      </c>
      <c r="AF1" s="123"/>
      <c r="AG1" s="123"/>
      <c r="AH1" s="123"/>
      <c r="AI1" s="123"/>
      <c r="AJ1" s="123"/>
      <c r="AK1" s="123"/>
    </row>
    <row r="4" spans="2:37" x14ac:dyDescent="0.25">
      <c r="B4" s="100" t="s">
        <v>13</v>
      </c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00"/>
      <c r="R4" s="101"/>
      <c r="S4" s="101"/>
      <c r="T4" s="97" t="s">
        <v>101</v>
      </c>
      <c r="U4" s="97"/>
      <c r="V4" s="97"/>
      <c r="W4" s="97"/>
      <c r="X4" s="97"/>
      <c r="Y4" s="97"/>
      <c r="Z4" s="97"/>
      <c r="AA4" s="97"/>
      <c r="AB4" s="97" t="s">
        <v>108</v>
      </c>
      <c r="AC4" s="97"/>
      <c r="AD4" s="97"/>
      <c r="AF4" s="5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47" t="s">
        <v>19</v>
      </c>
      <c r="O5" s="47" t="s">
        <v>21</v>
      </c>
      <c r="P5" s="47" t="s">
        <v>22</v>
      </c>
      <c r="Q5" s="47" t="s">
        <v>18</v>
      </c>
      <c r="R5" s="47" t="s">
        <v>20</v>
      </c>
      <c r="S5" s="47" t="s">
        <v>23</v>
      </c>
      <c r="T5" s="31" t="s">
        <v>45</v>
      </c>
      <c r="U5" s="31" t="s">
        <v>121</v>
      </c>
      <c r="V5" s="55" t="s">
        <v>102</v>
      </c>
      <c r="W5" s="31" t="s">
        <v>103</v>
      </c>
      <c r="X5" s="31" t="s">
        <v>104</v>
      </c>
      <c r="Y5" s="31" t="s">
        <v>105</v>
      </c>
      <c r="Z5" s="31" t="s">
        <v>106</v>
      </c>
      <c r="AA5" s="31" t="s">
        <v>107</v>
      </c>
      <c r="AB5" s="31" t="s">
        <v>103</v>
      </c>
      <c r="AC5" s="31" t="s">
        <v>104</v>
      </c>
      <c r="AD5" s="31" t="s">
        <v>105</v>
      </c>
      <c r="AE5" s="35" t="s">
        <v>112</v>
      </c>
      <c r="AF5" s="59" t="s">
        <v>113</v>
      </c>
      <c r="AG5" s="35" t="s">
        <v>114</v>
      </c>
      <c r="AH5" s="50" t="s">
        <v>118</v>
      </c>
      <c r="AI5" s="50" t="s">
        <v>115</v>
      </c>
      <c r="AJ5" s="50" t="s">
        <v>116</v>
      </c>
      <c r="AK5" s="5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5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3">
        <v>8.1199351145806584E-5</v>
      </c>
      <c r="V6" s="52">
        <v>0.26420497997470704</v>
      </c>
      <c r="W6" s="2">
        <v>-9.6878701869559432E-3</v>
      </c>
      <c r="X6" s="53">
        <v>0.84191308475782911</v>
      </c>
      <c r="Y6" s="33">
        <v>-2.4950003905054767E-4</v>
      </c>
      <c r="Z6" s="34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57">
        <f>BSGamma($AA$17,E6,D6,0.001,V6)</f>
        <v>0</v>
      </c>
      <c r="AF6" s="58">
        <f t="shared" ref="AF6:AF37" si="0">IF(ISERR(AE6),0,AE6*M6)</f>
        <v>0</v>
      </c>
      <c r="AG6" s="29">
        <f>IF(AE6 = 0,0,(Y6*-10000)/AE6)</f>
        <v>0</v>
      </c>
      <c r="AH6">
        <f>IF(F6="C",MAX(0,$AA$14-E6),MAX(0,E6-$AA$14))*10000</f>
        <v>0</v>
      </c>
      <c r="AI6" s="49">
        <f>MAX(0,(U6*10000)-AH6)</f>
        <v>0.81199351145806586</v>
      </c>
      <c r="AJ6" s="49">
        <f>AI6*M6</f>
        <v>8.1199351145806595</v>
      </c>
      <c r="AK6" s="4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5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3">
        <v>7.4421382497728584E-5</v>
      </c>
      <c r="V7" s="52">
        <v>0.24014391877688013</v>
      </c>
      <c r="W7" s="2">
        <v>-9.7672371887170713E-3</v>
      </c>
      <c r="X7" s="53">
        <v>0.96797095253886623</v>
      </c>
      <c r="Y7" s="33">
        <v>-2.2846199736357761E-4</v>
      </c>
      <c r="Z7" s="34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57">
        <f t="shared" ref="AE7:AE70" si="7">BSGamma($AA$17,E7,D7,0.001,V7)</f>
        <v>0</v>
      </c>
      <c r="AF7" s="58">
        <f t="shared" si="0"/>
        <v>0</v>
      </c>
      <c r="AG7" s="29">
        <f t="shared" ref="AG7:AG70" si="8">IF(AE7 = 0,0,(Y7*-10000)/AE7)</f>
        <v>0</v>
      </c>
      <c r="AH7">
        <f t="shared" ref="AH7:AH70" si="9">IF(F7="C",MAX(0,$AA$14-E7),MAX(0,E7-$AA$14))*10000</f>
        <v>0</v>
      </c>
      <c r="AI7" s="49">
        <f t="shared" ref="AI7:AI70" si="10">MAX(0,(U7*10000)-AH7)</f>
        <v>0.74421382497728583</v>
      </c>
      <c r="AJ7" s="49">
        <f t="shared" ref="AJ7:AJ70" si="11">AI7*M7</f>
        <v>0</v>
      </c>
      <c r="AK7" s="4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5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3">
        <v>7.1611499573167992E-5</v>
      </c>
      <c r="V8" s="52">
        <v>0.21823570997051434</v>
      </c>
      <c r="W8" s="2">
        <v>-1.0310207742769443E-2</v>
      </c>
      <c r="X8" s="53">
        <v>0</v>
      </c>
      <c r="Y8" s="33">
        <v>-2.1819140367112388E-4</v>
      </c>
      <c r="Z8" s="34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57">
        <f t="shared" si="7"/>
        <v>0</v>
      </c>
      <c r="AF8" s="58">
        <f t="shared" si="0"/>
        <v>0</v>
      </c>
      <c r="AG8" s="29">
        <f t="shared" si="8"/>
        <v>0</v>
      </c>
      <c r="AH8">
        <f t="shared" si="9"/>
        <v>0</v>
      </c>
      <c r="AI8" s="49">
        <f t="shared" si="10"/>
        <v>0.71611499573167992</v>
      </c>
      <c r="AJ8" s="49">
        <f t="shared" si="11"/>
        <v>0</v>
      </c>
      <c r="AK8" s="4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5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3">
        <v>8.0178960996781138E-5</v>
      </c>
      <c r="V9" s="52">
        <v>0.1984803535556523</v>
      </c>
      <c r="W9" s="2">
        <v>-1.2365932135729427E-2</v>
      </c>
      <c r="X9" s="53">
        <v>0</v>
      </c>
      <c r="Y9" s="33">
        <v>-2.3096374601349581E-4</v>
      </c>
      <c r="Z9" s="34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57">
        <f t="shared" si="7"/>
        <v>0</v>
      </c>
      <c r="AF9" s="58">
        <f t="shared" si="0"/>
        <v>0</v>
      </c>
      <c r="AG9" s="29">
        <f t="shared" si="8"/>
        <v>0</v>
      </c>
      <c r="AH9">
        <f t="shared" si="9"/>
        <v>0</v>
      </c>
      <c r="AI9" s="49">
        <f t="shared" si="10"/>
        <v>0.80178960996781135</v>
      </c>
      <c r="AJ9" s="49">
        <f t="shared" si="11"/>
        <v>0</v>
      </c>
      <c r="AK9" s="4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5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3">
        <v>9.787043407957923E-5</v>
      </c>
      <c r="V10" s="52">
        <v>0.18087784953227981</v>
      </c>
      <c r="W10" s="2">
        <v>-1.6053871129648158E-2</v>
      </c>
      <c r="X10" s="54">
        <v>0</v>
      </c>
      <c r="Y10" s="33">
        <v>-2.6307424795380687E-4</v>
      </c>
      <c r="Z10" s="34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57">
        <f t="shared" si="7"/>
        <v>0</v>
      </c>
      <c r="AF10" s="58">
        <f t="shared" si="0"/>
        <v>0</v>
      </c>
      <c r="AG10" s="29">
        <f t="shared" si="8"/>
        <v>0</v>
      </c>
      <c r="AH10">
        <f t="shared" si="9"/>
        <v>0</v>
      </c>
      <c r="AI10" s="49">
        <f t="shared" si="10"/>
        <v>0.97870434079579227</v>
      </c>
      <c r="AJ10" s="49">
        <f t="shared" si="11"/>
        <v>0</v>
      </c>
      <c r="AK10" s="4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5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3">
        <v>1.2338459576258055E-4</v>
      </c>
      <c r="V11" s="52">
        <v>0.16542819790035423</v>
      </c>
      <c r="W11" s="2">
        <v>-2.1560138228549582E-2</v>
      </c>
      <c r="X11" s="53">
        <v>0</v>
      </c>
      <c r="Y11" s="33">
        <v>-3.1239254104964881E-4</v>
      </c>
      <c r="Z11" s="34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57">
        <f t="shared" si="7"/>
        <v>0</v>
      </c>
      <c r="AF11" s="58">
        <f t="shared" si="0"/>
        <v>0</v>
      </c>
      <c r="AG11" s="29">
        <f t="shared" si="8"/>
        <v>0</v>
      </c>
      <c r="AH11">
        <f t="shared" si="9"/>
        <v>0</v>
      </c>
      <c r="AI11" s="49">
        <f t="shared" si="10"/>
        <v>1.2338459576258056</v>
      </c>
      <c r="AJ11" s="49">
        <f t="shared" si="11"/>
        <v>0</v>
      </c>
      <c r="AK11" s="4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5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3">
        <v>1.9676249128862636E-4</v>
      </c>
      <c r="V12" s="52">
        <v>0.15213139865993242</v>
      </c>
      <c r="W12" s="2">
        <v>-3.4836869172406915E-2</v>
      </c>
      <c r="X12" s="53">
        <v>0</v>
      </c>
      <c r="Y12" s="33">
        <v>-4.2589234528331163E-4</v>
      </c>
      <c r="Z12" s="34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57">
        <f t="shared" si="7"/>
        <v>0</v>
      </c>
      <c r="AF12" s="58">
        <f t="shared" si="0"/>
        <v>0</v>
      </c>
      <c r="AG12" s="29">
        <f t="shared" si="8"/>
        <v>0</v>
      </c>
      <c r="AH12">
        <f t="shared" si="9"/>
        <v>0</v>
      </c>
      <c r="AI12" s="49">
        <f t="shared" si="10"/>
        <v>1.9676249128862635</v>
      </c>
      <c r="AJ12" s="49">
        <f t="shared" si="11"/>
        <v>0</v>
      </c>
      <c r="AK12" s="4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5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3">
        <v>3.3657321716550412E-4</v>
      </c>
      <c r="V13" s="52">
        <v>0.14098745181098593</v>
      </c>
      <c r="W13" s="2">
        <v>-5.9208535931378342E-2</v>
      </c>
      <c r="X13" s="53">
        <v>0</v>
      </c>
      <c r="Y13" s="33">
        <v>-6.0446077599329222E-4</v>
      </c>
      <c r="Z13" s="34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57">
        <f t="shared" si="7"/>
        <v>0</v>
      </c>
      <c r="AF13" s="58">
        <f t="shared" si="0"/>
        <v>0</v>
      </c>
      <c r="AG13" s="29">
        <f t="shared" si="8"/>
        <v>0</v>
      </c>
      <c r="AH13">
        <f t="shared" si="9"/>
        <v>0</v>
      </c>
      <c r="AI13" s="49">
        <f t="shared" si="10"/>
        <v>3.3657321716550412</v>
      </c>
      <c r="AJ13" s="49">
        <f t="shared" si="11"/>
        <v>0</v>
      </c>
      <c r="AK13" s="4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5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3">
        <v>6.2461154282803021E-4</v>
      </c>
      <c r="V14" s="52">
        <v>0.13199635735350057</v>
      </c>
      <c r="W14" s="2">
        <v>-0.10560974891081049</v>
      </c>
      <c r="X14" s="53">
        <v>0</v>
      </c>
      <c r="Y14" s="33">
        <v>-8.7852672117392106E-4</v>
      </c>
      <c r="Z14" s="34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57">
        <f t="shared" si="7"/>
        <v>0</v>
      </c>
      <c r="AF14" s="58">
        <f t="shared" si="0"/>
        <v>0</v>
      </c>
      <c r="AG14" s="29">
        <f t="shared" si="8"/>
        <v>0</v>
      </c>
      <c r="AH14">
        <f t="shared" si="9"/>
        <v>0</v>
      </c>
      <c r="AI14" s="49">
        <f t="shared" si="10"/>
        <v>6.2461154282803024</v>
      </c>
      <c r="AJ14" s="49">
        <f t="shared" si="11"/>
        <v>0</v>
      </c>
      <c r="AK14" s="4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5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3">
        <v>1.1984139041402108E-3</v>
      </c>
      <c r="V15" s="52">
        <v>0.12515811528751897</v>
      </c>
      <c r="W15" s="2">
        <v>-0.18793765586023906</v>
      </c>
      <c r="X15" s="53">
        <v>0</v>
      </c>
      <c r="Y15" s="33">
        <v>-1.2388664701268209E-3</v>
      </c>
      <c r="Z15" s="34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57">
        <f t="shared" si="7"/>
        <v>0</v>
      </c>
      <c r="AF15" s="58">
        <f t="shared" si="0"/>
        <v>0</v>
      </c>
      <c r="AG15" s="29">
        <f t="shared" si="8"/>
        <v>0</v>
      </c>
      <c r="AH15">
        <f t="shared" si="9"/>
        <v>0</v>
      </c>
      <c r="AI15" s="49">
        <f t="shared" si="10"/>
        <v>11.984139041402107</v>
      </c>
      <c r="AJ15" s="49">
        <f t="shared" si="11"/>
        <v>0</v>
      </c>
      <c r="AK15" s="4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5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3">
        <v>2.3571633551261869E-3</v>
      </c>
      <c r="V16" s="52">
        <v>0.1204727256130127</v>
      </c>
      <c r="W16" s="2">
        <v>-0.32187740475039894</v>
      </c>
      <c r="X16" s="53">
        <v>0</v>
      </c>
      <c r="Y16" s="33">
        <v>-1.5770148129181599E-3</v>
      </c>
      <c r="Z16" s="34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57">
        <f t="shared" si="7"/>
        <v>0</v>
      </c>
      <c r="AF16" s="58">
        <f t="shared" si="0"/>
        <v>0</v>
      </c>
      <c r="AG16" s="29">
        <f t="shared" si="8"/>
        <v>0</v>
      </c>
      <c r="AH16">
        <f t="shared" si="9"/>
        <v>0</v>
      </c>
      <c r="AI16" s="49">
        <f t="shared" si="10"/>
        <v>23.571633551261868</v>
      </c>
      <c r="AJ16" s="49">
        <f t="shared" si="11"/>
        <v>0</v>
      </c>
      <c r="AK16" s="4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5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3">
        <v>7.1000000461935997E-3</v>
      </c>
      <c r="V17" s="52">
        <v>0.19486266952716297</v>
      </c>
      <c r="W17" s="2">
        <v>-0.49550698962638023</v>
      </c>
      <c r="X17" s="53">
        <v>0</v>
      </c>
      <c r="Y17" s="33">
        <v>-2.8652366511571609E-3</v>
      </c>
      <c r="Z17" s="34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57">
        <f t="shared" si="7"/>
        <v>0</v>
      </c>
      <c r="AF17" s="58">
        <f t="shared" si="0"/>
        <v>0</v>
      </c>
      <c r="AG17" s="29">
        <f t="shared" si="8"/>
        <v>0</v>
      </c>
      <c r="AH17">
        <f t="shared" si="9"/>
        <v>0</v>
      </c>
      <c r="AI17" s="49">
        <f t="shared" si="10"/>
        <v>71.000000461935997</v>
      </c>
      <c r="AJ17" s="49">
        <f t="shared" si="11"/>
        <v>0</v>
      </c>
      <c r="AK17" s="4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5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3">
        <v>7.2386292668941759E-3</v>
      </c>
      <c r="V18" s="52">
        <v>0.11756050343842617</v>
      </c>
      <c r="W18" s="2">
        <v>-0.67253122920548303</v>
      </c>
      <c r="X18" s="53">
        <v>0</v>
      </c>
      <c r="Y18" s="33">
        <v>-1.5495704596294006E-3</v>
      </c>
      <c r="Z18" s="34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57">
        <f t="shared" si="7"/>
        <v>0</v>
      </c>
      <c r="AF18" s="58">
        <f t="shared" si="0"/>
        <v>0</v>
      </c>
      <c r="AG18" s="29">
        <f t="shared" si="8"/>
        <v>0</v>
      </c>
      <c r="AH18">
        <f t="shared" si="9"/>
        <v>49.000000000001265</v>
      </c>
      <c r="AI18" s="49">
        <f t="shared" si="10"/>
        <v>23.386292668940499</v>
      </c>
      <c r="AJ18" s="49">
        <f t="shared" si="11"/>
        <v>0</v>
      </c>
      <c r="AK18" s="4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5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3">
        <v>1.1016346548179045E-2</v>
      </c>
      <c r="V19" s="52">
        <v>0.11933367093836011</v>
      </c>
      <c r="W19" s="2">
        <v>-0.81481940558608035</v>
      </c>
      <c r="X19" s="53">
        <v>0</v>
      </c>
      <c r="Y19" s="33">
        <v>-1.168430220345048E-3</v>
      </c>
      <c r="Z19" s="34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57">
        <f t="shared" si="7"/>
        <v>0</v>
      </c>
      <c r="AF19" s="58">
        <f t="shared" si="0"/>
        <v>0</v>
      </c>
      <c r="AG19" s="29">
        <f t="shared" si="8"/>
        <v>0</v>
      </c>
      <c r="AH19">
        <f t="shared" si="9"/>
        <v>99.000000000000199</v>
      </c>
      <c r="AI19" s="49">
        <f t="shared" si="10"/>
        <v>11.163465481790254</v>
      </c>
      <c r="AJ19" s="49">
        <f t="shared" si="11"/>
        <v>0</v>
      </c>
      <c r="AK19" s="4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5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3">
        <v>1.5421554579886813E-2</v>
      </c>
      <c r="V20" s="52">
        <v>0.1232596908297694</v>
      </c>
      <c r="W20" s="2">
        <v>-0.9034281906599263</v>
      </c>
      <c r="X20" s="53">
        <v>0.45586362429465982</v>
      </c>
      <c r="Y20" s="33">
        <v>-7.6797840683540336E-4</v>
      </c>
      <c r="Z20" s="34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57">
        <f t="shared" si="7"/>
        <v>0</v>
      </c>
      <c r="AF20" s="58">
        <f t="shared" si="0"/>
        <v>0</v>
      </c>
      <c r="AG20" s="29">
        <f t="shared" si="8"/>
        <v>0</v>
      </c>
      <c r="AH20">
        <f t="shared" si="9"/>
        <v>149.00000000000136</v>
      </c>
      <c r="AI20" s="49">
        <f t="shared" si="10"/>
        <v>5.2155457988667706</v>
      </c>
      <c r="AJ20" s="49">
        <f t="shared" si="11"/>
        <v>0</v>
      </c>
      <c r="AK20" s="4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5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3">
        <v>2.0139865568373858E-2</v>
      </c>
      <c r="V21" s="52">
        <v>0.1293385631126398</v>
      </c>
      <c r="W21" s="2">
        <v>-0.95204286396793458</v>
      </c>
      <c r="X21" s="53">
        <v>0</v>
      </c>
      <c r="Y21" s="33">
        <v>-4.7107727011627768E-4</v>
      </c>
      <c r="Z21" s="34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57">
        <f t="shared" si="7"/>
        <v>0</v>
      </c>
      <c r="AF21" s="58">
        <f t="shared" si="0"/>
        <v>0</v>
      </c>
      <c r="AG21" s="29">
        <f t="shared" si="8"/>
        <v>0</v>
      </c>
      <c r="AH21">
        <f t="shared" si="9"/>
        <v>199.00000000000028</v>
      </c>
      <c r="AI21" s="49">
        <f t="shared" si="10"/>
        <v>2.3986556837382977</v>
      </c>
      <c r="AJ21" s="49">
        <f t="shared" si="11"/>
        <v>0</v>
      </c>
      <c r="AK21" s="4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5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3">
        <v>2.5021042245330444E-2</v>
      </c>
      <c r="V22" s="52">
        <v>0.13757028778701397</v>
      </c>
      <c r="W22" s="2">
        <v>-0.97506282275406442</v>
      </c>
      <c r="X22" s="53">
        <v>0</v>
      </c>
      <c r="Y22" s="33">
        <v>-2.928207005908077E-4</v>
      </c>
      <c r="Z22" s="34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57">
        <f t="shared" si="7"/>
        <v>0</v>
      </c>
      <c r="AF22" s="58">
        <f t="shared" si="0"/>
        <v>0</v>
      </c>
      <c r="AG22" s="29">
        <f t="shared" si="8"/>
        <v>0</v>
      </c>
      <c r="AH22">
        <f t="shared" si="9"/>
        <v>249.00000000000145</v>
      </c>
      <c r="AI22" s="49">
        <f t="shared" si="10"/>
        <v>1.2104224533029821</v>
      </c>
      <c r="AJ22" s="49">
        <f t="shared" si="11"/>
        <v>0</v>
      </c>
      <c r="AK22" s="4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5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3">
        <v>2.9971969328718363E-2</v>
      </c>
      <c r="V23" s="52">
        <v>0.14795486485286347</v>
      </c>
      <c r="W23" s="2">
        <v>-0.98537525388845271</v>
      </c>
      <c r="X23" s="53">
        <v>0</v>
      </c>
      <c r="Y23" s="2">
        <v>-1.9919460149662467E-4</v>
      </c>
      <c r="Z23" s="34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57">
        <f t="shared" si="7"/>
        <v>0</v>
      </c>
      <c r="AF23" s="58">
        <f t="shared" si="0"/>
        <v>0</v>
      </c>
      <c r="AG23" s="29">
        <f t="shared" si="8"/>
        <v>0</v>
      </c>
      <c r="AH23">
        <f t="shared" si="9"/>
        <v>299.0000000000004</v>
      </c>
      <c r="AI23" s="49">
        <f t="shared" si="10"/>
        <v>0.71969328718324732</v>
      </c>
      <c r="AJ23" s="49">
        <f t="shared" si="11"/>
        <v>0</v>
      </c>
      <c r="AK23" s="4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5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3">
        <v>3.4947170242700727E-2</v>
      </c>
      <c r="V24" s="52">
        <v>0.16049229431017409</v>
      </c>
      <c r="W24" s="2">
        <v>-0.99069384771629254</v>
      </c>
      <c r="X24" s="53">
        <v>0.96000685239764894</v>
      </c>
      <c r="Y24" s="2">
        <v>-1.4673614098978258E-4</v>
      </c>
      <c r="Z24" s="34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57">
        <f t="shared" si="7"/>
        <v>0</v>
      </c>
      <c r="AF24" s="58">
        <f t="shared" si="0"/>
        <v>0</v>
      </c>
      <c r="AG24" s="29">
        <f t="shared" si="8"/>
        <v>0</v>
      </c>
      <c r="AH24">
        <f t="shared" si="9"/>
        <v>349.00000000000153</v>
      </c>
      <c r="AI24" s="49">
        <f t="shared" si="10"/>
        <v>0.47170242700570952</v>
      </c>
      <c r="AJ24" s="49">
        <f t="shared" si="11"/>
        <v>0</v>
      </c>
      <c r="AK24" s="4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5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3">
        <v>3.9938167651417097E-2</v>
      </c>
      <c r="V25" s="52">
        <v>0.17518257615898847</v>
      </c>
      <c r="W25" s="2">
        <v>-0.99295163726063207</v>
      </c>
      <c r="X25" s="53">
        <v>0.96459820214130731</v>
      </c>
      <c r="Y25" s="2">
        <v>-1.2498221345756254E-4</v>
      </c>
      <c r="Z25" s="34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57">
        <f t="shared" si="7"/>
        <v>0</v>
      </c>
      <c r="AF25" s="58">
        <f t="shared" si="0"/>
        <v>0</v>
      </c>
      <c r="AG25" s="29">
        <f t="shared" si="8"/>
        <v>0</v>
      </c>
      <c r="AH25">
        <f t="shared" si="9"/>
        <v>399.00000000000045</v>
      </c>
      <c r="AI25" s="49">
        <f t="shared" si="10"/>
        <v>0.38167651417052184</v>
      </c>
      <c r="AJ25" s="49">
        <f t="shared" si="11"/>
        <v>0</v>
      </c>
      <c r="AK25" s="4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5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3">
        <v>4.4933497038128635E-2</v>
      </c>
      <c r="V26" s="52">
        <v>0.19202571039927818</v>
      </c>
      <c r="W26" s="2">
        <v>-0.99424128479175922</v>
      </c>
      <c r="X26" s="53">
        <v>0.93178526449189381</v>
      </c>
      <c r="Y26" s="2">
        <v>-1.1497841994031873E-4</v>
      </c>
      <c r="Z26" s="34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57">
        <f t="shared" si="7"/>
        <v>0</v>
      </c>
      <c r="AF26" s="58">
        <f t="shared" si="0"/>
        <v>0</v>
      </c>
      <c r="AG26" s="29">
        <f t="shared" si="8"/>
        <v>0</v>
      </c>
      <c r="AH26">
        <f t="shared" si="9"/>
        <v>449.00000000000159</v>
      </c>
      <c r="AI26" s="49">
        <f t="shared" si="10"/>
        <v>0.33497038128473378</v>
      </c>
      <c r="AJ26" s="49">
        <f t="shared" si="11"/>
        <v>0</v>
      </c>
      <c r="AK26" s="4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5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3">
        <v>4.9933175905381037E-2</v>
      </c>
      <c r="V27" s="52">
        <v>0.21102169703104323</v>
      </c>
      <c r="W27" s="2">
        <v>-0.99475196361446627</v>
      </c>
      <c r="X27" s="53">
        <v>0.78384519397573749</v>
      </c>
      <c r="Y27" s="2">
        <v>-1.1677813097680746E-4</v>
      </c>
      <c r="Z27" s="34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57">
        <f t="shared" si="7"/>
        <v>0</v>
      </c>
      <c r="AF27" s="58">
        <f t="shared" si="0"/>
        <v>0</v>
      </c>
      <c r="AG27" s="29">
        <f t="shared" si="8"/>
        <v>0</v>
      </c>
      <c r="AH27">
        <f t="shared" si="9"/>
        <v>499.00000000000057</v>
      </c>
      <c r="AI27" s="49">
        <f t="shared" si="10"/>
        <v>0.33175905380977611</v>
      </c>
      <c r="AJ27" s="49">
        <f t="shared" si="11"/>
        <v>0</v>
      </c>
      <c r="AK27" s="4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5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3">
        <v>5.4937219892936658E-2</v>
      </c>
      <c r="V28" s="52">
        <v>0.23217053605428362</v>
      </c>
      <c r="W28" s="2">
        <v>-0.99465768629688212</v>
      </c>
      <c r="X28" s="53">
        <v>0.72323851067159062</v>
      </c>
      <c r="Y28" s="2">
        <v>-1.3043410533604931E-4</v>
      </c>
      <c r="Z28" s="34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57">
        <f t="shared" si="7"/>
        <v>0</v>
      </c>
      <c r="AF28" s="58">
        <f t="shared" si="0"/>
        <v>0</v>
      </c>
      <c r="AG28" s="29">
        <f t="shared" si="8"/>
        <v>0</v>
      </c>
      <c r="AH28">
        <f t="shared" si="9"/>
        <v>549.00000000000171</v>
      </c>
      <c r="AI28" s="49">
        <f t="shared" si="10"/>
        <v>0.37219892936491306</v>
      </c>
      <c r="AJ28" s="49">
        <f t="shared" si="11"/>
        <v>0</v>
      </c>
      <c r="AK28" s="4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5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3">
        <v>5.9945648867460698E-2</v>
      </c>
      <c r="V29" s="52">
        <v>0.25547222746899934</v>
      </c>
      <c r="W29" s="2">
        <v>-0.99410840163359981</v>
      </c>
      <c r="X29" s="53">
        <v>0.71422133303684943</v>
      </c>
      <c r="Y29" s="2">
        <v>-1.5599872907370662E-4</v>
      </c>
      <c r="Z29" s="34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57">
        <f t="shared" si="7"/>
        <v>0</v>
      </c>
      <c r="AF29" s="58">
        <f t="shared" si="0"/>
        <v>0</v>
      </c>
      <c r="AG29" s="29">
        <f t="shared" si="8"/>
        <v>0</v>
      </c>
      <c r="AH29">
        <f t="shared" si="9"/>
        <v>599.00000000000068</v>
      </c>
      <c r="AI29" s="49">
        <f t="shared" si="10"/>
        <v>0.45648867460624842</v>
      </c>
      <c r="AJ29" s="49">
        <f t="shared" si="11"/>
        <v>0</v>
      </c>
      <c r="AK29" s="4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5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3">
        <v>6.4958485315866926E-2</v>
      </c>
      <c r="V30" s="52">
        <v>0.2809267712752046</v>
      </c>
      <c r="W30" s="2">
        <v>-0.99322759936178417</v>
      </c>
      <c r="X30" s="53">
        <v>0.73250794366057015</v>
      </c>
      <c r="Y30" s="2">
        <v>-1.9352554713736398E-4</v>
      </c>
      <c r="Z30" s="34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57">
        <f t="shared" si="7"/>
        <v>0</v>
      </c>
      <c r="AF30" s="58">
        <f t="shared" si="0"/>
        <v>0</v>
      </c>
      <c r="AG30" s="29">
        <f t="shared" si="8"/>
        <v>0</v>
      </c>
      <c r="AH30">
        <f t="shared" si="9"/>
        <v>648.99999999999955</v>
      </c>
      <c r="AI30" s="49">
        <f t="shared" si="10"/>
        <v>0.58485315866971632</v>
      </c>
      <c r="AJ30" s="49">
        <f t="shared" si="11"/>
        <v>0</v>
      </c>
      <c r="AK30" s="4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5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3">
        <v>6.9975749618210112E-2</v>
      </c>
      <c r="V31" s="52">
        <v>0.30853416747289941</v>
      </c>
      <c r="W31" s="2">
        <v>-0.99211342707809069</v>
      </c>
      <c r="X31" s="53">
        <v>0.76249876297262764</v>
      </c>
      <c r="Y31" s="2">
        <v>-2.4306472003765922E-4</v>
      </c>
      <c r="Z31" s="34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57">
        <f t="shared" si="7"/>
        <v>0</v>
      </c>
      <c r="AF31" s="58">
        <f t="shared" si="0"/>
        <v>0</v>
      </c>
      <c r="AG31" s="29">
        <f t="shared" si="8"/>
        <v>0</v>
      </c>
      <c r="AH31">
        <f t="shared" si="9"/>
        <v>699.00000000000068</v>
      </c>
      <c r="AI31" s="49">
        <f t="shared" si="10"/>
        <v>0.75749618210045355</v>
      </c>
      <c r="AJ31" s="49">
        <f t="shared" si="11"/>
        <v>0</v>
      </c>
      <c r="AK31" s="4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5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3">
        <v>7.4997461117907296E-2</v>
      </c>
      <c r="V32" s="52">
        <v>0.33829441606204114</v>
      </c>
      <c r="W32" s="2">
        <v>-0.99084222167956415</v>
      </c>
      <c r="X32" s="53">
        <v>0.79477854501055389</v>
      </c>
      <c r="Y32" s="2">
        <v>-3.0467123538908616E-4</v>
      </c>
      <c r="Z32" s="34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57">
        <f t="shared" si="7"/>
        <v>0</v>
      </c>
      <c r="AF32" s="58">
        <f t="shared" si="0"/>
        <v>0</v>
      </c>
      <c r="AG32" s="29">
        <f t="shared" si="8"/>
        <v>0</v>
      </c>
      <c r="AH32">
        <f t="shared" si="9"/>
        <v>749.00000000000193</v>
      </c>
      <c r="AI32" s="49">
        <f t="shared" si="10"/>
        <v>0.97461117907107564</v>
      </c>
      <c r="AJ32" s="49">
        <f t="shared" si="11"/>
        <v>0</v>
      </c>
      <c r="AK32" s="4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5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3">
        <v>8.0023639217036438E-2</v>
      </c>
      <c r="V33" s="52">
        <v>0.37020751704270083</v>
      </c>
      <c r="W33" s="2">
        <v>-0.98947196305720375</v>
      </c>
      <c r="X33" s="53">
        <v>0.82406090664307019</v>
      </c>
      <c r="Y33" s="2">
        <v>-3.7839448819390126E-4</v>
      </c>
      <c r="Z33" s="34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57">
        <f t="shared" si="7"/>
        <v>0</v>
      </c>
      <c r="AF33" s="58">
        <f t="shared" si="0"/>
        <v>0</v>
      </c>
      <c r="AG33" s="29">
        <f t="shared" si="8"/>
        <v>0</v>
      </c>
      <c r="AH33">
        <f t="shared" si="9"/>
        <v>799.0000000000008</v>
      </c>
      <c r="AI33" s="49">
        <f t="shared" si="10"/>
        <v>1.2363921703636152</v>
      </c>
      <c r="AJ33" s="49">
        <f t="shared" si="11"/>
        <v>0</v>
      </c>
      <c r="AK33" s="4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5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3">
        <v>8.5070516615054173E-2</v>
      </c>
      <c r="V34" s="52">
        <v>0.40427347041482165</v>
      </c>
      <c r="W34" s="2">
        <v>-0.98705691075711555</v>
      </c>
      <c r="X34" s="53">
        <v>0.8966998586038698</v>
      </c>
      <c r="Y34" s="2">
        <v>-4.9113662857176266E-4</v>
      </c>
      <c r="Z34" s="34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57">
        <f t="shared" si="7"/>
        <v>0</v>
      </c>
      <c r="AF34" s="58">
        <f t="shared" si="0"/>
        <v>0</v>
      </c>
      <c r="AG34" s="29">
        <f t="shared" si="8"/>
        <v>0</v>
      </c>
      <c r="AH34">
        <f t="shared" si="9"/>
        <v>848.99999999999977</v>
      </c>
      <c r="AI34" s="49">
        <f t="shared" si="10"/>
        <v>1.7051661505419133</v>
      </c>
      <c r="AJ34" s="49">
        <f t="shared" si="11"/>
        <v>0</v>
      </c>
      <c r="AK34" s="4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5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3">
        <v>9.0131182289735531E-2</v>
      </c>
      <c r="V35" s="52">
        <v>0.44049227617840359</v>
      </c>
      <c r="W35" s="2">
        <v>-0.98426134336016369</v>
      </c>
      <c r="X35" s="53">
        <v>0.97085895907125108</v>
      </c>
      <c r="Y35" s="2">
        <v>-6.3142971592561868E-4</v>
      </c>
      <c r="Z35" s="34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57">
        <f t="shared" si="7"/>
        <v>0</v>
      </c>
      <c r="AF35" s="58">
        <f t="shared" si="0"/>
        <v>0</v>
      </c>
      <c r="AG35" s="29">
        <f t="shared" si="8"/>
        <v>0</v>
      </c>
      <c r="AH35">
        <f t="shared" si="9"/>
        <v>899.00000000000091</v>
      </c>
      <c r="AI35" s="49">
        <f t="shared" si="10"/>
        <v>2.3118228973544319</v>
      </c>
      <c r="AJ35" s="49">
        <f t="shared" si="11"/>
        <v>0</v>
      </c>
      <c r="AK35" s="4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5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3">
        <v>5.5180738412799829E-2</v>
      </c>
      <c r="V36" s="52">
        <v>0.26420497997470704</v>
      </c>
      <c r="W36" s="2">
        <v>0.9903783911365891</v>
      </c>
      <c r="X36" s="53">
        <v>8.4867609479617076E-7</v>
      </c>
      <c r="Y36" s="2">
        <v>-2.4913728829400539E-4</v>
      </c>
      <c r="Z36" s="34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57">
        <f t="shared" si="7"/>
        <v>0</v>
      </c>
      <c r="AF36" s="58">
        <f t="shared" si="0"/>
        <v>0</v>
      </c>
      <c r="AG36" s="29">
        <f t="shared" si="8"/>
        <v>0</v>
      </c>
      <c r="AH36">
        <f t="shared" si="9"/>
        <v>550.99999999999932</v>
      </c>
      <c r="AI36" s="49">
        <f t="shared" si="10"/>
        <v>0.80738412799894377</v>
      </c>
      <c r="AJ36" s="49">
        <f t="shared" si="11"/>
        <v>0</v>
      </c>
      <c r="AK36" s="4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5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3">
        <v>5.0174002271439908E-2</v>
      </c>
      <c r="V37" s="52">
        <v>0.24014391877688013</v>
      </c>
      <c r="W37" s="2">
        <v>0.99029902415853122</v>
      </c>
      <c r="X37" s="53">
        <v>0</v>
      </c>
      <c r="Y37" s="2">
        <v>-2.2813216354481477E-4</v>
      </c>
      <c r="Z37" s="34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57">
        <f t="shared" si="7"/>
        <v>0</v>
      </c>
      <c r="AF37" s="58">
        <f t="shared" si="0"/>
        <v>0</v>
      </c>
      <c r="AG37" s="29">
        <f t="shared" si="8"/>
        <v>0</v>
      </c>
      <c r="AH37">
        <f t="shared" si="9"/>
        <v>501.00000000000034</v>
      </c>
      <c r="AI37" s="49">
        <f t="shared" si="10"/>
        <v>0.74002271439871947</v>
      </c>
      <c r="AJ37" s="49">
        <f t="shared" si="11"/>
        <v>0</v>
      </c>
      <c r="AK37" s="4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5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3">
        <v>4.5171234214798316E-2</v>
      </c>
      <c r="V38" s="52">
        <v>0.21823570997051434</v>
      </c>
      <c r="W38" s="2">
        <v>0.98975605375086417</v>
      </c>
      <c r="X38" s="53">
        <v>0</v>
      </c>
      <c r="Y38" s="2">
        <v>-2.1789448305739866E-4</v>
      </c>
      <c r="Z38" s="34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57">
        <f t="shared" si="7"/>
        <v>0</v>
      </c>
      <c r="AF38" s="58">
        <f t="shared" ref="AF38:AF69" si="13">IF(ISERR(AE38),0,AE38*M38)</f>
        <v>0</v>
      </c>
      <c r="AG38" s="29">
        <f t="shared" si="8"/>
        <v>0</v>
      </c>
      <c r="AH38">
        <f t="shared" si="9"/>
        <v>450.9999999999992</v>
      </c>
      <c r="AI38" s="49">
        <f t="shared" si="10"/>
        <v>0.71234214798397488</v>
      </c>
      <c r="AJ38" s="49">
        <f t="shared" si="11"/>
        <v>0</v>
      </c>
      <c r="AK38" s="4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5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3">
        <v>4.017984348371216E-2</v>
      </c>
      <c r="V39" s="52">
        <v>0.1984803535556523</v>
      </c>
      <c r="W39" s="2">
        <v>0.98770033251658362</v>
      </c>
      <c r="X39" s="53">
        <v>0</v>
      </c>
      <c r="Y39" s="2">
        <v>-2.3069967905503622E-4</v>
      </c>
      <c r="Z39" s="34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57">
        <f t="shared" si="7"/>
        <v>0</v>
      </c>
      <c r="AF39" s="58">
        <f t="shared" si="13"/>
        <v>0</v>
      </c>
      <c r="AG39" s="29">
        <f t="shared" si="8"/>
        <v>0</v>
      </c>
      <c r="AH39">
        <f t="shared" si="9"/>
        <v>401.00000000000023</v>
      </c>
      <c r="AI39" s="49">
        <f t="shared" si="10"/>
        <v>0.79843483712136276</v>
      </c>
      <c r="AJ39" s="49">
        <f t="shared" si="11"/>
        <v>0</v>
      </c>
      <c r="AK39" s="4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5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3">
        <v>3.5197576778754069E-2</v>
      </c>
      <c r="V40" s="52">
        <v>0.18087784953227981</v>
      </c>
      <c r="W40" s="2">
        <v>0.98401239466735069</v>
      </c>
      <c r="X40" s="53">
        <v>0</v>
      </c>
      <c r="Y40" s="2">
        <v>-2.6284308136189993E-4</v>
      </c>
      <c r="Z40" s="34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57">
        <f t="shared" si="7"/>
        <v>0</v>
      </c>
      <c r="AF40" s="58">
        <f t="shared" si="13"/>
        <v>0</v>
      </c>
      <c r="AG40" s="29">
        <f t="shared" si="8"/>
        <v>0</v>
      </c>
      <c r="AH40">
        <f t="shared" si="9"/>
        <v>350.99999999999909</v>
      </c>
      <c r="AI40" s="49">
        <f t="shared" si="10"/>
        <v>0.97576778754159932</v>
      </c>
      <c r="AJ40" s="49">
        <f t="shared" si="11"/>
        <v>0</v>
      </c>
      <c r="AK40" s="4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5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3">
        <v>3.0223132760095989E-2</v>
      </c>
      <c r="V41" s="52">
        <v>0.16542819790035423</v>
      </c>
      <c r="W41" s="2">
        <v>0.97850612927498648</v>
      </c>
      <c r="X41" s="53">
        <v>0</v>
      </c>
      <c r="Y41" s="2">
        <v>-3.1219426754247582E-4</v>
      </c>
      <c r="Z41" s="34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57">
        <f t="shared" si="7"/>
        <v>0</v>
      </c>
      <c r="AF41" s="58">
        <f t="shared" si="13"/>
        <v>0</v>
      </c>
      <c r="AG41" s="29">
        <f t="shared" si="8"/>
        <v>0</v>
      </c>
      <c r="AH41">
        <f t="shared" si="9"/>
        <v>301.00000000000017</v>
      </c>
      <c r="AI41" s="49">
        <f t="shared" si="10"/>
        <v>1.2313276009597303</v>
      </c>
      <c r="AJ41" s="49">
        <f t="shared" si="11"/>
        <v>0</v>
      </c>
      <c r="AK41" s="4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5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3">
        <v>2.52965524313538E-2</v>
      </c>
      <c r="V42" s="52">
        <v>0.15213139865993242</v>
      </c>
      <c r="W42" s="2">
        <v>0.96522940856043193</v>
      </c>
      <c r="X42" s="53">
        <v>0</v>
      </c>
      <c r="Y42" s="2">
        <v>-4.2572685371954631E-4</v>
      </c>
      <c r="Z42" s="34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57">
        <f t="shared" si="7"/>
        <v>0</v>
      </c>
      <c r="AF42" s="58">
        <f t="shared" si="13"/>
        <v>0</v>
      </c>
      <c r="AG42" s="29">
        <f t="shared" si="8"/>
        <v>0</v>
      </c>
      <c r="AH42">
        <f t="shared" si="9"/>
        <v>250.99999999999901</v>
      </c>
      <c r="AI42" s="49">
        <f t="shared" si="10"/>
        <v>1.9655243135389924</v>
      </c>
      <c r="AJ42" s="49">
        <f t="shared" si="11"/>
        <v>0</v>
      </c>
      <c r="AK42" s="4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5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3">
        <v>2.0436404881690615E-2</v>
      </c>
      <c r="V43" s="52">
        <v>0.14098745181098593</v>
      </c>
      <c r="W43" s="2">
        <v>0.9408577625029193</v>
      </c>
      <c r="X43" s="53">
        <v>0</v>
      </c>
      <c r="Y43" s="2">
        <v>-6.0432797633985607E-4</v>
      </c>
      <c r="Z43" s="34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57">
        <f t="shared" si="7"/>
        <v>0</v>
      </c>
      <c r="AF43" s="58">
        <f t="shared" si="13"/>
        <v>0</v>
      </c>
      <c r="AG43" s="29">
        <f t="shared" si="8"/>
        <v>0</v>
      </c>
      <c r="AH43">
        <f t="shared" si="9"/>
        <v>201.00000000000006</v>
      </c>
      <c r="AI43" s="49">
        <f t="shared" si="10"/>
        <v>3.3640488169060916</v>
      </c>
      <c r="AJ43" s="49">
        <f t="shared" si="11"/>
        <v>0</v>
      </c>
      <c r="AK43" s="4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5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3">
        <v>1.5724484820930949E-2</v>
      </c>
      <c r="V44" s="52">
        <v>0.13199635735350057</v>
      </c>
      <c r="W44" s="2">
        <v>0.89445659155028767</v>
      </c>
      <c r="X44" s="53">
        <v>0</v>
      </c>
      <c r="Y44" s="2">
        <v>-8.7842645993631025E-4</v>
      </c>
      <c r="Z44" s="34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57">
        <f t="shared" si="7"/>
        <v>0</v>
      </c>
      <c r="AF44" s="58">
        <f t="shared" si="13"/>
        <v>0</v>
      </c>
      <c r="AG44" s="29">
        <f t="shared" si="8"/>
        <v>0</v>
      </c>
      <c r="AH44">
        <f t="shared" si="9"/>
        <v>150.99999999999892</v>
      </c>
      <c r="AI44" s="49">
        <f t="shared" si="10"/>
        <v>6.2448482093105611</v>
      </c>
      <c r="AJ44" s="49">
        <f t="shared" si="11"/>
        <v>0</v>
      </c>
      <c r="AK44" s="4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5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3">
        <v>1.1298328568095721E-2</v>
      </c>
      <c r="V45" s="52">
        <v>0.12515811528751897</v>
      </c>
      <c r="W45" s="2">
        <v>0.81212876673398537</v>
      </c>
      <c r="X45" s="53">
        <v>0</v>
      </c>
      <c r="Y45" s="2">
        <v>-1.2387985114968151E-3</v>
      </c>
      <c r="Z45" s="34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57">
        <f t="shared" si="7"/>
        <v>0</v>
      </c>
      <c r="AF45" s="58">
        <f t="shared" si="13"/>
        <v>0</v>
      </c>
      <c r="AG45" s="29">
        <f t="shared" si="8"/>
        <v>0</v>
      </c>
      <c r="AH45">
        <f t="shared" si="9"/>
        <v>100.99999999999997</v>
      </c>
      <c r="AI45" s="49">
        <f t="shared" si="10"/>
        <v>11.983285680957238</v>
      </c>
      <c r="AJ45" s="49">
        <f t="shared" si="11"/>
        <v>0</v>
      </c>
      <c r="AK45" s="4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5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3">
        <v>7.4571183521020025E-3</v>
      </c>
      <c r="V46" s="52">
        <v>0.1204727256130127</v>
      </c>
      <c r="W46" s="2">
        <v>0.67818925711837008</v>
      </c>
      <c r="X46" s="53">
        <v>0</v>
      </c>
      <c r="Y46" s="2">
        <v>-1.5769783665466137E-3</v>
      </c>
      <c r="Z46" s="34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57">
        <f t="shared" si="7"/>
        <v>0</v>
      </c>
      <c r="AF46" s="58">
        <f t="shared" si="13"/>
        <v>0</v>
      </c>
      <c r="AG46" s="29">
        <f t="shared" si="8"/>
        <v>0</v>
      </c>
      <c r="AH46">
        <f t="shared" si="9"/>
        <v>50.99999999999882</v>
      </c>
      <c r="AI46" s="49">
        <f t="shared" si="10"/>
        <v>23.571183521021212</v>
      </c>
      <c r="AJ46" s="49">
        <f t="shared" si="11"/>
        <v>0</v>
      </c>
      <c r="AK46" s="4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5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3">
        <v>7.4000000022351742E-3</v>
      </c>
      <c r="V47" s="52">
        <v>0.20033945498258379</v>
      </c>
      <c r="W47" s="2">
        <v>0.50448938338421789</v>
      </c>
      <c r="X47" s="53">
        <v>0</v>
      </c>
      <c r="Y47" s="2">
        <v>-2.9458189595816023E-3</v>
      </c>
      <c r="Z47" s="34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57">
        <f t="shared" si="7"/>
        <v>0</v>
      </c>
      <c r="AF47" s="58">
        <f t="shared" si="13"/>
        <v>0</v>
      </c>
      <c r="AG47" s="29">
        <f t="shared" si="8"/>
        <v>0</v>
      </c>
      <c r="AH47">
        <f t="shared" si="9"/>
        <v>0.99999999999988987</v>
      </c>
      <c r="AI47" s="49">
        <f t="shared" si="10"/>
        <v>73.000000022351855</v>
      </c>
      <c r="AJ47" s="49">
        <f t="shared" si="11"/>
        <v>0</v>
      </c>
      <c r="AK47" s="4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5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3">
        <v>2.3386601062499526E-3</v>
      </c>
      <c r="V48" s="52">
        <v>0.11756050343842617</v>
      </c>
      <c r="W48" s="2">
        <v>0.32753638011934455</v>
      </c>
      <c r="X48" s="53">
        <v>0</v>
      </c>
      <c r="Y48" s="2">
        <v>-1.5495961318951479E-3</v>
      </c>
      <c r="Z48" s="34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57">
        <f t="shared" si="7"/>
        <v>0</v>
      </c>
      <c r="AF48" s="58">
        <f t="shared" si="13"/>
        <v>0</v>
      </c>
      <c r="AG48" s="29">
        <f t="shared" si="8"/>
        <v>0</v>
      </c>
      <c r="AH48">
        <f t="shared" si="9"/>
        <v>0</v>
      </c>
      <c r="AI48" s="49">
        <f t="shared" si="10"/>
        <v>23.386601062499526</v>
      </c>
      <c r="AJ48" s="49">
        <f t="shared" si="11"/>
        <v>0</v>
      </c>
      <c r="AK48" s="4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5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3">
        <v>1.1164091165729115E-3</v>
      </c>
      <c r="V49" s="52">
        <v>0.11933367093836011</v>
      </c>
      <c r="W49" s="2">
        <v>0.18524911076303147</v>
      </c>
      <c r="X49" s="53">
        <v>0</v>
      </c>
      <c r="Y49" s="2">
        <v>-1.1684861695963273E-3</v>
      </c>
      <c r="Z49" s="34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57">
        <f t="shared" si="7"/>
        <v>0</v>
      </c>
      <c r="AF49" s="58">
        <f t="shared" si="13"/>
        <v>0</v>
      </c>
      <c r="AG49" s="29">
        <f t="shared" si="8"/>
        <v>0</v>
      </c>
      <c r="AH49">
        <f t="shared" si="9"/>
        <v>0</v>
      </c>
      <c r="AI49" s="49">
        <f t="shared" si="10"/>
        <v>11.164091165729115</v>
      </c>
      <c r="AJ49" s="49">
        <f t="shared" si="11"/>
        <v>0</v>
      </c>
      <c r="AK49" s="4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5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3">
        <v>5.216474251880307E-4</v>
      </c>
      <c r="V50" s="52">
        <v>0.1232596908297694</v>
      </c>
      <c r="W50" s="2">
        <v>9.6641212812860214E-2</v>
      </c>
      <c r="X50" s="53">
        <v>0</v>
      </c>
      <c r="Y50" s="2">
        <v>-7.6806409255681253E-4</v>
      </c>
      <c r="Z50" s="34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57">
        <f t="shared" si="7"/>
        <v>0</v>
      </c>
      <c r="AF50" s="58">
        <f t="shared" si="13"/>
        <v>0</v>
      </c>
      <c r="AG50" s="29">
        <f t="shared" si="8"/>
        <v>0</v>
      </c>
      <c r="AH50">
        <f t="shared" si="9"/>
        <v>0</v>
      </c>
      <c r="AI50" s="49">
        <f t="shared" si="10"/>
        <v>5.2164742518803067</v>
      </c>
      <c r="AJ50" s="49">
        <f t="shared" si="11"/>
        <v>0</v>
      </c>
      <c r="AK50" s="4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5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3">
        <v>2.3998364970128798E-4</v>
      </c>
      <c r="V51" s="52">
        <v>0.1293385631126398</v>
      </c>
      <c r="W51" s="2">
        <v>4.8027688265695208E-2</v>
      </c>
      <c r="X51" s="53">
        <v>0</v>
      </c>
      <c r="Y51" s="2">
        <v>-4.7119122755980345E-4</v>
      </c>
      <c r="Z51" s="34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57">
        <f t="shared" si="7"/>
        <v>0</v>
      </c>
      <c r="AF51" s="58">
        <f t="shared" si="13"/>
        <v>0</v>
      </c>
      <c r="AG51" s="29">
        <f t="shared" si="8"/>
        <v>0</v>
      </c>
      <c r="AH51">
        <f t="shared" si="9"/>
        <v>0</v>
      </c>
      <c r="AI51" s="49">
        <f t="shared" si="10"/>
        <v>2.3998364970128798</v>
      </c>
      <c r="AJ51" s="49">
        <f t="shared" si="11"/>
        <v>0</v>
      </c>
      <c r="AK51" s="4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5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3">
        <v>1.2118092944529462E-4</v>
      </c>
      <c r="V52" s="52">
        <v>0.13757028778701397</v>
      </c>
      <c r="W52" s="2">
        <v>2.5008897404942047E-2</v>
      </c>
      <c r="X52" s="53">
        <v>0</v>
      </c>
      <c r="Y52" s="2">
        <v>-2.9296286178520485E-4</v>
      </c>
      <c r="Z52" s="34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57">
        <f t="shared" si="7"/>
        <v>0</v>
      </c>
      <c r="AF52" s="58">
        <f t="shared" si="13"/>
        <v>0</v>
      </c>
      <c r="AG52" s="29">
        <f t="shared" si="8"/>
        <v>0</v>
      </c>
      <c r="AH52">
        <f t="shared" si="9"/>
        <v>0</v>
      </c>
      <c r="AI52" s="49">
        <f t="shared" si="10"/>
        <v>1.2118092944529462</v>
      </c>
      <c r="AJ52" s="49">
        <f t="shared" si="11"/>
        <v>0</v>
      </c>
      <c r="AK52" s="4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5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3">
        <v>7.2126364204528251E-5</v>
      </c>
      <c r="V53" s="52">
        <v>0.14795486485286347</v>
      </c>
      <c r="W53" s="2">
        <v>1.469739074729449E-2</v>
      </c>
      <c r="X53" s="53">
        <v>0</v>
      </c>
      <c r="Y53" s="2">
        <v>-1.9936522724189968E-4</v>
      </c>
      <c r="Z53" s="34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57">
        <f t="shared" si="7"/>
        <v>0</v>
      </c>
      <c r="AF53" s="58">
        <f t="shared" si="13"/>
        <v>0</v>
      </c>
      <c r="AG53" s="29">
        <f t="shared" si="8"/>
        <v>0</v>
      </c>
      <c r="AH53">
        <f t="shared" si="9"/>
        <v>0</v>
      </c>
      <c r="AI53" s="49">
        <f t="shared" si="10"/>
        <v>0.72126364204528248</v>
      </c>
      <c r="AJ53" s="49">
        <f t="shared" si="11"/>
        <v>0</v>
      </c>
      <c r="AK53" s="4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5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3">
        <v>4.7341293692565039E-5</v>
      </c>
      <c r="V54" s="52">
        <v>0.16049229431017409</v>
      </c>
      <c r="W54" s="2">
        <v>9.3796575175678007E-3</v>
      </c>
      <c r="X54" s="53">
        <v>0.95954405647310892</v>
      </c>
      <c r="Y54" s="2">
        <v>-1.4693501410608861E-4</v>
      </c>
      <c r="Z54" s="34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57">
        <f t="shared" si="7"/>
        <v>0</v>
      </c>
      <c r="AF54" s="58">
        <f t="shared" si="13"/>
        <v>0</v>
      </c>
      <c r="AG54" s="29">
        <f t="shared" si="8"/>
        <v>0</v>
      </c>
      <c r="AH54">
        <f t="shared" si="9"/>
        <v>0</v>
      </c>
      <c r="AI54" s="49">
        <f t="shared" si="10"/>
        <v>0.4734129369256504</v>
      </c>
      <c r="AJ54" s="49">
        <f t="shared" si="11"/>
        <v>0</v>
      </c>
      <c r="AK54" s="4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5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3">
        <v>3.8359639553938722E-5</v>
      </c>
      <c r="V55" s="52">
        <v>0.17518257615898847</v>
      </c>
      <c r="W55" s="2">
        <v>7.1224100425666325E-3</v>
      </c>
      <c r="X55" s="53">
        <v>0.96421830226224814</v>
      </c>
      <c r="Y55" s="2">
        <v>-1.252089076573424E-4</v>
      </c>
      <c r="Z55" s="34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57">
        <f t="shared" si="7"/>
        <v>0</v>
      </c>
      <c r="AF55" s="58">
        <f t="shared" si="13"/>
        <v>0</v>
      </c>
      <c r="AG55" s="29">
        <f t="shared" si="8"/>
        <v>0</v>
      </c>
      <c r="AH55">
        <f t="shared" si="9"/>
        <v>0</v>
      </c>
      <c r="AI55" s="49">
        <f t="shared" si="10"/>
        <v>0.38359639553938724</v>
      </c>
      <c r="AJ55" s="49">
        <f t="shared" si="11"/>
        <v>0</v>
      </c>
      <c r="AK55" s="4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5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3">
        <v>3.3708268785229029E-5</v>
      </c>
      <c r="V56" s="52">
        <v>0.19202571039927818</v>
      </c>
      <c r="W56" s="2">
        <v>5.8332014101459308E-3</v>
      </c>
      <c r="X56" s="53">
        <v>0.93145623559933899</v>
      </c>
      <c r="Y56" s="2">
        <v>-1.1523321629706423E-4</v>
      </c>
      <c r="Z56" s="34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57">
        <f t="shared" si="7"/>
        <v>0</v>
      </c>
      <c r="AF56" s="58">
        <f t="shared" si="13"/>
        <v>0</v>
      </c>
      <c r="AG56" s="29">
        <f t="shared" si="8"/>
        <v>0</v>
      </c>
      <c r="AH56">
        <f t="shared" si="9"/>
        <v>0</v>
      </c>
      <c r="AI56" s="49">
        <f t="shared" si="10"/>
        <v>0.33708268785229029</v>
      </c>
      <c r="AJ56" s="49">
        <f t="shared" si="11"/>
        <v>0</v>
      </c>
      <c r="AK56" s="4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5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3">
        <v>3.3406769725283334E-5</v>
      </c>
      <c r="V57" s="52">
        <v>0.21102169703104323</v>
      </c>
      <c r="W57" s="2">
        <v>5.3227665009588747E-3</v>
      </c>
      <c r="X57" s="53">
        <v>0.78354081495236994</v>
      </c>
      <c r="Y57" s="2">
        <v>-1.170610648750622E-4</v>
      </c>
      <c r="Z57" s="34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57">
        <f t="shared" si="7"/>
        <v>0</v>
      </c>
      <c r="AF57" s="58">
        <f t="shared" si="13"/>
        <v>0</v>
      </c>
      <c r="AG57" s="29">
        <f t="shared" si="8"/>
        <v>0</v>
      </c>
      <c r="AH57">
        <f t="shared" si="9"/>
        <v>0</v>
      </c>
      <c r="AI57" s="49">
        <f t="shared" si="10"/>
        <v>0.33406769725283336</v>
      </c>
      <c r="AJ57" s="49">
        <f t="shared" si="11"/>
        <v>0</v>
      </c>
      <c r="AK57" s="4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5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3">
        <v>3.7474658669514331E-5</v>
      </c>
      <c r="V58" s="52">
        <v>0.23217053605428362</v>
      </c>
      <c r="W58" s="2">
        <v>5.4170141095194035E-3</v>
      </c>
      <c r="X58" s="53">
        <v>0.72296178194305927</v>
      </c>
      <c r="Y58" s="2">
        <v>-1.307453745865314E-4</v>
      </c>
      <c r="Z58" s="34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57">
        <f t="shared" si="7"/>
        <v>0</v>
      </c>
      <c r="AF58" s="58">
        <f t="shared" si="13"/>
        <v>0</v>
      </c>
      <c r="AG58" s="29">
        <f t="shared" si="8"/>
        <v>0</v>
      </c>
      <c r="AH58">
        <f t="shared" si="9"/>
        <v>0</v>
      </c>
      <c r="AI58" s="49">
        <f t="shared" si="10"/>
        <v>0.37474658669514332</v>
      </c>
      <c r="AJ58" s="49">
        <f t="shared" si="11"/>
        <v>0</v>
      </c>
      <c r="AK58" s="4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5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3">
        <v>4.5931375836816548E-5</v>
      </c>
      <c r="V59" s="52">
        <v>0.25547222746899934</v>
      </c>
      <c r="W59" s="2">
        <v>5.9660562201696056E-3</v>
      </c>
      <c r="X59" s="53">
        <v>0.71397426698489763</v>
      </c>
      <c r="Y59" s="2">
        <v>-1.5633885042448125E-4</v>
      </c>
      <c r="Z59" s="34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57">
        <f t="shared" si="7"/>
        <v>0</v>
      </c>
      <c r="AF59" s="58">
        <f t="shared" si="13"/>
        <v>0</v>
      </c>
      <c r="AG59" s="29">
        <f t="shared" si="8"/>
        <v>0</v>
      </c>
      <c r="AH59">
        <f t="shared" si="9"/>
        <v>0</v>
      </c>
      <c r="AI59" s="49">
        <f t="shared" si="10"/>
        <v>0.45931375836816546</v>
      </c>
      <c r="AJ59" s="49">
        <f t="shared" si="11"/>
        <v>0</v>
      </c>
      <c r="AK59" s="4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5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3">
        <v>5.879628266652186E-5</v>
      </c>
      <c r="V60" s="52">
        <v>0.2809267712752046</v>
      </c>
      <c r="W60" s="2">
        <v>6.8465843625261889E-3</v>
      </c>
      <c r="X60" s="53">
        <v>0.73228623779271962</v>
      </c>
      <c r="Y60" s="2">
        <v>-1.9389397205251652E-4</v>
      </c>
      <c r="Z60" s="34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57">
        <f t="shared" si="7"/>
        <v>0</v>
      </c>
      <c r="AF60" s="58">
        <f t="shared" si="13"/>
        <v>0</v>
      </c>
      <c r="AG60" s="29">
        <f t="shared" si="8"/>
        <v>0</v>
      </c>
      <c r="AH60">
        <f t="shared" si="9"/>
        <v>0</v>
      </c>
      <c r="AI60" s="49">
        <f t="shared" si="10"/>
        <v>0.5879628266652186</v>
      </c>
      <c r="AJ60" s="49">
        <f t="shared" si="11"/>
        <v>0</v>
      </c>
      <c r="AK60" s="4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5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3">
        <v>7.6088660456964788E-5</v>
      </c>
      <c r="V61" s="52">
        <v>0.30853416747289941</v>
      </c>
      <c r="W61" s="2">
        <v>7.9604370634031359E-3</v>
      </c>
      <c r="X61" s="53">
        <v>0.76230536640109481</v>
      </c>
      <c r="Y61" s="2">
        <v>-2.4346298812732108E-4</v>
      </c>
      <c r="Z61" s="34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57">
        <f t="shared" si="7"/>
        <v>0</v>
      </c>
      <c r="AF61" s="58">
        <f t="shared" si="13"/>
        <v>0</v>
      </c>
      <c r="AG61" s="29">
        <f t="shared" si="8"/>
        <v>0</v>
      </c>
      <c r="AH61">
        <f t="shared" si="9"/>
        <v>0</v>
      </c>
      <c r="AI61" s="49">
        <f t="shared" si="10"/>
        <v>0.76088660456964785</v>
      </c>
      <c r="AJ61" s="49">
        <f t="shared" si="11"/>
        <v>0</v>
      </c>
      <c r="AK61" s="4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5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3">
        <v>9.782771035915851E-5</v>
      </c>
      <c r="V62" s="52">
        <v>0.33829441606204114</v>
      </c>
      <c r="W62" s="2">
        <v>9.231386342049331E-3</v>
      </c>
      <c r="X62" s="53">
        <v>0.79460596919069038</v>
      </c>
      <c r="Y62" s="2">
        <v>-3.0509791410599559E-4</v>
      </c>
      <c r="Z62" s="34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57">
        <f t="shared" si="7"/>
        <v>0</v>
      </c>
      <c r="AF62" s="58">
        <f t="shared" si="13"/>
        <v>0</v>
      </c>
      <c r="AG62" s="29">
        <f t="shared" si="8"/>
        <v>0</v>
      </c>
      <c r="AH62">
        <f t="shared" si="9"/>
        <v>0</v>
      </c>
      <c r="AI62" s="49">
        <f t="shared" si="10"/>
        <v>0.97827710359158515</v>
      </c>
      <c r="AJ62" s="49">
        <f t="shared" si="11"/>
        <v>0</v>
      </c>
      <c r="AK62" s="4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5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3">
        <v>1.2403255473835201E-4</v>
      </c>
      <c r="V63" s="52">
        <v>0.37020751704270083</v>
      </c>
      <c r="W63" s="2">
        <v>1.0601392863491977E-2</v>
      </c>
      <c r="X63" s="53">
        <v>0.82390910321157418</v>
      </c>
      <c r="Y63" s="2">
        <v>-3.7885053357087256E-4</v>
      </c>
      <c r="Z63" s="34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57">
        <f t="shared" si="7"/>
        <v>0</v>
      </c>
      <c r="AF63" s="58">
        <f t="shared" si="13"/>
        <v>0</v>
      </c>
      <c r="AG63" s="29">
        <f t="shared" si="8"/>
        <v>0</v>
      </c>
      <c r="AH63">
        <f t="shared" si="9"/>
        <v>0</v>
      </c>
      <c r="AI63" s="49">
        <f t="shared" si="10"/>
        <v>1.2403255473835202</v>
      </c>
      <c r="AJ63" s="49">
        <f t="shared" si="11"/>
        <v>0</v>
      </c>
      <c r="AK63" s="4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5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3">
        <v>1.7095647955773504E-4</v>
      </c>
      <c r="V64" s="52">
        <v>0.40427347041482165</v>
      </c>
      <c r="W64" s="2">
        <v>1.3016096373638784E-2</v>
      </c>
      <c r="X64" s="53">
        <v>0.89656273865530178</v>
      </c>
      <c r="Y64" s="2">
        <v>-4.916201945875079E-4</v>
      </c>
      <c r="Z64" s="34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57">
        <f t="shared" si="7"/>
        <v>0</v>
      </c>
      <c r="AF64" s="58">
        <f t="shared" si="13"/>
        <v>0</v>
      </c>
      <c r="AG64" s="29">
        <f t="shared" si="8"/>
        <v>0</v>
      </c>
      <c r="AH64">
        <f t="shared" si="9"/>
        <v>0</v>
      </c>
      <c r="AI64" s="49">
        <f t="shared" si="10"/>
        <v>1.7095647955773505</v>
      </c>
      <c r="AJ64" s="49">
        <f t="shared" si="11"/>
        <v>0</v>
      </c>
      <c r="AK64" s="4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5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3">
        <v>2.3165590829105819E-4</v>
      </c>
      <c r="V65" s="52">
        <v>0.44049227617840359</v>
      </c>
      <c r="W65" s="2">
        <v>1.5811261977233655E-2</v>
      </c>
      <c r="X65" s="53">
        <v>0.97073908073251758</v>
      </c>
      <c r="Y65" s="2">
        <v>-6.3194333685412407E-4</v>
      </c>
      <c r="Z65" s="34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57">
        <f t="shared" si="7"/>
        <v>0</v>
      </c>
      <c r="AF65" s="58">
        <f t="shared" si="13"/>
        <v>0</v>
      </c>
      <c r="AG65" s="29">
        <f t="shared" si="8"/>
        <v>0</v>
      </c>
      <c r="AH65">
        <f t="shared" si="9"/>
        <v>0</v>
      </c>
      <c r="AI65" s="49">
        <f t="shared" si="10"/>
        <v>2.3165590829105818</v>
      </c>
      <c r="AJ65" s="49">
        <f t="shared" si="11"/>
        <v>0</v>
      </c>
      <c r="AK65" s="4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5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3">
        <v>1.4024361866305218E-4</v>
      </c>
      <c r="V66" s="52">
        <v>0.10908946559042221</v>
      </c>
      <c r="W66" s="2">
        <v>-1.5048388587889306E-2</v>
      </c>
      <c r="X66" s="53">
        <v>0</v>
      </c>
      <c r="Y66" s="2">
        <v>-5.8744395122650194E-5</v>
      </c>
      <c r="Z66" s="34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57">
        <f t="shared" si="7"/>
        <v>0</v>
      </c>
      <c r="AF66" s="58">
        <f t="shared" si="13"/>
        <v>0</v>
      </c>
      <c r="AG66" s="29">
        <f t="shared" si="8"/>
        <v>0</v>
      </c>
      <c r="AH66">
        <f t="shared" si="9"/>
        <v>0</v>
      </c>
      <c r="AI66" s="49">
        <f t="shared" si="10"/>
        <v>1.4024361866305217</v>
      </c>
      <c r="AJ66" s="49">
        <f t="shared" si="11"/>
        <v>0</v>
      </c>
      <c r="AK66" s="4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5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3">
        <v>1.7091252918472518E-4</v>
      </c>
      <c r="V67" s="52">
        <v>0.10347358242750815</v>
      </c>
      <c r="W67" s="2">
        <v>-1.8909580693521087E-2</v>
      </c>
      <c r="X67" s="53">
        <v>0</v>
      </c>
      <c r="Y67" s="2">
        <v>-6.8065663889373048E-5</v>
      </c>
      <c r="Z67" s="34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57">
        <f t="shared" si="7"/>
        <v>0</v>
      </c>
      <c r="AF67" s="58">
        <f t="shared" si="13"/>
        <v>0</v>
      </c>
      <c r="AG67" s="29">
        <f t="shared" si="8"/>
        <v>0</v>
      </c>
      <c r="AH67">
        <f t="shared" si="9"/>
        <v>0</v>
      </c>
      <c r="AI67" s="49">
        <f t="shared" si="10"/>
        <v>1.7091252918472517</v>
      </c>
      <c r="AJ67" s="49">
        <f t="shared" si="11"/>
        <v>0</v>
      </c>
      <c r="AK67" s="4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5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3">
        <v>2.2087118979903026E-4</v>
      </c>
      <c r="V68" s="52">
        <v>9.8277391541415682E-2</v>
      </c>
      <c r="W68" s="2">
        <v>-2.485039263321118E-2</v>
      </c>
      <c r="X68" s="53">
        <v>0</v>
      </c>
      <c r="Y68" s="2">
        <v>-8.1461483749445217E-5</v>
      </c>
      <c r="Z68" s="34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57">
        <f t="shared" si="7"/>
        <v>0</v>
      </c>
      <c r="AF68" s="58">
        <f t="shared" si="13"/>
        <v>0</v>
      </c>
      <c r="AG68" s="29">
        <f t="shared" si="8"/>
        <v>0</v>
      </c>
      <c r="AH68">
        <f t="shared" si="9"/>
        <v>0</v>
      </c>
      <c r="AI68" s="49">
        <f t="shared" si="10"/>
        <v>2.2087118979903027</v>
      </c>
      <c r="AJ68" s="49">
        <f t="shared" si="11"/>
        <v>0</v>
      </c>
      <c r="AK68" s="4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5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3">
        <v>3.0525823040291824E-4</v>
      </c>
      <c r="V69" s="52">
        <v>9.3500892932148361E-2</v>
      </c>
      <c r="W69" s="2">
        <v>-3.4496333851781462E-2</v>
      </c>
      <c r="X69" s="53">
        <v>0</v>
      </c>
      <c r="Y69" s="2">
        <v>-1.0166154490831713E-4</v>
      </c>
      <c r="Z69" s="34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57">
        <f t="shared" si="7"/>
        <v>0</v>
      </c>
      <c r="AF69" s="58">
        <f t="shared" si="13"/>
        <v>0</v>
      </c>
      <c r="AG69" s="29">
        <f t="shared" si="8"/>
        <v>0</v>
      </c>
      <c r="AH69">
        <f t="shared" si="9"/>
        <v>0</v>
      </c>
      <c r="AI69" s="49">
        <f t="shared" si="10"/>
        <v>3.0525823040291824</v>
      </c>
      <c r="AJ69" s="49">
        <f t="shared" si="11"/>
        <v>0</v>
      </c>
      <c r="AK69" s="4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5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3">
        <v>4.2430784877228365E-4</v>
      </c>
      <c r="V70" s="52">
        <v>8.9144086599702632E-2</v>
      </c>
      <c r="W70" s="2">
        <v>-4.7955376057874304E-2</v>
      </c>
      <c r="X70" s="53">
        <v>0</v>
      </c>
      <c r="Y70" s="2">
        <v>-1.2692565479226184E-4</v>
      </c>
      <c r="Z70" s="34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57">
        <f t="shared" si="7"/>
        <v>0</v>
      </c>
      <c r="AF70" s="58">
        <f t="shared" ref="AF70:AF101" si="17">IF(ISERR(AE70),0,AE70*M70)</f>
        <v>0</v>
      </c>
      <c r="AG70" s="29">
        <f t="shared" si="8"/>
        <v>0</v>
      </c>
      <c r="AH70">
        <f t="shared" si="9"/>
        <v>0</v>
      </c>
      <c r="AI70" s="49">
        <f t="shared" si="10"/>
        <v>4.243078487722836</v>
      </c>
      <c r="AJ70" s="49">
        <f t="shared" si="11"/>
        <v>0</v>
      </c>
      <c r="AK70" s="4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5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3">
        <v>6.1686464319775445E-4</v>
      </c>
      <c r="V71" s="52">
        <v>8.5206972544082049E-2</v>
      </c>
      <c r="W71" s="2">
        <v>-6.889121112523823E-2</v>
      </c>
      <c r="X71" s="53">
        <v>0</v>
      </c>
      <c r="Y71" s="2">
        <v>-1.6176339292787062E-4</v>
      </c>
      <c r="Z71" s="34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57">
        <f t="shared" ref="AE71:AE125" si="21">BSGamma($AA$17,E71,D71,0.001,V71)</f>
        <v>0</v>
      </c>
      <c r="AF71" s="58">
        <f t="shared" si="17"/>
        <v>0</v>
      </c>
      <c r="AG71" s="29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49">
        <f t="shared" ref="AI71:AI125" si="24">MAX(0,(U71*10000)-AH71)</f>
        <v>6.1686464319775443</v>
      </c>
      <c r="AJ71" s="49">
        <f t="shared" ref="AJ71:AJ125" si="25">AI71*M71</f>
        <v>0</v>
      </c>
      <c r="AK71" s="4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5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3">
        <v>9.375124077932583E-4</v>
      </c>
      <c r="V72" s="52">
        <v>8.1689550765279506E-2</v>
      </c>
      <c r="W72" s="2">
        <v>-0.1011482523224258</v>
      </c>
      <c r="X72" s="53">
        <v>0</v>
      </c>
      <c r="Y72" s="2">
        <v>-2.061677808913667E-4</v>
      </c>
      <c r="Z72" s="34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57">
        <f t="shared" si="21"/>
        <v>0</v>
      </c>
      <c r="AF72" s="58">
        <f t="shared" si="17"/>
        <v>0</v>
      </c>
      <c r="AG72" s="29">
        <f t="shared" si="22"/>
        <v>0</v>
      </c>
      <c r="AH72">
        <f t="shared" si="23"/>
        <v>0</v>
      </c>
      <c r="AI72" s="49">
        <f t="shared" si="24"/>
        <v>9.3751240779325826</v>
      </c>
      <c r="AJ72" s="49">
        <f t="shared" si="25"/>
        <v>0</v>
      </c>
      <c r="AK72" s="4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5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3">
        <v>1.416978241784104E-3</v>
      </c>
      <c r="V73" s="52">
        <v>7.8591821263305661E-2</v>
      </c>
      <c r="W73" s="2">
        <v>-0.14660509614944628</v>
      </c>
      <c r="X73" s="53">
        <v>0</v>
      </c>
      <c r="Y73" s="2">
        <v>-2.5777221457805126E-4</v>
      </c>
      <c r="Z73" s="34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57">
        <f t="shared" si="21"/>
        <v>0</v>
      </c>
      <c r="AF73" s="58">
        <f t="shared" si="17"/>
        <v>0</v>
      </c>
      <c r="AG73" s="29">
        <f t="shared" si="22"/>
        <v>0</v>
      </c>
      <c r="AH73">
        <f t="shared" si="23"/>
        <v>0</v>
      </c>
      <c r="AI73" s="49">
        <f t="shared" si="24"/>
        <v>14.16978241784104</v>
      </c>
      <c r="AJ73" s="49">
        <f t="shared" si="25"/>
        <v>0</v>
      </c>
      <c r="AK73" s="4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5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3">
        <v>2.6000000070780516E-3</v>
      </c>
      <c r="V74" s="52">
        <v>8.2106750773082798E-2</v>
      </c>
      <c r="W74" s="2">
        <v>-0.22845899713945739</v>
      </c>
      <c r="X74" s="53">
        <v>0</v>
      </c>
      <c r="Y74" s="2">
        <v>-3.5504937711312948E-4</v>
      </c>
      <c r="Z74" s="34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57">
        <f t="shared" si="21"/>
        <v>0</v>
      </c>
      <c r="AF74" s="58">
        <f t="shared" si="17"/>
        <v>0</v>
      </c>
      <c r="AG74" s="29">
        <f t="shared" si="22"/>
        <v>0</v>
      </c>
      <c r="AH74">
        <f t="shared" si="23"/>
        <v>0</v>
      </c>
      <c r="AI74" s="49">
        <f t="shared" si="24"/>
        <v>26.000000070780516</v>
      </c>
      <c r="AJ74" s="49">
        <f t="shared" si="25"/>
        <v>0</v>
      </c>
      <c r="AK74" s="4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5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3">
        <v>3.7000000011175871E-3</v>
      </c>
      <c r="V75" s="52">
        <v>7.8934224134678738E-2</v>
      </c>
      <c r="W75" s="2">
        <v>-0.30734476741151529</v>
      </c>
      <c r="X75" s="53">
        <v>0</v>
      </c>
      <c r="Y75" s="2">
        <v>-3.9760947845931372E-4</v>
      </c>
      <c r="Z75" s="34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57">
        <f t="shared" si="21"/>
        <v>0</v>
      </c>
      <c r="AF75" s="58">
        <f t="shared" si="17"/>
        <v>0</v>
      </c>
      <c r="AG75" s="29">
        <f t="shared" si="22"/>
        <v>0</v>
      </c>
      <c r="AH75">
        <f t="shared" si="23"/>
        <v>0</v>
      </c>
      <c r="AI75" s="49">
        <f t="shared" si="24"/>
        <v>37.000000011175871</v>
      </c>
      <c r="AJ75" s="49">
        <f t="shared" si="25"/>
        <v>0</v>
      </c>
      <c r="AK75" s="4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5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3">
        <v>5.2999998442828655E-3</v>
      </c>
      <c r="V76" s="52">
        <v>7.6751744999702859E-2</v>
      </c>
      <c r="W76" s="2">
        <v>-0.40536358511188464</v>
      </c>
      <c r="X76" s="53">
        <v>0</v>
      </c>
      <c r="Y76" s="2">
        <v>-4.2732813817634654E-4</v>
      </c>
      <c r="Z76" s="34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57">
        <f t="shared" si="21"/>
        <v>0</v>
      </c>
      <c r="AF76" s="58">
        <f t="shared" si="17"/>
        <v>0</v>
      </c>
      <c r="AG76" s="29">
        <f t="shared" si="22"/>
        <v>0</v>
      </c>
      <c r="AH76">
        <f t="shared" si="23"/>
        <v>0</v>
      </c>
      <c r="AI76" s="49">
        <f t="shared" si="24"/>
        <v>52.999998442828655</v>
      </c>
      <c r="AJ76" s="49">
        <f t="shared" si="25"/>
        <v>0</v>
      </c>
      <c r="AK76" s="4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5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3">
        <v>7.4000000022351742E-3</v>
      </c>
      <c r="V77" s="52">
        <v>7.4396303419425852E-2</v>
      </c>
      <c r="W77" s="2">
        <v>-0.5158690329125325</v>
      </c>
      <c r="X77" s="53">
        <v>0</v>
      </c>
      <c r="Y77" s="2">
        <v>-4.2621403421939149E-4</v>
      </c>
      <c r="Z77" s="34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57">
        <f t="shared" si="21"/>
        <v>0</v>
      </c>
      <c r="AF77" s="58">
        <f t="shared" si="17"/>
        <v>0</v>
      </c>
      <c r="AG77" s="29">
        <f t="shared" si="22"/>
        <v>0</v>
      </c>
      <c r="AH77">
        <f t="shared" si="23"/>
        <v>0</v>
      </c>
      <c r="AI77" s="49">
        <f t="shared" si="24"/>
        <v>74.000000022351742</v>
      </c>
      <c r="AJ77" s="49">
        <f t="shared" si="25"/>
        <v>0</v>
      </c>
      <c r="AK77" s="4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5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3">
        <v>9.849963790279654E-3</v>
      </c>
      <c r="V78" s="52">
        <v>6.9398557905767433E-2</v>
      </c>
      <c r="W78" s="2">
        <v>-0.63690171392061634</v>
      </c>
      <c r="X78" s="53">
        <v>0</v>
      </c>
      <c r="Y78" s="2">
        <v>-3.7354043882210003E-4</v>
      </c>
      <c r="Z78" s="34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57">
        <f t="shared" si="21"/>
        <v>0</v>
      </c>
      <c r="AF78" s="58">
        <f t="shared" si="17"/>
        <v>0</v>
      </c>
      <c r="AG78" s="29">
        <f t="shared" si="22"/>
        <v>0</v>
      </c>
      <c r="AH78">
        <f t="shared" si="23"/>
        <v>49.000000000001265</v>
      </c>
      <c r="AI78" s="49">
        <f t="shared" si="24"/>
        <v>49.499637902795271</v>
      </c>
      <c r="AJ78" s="49">
        <f t="shared" si="25"/>
        <v>0</v>
      </c>
      <c r="AK78" s="4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5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3">
        <v>1.3283389033889077E-2</v>
      </c>
      <c r="V79" s="52">
        <v>6.881898206473025E-2</v>
      </c>
      <c r="W79" s="2">
        <v>-0.74548194298778125</v>
      </c>
      <c r="X79" s="53">
        <v>0</v>
      </c>
      <c r="Y79" s="2">
        <v>-3.1622184771077586E-4</v>
      </c>
      <c r="Z79" s="34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57">
        <f t="shared" si="21"/>
        <v>0</v>
      </c>
      <c r="AF79" s="58">
        <f t="shared" si="17"/>
        <v>0</v>
      </c>
      <c r="AG79" s="29">
        <f t="shared" si="22"/>
        <v>0</v>
      </c>
      <c r="AH79">
        <f t="shared" si="23"/>
        <v>99.000000000000199</v>
      </c>
      <c r="AI79" s="49">
        <f t="shared" si="24"/>
        <v>33.833890338890569</v>
      </c>
      <c r="AJ79" s="49">
        <f t="shared" si="25"/>
        <v>0</v>
      </c>
      <c r="AK79" s="4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5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3">
        <v>1.7238446061206374E-2</v>
      </c>
      <c r="V80" s="52">
        <v>6.8659098500514659E-2</v>
      </c>
      <c r="W80" s="2">
        <v>-0.83383467431171088</v>
      </c>
      <c r="X80" s="53">
        <v>0</v>
      </c>
      <c r="Y80" s="2">
        <v>-2.4504692679877814E-4</v>
      </c>
      <c r="Z80" s="34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57">
        <f t="shared" si="21"/>
        <v>0</v>
      </c>
      <c r="AF80" s="58">
        <f t="shared" si="17"/>
        <v>0</v>
      </c>
      <c r="AG80" s="29">
        <f t="shared" si="22"/>
        <v>0</v>
      </c>
      <c r="AH80">
        <f t="shared" si="23"/>
        <v>149.00000000000136</v>
      </c>
      <c r="AI80" s="49">
        <f t="shared" si="24"/>
        <v>23.384460612062384</v>
      </c>
      <c r="AJ80" s="49">
        <f t="shared" si="25"/>
        <v>0</v>
      </c>
      <c r="AK80" s="4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5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3">
        <v>2.1592768441763846E-2</v>
      </c>
      <c r="V81" s="52">
        <v>6.8918907213120661E-2</v>
      </c>
      <c r="W81" s="2">
        <v>-0.89843898729750027</v>
      </c>
      <c r="X81" s="53">
        <v>0.31230709313196536</v>
      </c>
      <c r="Y81" s="2">
        <v>-1.7512937547703081E-4</v>
      </c>
      <c r="Z81" s="34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57">
        <f t="shared" si="21"/>
        <v>0</v>
      </c>
      <c r="AF81" s="58">
        <f t="shared" si="17"/>
        <v>0</v>
      </c>
      <c r="AG81" s="29">
        <f t="shared" si="22"/>
        <v>0</v>
      </c>
      <c r="AH81">
        <f t="shared" si="23"/>
        <v>199.00000000000028</v>
      </c>
      <c r="AI81" s="49">
        <f t="shared" si="24"/>
        <v>16.927684417638176</v>
      </c>
      <c r="AJ81" s="49">
        <f t="shared" si="25"/>
        <v>0</v>
      </c>
      <c r="AK81" s="4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5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3">
        <v>2.6221137682861727E-2</v>
      </c>
      <c r="V82" s="52">
        <v>6.9598408202555362E-2</v>
      </c>
      <c r="W82" s="2">
        <v>-0.941242699965532</v>
      </c>
      <c r="X82" s="53">
        <v>1.4557493288944705E-10</v>
      </c>
      <c r="Y82" s="2">
        <v>-1.1700372223668011E-4</v>
      </c>
      <c r="Z82" s="34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57">
        <f t="shared" si="21"/>
        <v>0</v>
      </c>
      <c r="AF82" s="58">
        <f t="shared" si="17"/>
        <v>0</v>
      </c>
      <c r="AG82" s="29">
        <f t="shared" si="22"/>
        <v>0</v>
      </c>
      <c r="AH82">
        <f t="shared" si="23"/>
        <v>249.00000000000145</v>
      </c>
      <c r="AI82" s="49">
        <f t="shared" si="24"/>
        <v>13.21137682861584</v>
      </c>
      <c r="AJ82" s="49">
        <f t="shared" si="25"/>
        <v>0</v>
      </c>
      <c r="AK82" s="4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5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3">
        <v>3.101912880198604E-2</v>
      </c>
      <c r="V83" s="52">
        <v>7.0697601468808102E-2</v>
      </c>
      <c r="W83" s="2">
        <v>-0.96735155062787792</v>
      </c>
      <c r="X83" s="53">
        <v>0.95512081462560372</v>
      </c>
      <c r="Y83" s="2">
        <v>-7.4427053950772829E-5</v>
      </c>
      <c r="Z83" s="34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57">
        <f t="shared" si="21"/>
        <v>0</v>
      </c>
      <c r="AF83" s="58">
        <f t="shared" si="17"/>
        <v>0</v>
      </c>
      <c r="AG83" s="29">
        <f t="shared" si="22"/>
        <v>0</v>
      </c>
      <c r="AH83">
        <f t="shared" si="23"/>
        <v>299.0000000000004</v>
      </c>
      <c r="AI83" s="49">
        <f t="shared" si="24"/>
        <v>11.191288019859996</v>
      </c>
      <c r="AJ83" s="49">
        <f t="shared" si="25"/>
        <v>0</v>
      </c>
      <c r="AK83" s="4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5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3">
        <v>3.5913001313962231E-2</v>
      </c>
      <c r="V84" s="52">
        <v>7.2216487011885988E-2</v>
      </c>
      <c r="W84" s="2">
        <v>-0.98238765674169393</v>
      </c>
      <c r="X84" s="53">
        <v>8.8368733316568249E-2</v>
      </c>
      <c r="Y84" s="2">
        <v>-4.5882789192456088E-5</v>
      </c>
      <c r="Z84" s="34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57">
        <f t="shared" si="21"/>
        <v>0</v>
      </c>
      <c r="AF84" s="58">
        <f t="shared" si="17"/>
        <v>0</v>
      </c>
      <c r="AG84" s="29">
        <f t="shared" si="22"/>
        <v>0</v>
      </c>
      <c r="AH84">
        <f t="shared" si="23"/>
        <v>349.00000000000153</v>
      </c>
      <c r="AI84" s="49">
        <f t="shared" si="24"/>
        <v>10.130013139620758</v>
      </c>
      <c r="AJ84" s="49">
        <f t="shared" si="25"/>
        <v>0</v>
      </c>
      <c r="AK84" s="4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5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3">
        <v>4.0857647090208234E-2</v>
      </c>
      <c r="V85" s="52">
        <v>7.4155064831785467E-2</v>
      </c>
      <c r="W85" s="2">
        <v>-0.99081709690255992</v>
      </c>
      <c r="X85" s="53">
        <v>0.96871027631197282</v>
      </c>
      <c r="Y85" s="2">
        <v>-2.7631934819026774E-5</v>
      </c>
      <c r="Z85" s="34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57">
        <f t="shared" si="21"/>
        <v>0</v>
      </c>
      <c r="AF85" s="58">
        <f t="shared" si="17"/>
        <v>0</v>
      </c>
      <c r="AG85" s="29">
        <f t="shared" si="22"/>
        <v>0</v>
      </c>
      <c r="AH85">
        <f t="shared" si="23"/>
        <v>399.00000000000045</v>
      </c>
      <c r="AI85" s="49">
        <f t="shared" si="24"/>
        <v>9.5764709020818941</v>
      </c>
      <c r="AJ85" s="49">
        <f t="shared" si="25"/>
        <v>0</v>
      </c>
      <c r="AK85" s="4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5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3">
        <v>4.5831666032853526E-2</v>
      </c>
      <c r="V86" s="52">
        <v>7.6513334928510091E-2</v>
      </c>
      <c r="W86" s="2">
        <v>-0.99506620802919665</v>
      </c>
      <c r="X86" s="53">
        <v>0.89302224548306097</v>
      </c>
      <c r="Y86" s="2">
        <v>-1.7196847431938451E-5</v>
      </c>
      <c r="Z86" s="34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57">
        <f t="shared" si="21"/>
        <v>0</v>
      </c>
      <c r="AF86" s="58">
        <f t="shared" si="17"/>
        <v>0</v>
      </c>
      <c r="AG86" s="29">
        <f t="shared" si="22"/>
        <v>0</v>
      </c>
      <c r="AH86">
        <f t="shared" si="23"/>
        <v>449.00000000000159</v>
      </c>
      <c r="AI86" s="49">
        <f t="shared" si="24"/>
        <v>9.3166603285336578</v>
      </c>
      <c r="AJ86" s="49">
        <f t="shared" si="25"/>
        <v>0</v>
      </c>
      <c r="AK86" s="4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5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3">
        <v>5.0818822908783166E-2</v>
      </c>
      <c r="V87" s="52">
        <v>7.9291297302056307E-2</v>
      </c>
      <c r="W87" s="2">
        <v>-0.99725158365350686</v>
      </c>
      <c r="X87" s="53">
        <v>0.55577517275093047</v>
      </c>
      <c r="Y87" s="2">
        <v>-1.1360915932008898E-5</v>
      </c>
      <c r="Z87" s="34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57">
        <f t="shared" si="21"/>
        <v>0</v>
      </c>
      <c r="AF87" s="58">
        <f t="shared" si="17"/>
        <v>0</v>
      </c>
      <c r="AG87" s="29">
        <f t="shared" si="22"/>
        <v>0</v>
      </c>
      <c r="AH87">
        <f t="shared" si="23"/>
        <v>499.00000000000057</v>
      </c>
      <c r="AI87" s="49">
        <f t="shared" si="24"/>
        <v>9.1882290878310755</v>
      </c>
      <c r="AJ87" s="49">
        <f t="shared" si="25"/>
        <v>0</v>
      </c>
      <c r="AK87" s="4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5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3">
        <v>5.5810241044231573E-2</v>
      </c>
      <c r="V88" s="52">
        <v>8.2488951952424117E-2</v>
      </c>
      <c r="W88" s="2">
        <v>-0.99872032790875331</v>
      </c>
      <c r="X88" s="53">
        <v>0.32862269706191033</v>
      </c>
      <c r="Y88" s="2">
        <v>-7.1170250806483598E-6</v>
      </c>
      <c r="Z88" s="34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57">
        <f t="shared" si="21"/>
        <v>0</v>
      </c>
      <c r="AF88" s="58">
        <f t="shared" si="17"/>
        <v>0</v>
      </c>
      <c r="AG88" s="29">
        <f t="shared" si="22"/>
        <v>0</v>
      </c>
      <c r="AH88">
        <f t="shared" si="23"/>
        <v>549.00000000000171</v>
      </c>
      <c r="AI88" s="49">
        <f t="shared" si="24"/>
        <v>9.102410442314067</v>
      </c>
      <c r="AJ88" s="49">
        <f t="shared" si="25"/>
        <v>0</v>
      </c>
      <c r="AK88" s="4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5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3">
        <v>6.080730140755982E-2</v>
      </c>
      <c r="V89" s="52">
        <v>8.6106298879613519E-2</v>
      </c>
      <c r="W89" s="2">
        <v>-0.99927152965490784</v>
      </c>
      <c r="X89" s="53">
        <v>0.23426743885702728</v>
      </c>
      <c r="Y89" s="2">
        <v>-5.4134136970684019E-6</v>
      </c>
      <c r="Z89" s="34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57">
        <f t="shared" si="21"/>
        <v>0</v>
      </c>
      <c r="AF89" s="58">
        <f t="shared" si="17"/>
        <v>0</v>
      </c>
      <c r="AG89" s="29">
        <f t="shared" si="22"/>
        <v>0</v>
      </c>
      <c r="AH89">
        <f t="shared" si="23"/>
        <v>599.00000000000068</v>
      </c>
      <c r="AI89" s="49">
        <f t="shared" si="24"/>
        <v>9.0730140755974844</v>
      </c>
      <c r="AJ89" s="49">
        <f t="shared" si="25"/>
        <v>0</v>
      </c>
      <c r="AK89" s="4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5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3">
        <v>6.5805048176177078E-2</v>
      </c>
      <c r="V90" s="52">
        <v>9.0143338083628066E-2</v>
      </c>
      <c r="W90" s="2">
        <v>-0.99968592676117185</v>
      </c>
      <c r="X90" s="53">
        <v>0.16573057236891009</v>
      </c>
      <c r="Y90" s="2">
        <v>-4.0743950792055731E-6</v>
      </c>
      <c r="Z90" s="34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57">
        <f t="shared" si="21"/>
        <v>0</v>
      </c>
      <c r="AF90" s="58">
        <f t="shared" si="17"/>
        <v>0</v>
      </c>
      <c r="AG90" s="29">
        <f t="shared" si="22"/>
        <v>0</v>
      </c>
      <c r="AH90">
        <f t="shared" si="23"/>
        <v>648.99999999999955</v>
      </c>
      <c r="AI90" s="49">
        <f t="shared" si="24"/>
        <v>9.0504817617712661</v>
      </c>
      <c r="AJ90" s="49">
        <f t="shared" si="25"/>
        <v>0</v>
      </c>
      <c r="AK90" s="4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5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3">
        <v>7.0803294364885874E-2</v>
      </c>
      <c r="V91" s="52">
        <v>9.4600069564467759E-2</v>
      </c>
      <c r="W91" s="2">
        <v>-0.999999999999999</v>
      </c>
      <c r="X91" s="53">
        <v>0.11570355845254587</v>
      </c>
      <c r="Y91" s="2">
        <v>-2.9997405643752208E-6</v>
      </c>
      <c r="Z91" s="34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57">
        <f t="shared" si="21"/>
        <v>0</v>
      </c>
      <c r="AF91" s="58">
        <f t="shared" si="17"/>
        <v>0</v>
      </c>
      <c r="AG91" s="29">
        <f t="shared" si="22"/>
        <v>0</v>
      </c>
      <c r="AH91">
        <f t="shared" si="23"/>
        <v>699.00000000000068</v>
      </c>
      <c r="AI91" s="49">
        <f t="shared" si="24"/>
        <v>9.0329436488580086</v>
      </c>
      <c r="AJ91" s="49">
        <f t="shared" si="25"/>
        <v>0</v>
      </c>
      <c r="AK91" s="4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5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3">
        <v>7.5802867299009688E-2</v>
      </c>
      <c r="V92" s="52">
        <v>9.9476493322129045E-2</v>
      </c>
      <c r="W92" s="2">
        <v>-0.999999999999999</v>
      </c>
      <c r="X92" s="53">
        <v>9.717201547329514E-2</v>
      </c>
      <c r="Y92" s="2">
        <v>-2.7195614108035901E-6</v>
      </c>
      <c r="Z92" s="34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57">
        <f t="shared" si="21"/>
        <v>0</v>
      </c>
      <c r="AF92" s="58">
        <f t="shared" si="17"/>
        <v>0</v>
      </c>
      <c r="AG92" s="29">
        <f t="shared" si="22"/>
        <v>0</v>
      </c>
      <c r="AH92">
        <f t="shared" si="23"/>
        <v>749.00000000000193</v>
      </c>
      <c r="AI92" s="49">
        <f t="shared" si="24"/>
        <v>9.0286729900949467</v>
      </c>
      <c r="AJ92" s="49">
        <f t="shared" si="25"/>
        <v>0</v>
      </c>
      <c r="AK92" s="4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5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3">
        <v>8.0802648662578025E-2</v>
      </c>
      <c r="V93" s="52">
        <v>0.10477260935661192</v>
      </c>
      <c r="W93" s="2">
        <v>-0.999999999999999</v>
      </c>
      <c r="X93" s="53">
        <v>8.4850529324475107E-2</v>
      </c>
      <c r="Y93" s="2">
        <v>-2.5857661098615359E-6</v>
      </c>
      <c r="Z93" s="34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57">
        <f t="shared" si="21"/>
        <v>0</v>
      </c>
      <c r="AF93" s="58">
        <f t="shared" si="17"/>
        <v>0</v>
      </c>
      <c r="AG93" s="29">
        <f t="shared" si="22"/>
        <v>0</v>
      </c>
      <c r="AH93">
        <f t="shared" si="23"/>
        <v>799.0000000000008</v>
      </c>
      <c r="AI93" s="49">
        <f t="shared" si="24"/>
        <v>9.0264866257793983</v>
      </c>
      <c r="AJ93" s="49">
        <f t="shared" si="25"/>
        <v>0</v>
      </c>
      <c r="AK93" s="4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5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3">
        <v>8.5802592579225401E-2</v>
      </c>
      <c r="V94" s="52">
        <v>0.11048841766791995</v>
      </c>
      <c r="W94" s="2">
        <v>-0.999999999999999</v>
      </c>
      <c r="X94" s="53">
        <v>7.6854006162068209E-2</v>
      </c>
      <c r="Y94" s="2">
        <v>-2.5755545616893304E-6</v>
      </c>
      <c r="Z94" s="34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57">
        <f t="shared" si="21"/>
        <v>0</v>
      </c>
      <c r="AF94" s="58">
        <f t="shared" si="17"/>
        <v>0</v>
      </c>
      <c r="AG94" s="29">
        <f t="shared" si="22"/>
        <v>0</v>
      </c>
      <c r="AH94">
        <f t="shared" si="23"/>
        <v>848.99999999999977</v>
      </c>
      <c r="AI94" s="49">
        <f t="shared" si="24"/>
        <v>9.0259257922542702</v>
      </c>
      <c r="AJ94" s="49">
        <f t="shared" si="25"/>
        <v>0</v>
      </c>
      <c r="AK94" s="4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5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3">
        <v>9.0802697769349655E-2</v>
      </c>
      <c r="V95" s="52">
        <v>0.11662391825604956</v>
      </c>
      <c r="W95" s="2">
        <v>-0.999999999999999</v>
      </c>
      <c r="X95" s="53">
        <v>7.2216037511528886E-2</v>
      </c>
      <c r="Y95" s="2">
        <v>-2.6899540681410207E-6</v>
      </c>
      <c r="Z95" s="34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57">
        <f t="shared" si="21"/>
        <v>0</v>
      </c>
      <c r="AF95" s="58">
        <f t="shared" si="17"/>
        <v>0</v>
      </c>
      <c r="AG95" s="29">
        <f t="shared" si="22"/>
        <v>0</v>
      </c>
      <c r="AH95">
        <f t="shared" si="23"/>
        <v>899.00000000000091</v>
      </c>
      <c r="AI95" s="49">
        <f t="shared" si="24"/>
        <v>9.0269776934956099</v>
      </c>
      <c r="AJ95" s="49">
        <f t="shared" si="25"/>
        <v>0</v>
      </c>
      <c r="AK95" s="4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5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3">
        <v>5.4319785196485774E-2</v>
      </c>
      <c r="V96" s="52">
        <v>0.10723529180589253</v>
      </c>
      <c r="W96" s="2">
        <v>0.98707203057288928</v>
      </c>
      <c r="X96" s="53">
        <v>0</v>
      </c>
      <c r="Y96" s="2">
        <v>-5.2469350336438748E-5</v>
      </c>
      <c r="Z96" s="34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57">
        <f t="shared" si="21"/>
        <v>0</v>
      </c>
      <c r="AF96" s="58">
        <f t="shared" si="17"/>
        <v>0</v>
      </c>
      <c r="AG96" s="29">
        <f t="shared" si="22"/>
        <v>0</v>
      </c>
      <c r="AH96">
        <f t="shared" si="23"/>
        <v>550.99999999999932</v>
      </c>
      <c r="AI96" s="49">
        <f t="shared" si="24"/>
        <v>0</v>
      </c>
      <c r="AJ96" s="49">
        <f t="shared" si="25"/>
        <v>0</v>
      </c>
      <c r="AK96" s="4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5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3">
        <v>4.9356611380239168E-2</v>
      </c>
      <c r="V97" s="52">
        <v>0.10224471891346454</v>
      </c>
      <c r="W97" s="2">
        <v>0.98271392014671832</v>
      </c>
      <c r="X97" s="53">
        <v>0</v>
      </c>
      <c r="Y97" s="2">
        <v>-6.3812852870000851E-5</v>
      </c>
      <c r="Z97" s="34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57">
        <f t="shared" si="21"/>
        <v>0</v>
      </c>
      <c r="AF97" s="58">
        <f t="shared" si="17"/>
        <v>0</v>
      </c>
      <c r="AG97" s="29">
        <f t="shared" si="22"/>
        <v>0</v>
      </c>
      <c r="AH97">
        <f t="shared" si="23"/>
        <v>501.00000000000034</v>
      </c>
      <c r="AI97" s="49">
        <f t="shared" si="24"/>
        <v>0</v>
      </c>
      <c r="AJ97" s="49">
        <f t="shared" si="25"/>
        <v>0</v>
      </c>
      <c r="AK97" s="4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5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3">
        <v>4.440670335962453E-2</v>
      </c>
      <c r="V98" s="52">
        <v>9.7579074379925856E-2</v>
      </c>
      <c r="W98" s="2">
        <v>0.9767743652221681</v>
      </c>
      <c r="X98" s="53">
        <v>0</v>
      </c>
      <c r="Y98" s="2">
        <v>-7.8007163637898805E-5</v>
      </c>
      <c r="Z98" s="34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57">
        <f t="shared" si="21"/>
        <v>0</v>
      </c>
      <c r="AF98" s="58">
        <f t="shared" si="17"/>
        <v>0</v>
      </c>
      <c r="AG98" s="29">
        <f t="shared" si="22"/>
        <v>0</v>
      </c>
      <c r="AH98">
        <f t="shared" si="23"/>
        <v>450.9999999999992</v>
      </c>
      <c r="AI98" s="49">
        <f t="shared" si="24"/>
        <v>0</v>
      </c>
      <c r="AJ98" s="49">
        <f t="shared" si="25"/>
        <v>0</v>
      </c>
      <c r="AK98" s="4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5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3">
        <v>3.9498694572012154E-2</v>
      </c>
      <c r="V99" s="52">
        <v>9.3238358205276484E-2</v>
      </c>
      <c r="W99" s="2">
        <v>0.96650233880327663</v>
      </c>
      <c r="X99" s="53">
        <v>0</v>
      </c>
      <c r="Y99" s="2">
        <v>-1.0021199337090616E-4</v>
      </c>
      <c r="Z99" s="34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57">
        <f t="shared" si="21"/>
        <v>0</v>
      </c>
      <c r="AF99" s="58">
        <f t="shared" si="17"/>
        <v>0</v>
      </c>
      <c r="AG99" s="29">
        <f t="shared" si="22"/>
        <v>0</v>
      </c>
      <c r="AH99">
        <f t="shared" si="23"/>
        <v>401.00000000000023</v>
      </c>
      <c r="AI99" s="49">
        <f t="shared" si="24"/>
        <v>0</v>
      </c>
      <c r="AJ99" s="49">
        <f t="shared" si="25"/>
        <v>0</v>
      </c>
      <c r="AK99" s="4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5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3">
        <v>3.4624608160590938E-2</v>
      </c>
      <c r="V100" s="52">
        <v>8.9222570389523526E-2</v>
      </c>
      <c r="W100" s="2">
        <v>0.95251170745195557</v>
      </c>
      <c r="X100" s="53">
        <v>0</v>
      </c>
      <c r="Y100" s="2">
        <v>-1.271536281950097E-4</v>
      </c>
      <c r="Z100" s="34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57">
        <f t="shared" si="21"/>
        <v>0</v>
      </c>
      <c r="AF100" s="58">
        <f t="shared" si="17"/>
        <v>0</v>
      </c>
      <c r="AG100" s="29">
        <f t="shared" si="22"/>
        <v>0</v>
      </c>
      <c r="AH100">
        <f t="shared" si="23"/>
        <v>350.99999999999909</v>
      </c>
      <c r="AI100" s="49">
        <f t="shared" si="24"/>
        <v>0</v>
      </c>
      <c r="AJ100" s="49">
        <f t="shared" si="25"/>
        <v>0</v>
      </c>
      <c r="AK100" s="4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5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3">
        <v>2.9824240434176308E-2</v>
      </c>
      <c r="V101" s="52">
        <v>8.5531710932656324E-2</v>
      </c>
      <c r="W101" s="2">
        <v>0.93109328133273772</v>
      </c>
      <c r="X101" s="53">
        <v>0</v>
      </c>
      <c r="Y101" s="2">
        <v>-1.6345104842675119E-4</v>
      </c>
      <c r="Z101" s="34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57">
        <f t="shared" si="21"/>
        <v>0</v>
      </c>
      <c r="AF101" s="58">
        <f t="shared" si="17"/>
        <v>0</v>
      </c>
      <c r="AG101" s="29">
        <f t="shared" si="22"/>
        <v>0</v>
      </c>
      <c r="AH101">
        <f t="shared" si="23"/>
        <v>301.00000000000017</v>
      </c>
      <c r="AI101" s="49">
        <f t="shared" si="24"/>
        <v>0</v>
      </c>
      <c r="AJ101" s="49">
        <f t="shared" si="25"/>
        <v>0</v>
      </c>
      <c r="AK101" s="4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5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3">
        <v>2.5155949349616805E-2</v>
      </c>
      <c r="V102" s="52">
        <v>8.2165779834681985E-2</v>
      </c>
      <c r="W102" s="2">
        <v>0.89819873517080717</v>
      </c>
      <c r="X102" s="53">
        <v>0</v>
      </c>
      <c r="Y102" s="2">
        <v>-2.0917589293509284E-4</v>
      </c>
      <c r="Z102" s="34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57">
        <f t="shared" si="21"/>
        <v>0</v>
      </c>
      <c r="AF102" s="58">
        <f t="shared" ref="AF102:AF125" si="26">IF(ISERR(AE102),0,AE102*M102)</f>
        <v>0</v>
      </c>
      <c r="AG102" s="29">
        <f t="shared" si="22"/>
        <v>0</v>
      </c>
      <c r="AH102">
        <f t="shared" si="23"/>
        <v>250.99999999999901</v>
      </c>
      <c r="AI102" s="49">
        <f t="shared" si="24"/>
        <v>0.55949349616903987</v>
      </c>
      <c r="AJ102" s="49">
        <f t="shared" si="25"/>
        <v>0</v>
      </c>
      <c r="AK102" s="4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5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3">
        <v>2.0646510785923843E-2</v>
      </c>
      <c r="V103" s="52">
        <v>7.9124777095596954E-2</v>
      </c>
      <c r="W103" s="2">
        <v>0.85232660263713667</v>
      </c>
      <c r="X103" s="53">
        <v>0</v>
      </c>
      <c r="Y103" s="2">
        <v>-2.6134138565999206E-4</v>
      </c>
      <c r="Z103" s="34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57">
        <f t="shared" si="21"/>
        <v>0</v>
      </c>
      <c r="AF103" s="58">
        <f t="shared" si="26"/>
        <v>0</v>
      </c>
      <c r="AG103" s="29">
        <f t="shared" si="22"/>
        <v>0</v>
      </c>
      <c r="AH103">
        <f t="shared" si="23"/>
        <v>201.00000000000006</v>
      </c>
      <c r="AI103" s="49">
        <f t="shared" si="24"/>
        <v>5.4651078592383726</v>
      </c>
      <c r="AJ103" s="49">
        <f t="shared" si="25"/>
        <v>0</v>
      </c>
      <c r="AK103" s="4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5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3">
        <v>1.7200000584125519E-2</v>
      </c>
      <c r="V104" s="52">
        <v>8.7588735445913224E-2</v>
      </c>
      <c r="W104" s="2">
        <v>0.75726981248408365</v>
      </c>
      <c r="X104" s="53">
        <v>0</v>
      </c>
      <c r="Y104" s="2">
        <v>-3.9156215779300965E-4</v>
      </c>
      <c r="Z104" s="34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57">
        <f t="shared" si="21"/>
        <v>0</v>
      </c>
      <c r="AF104" s="58">
        <f t="shared" si="26"/>
        <v>0</v>
      </c>
      <c r="AG104" s="29">
        <f t="shared" si="22"/>
        <v>0</v>
      </c>
      <c r="AH104">
        <f t="shared" si="23"/>
        <v>150.99999999999892</v>
      </c>
      <c r="AI104" s="49">
        <f t="shared" si="24"/>
        <v>21.000005841256268</v>
      </c>
      <c r="AJ104" s="49">
        <f t="shared" si="25"/>
        <v>0</v>
      </c>
      <c r="AK104" s="4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51"/>
      <c r="N105" s="2"/>
      <c r="O105" s="2"/>
      <c r="P105" s="2"/>
      <c r="Q105" s="2"/>
      <c r="R105" s="2"/>
      <c r="S105" s="2"/>
      <c r="T105" s="2"/>
      <c r="U105" s="53"/>
      <c r="V105" s="52"/>
      <c r="W105" s="2"/>
      <c r="X105" s="53"/>
      <c r="Y105" s="2"/>
      <c r="Z105" s="34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57">
        <f t="shared" si="21"/>
        <v>0</v>
      </c>
      <c r="AF105" s="58">
        <f t="shared" si="26"/>
        <v>0</v>
      </c>
      <c r="AG105" s="29">
        <f t="shared" si="22"/>
        <v>0</v>
      </c>
      <c r="AH105">
        <f t="shared" si="23"/>
        <v>100.99999999999997</v>
      </c>
      <c r="AI105" s="49">
        <f t="shared" si="24"/>
        <v>0</v>
      </c>
      <c r="AJ105" s="49">
        <f t="shared" si="25"/>
        <v>0</v>
      </c>
      <c r="AK105" s="4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51"/>
      <c r="N106" s="2"/>
      <c r="O106" s="2"/>
      <c r="P106" s="2"/>
      <c r="Q106" s="2"/>
      <c r="R106" s="2"/>
      <c r="S106" s="2"/>
      <c r="T106" s="2"/>
      <c r="U106" s="53"/>
      <c r="V106" s="52"/>
      <c r="W106" s="2"/>
      <c r="X106" s="53"/>
      <c r="Y106" s="2"/>
      <c r="Z106" s="34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57">
        <f t="shared" si="21"/>
        <v>0</v>
      </c>
      <c r="AF106" s="58">
        <f t="shared" si="26"/>
        <v>0</v>
      </c>
      <c r="AG106" s="29">
        <f t="shared" si="22"/>
        <v>0</v>
      </c>
      <c r="AH106">
        <f t="shared" si="23"/>
        <v>50.99999999999882</v>
      </c>
      <c r="AI106" s="49">
        <f t="shared" si="24"/>
        <v>0</v>
      </c>
      <c r="AJ106" s="49">
        <f t="shared" si="25"/>
        <v>0</v>
      </c>
      <c r="AK106" s="4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51"/>
      <c r="N107" s="2"/>
      <c r="O107" s="2"/>
      <c r="P107" s="2"/>
      <c r="Q107" s="2"/>
      <c r="R107" s="2"/>
      <c r="S107" s="2"/>
      <c r="T107" s="2"/>
      <c r="U107" s="53"/>
      <c r="V107" s="52"/>
      <c r="W107" s="2"/>
      <c r="X107" s="53"/>
      <c r="Y107" s="2"/>
      <c r="Z107" s="34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57">
        <f t="shared" si="21"/>
        <v>0</v>
      </c>
      <c r="AF107" s="58">
        <f t="shared" si="26"/>
        <v>0</v>
      </c>
      <c r="AG107" s="29">
        <f t="shared" si="22"/>
        <v>0</v>
      </c>
      <c r="AH107">
        <f t="shared" si="23"/>
        <v>0.99999999999988987</v>
      </c>
      <c r="AI107" s="49">
        <f t="shared" si="24"/>
        <v>0</v>
      </c>
      <c r="AJ107" s="49">
        <f t="shared" si="25"/>
        <v>0</v>
      </c>
      <c r="AK107" s="4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51"/>
      <c r="N108" s="2"/>
      <c r="O108" s="2"/>
      <c r="P108" s="2"/>
      <c r="Q108" s="2"/>
      <c r="R108" s="2"/>
      <c r="S108" s="2"/>
      <c r="T108" s="2"/>
      <c r="U108" s="53"/>
      <c r="V108" s="52"/>
      <c r="W108" s="2"/>
      <c r="X108" s="53"/>
      <c r="Y108" s="2"/>
      <c r="Z108" s="34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57">
        <f t="shared" si="21"/>
        <v>0</v>
      </c>
      <c r="AF108" s="58">
        <f t="shared" si="26"/>
        <v>0</v>
      </c>
      <c r="AG108" s="29">
        <f t="shared" si="22"/>
        <v>0</v>
      </c>
      <c r="AH108">
        <f t="shared" si="23"/>
        <v>0</v>
      </c>
      <c r="AI108" s="49">
        <f t="shared" si="24"/>
        <v>0</v>
      </c>
      <c r="AJ108" s="49">
        <f t="shared" si="25"/>
        <v>0</v>
      </c>
      <c r="AK108" s="4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51"/>
      <c r="N109" s="2"/>
      <c r="O109" s="2"/>
      <c r="P109" s="2"/>
      <c r="Q109" s="2"/>
      <c r="R109" s="2"/>
      <c r="S109" s="2"/>
      <c r="T109" s="2"/>
      <c r="U109" s="53"/>
      <c r="V109" s="52"/>
      <c r="W109" s="2"/>
      <c r="X109" s="53"/>
      <c r="Y109" s="2"/>
      <c r="Z109" s="34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57">
        <f t="shared" si="21"/>
        <v>0</v>
      </c>
      <c r="AF109" s="58">
        <f t="shared" si="26"/>
        <v>0</v>
      </c>
      <c r="AG109" s="29">
        <f t="shared" si="22"/>
        <v>0</v>
      </c>
      <c r="AH109">
        <f t="shared" si="23"/>
        <v>0</v>
      </c>
      <c r="AI109" s="49">
        <f t="shared" si="24"/>
        <v>0</v>
      </c>
      <c r="AJ109" s="49">
        <f t="shared" si="25"/>
        <v>0</v>
      </c>
      <c r="AK109" s="4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51"/>
      <c r="N110" s="2"/>
      <c r="O110" s="2"/>
      <c r="P110" s="2"/>
      <c r="Q110" s="2"/>
      <c r="R110" s="2"/>
      <c r="S110" s="2"/>
      <c r="T110" s="2"/>
      <c r="U110" s="53"/>
      <c r="V110" s="52"/>
      <c r="W110" s="2"/>
      <c r="X110" s="53"/>
      <c r="Y110" s="2"/>
      <c r="Z110" s="34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57">
        <f t="shared" si="21"/>
        <v>0</v>
      </c>
      <c r="AF110" s="58">
        <f t="shared" si="26"/>
        <v>0</v>
      </c>
      <c r="AG110" s="29">
        <f t="shared" si="22"/>
        <v>0</v>
      </c>
      <c r="AH110">
        <f t="shared" si="23"/>
        <v>0</v>
      </c>
      <c r="AI110" s="49">
        <f t="shared" si="24"/>
        <v>0</v>
      </c>
      <c r="AJ110" s="49">
        <f t="shared" si="25"/>
        <v>0</v>
      </c>
      <c r="AK110" s="4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51"/>
      <c r="N111" s="2"/>
      <c r="O111" s="2"/>
      <c r="P111" s="2"/>
      <c r="Q111" s="2"/>
      <c r="R111" s="2"/>
      <c r="S111" s="2"/>
      <c r="T111" s="2"/>
      <c r="U111" s="53"/>
      <c r="V111" s="52"/>
      <c r="W111" s="2"/>
      <c r="X111" s="53"/>
      <c r="Y111" s="2"/>
      <c r="Z111" s="34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57">
        <f t="shared" si="21"/>
        <v>0</v>
      </c>
      <c r="AF111" s="58">
        <f t="shared" si="26"/>
        <v>0</v>
      </c>
      <c r="AG111" s="29">
        <f t="shared" si="22"/>
        <v>0</v>
      </c>
      <c r="AH111">
        <f t="shared" si="23"/>
        <v>0</v>
      </c>
      <c r="AI111" s="49">
        <f t="shared" si="24"/>
        <v>0</v>
      </c>
      <c r="AJ111" s="49">
        <f t="shared" si="25"/>
        <v>0</v>
      </c>
      <c r="AK111" s="4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51"/>
      <c r="N112" s="2"/>
      <c r="O112" s="2"/>
      <c r="P112" s="2"/>
      <c r="Q112" s="2"/>
      <c r="R112" s="2"/>
      <c r="S112" s="2"/>
      <c r="T112" s="2"/>
      <c r="U112" s="53"/>
      <c r="V112" s="52"/>
      <c r="W112" s="2"/>
      <c r="X112" s="53"/>
      <c r="Y112" s="2"/>
      <c r="Z112" s="34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57">
        <f t="shared" si="21"/>
        <v>0</v>
      </c>
      <c r="AF112" s="58">
        <f t="shared" si="26"/>
        <v>0</v>
      </c>
      <c r="AG112" s="29">
        <f t="shared" si="22"/>
        <v>0</v>
      </c>
      <c r="AH112">
        <f t="shared" si="23"/>
        <v>0</v>
      </c>
      <c r="AI112" s="49">
        <f t="shared" si="24"/>
        <v>0</v>
      </c>
      <c r="AJ112" s="49">
        <f t="shared" si="25"/>
        <v>0</v>
      </c>
      <c r="AK112" s="4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51"/>
      <c r="N113" s="2"/>
      <c r="O113" s="2"/>
      <c r="P113" s="2"/>
      <c r="Q113" s="2"/>
      <c r="R113" s="2"/>
      <c r="S113" s="2"/>
      <c r="T113" s="2"/>
      <c r="U113" s="53"/>
      <c r="V113" s="52"/>
      <c r="W113" s="2"/>
      <c r="X113" s="53"/>
      <c r="Y113" s="2"/>
      <c r="Z113" s="34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57">
        <f t="shared" si="21"/>
        <v>0</v>
      </c>
      <c r="AF113" s="58">
        <f t="shared" si="26"/>
        <v>0</v>
      </c>
      <c r="AG113" s="29">
        <f t="shared" si="22"/>
        <v>0</v>
      </c>
      <c r="AH113">
        <f t="shared" si="23"/>
        <v>0</v>
      </c>
      <c r="AI113" s="49">
        <f t="shared" si="24"/>
        <v>0</v>
      </c>
      <c r="AJ113" s="49">
        <f t="shared" si="25"/>
        <v>0</v>
      </c>
      <c r="AK113" s="4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51"/>
      <c r="N114" s="2"/>
      <c r="O114" s="2"/>
      <c r="P114" s="2"/>
      <c r="Q114" s="2"/>
      <c r="R114" s="2"/>
      <c r="S114" s="2"/>
      <c r="T114" s="2"/>
      <c r="U114" s="53"/>
      <c r="V114" s="52"/>
      <c r="W114" s="2"/>
      <c r="X114" s="53"/>
      <c r="Y114" s="2"/>
      <c r="Z114" s="34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57">
        <f t="shared" si="21"/>
        <v>0</v>
      </c>
      <c r="AF114" s="58">
        <f t="shared" si="26"/>
        <v>0</v>
      </c>
      <c r="AG114" s="29">
        <f t="shared" si="22"/>
        <v>0</v>
      </c>
      <c r="AH114">
        <f t="shared" si="23"/>
        <v>0</v>
      </c>
      <c r="AI114" s="49">
        <f t="shared" si="24"/>
        <v>0</v>
      </c>
      <c r="AJ114" s="49">
        <f t="shared" si="25"/>
        <v>0</v>
      </c>
      <c r="AK114" s="4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51"/>
      <c r="N115" s="2"/>
      <c r="O115" s="2"/>
      <c r="P115" s="2"/>
      <c r="Q115" s="2"/>
      <c r="R115" s="2"/>
      <c r="S115" s="2"/>
      <c r="T115" s="2"/>
      <c r="U115" s="53"/>
      <c r="V115" s="52"/>
      <c r="W115" s="2"/>
      <c r="X115" s="53"/>
      <c r="Y115" s="2"/>
      <c r="Z115" s="34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57">
        <f t="shared" si="21"/>
        <v>0</v>
      </c>
      <c r="AF115" s="58">
        <f t="shared" si="26"/>
        <v>0</v>
      </c>
      <c r="AG115" s="29">
        <f t="shared" si="22"/>
        <v>0</v>
      </c>
      <c r="AH115">
        <f t="shared" si="23"/>
        <v>0</v>
      </c>
      <c r="AI115" s="49">
        <f t="shared" si="24"/>
        <v>0</v>
      </c>
      <c r="AJ115" s="49">
        <f t="shared" si="25"/>
        <v>0</v>
      </c>
      <c r="AK115" s="4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51"/>
      <c r="N116" s="2"/>
      <c r="O116" s="2"/>
      <c r="P116" s="2"/>
      <c r="Q116" s="2"/>
      <c r="R116" s="2"/>
      <c r="S116" s="2"/>
      <c r="T116" s="2"/>
      <c r="U116" s="53"/>
      <c r="V116" s="52"/>
      <c r="W116" s="2"/>
      <c r="X116" s="53"/>
      <c r="Y116" s="2"/>
      <c r="Z116" s="34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57">
        <f t="shared" si="21"/>
        <v>0</v>
      </c>
      <c r="AF116" s="58">
        <f t="shared" si="26"/>
        <v>0</v>
      </c>
      <c r="AG116" s="29">
        <f t="shared" si="22"/>
        <v>0</v>
      </c>
      <c r="AH116">
        <f t="shared" si="23"/>
        <v>0</v>
      </c>
      <c r="AI116" s="49">
        <f t="shared" si="24"/>
        <v>0</v>
      </c>
      <c r="AJ116" s="49">
        <f t="shared" si="25"/>
        <v>0</v>
      </c>
      <c r="AK116" s="4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51"/>
      <c r="N117" s="2"/>
      <c r="O117" s="2"/>
      <c r="P117" s="2"/>
      <c r="Q117" s="2"/>
      <c r="R117" s="2"/>
      <c r="S117" s="2"/>
      <c r="T117" s="2"/>
      <c r="U117" s="53"/>
      <c r="V117" s="52"/>
      <c r="W117" s="2"/>
      <c r="X117" s="53"/>
      <c r="Y117" s="2"/>
      <c r="Z117" s="34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57">
        <f t="shared" si="21"/>
        <v>0</v>
      </c>
      <c r="AF117" s="58">
        <f t="shared" si="26"/>
        <v>0</v>
      </c>
      <c r="AG117" s="29">
        <f t="shared" si="22"/>
        <v>0</v>
      </c>
      <c r="AH117">
        <f t="shared" si="23"/>
        <v>0</v>
      </c>
      <c r="AI117" s="49">
        <f t="shared" si="24"/>
        <v>0</v>
      </c>
      <c r="AJ117" s="49">
        <f t="shared" si="25"/>
        <v>0</v>
      </c>
      <c r="AK117" s="4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51"/>
      <c r="N118" s="2"/>
      <c r="O118" s="2"/>
      <c r="P118" s="2"/>
      <c r="Q118" s="2"/>
      <c r="R118" s="2"/>
      <c r="S118" s="2"/>
      <c r="T118" s="2"/>
      <c r="U118" s="53"/>
      <c r="V118" s="52"/>
      <c r="W118" s="2"/>
      <c r="X118" s="53"/>
      <c r="Y118" s="2"/>
      <c r="Z118" s="34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57">
        <f t="shared" si="21"/>
        <v>0</v>
      </c>
      <c r="AF118" s="58">
        <f t="shared" si="26"/>
        <v>0</v>
      </c>
      <c r="AG118" s="29">
        <f t="shared" si="22"/>
        <v>0</v>
      </c>
      <c r="AH118">
        <f t="shared" si="23"/>
        <v>0</v>
      </c>
      <c r="AI118" s="49">
        <f t="shared" si="24"/>
        <v>0</v>
      </c>
      <c r="AJ118" s="49">
        <f t="shared" si="25"/>
        <v>0</v>
      </c>
      <c r="AK118" s="4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51"/>
      <c r="N119" s="2"/>
      <c r="O119" s="2"/>
      <c r="P119" s="2"/>
      <c r="Q119" s="2"/>
      <c r="R119" s="2"/>
      <c r="S119" s="2"/>
      <c r="T119" s="2"/>
      <c r="U119" s="53"/>
      <c r="V119" s="52"/>
      <c r="W119" s="2"/>
      <c r="X119" s="53"/>
      <c r="Y119" s="2"/>
      <c r="Z119" s="34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57">
        <f t="shared" si="21"/>
        <v>0</v>
      </c>
      <c r="AF119" s="58">
        <f t="shared" si="26"/>
        <v>0</v>
      </c>
      <c r="AG119" s="29">
        <f t="shared" si="22"/>
        <v>0</v>
      </c>
      <c r="AH119">
        <f t="shared" si="23"/>
        <v>0</v>
      </c>
      <c r="AI119" s="49">
        <f t="shared" si="24"/>
        <v>0</v>
      </c>
      <c r="AJ119" s="49">
        <f t="shared" si="25"/>
        <v>0</v>
      </c>
      <c r="AK119" s="4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51"/>
      <c r="N120" s="2"/>
      <c r="O120" s="2"/>
      <c r="P120" s="2"/>
      <c r="Q120" s="2"/>
      <c r="R120" s="2"/>
      <c r="S120" s="2"/>
      <c r="T120" s="2"/>
      <c r="U120" s="53"/>
      <c r="V120" s="52"/>
      <c r="W120" s="2"/>
      <c r="X120" s="53"/>
      <c r="Y120" s="2"/>
      <c r="Z120" s="34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57">
        <f t="shared" si="21"/>
        <v>0</v>
      </c>
      <c r="AF120" s="58">
        <f t="shared" si="26"/>
        <v>0</v>
      </c>
      <c r="AG120" s="29">
        <f t="shared" si="22"/>
        <v>0</v>
      </c>
      <c r="AH120">
        <f t="shared" si="23"/>
        <v>0</v>
      </c>
      <c r="AI120" s="49">
        <f t="shared" si="24"/>
        <v>0</v>
      </c>
      <c r="AJ120" s="49">
        <f t="shared" si="25"/>
        <v>0</v>
      </c>
      <c r="AK120" s="4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51"/>
      <c r="N121" s="2"/>
      <c r="O121" s="2"/>
      <c r="P121" s="2"/>
      <c r="Q121" s="2"/>
      <c r="R121" s="2"/>
      <c r="S121" s="2"/>
      <c r="T121" s="2"/>
      <c r="U121" s="53"/>
      <c r="V121" s="52"/>
      <c r="W121" s="2"/>
      <c r="X121" s="53"/>
      <c r="Y121" s="2"/>
      <c r="Z121" s="34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57">
        <f t="shared" si="21"/>
        <v>0</v>
      </c>
      <c r="AF121" s="58">
        <f t="shared" si="26"/>
        <v>0</v>
      </c>
      <c r="AG121" s="29">
        <f t="shared" si="22"/>
        <v>0</v>
      </c>
      <c r="AH121">
        <f t="shared" si="23"/>
        <v>0</v>
      </c>
      <c r="AI121" s="49">
        <f t="shared" si="24"/>
        <v>0</v>
      </c>
      <c r="AJ121" s="49">
        <f t="shared" si="25"/>
        <v>0</v>
      </c>
      <c r="AK121" s="4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51"/>
      <c r="N122" s="2"/>
      <c r="O122" s="2"/>
      <c r="P122" s="2"/>
      <c r="Q122" s="2"/>
      <c r="R122" s="2"/>
      <c r="S122" s="2"/>
      <c r="T122" s="2"/>
      <c r="U122" s="53"/>
      <c r="V122" s="52"/>
      <c r="W122" s="2"/>
      <c r="X122" s="53"/>
      <c r="Y122" s="2"/>
      <c r="Z122" s="34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57">
        <f t="shared" si="21"/>
        <v>0</v>
      </c>
      <c r="AF122" s="58">
        <f t="shared" si="26"/>
        <v>0</v>
      </c>
      <c r="AG122" s="29">
        <f t="shared" si="22"/>
        <v>0</v>
      </c>
      <c r="AH122">
        <f t="shared" si="23"/>
        <v>0</v>
      </c>
      <c r="AI122" s="49">
        <f t="shared" si="24"/>
        <v>0</v>
      </c>
      <c r="AJ122" s="49">
        <f t="shared" si="25"/>
        <v>0</v>
      </c>
      <c r="AK122" s="4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51"/>
      <c r="N123" s="2"/>
      <c r="O123" s="2"/>
      <c r="P123" s="2"/>
      <c r="Q123" s="2"/>
      <c r="R123" s="2"/>
      <c r="S123" s="2"/>
      <c r="T123" s="2"/>
      <c r="U123" s="53"/>
      <c r="V123" s="52"/>
      <c r="W123" s="2"/>
      <c r="X123" s="53"/>
      <c r="Y123" s="2"/>
      <c r="Z123" s="34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57">
        <f t="shared" si="21"/>
        <v>0</v>
      </c>
      <c r="AF123" s="58">
        <f t="shared" si="26"/>
        <v>0</v>
      </c>
      <c r="AG123" s="29">
        <f t="shared" si="22"/>
        <v>0</v>
      </c>
      <c r="AH123">
        <f t="shared" si="23"/>
        <v>0</v>
      </c>
      <c r="AI123" s="49">
        <f t="shared" si="24"/>
        <v>0</v>
      </c>
      <c r="AJ123" s="49">
        <f t="shared" si="25"/>
        <v>0</v>
      </c>
      <c r="AK123" s="4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51"/>
      <c r="N124" s="2"/>
      <c r="O124" s="2"/>
      <c r="P124" s="2"/>
      <c r="Q124" s="2"/>
      <c r="R124" s="2"/>
      <c r="S124" s="2"/>
      <c r="T124" s="2"/>
      <c r="U124" s="53"/>
      <c r="V124" s="52"/>
      <c r="W124" s="2"/>
      <c r="X124" s="53"/>
      <c r="Y124" s="2"/>
      <c r="Z124" s="34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57">
        <f t="shared" si="21"/>
        <v>0</v>
      </c>
      <c r="AF124" s="58">
        <f t="shared" si="26"/>
        <v>0</v>
      </c>
      <c r="AG124" s="29">
        <f t="shared" si="22"/>
        <v>0</v>
      </c>
      <c r="AH124">
        <f t="shared" si="23"/>
        <v>0</v>
      </c>
      <c r="AI124" s="49">
        <f t="shared" si="24"/>
        <v>0</v>
      </c>
      <c r="AJ124" s="49">
        <f t="shared" si="25"/>
        <v>0</v>
      </c>
      <c r="AK124" s="4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51"/>
      <c r="N125" s="2"/>
      <c r="O125" s="2"/>
      <c r="P125" s="2"/>
      <c r="Q125" s="2"/>
      <c r="R125" s="2"/>
      <c r="S125" s="2"/>
      <c r="T125" s="2"/>
      <c r="U125" s="53"/>
      <c r="V125" s="52"/>
      <c r="W125" s="2"/>
      <c r="X125" s="53"/>
      <c r="Y125" s="2"/>
      <c r="Z125" s="34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57">
        <f t="shared" si="21"/>
        <v>0</v>
      </c>
      <c r="AF125" s="58">
        <f t="shared" si="26"/>
        <v>0</v>
      </c>
      <c r="AG125" s="29">
        <f t="shared" si="22"/>
        <v>0</v>
      </c>
      <c r="AH125">
        <f t="shared" si="23"/>
        <v>0</v>
      </c>
      <c r="AI125" s="49">
        <f t="shared" si="24"/>
        <v>0</v>
      </c>
      <c r="AJ125" s="49">
        <f t="shared" si="25"/>
        <v>0</v>
      </c>
      <c r="AK125" s="4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1"/>
  <sheetViews>
    <sheetView workbookViewId="0">
      <selection activeCell="A5" sqref="A5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180</v>
      </c>
      <c r="B1">
        <v>1E-4</v>
      </c>
    </row>
    <row r="2" spans="1:2" x14ac:dyDescent="0.25">
      <c r="A2" t="s">
        <v>181</v>
      </c>
      <c r="B2">
        <v>37</v>
      </c>
    </row>
    <row r="3" spans="1:2" x14ac:dyDescent="0.25">
      <c r="A3" t="s">
        <v>182</v>
      </c>
      <c r="B3">
        <v>5</v>
      </c>
    </row>
    <row r="4" spans="1:2" x14ac:dyDescent="0.25">
      <c r="A4" t="s">
        <v>190</v>
      </c>
      <c r="B4">
        <v>34</v>
      </c>
    </row>
    <row r="5" spans="1:2" x14ac:dyDescent="0.25">
      <c r="A5" t="s">
        <v>191</v>
      </c>
      <c r="B5">
        <v>17</v>
      </c>
    </row>
    <row r="6" spans="1:2" x14ac:dyDescent="0.25">
      <c r="A6" t="s">
        <v>203</v>
      </c>
      <c r="B6">
        <v>42</v>
      </c>
    </row>
    <row r="7" spans="1:2" x14ac:dyDescent="0.25">
      <c r="A7" t="s">
        <v>204</v>
      </c>
      <c r="B7">
        <v>43</v>
      </c>
    </row>
    <row r="8" spans="1:2" x14ac:dyDescent="0.25">
      <c r="A8" t="s">
        <v>176</v>
      </c>
      <c r="B8">
        <v>47</v>
      </c>
    </row>
    <row r="9" spans="1:2" x14ac:dyDescent="0.25">
      <c r="A9" t="s">
        <v>177</v>
      </c>
      <c r="B9">
        <v>87</v>
      </c>
    </row>
    <row r="10" spans="1:2" x14ac:dyDescent="0.25">
      <c r="A10" t="s">
        <v>174</v>
      </c>
      <c r="B10">
        <v>96</v>
      </c>
    </row>
    <row r="11" spans="1:2" x14ac:dyDescent="0.25">
      <c r="A11" t="s">
        <v>175</v>
      </c>
      <c r="B11">
        <v>1025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468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7" t="s">
        <v>208</v>
      </c>
    </row>
    <row r="2" spans="1:1" x14ac:dyDescent="0.25">
      <c r="A2" s="27" t="s">
        <v>209</v>
      </c>
    </row>
    <row r="3" spans="1:1" x14ac:dyDescent="0.25">
      <c r="A3" s="27" t="s">
        <v>210</v>
      </c>
    </row>
    <row r="4" spans="1:1" x14ac:dyDescent="0.25">
      <c r="A4" s="27" t="s">
        <v>211</v>
      </c>
    </row>
    <row r="5" spans="1:1" x14ac:dyDescent="0.25">
      <c r="A5" s="27" t="s">
        <v>212</v>
      </c>
    </row>
    <row r="6" spans="1:1" x14ac:dyDescent="0.25">
      <c r="A6" s="27" t="s">
        <v>213</v>
      </c>
    </row>
    <row r="7" spans="1:1" x14ac:dyDescent="0.25">
      <c r="A7" s="27" t="s">
        <v>214</v>
      </c>
    </row>
    <row r="8" spans="1:1" x14ac:dyDescent="0.25">
      <c r="A8" s="27" t="s">
        <v>215</v>
      </c>
    </row>
    <row r="9" spans="1:1" x14ac:dyDescent="0.25">
      <c r="A9" t="s">
        <v>216</v>
      </c>
    </row>
    <row r="10" spans="1:1" x14ac:dyDescent="0.25">
      <c r="A10" t="s">
        <v>217</v>
      </c>
    </row>
    <row r="11" spans="1:1" x14ac:dyDescent="0.25">
      <c r="A11" s="92" t="s">
        <v>218</v>
      </c>
    </row>
    <row r="12" spans="1:1" x14ac:dyDescent="0.25">
      <c r="A12" s="92" t="s">
        <v>220</v>
      </c>
    </row>
    <row r="13" spans="1:1" x14ac:dyDescent="0.25">
      <c r="A13" s="92" t="s">
        <v>222</v>
      </c>
    </row>
    <row r="14" spans="1:1" x14ac:dyDescent="0.25">
      <c r="A14" s="92" t="s">
        <v>224</v>
      </c>
    </row>
    <row r="15" spans="1:1" x14ac:dyDescent="0.25">
      <c r="A15" s="92" t="s">
        <v>226</v>
      </c>
    </row>
    <row r="16" spans="1:1" x14ac:dyDescent="0.25">
      <c r="A16" s="92" t="s">
        <v>228</v>
      </c>
    </row>
    <row r="17" spans="1:1" x14ac:dyDescent="0.25">
      <c r="A17" s="92" t="s">
        <v>230</v>
      </c>
    </row>
    <row r="18" spans="1:1" x14ac:dyDescent="0.25">
      <c r="A18" s="92" t="s">
        <v>232</v>
      </c>
    </row>
    <row r="19" spans="1:1" x14ac:dyDescent="0.25">
      <c r="A19" s="92" t="s">
        <v>234</v>
      </c>
    </row>
    <row r="20" spans="1:1" x14ac:dyDescent="0.25">
      <c r="A20" s="92" t="s">
        <v>236</v>
      </c>
    </row>
    <row r="21" spans="1:1" x14ac:dyDescent="0.25">
      <c r="A21" s="92" t="s">
        <v>238</v>
      </c>
    </row>
    <row r="22" spans="1:1" x14ac:dyDescent="0.25">
      <c r="A22" s="92" t="s">
        <v>240</v>
      </c>
    </row>
    <row r="23" spans="1:1" x14ac:dyDescent="0.25">
      <c r="A23" s="92" t="s">
        <v>242</v>
      </c>
    </row>
    <row r="24" spans="1:1" x14ac:dyDescent="0.25">
      <c r="A24" s="92" t="s">
        <v>244</v>
      </c>
    </row>
    <row r="25" spans="1:1" x14ac:dyDescent="0.25">
      <c r="A25" s="92" t="s">
        <v>246</v>
      </c>
    </row>
    <row r="26" spans="1:1" x14ac:dyDescent="0.25">
      <c r="A26" s="92" t="s">
        <v>248</v>
      </c>
    </row>
    <row r="27" spans="1:1" x14ac:dyDescent="0.25">
      <c r="A27" s="92" t="s">
        <v>250</v>
      </c>
    </row>
    <row r="28" spans="1:1" x14ac:dyDescent="0.25">
      <c r="A28" s="92" t="s">
        <v>252</v>
      </c>
    </row>
    <row r="29" spans="1:1" x14ac:dyDescent="0.25">
      <c r="A29" s="92" t="s">
        <v>254</v>
      </c>
    </row>
    <row r="30" spans="1:1" x14ac:dyDescent="0.25">
      <c r="A30" s="92" t="s">
        <v>256</v>
      </c>
    </row>
    <row r="31" spans="1:1" x14ac:dyDescent="0.25">
      <c r="A31" s="92" t="s">
        <v>258</v>
      </c>
    </row>
    <row r="32" spans="1:1" x14ac:dyDescent="0.25">
      <c r="A32" s="92" t="s">
        <v>260</v>
      </c>
    </row>
    <row r="33" spans="1:1" x14ac:dyDescent="0.25">
      <c r="A33" s="92" t="s">
        <v>262</v>
      </c>
    </row>
    <row r="34" spans="1:1" x14ac:dyDescent="0.25">
      <c r="A34" s="92" t="s">
        <v>264</v>
      </c>
    </row>
    <row r="35" spans="1:1" x14ac:dyDescent="0.25">
      <c r="A35" s="92" t="s">
        <v>266</v>
      </c>
    </row>
    <row r="36" spans="1:1" x14ac:dyDescent="0.25">
      <c r="A36" s="92" t="s">
        <v>268</v>
      </c>
    </row>
    <row r="37" spans="1:1" x14ac:dyDescent="0.25">
      <c r="A37" s="92" t="s">
        <v>270</v>
      </c>
    </row>
    <row r="38" spans="1:1" x14ac:dyDescent="0.25">
      <c r="A38" s="92" t="s">
        <v>272</v>
      </c>
    </row>
    <row r="39" spans="1:1" x14ac:dyDescent="0.25">
      <c r="A39" s="92" t="s">
        <v>273</v>
      </c>
    </row>
    <row r="40" spans="1:1" x14ac:dyDescent="0.25">
      <c r="A40" t="s">
        <v>274</v>
      </c>
    </row>
    <row r="41" spans="1:1" x14ac:dyDescent="0.25">
      <c r="A41" t="s">
        <v>275</v>
      </c>
    </row>
    <row r="42" spans="1:1" x14ac:dyDescent="0.25">
      <c r="A42" t="s">
        <v>276</v>
      </c>
    </row>
    <row r="43" spans="1:1" x14ac:dyDescent="0.25">
      <c r="A43" t="s">
        <v>277</v>
      </c>
    </row>
    <row r="44" spans="1:1" x14ac:dyDescent="0.25">
      <c r="A44" t="s">
        <v>278</v>
      </c>
    </row>
    <row r="45" spans="1:1" x14ac:dyDescent="0.25">
      <c r="A45" t="s">
        <v>279</v>
      </c>
    </row>
    <row r="46" spans="1:1" x14ac:dyDescent="0.25">
      <c r="A46" t="s">
        <v>280</v>
      </c>
    </row>
    <row r="47" spans="1:1" x14ac:dyDescent="0.25">
      <c r="A47" t="s">
        <v>281</v>
      </c>
    </row>
    <row r="48" spans="1:1" x14ac:dyDescent="0.25">
      <c r="A48" t="s">
        <v>282</v>
      </c>
    </row>
    <row r="49" spans="1:1" x14ac:dyDescent="0.25">
      <c r="A49" t="s">
        <v>283</v>
      </c>
    </row>
    <row r="50" spans="1:1" x14ac:dyDescent="0.25">
      <c r="A50" t="s">
        <v>284</v>
      </c>
    </row>
    <row r="51" spans="1:1" x14ac:dyDescent="0.25">
      <c r="A51" t="s">
        <v>285</v>
      </c>
    </row>
    <row r="52" spans="1:1" x14ac:dyDescent="0.25">
      <c r="A52" t="s">
        <v>286</v>
      </c>
    </row>
    <row r="53" spans="1:1" x14ac:dyDescent="0.25">
      <c r="A53" t="s">
        <v>287</v>
      </c>
    </row>
    <row r="54" spans="1:1" x14ac:dyDescent="0.25">
      <c r="A54" t="s">
        <v>288</v>
      </c>
    </row>
    <row r="55" spans="1:1" x14ac:dyDescent="0.25">
      <c r="A55" t="s">
        <v>289</v>
      </c>
    </row>
    <row r="56" spans="1:1" x14ac:dyDescent="0.25">
      <c r="A56" t="s">
        <v>290</v>
      </c>
    </row>
    <row r="57" spans="1:1" x14ac:dyDescent="0.25">
      <c r="A57" t="s">
        <v>291</v>
      </c>
    </row>
    <row r="58" spans="1:1" x14ac:dyDescent="0.25">
      <c r="A58" t="s">
        <v>292</v>
      </c>
    </row>
    <row r="59" spans="1:1" x14ac:dyDescent="0.25">
      <c r="A59" t="s">
        <v>293</v>
      </c>
    </row>
    <row r="60" spans="1:1" x14ac:dyDescent="0.25">
      <c r="A60" t="s">
        <v>294</v>
      </c>
    </row>
    <row r="61" spans="1:1" x14ac:dyDescent="0.25">
      <c r="A61" t="s">
        <v>295</v>
      </c>
    </row>
    <row r="62" spans="1:1" x14ac:dyDescent="0.25">
      <c r="A62" t="s">
        <v>296</v>
      </c>
    </row>
    <row r="63" spans="1:1" x14ac:dyDescent="0.25">
      <c r="A63" t="s">
        <v>297</v>
      </c>
    </row>
    <row r="64" spans="1:1" x14ac:dyDescent="0.25">
      <c r="A64" t="s">
        <v>298</v>
      </c>
    </row>
    <row r="65" spans="1:1" x14ac:dyDescent="0.25">
      <c r="A65" t="s">
        <v>299</v>
      </c>
    </row>
    <row r="66" spans="1:1" x14ac:dyDescent="0.25">
      <c r="A66" t="s">
        <v>300</v>
      </c>
    </row>
    <row r="67" spans="1:1" x14ac:dyDescent="0.25">
      <c r="A67" t="s">
        <v>301</v>
      </c>
    </row>
    <row r="68" spans="1:1" x14ac:dyDescent="0.25">
      <c r="A68" t="s">
        <v>302</v>
      </c>
    </row>
    <row r="69" spans="1:1" x14ac:dyDescent="0.25">
      <c r="A69" t="s">
        <v>303</v>
      </c>
    </row>
    <row r="70" spans="1:1" x14ac:dyDescent="0.25">
      <c r="A70" t="s">
        <v>304</v>
      </c>
    </row>
    <row r="71" spans="1:1" x14ac:dyDescent="0.25">
      <c r="A71" t="s">
        <v>305</v>
      </c>
    </row>
    <row r="72" spans="1:1" x14ac:dyDescent="0.25">
      <c r="A72" t="s">
        <v>306</v>
      </c>
    </row>
    <row r="73" spans="1:1" x14ac:dyDescent="0.25">
      <c r="A73" t="s">
        <v>307</v>
      </c>
    </row>
    <row r="74" spans="1:1" x14ac:dyDescent="0.25">
      <c r="A74" t="s">
        <v>308</v>
      </c>
    </row>
    <row r="75" spans="1:1" x14ac:dyDescent="0.25">
      <c r="A75" t="s">
        <v>309</v>
      </c>
    </row>
    <row r="76" spans="1:1" x14ac:dyDescent="0.25">
      <c r="A76" t="s">
        <v>310</v>
      </c>
    </row>
    <row r="77" spans="1:1" x14ac:dyDescent="0.25">
      <c r="A77" t="s">
        <v>311</v>
      </c>
    </row>
    <row r="78" spans="1:1" x14ac:dyDescent="0.25">
      <c r="A78" t="s">
        <v>312</v>
      </c>
    </row>
    <row r="79" spans="1:1" x14ac:dyDescent="0.25">
      <c r="A79" t="s">
        <v>313</v>
      </c>
    </row>
    <row r="80" spans="1:1" x14ac:dyDescent="0.25">
      <c r="A80" t="s">
        <v>314</v>
      </c>
    </row>
    <row r="81" spans="1:1" x14ac:dyDescent="0.25">
      <c r="A81" t="s">
        <v>315</v>
      </c>
    </row>
    <row r="82" spans="1:1" x14ac:dyDescent="0.25">
      <c r="A82" t="s">
        <v>316</v>
      </c>
    </row>
    <row r="83" spans="1:1" x14ac:dyDescent="0.25">
      <c r="A83" t="s">
        <v>317</v>
      </c>
    </row>
    <row r="84" spans="1:1" x14ac:dyDescent="0.25">
      <c r="A84" t="s">
        <v>318</v>
      </c>
    </row>
    <row r="85" spans="1:1" x14ac:dyDescent="0.25">
      <c r="A85" t="s">
        <v>319</v>
      </c>
    </row>
    <row r="86" spans="1:1" x14ac:dyDescent="0.25">
      <c r="A86" t="s">
        <v>320</v>
      </c>
    </row>
    <row r="87" spans="1:1" x14ac:dyDescent="0.25">
      <c r="A87" t="s">
        <v>321</v>
      </c>
    </row>
    <row r="88" spans="1:1" x14ac:dyDescent="0.25">
      <c r="A88" t="s">
        <v>322</v>
      </c>
    </row>
    <row r="89" spans="1:1" x14ac:dyDescent="0.25">
      <c r="A89" t="s">
        <v>323</v>
      </c>
    </row>
    <row r="90" spans="1:1" x14ac:dyDescent="0.25">
      <c r="A90" t="s">
        <v>324</v>
      </c>
    </row>
    <row r="91" spans="1:1" x14ac:dyDescent="0.25">
      <c r="A91" t="s">
        <v>325</v>
      </c>
    </row>
    <row r="92" spans="1:1" x14ac:dyDescent="0.25">
      <c r="A92" t="s">
        <v>326</v>
      </c>
    </row>
    <row r="93" spans="1:1" x14ac:dyDescent="0.25">
      <c r="A93" t="s">
        <v>327</v>
      </c>
    </row>
    <row r="94" spans="1:1" x14ac:dyDescent="0.25">
      <c r="A94" s="92" t="s">
        <v>328</v>
      </c>
    </row>
    <row r="95" spans="1:1" x14ac:dyDescent="0.25">
      <c r="A95" s="92" t="s">
        <v>329</v>
      </c>
    </row>
    <row r="96" spans="1:1" x14ac:dyDescent="0.25">
      <c r="A96" s="92" t="s">
        <v>330</v>
      </c>
    </row>
    <row r="97" spans="1:1" x14ac:dyDescent="0.25">
      <c r="A97" s="93" t="s">
        <v>331</v>
      </c>
    </row>
    <row r="98" spans="1:1" x14ac:dyDescent="0.25">
      <c r="A98" s="93" t="s">
        <v>332</v>
      </c>
    </row>
    <row r="99" spans="1:1" x14ac:dyDescent="0.25">
      <c r="A99" s="92" t="s">
        <v>333</v>
      </c>
    </row>
    <row r="100" spans="1:1" x14ac:dyDescent="0.25">
      <c r="A100" s="27" t="s">
        <v>334</v>
      </c>
    </row>
    <row r="101" spans="1:1" x14ac:dyDescent="0.25">
      <c r="A101" s="27" t="s">
        <v>334</v>
      </c>
    </row>
    <row r="102" spans="1:1" x14ac:dyDescent="0.25">
      <c r="A102" s="27" t="s">
        <v>335</v>
      </c>
    </row>
    <row r="103" spans="1:1" x14ac:dyDescent="0.25">
      <c r="A103" s="27" t="s">
        <v>335</v>
      </c>
    </row>
    <row r="104" spans="1:1" x14ac:dyDescent="0.25">
      <c r="A104" s="27" t="s">
        <v>336</v>
      </c>
    </row>
    <row r="105" spans="1:1" x14ac:dyDescent="0.25">
      <c r="A105" s="27" t="s">
        <v>336</v>
      </c>
    </row>
    <row r="106" spans="1:1" x14ac:dyDescent="0.25">
      <c r="A106" s="27" t="s">
        <v>336</v>
      </c>
    </row>
    <row r="107" spans="1:1" x14ac:dyDescent="0.25">
      <c r="A107" s="27" t="s">
        <v>337</v>
      </c>
    </row>
    <row r="108" spans="1:1" x14ac:dyDescent="0.25">
      <c r="A108" s="27" t="s">
        <v>337</v>
      </c>
    </row>
    <row r="109" spans="1:1" x14ac:dyDescent="0.25">
      <c r="A109" s="27" t="s">
        <v>338</v>
      </c>
    </row>
    <row r="110" spans="1:1" x14ac:dyDescent="0.25">
      <c r="A110" s="27" t="s">
        <v>338</v>
      </c>
    </row>
    <row r="111" spans="1:1" x14ac:dyDescent="0.25">
      <c r="A111" s="27" t="s">
        <v>338</v>
      </c>
    </row>
    <row r="112" spans="1:1" x14ac:dyDescent="0.25">
      <c r="A112" s="27" t="s">
        <v>339</v>
      </c>
    </row>
    <row r="113" spans="1:1" x14ac:dyDescent="0.25">
      <c r="A113" s="27" t="s">
        <v>340</v>
      </c>
    </row>
    <row r="114" spans="1:1" x14ac:dyDescent="0.25">
      <c r="A114" s="27" t="s">
        <v>340</v>
      </c>
    </row>
    <row r="115" spans="1:1" x14ac:dyDescent="0.25">
      <c r="A115" s="27" t="s">
        <v>341</v>
      </c>
    </row>
    <row r="116" spans="1:1" x14ac:dyDescent="0.25">
      <c r="A116" s="27" t="s">
        <v>341</v>
      </c>
    </row>
    <row r="117" spans="1:1" x14ac:dyDescent="0.25">
      <c r="A117" s="27" t="s">
        <v>342</v>
      </c>
    </row>
    <row r="118" spans="1:1" x14ac:dyDescent="0.25">
      <c r="A118" s="27" t="s">
        <v>342</v>
      </c>
    </row>
    <row r="119" spans="1:1" x14ac:dyDescent="0.25">
      <c r="A119" s="27" t="s">
        <v>342</v>
      </c>
    </row>
    <row r="120" spans="1:1" x14ac:dyDescent="0.25">
      <c r="A120" s="27" t="s">
        <v>343</v>
      </c>
    </row>
    <row r="121" spans="1:1" x14ac:dyDescent="0.25">
      <c r="A121" s="27" t="s">
        <v>343</v>
      </c>
    </row>
    <row r="122" spans="1:1" x14ac:dyDescent="0.25">
      <c r="A122" s="27" t="s">
        <v>343</v>
      </c>
    </row>
    <row r="123" spans="1:1" x14ac:dyDescent="0.25">
      <c r="A123" s="27" t="s">
        <v>344</v>
      </c>
    </row>
    <row r="124" spans="1:1" x14ac:dyDescent="0.25">
      <c r="A124" s="27" t="s">
        <v>344</v>
      </c>
    </row>
    <row r="125" spans="1:1" x14ac:dyDescent="0.25">
      <c r="A125" s="27" t="s">
        <v>344</v>
      </c>
    </row>
    <row r="126" spans="1:1" x14ac:dyDescent="0.25">
      <c r="A126" s="27" t="s">
        <v>344</v>
      </c>
    </row>
    <row r="127" spans="1:1" x14ac:dyDescent="0.25">
      <c r="A127" s="27" t="s">
        <v>345</v>
      </c>
    </row>
    <row r="128" spans="1:1" x14ac:dyDescent="0.25">
      <c r="A128" s="27" t="s">
        <v>345</v>
      </c>
    </row>
    <row r="129" spans="1:1" x14ac:dyDescent="0.25">
      <c r="A129" s="27" t="s">
        <v>345</v>
      </c>
    </row>
    <row r="130" spans="1:1" x14ac:dyDescent="0.25">
      <c r="A130" s="27" t="s">
        <v>345</v>
      </c>
    </row>
    <row r="131" spans="1:1" x14ac:dyDescent="0.25">
      <c r="A131" s="27" t="s">
        <v>345</v>
      </c>
    </row>
    <row r="132" spans="1:1" x14ac:dyDescent="0.25">
      <c r="A132" s="27" t="s">
        <v>345</v>
      </c>
    </row>
    <row r="133" spans="1:1" x14ac:dyDescent="0.25">
      <c r="A133" s="27" t="s">
        <v>345</v>
      </c>
    </row>
    <row r="134" spans="1:1" x14ac:dyDescent="0.25">
      <c r="A134" s="27" t="s">
        <v>345</v>
      </c>
    </row>
    <row r="135" spans="1:1" x14ac:dyDescent="0.25">
      <c r="A135" s="27" t="s">
        <v>346</v>
      </c>
    </row>
    <row r="136" spans="1:1" x14ac:dyDescent="0.25">
      <c r="A136" s="27" t="s">
        <v>346</v>
      </c>
    </row>
    <row r="137" spans="1:1" x14ac:dyDescent="0.25">
      <c r="A137" s="27" t="s">
        <v>346</v>
      </c>
    </row>
    <row r="138" spans="1:1" x14ac:dyDescent="0.25">
      <c r="A138" s="27" t="s">
        <v>346</v>
      </c>
    </row>
    <row r="139" spans="1:1" x14ac:dyDescent="0.25">
      <c r="A139" s="27" t="s">
        <v>346</v>
      </c>
    </row>
    <row r="140" spans="1:1" x14ac:dyDescent="0.25">
      <c r="A140" s="27" t="s">
        <v>346</v>
      </c>
    </row>
    <row r="141" spans="1:1" x14ac:dyDescent="0.25">
      <c r="A141" s="27" t="s">
        <v>346</v>
      </c>
    </row>
    <row r="142" spans="1:1" x14ac:dyDescent="0.25">
      <c r="A142" s="27" t="s">
        <v>346</v>
      </c>
    </row>
    <row r="143" spans="1:1" x14ac:dyDescent="0.25">
      <c r="A143" s="27" t="s">
        <v>346</v>
      </c>
    </row>
    <row r="144" spans="1:1" x14ac:dyDescent="0.25">
      <c r="A144" s="27" t="s">
        <v>346</v>
      </c>
    </row>
    <row r="145" spans="1:1" x14ac:dyDescent="0.25">
      <c r="A145" s="27" t="s">
        <v>347</v>
      </c>
    </row>
    <row r="146" spans="1:1" x14ac:dyDescent="0.25">
      <c r="A146" s="27" t="s">
        <v>347</v>
      </c>
    </row>
    <row r="147" spans="1:1" x14ac:dyDescent="0.25">
      <c r="A147" s="27" t="s">
        <v>347</v>
      </c>
    </row>
    <row r="148" spans="1:1" x14ac:dyDescent="0.25">
      <c r="A148" s="27" t="s">
        <v>347</v>
      </c>
    </row>
    <row r="149" spans="1:1" x14ac:dyDescent="0.25">
      <c r="A149" s="27" t="s">
        <v>347</v>
      </c>
    </row>
    <row r="150" spans="1:1" x14ac:dyDescent="0.25">
      <c r="A150" s="27" t="s">
        <v>347</v>
      </c>
    </row>
    <row r="151" spans="1:1" x14ac:dyDescent="0.25">
      <c r="A151" s="27" t="s">
        <v>347</v>
      </c>
    </row>
    <row r="152" spans="1:1" x14ac:dyDescent="0.25">
      <c r="A152" s="27" t="s">
        <v>347</v>
      </c>
    </row>
    <row r="153" spans="1:1" x14ac:dyDescent="0.25">
      <c r="A153" s="27" t="s">
        <v>347</v>
      </c>
    </row>
    <row r="154" spans="1:1" x14ac:dyDescent="0.25">
      <c r="A154" s="27" t="s">
        <v>348</v>
      </c>
    </row>
    <row r="155" spans="1:1" x14ac:dyDescent="0.25">
      <c r="A155" s="27" t="s">
        <v>349</v>
      </c>
    </row>
    <row r="156" spans="1:1" x14ac:dyDescent="0.25">
      <c r="A156" s="27" t="s">
        <v>350</v>
      </c>
    </row>
    <row r="157" spans="1:1" x14ac:dyDescent="0.25">
      <c r="A157" s="27" t="s">
        <v>351</v>
      </c>
    </row>
    <row r="158" spans="1:1" x14ac:dyDescent="0.25">
      <c r="A158" s="27" t="s">
        <v>352</v>
      </c>
    </row>
    <row r="159" spans="1:1" x14ac:dyDescent="0.25">
      <c r="A159" s="27" t="s">
        <v>353</v>
      </c>
    </row>
    <row r="160" spans="1:1" x14ac:dyDescent="0.25">
      <c r="A160" s="27" t="s">
        <v>354</v>
      </c>
    </row>
    <row r="161" spans="1:1" x14ac:dyDescent="0.25">
      <c r="A161" s="27" t="s">
        <v>355</v>
      </c>
    </row>
    <row r="162" spans="1:1" x14ac:dyDescent="0.25">
      <c r="A162" s="27" t="s">
        <v>356</v>
      </c>
    </row>
    <row r="163" spans="1:1" x14ac:dyDescent="0.25">
      <c r="A163" s="27" t="s">
        <v>357</v>
      </c>
    </row>
    <row r="164" spans="1:1" x14ac:dyDescent="0.25">
      <c r="A164" s="27" t="s">
        <v>358</v>
      </c>
    </row>
    <row r="165" spans="1:1" x14ac:dyDescent="0.25">
      <c r="A165" s="27" t="s">
        <v>359</v>
      </c>
    </row>
    <row r="166" spans="1:1" x14ac:dyDescent="0.25">
      <c r="A166" s="27" t="s">
        <v>360</v>
      </c>
    </row>
    <row r="167" spans="1:1" x14ac:dyDescent="0.25">
      <c r="A167" s="27" t="s">
        <v>361</v>
      </c>
    </row>
    <row r="168" spans="1:1" x14ac:dyDescent="0.25">
      <c r="A168" s="27" t="s">
        <v>362</v>
      </c>
    </row>
    <row r="169" spans="1:1" x14ac:dyDescent="0.25">
      <c r="A169" s="27" t="s">
        <v>363</v>
      </c>
    </row>
    <row r="170" spans="1:1" x14ac:dyDescent="0.25">
      <c r="A170" s="27" t="s">
        <v>364</v>
      </c>
    </row>
    <row r="171" spans="1:1" x14ac:dyDescent="0.25">
      <c r="A171" s="27" t="s">
        <v>365</v>
      </c>
    </row>
    <row r="172" spans="1:1" x14ac:dyDescent="0.25">
      <c r="A172" s="27" t="s">
        <v>366</v>
      </c>
    </row>
    <row r="173" spans="1:1" x14ac:dyDescent="0.25">
      <c r="A173" s="27" t="s">
        <v>367</v>
      </c>
    </row>
    <row r="174" spans="1:1" x14ac:dyDescent="0.25">
      <c r="A174" s="27" t="s">
        <v>368</v>
      </c>
    </row>
    <row r="175" spans="1:1" x14ac:dyDescent="0.25">
      <c r="A175" s="27" t="s">
        <v>369</v>
      </c>
    </row>
    <row r="176" spans="1:1" x14ac:dyDescent="0.25">
      <c r="A176" s="27" t="s">
        <v>370</v>
      </c>
    </row>
    <row r="177" spans="1:1" x14ac:dyDescent="0.25">
      <c r="A177" s="27" t="s">
        <v>371</v>
      </c>
    </row>
    <row r="178" spans="1:1" x14ac:dyDescent="0.25">
      <c r="A178" s="27" t="s">
        <v>372</v>
      </c>
    </row>
    <row r="179" spans="1:1" x14ac:dyDescent="0.25">
      <c r="A179" s="27" t="s">
        <v>373</v>
      </c>
    </row>
    <row r="180" spans="1:1" x14ac:dyDescent="0.25">
      <c r="A180" s="27" t="s">
        <v>374</v>
      </c>
    </row>
    <row r="181" spans="1:1" x14ac:dyDescent="0.25">
      <c r="A181" s="27" t="s">
        <v>375</v>
      </c>
    </row>
    <row r="182" spans="1:1" x14ac:dyDescent="0.25">
      <c r="A182" s="27" t="s">
        <v>376</v>
      </c>
    </row>
    <row r="183" spans="1:1" x14ac:dyDescent="0.25">
      <c r="A183" s="27" t="s">
        <v>377</v>
      </c>
    </row>
    <row r="184" spans="1:1" x14ac:dyDescent="0.25">
      <c r="A184" s="27" t="s">
        <v>378</v>
      </c>
    </row>
    <row r="185" spans="1:1" x14ac:dyDescent="0.25">
      <c r="A185" s="27" t="s">
        <v>379</v>
      </c>
    </row>
    <row r="186" spans="1:1" x14ac:dyDescent="0.25">
      <c r="A186" s="27" t="s">
        <v>380</v>
      </c>
    </row>
    <row r="187" spans="1:1" x14ac:dyDescent="0.25">
      <c r="A187" s="27" t="s">
        <v>381</v>
      </c>
    </row>
    <row r="188" spans="1:1" x14ac:dyDescent="0.25">
      <c r="A188" s="27" t="s">
        <v>382</v>
      </c>
    </row>
    <row r="189" spans="1:1" x14ac:dyDescent="0.25">
      <c r="A189" s="27" t="s">
        <v>383</v>
      </c>
    </row>
    <row r="190" spans="1:1" x14ac:dyDescent="0.25">
      <c r="A190" s="27" t="s">
        <v>384</v>
      </c>
    </row>
    <row r="191" spans="1:1" x14ac:dyDescent="0.25">
      <c r="A191" s="27" t="s">
        <v>385</v>
      </c>
    </row>
    <row r="192" spans="1:1" x14ac:dyDescent="0.25">
      <c r="A192" s="27" t="s">
        <v>386</v>
      </c>
    </row>
    <row r="193" spans="1:1" x14ac:dyDescent="0.25">
      <c r="A193" s="27" t="s">
        <v>387</v>
      </c>
    </row>
    <row r="194" spans="1:1" x14ac:dyDescent="0.25">
      <c r="A194" s="27" t="s">
        <v>388</v>
      </c>
    </row>
    <row r="195" spans="1:1" x14ac:dyDescent="0.25">
      <c r="A195" s="27" t="s">
        <v>389</v>
      </c>
    </row>
    <row r="196" spans="1:1" x14ac:dyDescent="0.25">
      <c r="A196" s="27" t="s">
        <v>390</v>
      </c>
    </row>
    <row r="197" spans="1:1" x14ac:dyDescent="0.25">
      <c r="A197" s="27" t="s">
        <v>391</v>
      </c>
    </row>
    <row r="198" spans="1:1" x14ac:dyDescent="0.25">
      <c r="A198" s="27" t="s">
        <v>392</v>
      </c>
    </row>
    <row r="199" spans="1:1" x14ac:dyDescent="0.25">
      <c r="A199" s="27" t="s">
        <v>393</v>
      </c>
    </row>
    <row r="200" spans="1:1" x14ac:dyDescent="0.25">
      <c r="A200" s="27" t="s">
        <v>394</v>
      </c>
    </row>
    <row r="201" spans="1:1" x14ac:dyDescent="0.25">
      <c r="A201" s="27" t="s">
        <v>395</v>
      </c>
    </row>
    <row r="202" spans="1:1" x14ac:dyDescent="0.25">
      <c r="A202" s="27" t="s">
        <v>396</v>
      </c>
    </row>
    <row r="203" spans="1:1" x14ac:dyDescent="0.25">
      <c r="A203" s="27" t="s">
        <v>397</v>
      </c>
    </row>
    <row r="204" spans="1:1" x14ac:dyDescent="0.25">
      <c r="A204" s="27" t="s">
        <v>398</v>
      </c>
    </row>
    <row r="205" spans="1:1" x14ac:dyDescent="0.25">
      <c r="A205" s="27" t="s">
        <v>399</v>
      </c>
    </row>
    <row r="206" spans="1:1" x14ac:dyDescent="0.25">
      <c r="A206" s="27" t="s">
        <v>400</v>
      </c>
    </row>
    <row r="207" spans="1:1" x14ac:dyDescent="0.25">
      <c r="A207" s="27" t="s">
        <v>401</v>
      </c>
    </row>
    <row r="208" spans="1:1" x14ac:dyDescent="0.25">
      <c r="A208" s="27" t="s">
        <v>402</v>
      </c>
    </row>
    <row r="209" spans="1:1" x14ac:dyDescent="0.25">
      <c r="A209" s="27" t="s">
        <v>403</v>
      </c>
    </row>
    <row r="210" spans="1:1" x14ac:dyDescent="0.25">
      <c r="A210" s="27" t="s">
        <v>404</v>
      </c>
    </row>
    <row r="211" spans="1:1" x14ac:dyDescent="0.25">
      <c r="A211" s="27" t="s">
        <v>405</v>
      </c>
    </row>
    <row r="212" spans="1:1" x14ac:dyDescent="0.25">
      <c r="A212" s="27" t="s">
        <v>406</v>
      </c>
    </row>
    <row r="213" spans="1:1" x14ac:dyDescent="0.25">
      <c r="A213" s="27" t="s">
        <v>407</v>
      </c>
    </row>
    <row r="214" spans="1:1" x14ac:dyDescent="0.25">
      <c r="A214" s="27" t="s">
        <v>408</v>
      </c>
    </row>
    <row r="215" spans="1:1" x14ac:dyDescent="0.25">
      <c r="A215" s="27" t="s">
        <v>409</v>
      </c>
    </row>
    <row r="216" spans="1:1" x14ac:dyDescent="0.25">
      <c r="A216" s="27" t="s">
        <v>410</v>
      </c>
    </row>
    <row r="217" spans="1:1" x14ac:dyDescent="0.25">
      <c r="A217" s="27" t="s">
        <v>411</v>
      </c>
    </row>
    <row r="218" spans="1:1" x14ac:dyDescent="0.25">
      <c r="A218" s="27" t="s">
        <v>412</v>
      </c>
    </row>
    <row r="219" spans="1:1" x14ac:dyDescent="0.25">
      <c r="A219" s="27" t="s">
        <v>413</v>
      </c>
    </row>
    <row r="220" spans="1:1" x14ac:dyDescent="0.25">
      <c r="A220" s="27" t="s">
        <v>414</v>
      </c>
    </row>
    <row r="221" spans="1:1" x14ac:dyDescent="0.25">
      <c r="A221" s="27" t="s">
        <v>415</v>
      </c>
    </row>
    <row r="222" spans="1:1" x14ac:dyDescent="0.25">
      <c r="A222" s="27" t="s">
        <v>416</v>
      </c>
    </row>
    <row r="223" spans="1:1" x14ac:dyDescent="0.25">
      <c r="A223" s="27" t="s">
        <v>417</v>
      </c>
    </row>
    <row r="224" spans="1:1" x14ac:dyDescent="0.25">
      <c r="A224" s="27" t="s">
        <v>418</v>
      </c>
    </row>
    <row r="225" spans="1:1" x14ac:dyDescent="0.25">
      <c r="A225" s="27" t="s">
        <v>419</v>
      </c>
    </row>
    <row r="226" spans="1:1" x14ac:dyDescent="0.25">
      <c r="A226" s="27" t="s">
        <v>420</v>
      </c>
    </row>
    <row r="227" spans="1:1" x14ac:dyDescent="0.25">
      <c r="A227" s="27" t="s">
        <v>421</v>
      </c>
    </row>
    <row r="228" spans="1:1" x14ac:dyDescent="0.25">
      <c r="A228" s="27" t="s">
        <v>422</v>
      </c>
    </row>
    <row r="229" spans="1:1" x14ac:dyDescent="0.25">
      <c r="A229" s="27" t="s">
        <v>423</v>
      </c>
    </row>
    <row r="230" spans="1:1" x14ac:dyDescent="0.25">
      <c r="A230" s="27" t="s">
        <v>424</v>
      </c>
    </row>
    <row r="231" spans="1:1" x14ac:dyDescent="0.25">
      <c r="A231" s="27" t="s">
        <v>425</v>
      </c>
    </row>
    <row r="232" spans="1:1" x14ac:dyDescent="0.25">
      <c r="A232" s="27" t="s">
        <v>426</v>
      </c>
    </row>
    <row r="233" spans="1:1" x14ac:dyDescent="0.25">
      <c r="A233" s="27" t="s">
        <v>427</v>
      </c>
    </row>
    <row r="234" spans="1:1" x14ac:dyDescent="0.25">
      <c r="A234" s="27" t="s">
        <v>428</v>
      </c>
    </row>
    <row r="235" spans="1:1" x14ac:dyDescent="0.25">
      <c r="A235" s="27" t="s">
        <v>429</v>
      </c>
    </row>
    <row r="236" spans="1:1" x14ac:dyDescent="0.25">
      <c r="A236" s="27" t="s">
        <v>430</v>
      </c>
    </row>
    <row r="237" spans="1:1" x14ac:dyDescent="0.25">
      <c r="A237" s="27" t="s">
        <v>431</v>
      </c>
    </row>
    <row r="238" spans="1:1" x14ac:dyDescent="0.25">
      <c r="A238" s="27" t="s">
        <v>432</v>
      </c>
    </row>
    <row r="239" spans="1:1" x14ac:dyDescent="0.25">
      <c r="A239" s="27" t="s">
        <v>433</v>
      </c>
    </row>
    <row r="240" spans="1:1" x14ac:dyDescent="0.25">
      <c r="A240" s="27" t="s">
        <v>434</v>
      </c>
    </row>
    <row r="241" spans="1:1" x14ac:dyDescent="0.25">
      <c r="A241" s="27" t="s">
        <v>435</v>
      </c>
    </row>
    <row r="242" spans="1:1" x14ac:dyDescent="0.25">
      <c r="A242" s="27" t="s">
        <v>436</v>
      </c>
    </row>
    <row r="243" spans="1:1" x14ac:dyDescent="0.25">
      <c r="A243" s="27" t="s">
        <v>437</v>
      </c>
    </row>
    <row r="244" spans="1:1" x14ac:dyDescent="0.25">
      <c r="A244" s="27" t="s">
        <v>438</v>
      </c>
    </row>
    <row r="245" spans="1:1" x14ac:dyDescent="0.25">
      <c r="A245" s="27" t="s">
        <v>439</v>
      </c>
    </row>
    <row r="246" spans="1:1" x14ac:dyDescent="0.25">
      <c r="A246" s="27" t="s">
        <v>440</v>
      </c>
    </row>
    <row r="247" spans="1:1" x14ac:dyDescent="0.25">
      <c r="A247" s="27" t="s">
        <v>441</v>
      </c>
    </row>
    <row r="248" spans="1:1" x14ac:dyDescent="0.25">
      <c r="A248" s="27" t="s">
        <v>442</v>
      </c>
    </row>
    <row r="249" spans="1:1" x14ac:dyDescent="0.25">
      <c r="A249" s="27" t="s">
        <v>443</v>
      </c>
    </row>
    <row r="250" spans="1:1" x14ac:dyDescent="0.25">
      <c r="A250" s="27" t="s">
        <v>444</v>
      </c>
    </row>
    <row r="251" spans="1:1" x14ac:dyDescent="0.25">
      <c r="A251" s="27" t="s">
        <v>445</v>
      </c>
    </row>
    <row r="252" spans="1:1" x14ac:dyDescent="0.25">
      <c r="A252" s="27" t="s">
        <v>446</v>
      </c>
    </row>
    <row r="253" spans="1:1" x14ac:dyDescent="0.25">
      <c r="A253" s="27" t="s">
        <v>447</v>
      </c>
    </row>
    <row r="254" spans="1:1" x14ac:dyDescent="0.25">
      <c r="A254" s="27" t="s">
        <v>448</v>
      </c>
    </row>
    <row r="255" spans="1:1" x14ac:dyDescent="0.25">
      <c r="A255" s="27" t="s">
        <v>449</v>
      </c>
    </row>
    <row r="256" spans="1:1" x14ac:dyDescent="0.25">
      <c r="A256" s="27" t="s">
        <v>450</v>
      </c>
    </row>
    <row r="257" spans="1:1" x14ac:dyDescent="0.25">
      <c r="A257" s="27" t="s">
        <v>451</v>
      </c>
    </row>
    <row r="258" spans="1:1" x14ac:dyDescent="0.25">
      <c r="A258" s="27" t="s">
        <v>452</v>
      </c>
    </row>
    <row r="259" spans="1:1" x14ac:dyDescent="0.25">
      <c r="A259" s="27" t="s">
        <v>453</v>
      </c>
    </row>
    <row r="260" spans="1:1" x14ac:dyDescent="0.25">
      <c r="A260" s="27" t="s">
        <v>454</v>
      </c>
    </row>
    <row r="261" spans="1:1" x14ac:dyDescent="0.25">
      <c r="A261" s="27" t="s">
        <v>455</v>
      </c>
    </row>
    <row r="262" spans="1:1" x14ac:dyDescent="0.25">
      <c r="A262" s="27" t="s">
        <v>456</v>
      </c>
    </row>
    <row r="263" spans="1:1" x14ac:dyDescent="0.25">
      <c r="A263" s="27" t="s">
        <v>457</v>
      </c>
    </row>
    <row r="264" spans="1:1" x14ac:dyDescent="0.25">
      <c r="A264" s="27" t="s">
        <v>458</v>
      </c>
    </row>
    <row r="265" spans="1:1" x14ac:dyDescent="0.25">
      <c r="A265" s="27" t="s">
        <v>459</v>
      </c>
    </row>
    <row r="266" spans="1:1" x14ac:dyDescent="0.25">
      <c r="A266" s="27" t="s">
        <v>460</v>
      </c>
    </row>
    <row r="267" spans="1:1" x14ac:dyDescent="0.25">
      <c r="A267" s="27" t="s">
        <v>461</v>
      </c>
    </row>
    <row r="268" spans="1:1" x14ac:dyDescent="0.25">
      <c r="A268" s="27" t="s">
        <v>462</v>
      </c>
    </row>
    <row r="269" spans="1:1" x14ac:dyDescent="0.25">
      <c r="A269" s="27" t="s">
        <v>463</v>
      </c>
    </row>
    <row r="270" spans="1:1" x14ac:dyDescent="0.25">
      <c r="A270" s="27" t="s">
        <v>464</v>
      </c>
    </row>
    <row r="271" spans="1:1" x14ac:dyDescent="0.25">
      <c r="A271" s="27" t="s">
        <v>465</v>
      </c>
    </row>
    <row r="272" spans="1:1" x14ac:dyDescent="0.25">
      <c r="A272" s="27" t="s">
        <v>466</v>
      </c>
    </row>
    <row r="273" spans="1:1" x14ac:dyDescent="0.25">
      <c r="A273" s="27" t="s">
        <v>467</v>
      </c>
    </row>
    <row r="274" spans="1:1" x14ac:dyDescent="0.25">
      <c r="A274" s="27" t="s">
        <v>468</v>
      </c>
    </row>
    <row r="275" spans="1:1" x14ac:dyDescent="0.25">
      <c r="A275" s="27" t="s">
        <v>469</v>
      </c>
    </row>
    <row r="276" spans="1:1" x14ac:dyDescent="0.25">
      <c r="A276" s="27" t="s">
        <v>470</v>
      </c>
    </row>
    <row r="277" spans="1:1" x14ac:dyDescent="0.25">
      <c r="A277" s="27" t="s">
        <v>471</v>
      </c>
    </row>
    <row r="278" spans="1:1" x14ac:dyDescent="0.25">
      <c r="A278" s="27" t="s">
        <v>472</v>
      </c>
    </row>
    <row r="279" spans="1:1" x14ac:dyDescent="0.25">
      <c r="A279" s="27" t="s">
        <v>473</v>
      </c>
    </row>
    <row r="280" spans="1:1" x14ac:dyDescent="0.25">
      <c r="A280" s="27" t="s">
        <v>474</v>
      </c>
    </row>
    <row r="281" spans="1:1" x14ac:dyDescent="0.25">
      <c r="A281" s="27" t="s">
        <v>475</v>
      </c>
    </row>
    <row r="282" spans="1:1" x14ac:dyDescent="0.25">
      <c r="A282" s="27" t="s">
        <v>476</v>
      </c>
    </row>
    <row r="283" spans="1:1" x14ac:dyDescent="0.25">
      <c r="A283" s="27" t="s">
        <v>477</v>
      </c>
    </row>
    <row r="284" spans="1:1" x14ac:dyDescent="0.25">
      <c r="A284" s="27" t="s">
        <v>478</v>
      </c>
    </row>
    <row r="285" spans="1:1" x14ac:dyDescent="0.25">
      <c r="A285" s="27" t="s">
        <v>479</v>
      </c>
    </row>
    <row r="286" spans="1:1" x14ac:dyDescent="0.25">
      <c r="A286" s="27" t="s">
        <v>480</v>
      </c>
    </row>
    <row r="287" spans="1:1" x14ac:dyDescent="0.25">
      <c r="A287" s="27" t="s">
        <v>481</v>
      </c>
    </row>
    <row r="288" spans="1:1" x14ac:dyDescent="0.25">
      <c r="A288" s="27" t="s">
        <v>482</v>
      </c>
    </row>
    <row r="289" spans="1:1" x14ac:dyDescent="0.25">
      <c r="A289" s="27" t="s">
        <v>483</v>
      </c>
    </row>
    <row r="290" spans="1:1" x14ac:dyDescent="0.25">
      <c r="A290" s="27" t="s">
        <v>484</v>
      </c>
    </row>
    <row r="291" spans="1:1" x14ac:dyDescent="0.25">
      <c r="A291" s="27" t="s">
        <v>485</v>
      </c>
    </row>
    <row r="292" spans="1:1" x14ac:dyDescent="0.25">
      <c r="A292" s="27" t="s">
        <v>486</v>
      </c>
    </row>
    <row r="293" spans="1:1" x14ac:dyDescent="0.25">
      <c r="A293" s="27" t="s">
        <v>487</v>
      </c>
    </row>
    <row r="294" spans="1:1" x14ac:dyDescent="0.25">
      <c r="A294" s="27" t="s">
        <v>488</v>
      </c>
    </row>
    <row r="295" spans="1:1" x14ac:dyDescent="0.25">
      <c r="A295" s="27" t="s">
        <v>489</v>
      </c>
    </row>
    <row r="296" spans="1:1" x14ac:dyDescent="0.25">
      <c r="A296" s="27" t="s">
        <v>490</v>
      </c>
    </row>
    <row r="297" spans="1:1" x14ac:dyDescent="0.25">
      <c r="A297" s="27" t="s">
        <v>491</v>
      </c>
    </row>
    <row r="298" spans="1:1" x14ac:dyDescent="0.25">
      <c r="A298" s="27" t="s">
        <v>492</v>
      </c>
    </row>
    <row r="299" spans="1:1" x14ac:dyDescent="0.25">
      <c r="A299" s="27" t="s">
        <v>493</v>
      </c>
    </row>
    <row r="300" spans="1:1" x14ac:dyDescent="0.25">
      <c r="A300" s="27" t="s">
        <v>494</v>
      </c>
    </row>
    <row r="301" spans="1:1" x14ac:dyDescent="0.25">
      <c r="A301" s="27" t="s">
        <v>495</v>
      </c>
    </row>
    <row r="302" spans="1:1" x14ac:dyDescent="0.25">
      <c r="A302" s="27" t="s">
        <v>496</v>
      </c>
    </row>
    <row r="303" spans="1:1" x14ac:dyDescent="0.25">
      <c r="A303" s="27" t="s">
        <v>497</v>
      </c>
    </row>
    <row r="304" spans="1:1" x14ac:dyDescent="0.25">
      <c r="A304" s="27" t="s">
        <v>498</v>
      </c>
    </row>
    <row r="305" spans="1:1" x14ac:dyDescent="0.25">
      <c r="A305" s="27" t="s">
        <v>499</v>
      </c>
    </row>
    <row r="306" spans="1:1" x14ac:dyDescent="0.25">
      <c r="A306" s="27" t="s">
        <v>500</v>
      </c>
    </row>
    <row r="307" spans="1:1" x14ac:dyDescent="0.25">
      <c r="A307" s="27" t="s">
        <v>501</v>
      </c>
    </row>
    <row r="308" spans="1:1" x14ac:dyDescent="0.25">
      <c r="A308" s="27" t="s">
        <v>502</v>
      </c>
    </row>
    <row r="309" spans="1:1" x14ac:dyDescent="0.25">
      <c r="A309" s="27" t="s">
        <v>503</v>
      </c>
    </row>
    <row r="310" spans="1:1" x14ac:dyDescent="0.25">
      <c r="A310" s="27" t="s">
        <v>504</v>
      </c>
    </row>
    <row r="311" spans="1:1" x14ac:dyDescent="0.25">
      <c r="A311" s="27" t="s">
        <v>505</v>
      </c>
    </row>
    <row r="312" spans="1:1" x14ac:dyDescent="0.25">
      <c r="A312" s="27" t="s">
        <v>506</v>
      </c>
    </row>
    <row r="313" spans="1:1" x14ac:dyDescent="0.25">
      <c r="A313" s="27" t="s">
        <v>507</v>
      </c>
    </row>
    <row r="314" spans="1:1" x14ac:dyDescent="0.25">
      <c r="A314" s="27" t="s">
        <v>508</v>
      </c>
    </row>
    <row r="315" spans="1:1" x14ac:dyDescent="0.25">
      <c r="A315" s="27" t="s">
        <v>509</v>
      </c>
    </row>
    <row r="316" spans="1:1" x14ac:dyDescent="0.25">
      <c r="A316" s="27" t="s">
        <v>510</v>
      </c>
    </row>
    <row r="317" spans="1:1" x14ac:dyDescent="0.25">
      <c r="A317" s="27" t="s">
        <v>511</v>
      </c>
    </row>
    <row r="318" spans="1:1" x14ac:dyDescent="0.25">
      <c r="A318" s="27" t="s">
        <v>512</v>
      </c>
    </row>
    <row r="319" spans="1:1" x14ac:dyDescent="0.25">
      <c r="A319" s="27" t="s">
        <v>513</v>
      </c>
    </row>
    <row r="320" spans="1:1" x14ac:dyDescent="0.25">
      <c r="A320" s="27" t="s">
        <v>514</v>
      </c>
    </row>
    <row r="321" spans="1:1" x14ac:dyDescent="0.25">
      <c r="A321" s="27" t="s">
        <v>515</v>
      </c>
    </row>
    <row r="322" spans="1:1" x14ac:dyDescent="0.25">
      <c r="A322" s="27" t="s">
        <v>516</v>
      </c>
    </row>
    <row r="323" spans="1:1" x14ac:dyDescent="0.25">
      <c r="A323" s="27" t="s">
        <v>517</v>
      </c>
    </row>
    <row r="324" spans="1:1" x14ac:dyDescent="0.25">
      <c r="A324" s="27" t="s">
        <v>518</v>
      </c>
    </row>
    <row r="325" spans="1:1" x14ac:dyDescent="0.25">
      <c r="A325" s="27" t="s">
        <v>519</v>
      </c>
    </row>
    <row r="326" spans="1:1" x14ac:dyDescent="0.25">
      <c r="A326" s="27" t="s">
        <v>520</v>
      </c>
    </row>
    <row r="327" spans="1:1" x14ac:dyDescent="0.25">
      <c r="A327" s="27" t="s">
        <v>521</v>
      </c>
    </row>
    <row r="328" spans="1:1" x14ac:dyDescent="0.25">
      <c r="A328" s="27" t="s">
        <v>522</v>
      </c>
    </row>
    <row r="329" spans="1:1" x14ac:dyDescent="0.25">
      <c r="A329" s="27" t="s">
        <v>523</v>
      </c>
    </row>
    <row r="330" spans="1:1" x14ac:dyDescent="0.25">
      <c r="A330" s="27" t="s">
        <v>524</v>
      </c>
    </row>
    <row r="331" spans="1:1" x14ac:dyDescent="0.25">
      <c r="A331" s="27" t="s">
        <v>525</v>
      </c>
    </row>
    <row r="332" spans="1:1" x14ac:dyDescent="0.25">
      <c r="A332" s="27" t="s">
        <v>526</v>
      </c>
    </row>
    <row r="333" spans="1:1" x14ac:dyDescent="0.25">
      <c r="A333" s="27" t="s">
        <v>527</v>
      </c>
    </row>
    <row r="334" spans="1:1" x14ac:dyDescent="0.25">
      <c r="A334" s="27" t="s">
        <v>528</v>
      </c>
    </row>
    <row r="335" spans="1:1" x14ac:dyDescent="0.25">
      <c r="A335" s="27" t="s">
        <v>529</v>
      </c>
    </row>
    <row r="336" spans="1:1" x14ac:dyDescent="0.25">
      <c r="A336" s="27" t="s">
        <v>530</v>
      </c>
    </row>
    <row r="337" spans="1:1" x14ac:dyDescent="0.25">
      <c r="A337" s="27" t="s">
        <v>531</v>
      </c>
    </row>
    <row r="338" spans="1:1" x14ac:dyDescent="0.25">
      <c r="A338" s="27" t="s">
        <v>532</v>
      </c>
    </row>
    <row r="339" spans="1:1" x14ac:dyDescent="0.25">
      <c r="A339" s="27" t="s">
        <v>533</v>
      </c>
    </row>
    <row r="340" spans="1:1" x14ac:dyDescent="0.25">
      <c r="A340" s="27" t="s">
        <v>534</v>
      </c>
    </row>
    <row r="341" spans="1:1" x14ac:dyDescent="0.25">
      <c r="A341" s="27" t="s">
        <v>535</v>
      </c>
    </row>
    <row r="342" spans="1:1" x14ac:dyDescent="0.25">
      <c r="A342" s="27" t="s">
        <v>536</v>
      </c>
    </row>
    <row r="343" spans="1:1" x14ac:dyDescent="0.25">
      <c r="A343" s="27" t="s">
        <v>537</v>
      </c>
    </row>
    <row r="344" spans="1:1" x14ac:dyDescent="0.25">
      <c r="A344" s="27" t="s">
        <v>538</v>
      </c>
    </row>
    <row r="345" spans="1:1" x14ac:dyDescent="0.25">
      <c r="A345" s="27" t="s">
        <v>539</v>
      </c>
    </row>
    <row r="346" spans="1:1" x14ac:dyDescent="0.25">
      <c r="A346" s="27" t="s">
        <v>540</v>
      </c>
    </row>
    <row r="347" spans="1:1" x14ac:dyDescent="0.25">
      <c r="A347" s="27" t="s">
        <v>541</v>
      </c>
    </row>
    <row r="348" spans="1:1" x14ac:dyDescent="0.25">
      <c r="A348" s="27" t="s">
        <v>542</v>
      </c>
    </row>
    <row r="349" spans="1:1" x14ac:dyDescent="0.25">
      <c r="A349" s="27" t="s">
        <v>543</v>
      </c>
    </row>
    <row r="350" spans="1:1" x14ac:dyDescent="0.25">
      <c r="A350" s="27" t="s">
        <v>544</v>
      </c>
    </row>
    <row r="351" spans="1:1" x14ac:dyDescent="0.25">
      <c r="A351" s="27" t="s">
        <v>545</v>
      </c>
    </row>
    <row r="352" spans="1:1" x14ac:dyDescent="0.25">
      <c r="A352" s="27" t="s">
        <v>546</v>
      </c>
    </row>
    <row r="353" spans="1:1" x14ac:dyDescent="0.25">
      <c r="A353" s="27" t="s">
        <v>547</v>
      </c>
    </row>
    <row r="354" spans="1:1" x14ac:dyDescent="0.25">
      <c r="A354" s="27" t="s">
        <v>548</v>
      </c>
    </row>
    <row r="355" spans="1:1" x14ac:dyDescent="0.25">
      <c r="A355" s="27" t="s">
        <v>549</v>
      </c>
    </row>
    <row r="356" spans="1:1" x14ac:dyDescent="0.25">
      <c r="A356" s="27" t="s">
        <v>550</v>
      </c>
    </row>
    <row r="357" spans="1:1" x14ac:dyDescent="0.25">
      <c r="A357" s="27" t="s">
        <v>551</v>
      </c>
    </row>
    <row r="358" spans="1:1" x14ac:dyDescent="0.25">
      <c r="A358" s="27" t="s">
        <v>552</v>
      </c>
    </row>
    <row r="359" spans="1:1" x14ac:dyDescent="0.25">
      <c r="A359" s="27" t="s">
        <v>553</v>
      </c>
    </row>
    <row r="360" spans="1:1" x14ac:dyDescent="0.25">
      <c r="A360" s="27" t="s">
        <v>554</v>
      </c>
    </row>
    <row r="361" spans="1:1" x14ac:dyDescent="0.25">
      <c r="A361" s="27" t="s">
        <v>555</v>
      </c>
    </row>
    <row r="362" spans="1:1" x14ac:dyDescent="0.25">
      <c r="A362" s="27" t="s">
        <v>556</v>
      </c>
    </row>
    <row r="363" spans="1:1" x14ac:dyDescent="0.25">
      <c r="A363" s="27" t="s">
        <v>557</v>
      </c>
    </row>
    <row r="364" spans="1:1" x14ac:dyDescent="0.25">
      <c r="A364" s="27" t="s">
        <v>558</v>
      </c>
    </row>
    <row r="406" spans="1:1" x14ac:dyDescent="0.25">
      <c r="A406" s="27" t="s">
        <v>559</v>
      </c>
    </row>
    <row r="407" spans="1:1" x14ac:dyDescent="0.25">
      <c r="A407" s="27" t="s">
        <v>560</v>
      </c>
    </row>
    <row r="408" spans="1:1" x14ac:dyDescent="0.25">
      <c r="A408" s="27" t="s">
        <v>561</v>
      </c>
    </row>
    <row r="409" spans="1:1" x14ac:dyDescent="0.25">
      <c r="A409" s="27" t="s">
        <v>562</v>
      </c>
    </row>
    <row r="410" spans="1:1" x14ac:dyDescent="0.25">
      <c r="A410" s="27" t="s">
        <v>563</v>
      </c>
    </row>
    <row r="411" spans="1:1" x14ac:dyDescent="0.25">
      <c r="A411" s="27" t="s">
        <v>564</v>
      </c>
    </row>
    <row r="412" spans="1:1" x14ac:dyDescent="0.25">
      <c r="A412" s="27" t="s">
        <v>565</v>
      </c>
    </row>
    <row r="413" spans="1:1" x14ac:dyDescent="0.25">
      <c r="A413" s="27" t="s">
        <v>566</v>
      </c>
    </row>
    <row r="414" spans="1:1" x14ac:dyDescent="0.25">
      <c r="A414" s="27" t="s">
        <v>567</v>
      </c>
    </row>
    <row r="415" spans="1:1" x14ac:dyDescent="0.25">
      <c r="A415" s="27" t="s">
        <v>568</v>
      </c>
    </row>
    <row r="416" spans="1:1" x14ac:dyDescent="0.25">
      <c r="A416" s="27" t="s">
        <v>569</v>
      </c>
    </row>
    <row r="417" spans="1:1" x14ac:dyDescent="0.25">
      <c r="A417" s="27" t="s">
        <v>570</v>
      </c>
    </row>
    <row r="418" spans="1:1" x14ac:dyDescent="0.25">
      <c r="A418" s="27" t="s">
        <v>571</v>
      </c>
    </row>
    <row r="419" spans="1:1" x14ac:dyDescent="0.25">
      <c r="A419" s="27" t="s">
        <v>572</v>
      </c>
    </row>
    <row r="420" spans="1:1" x14ac:dyDescent="0.25">
      <c r="A420" s="27" t="s">
        <v>573</v>
      </c>
    </row>
    <row r="421" spans="1:1" x14ac:dyDescent="0.25">
      <c r="A421" s="27" t="s">
        <v>574</v>
      </c>
    </row>
    <row r="422" spans="1:1" x14ac:dyDescent="0.25">
      <c r="A422" s="27" t="s">
        <v>575</v>
      </c>
    </row>
    <row r="423" spans="1:1" x14ac:dyDescent="0.25">
      <c r="A423" s="27" t="s">
        <v>576</v>
      </c>
    </row>
    <row r="424" spans="1:1" x14ac:dyDescent="0.25">
      <c r="A424" s="27" t="s">
        <v>577</v>
      </c>
    </row>
    <row r="425" spans="1:1" x14ac:dyDescent="0.25">
      <c r="A425" s="27" t="s">
        <v>578</v>
      </c>
    </row>
    <row r="426" spans="1:1" x14ac:dyDescent="0.25">
      <c r="A426" s="27" t="s">
        <v>579</v>
      </c>
    </row>
    <row r="427" spans="1:1" x14ac:dyDescent="0.25">
      <c r="A427" s="27" t="s">
        <v>580</v>
      </c>
    </row>
    <row r="428" spans="1:1" x14ac:dyDescent="0.25">
      <c r="A428" s="27" t="s">
        <v>581</v>
      </c>
    </row>
    <row r="429" spans="1:1" x14ac:dyDescent="0.25">
      <c r="A429" s="27" t="s">
        <v>582</v>
      </c>
    </row>
    <row r="430" spans="1:1" x14ac:dyDescent="0.25">
      <c r="A430" s="27" t="s">
        <v>583</v>
      </c>
    </row>
    <row r="431" spans="1:1" x14ac:dyDescent="0.25">
      <c r="A431" s="27" t="s">
        <v>584</v>
      </c>
    </row>
    <row r="432" spans="1:1" x14ac:dyDescent="0.25">
      <c r="A432" s="27" t="s">
        <v>585</v>
      </c>
    </row>
    <row r="433" spans="1:1" x14ac:dyDescent="0.25">
      <c r="A433" s="27" t="s">
        <v>586</v>
      </c>
    </row>
    <row r="434" spans="1:1" x14ac:dyDescent="0.25">
      <c r="A434" s="27" t="s">
        <v>587</v>
      </c>
    </row>
    <row r="435" spans="1:1" x14ac:dyDescent="0.25">
      <c r="A435" s="27" t="s">
        <v>588</v>
      </c>
    </row>
    <row r="436" spans="1:1" x14ac:dyDescent="0.25">
      <c r="A436" s="27" t="s">
        <v>589</v>
      </c>
    </row>
    <row r="437" spans="1:1" x14ac:dyDescent="0.25">
      <c r="A437" s="27" t="s">
        <v>590</v>
      </c>
    </row>
    <row r="438" spans="1:1" x14ac:dyDescent="0.25">
      <c r="A438" s="27" t="s">
        <v>591</v>
      </c>
    </row>
    <row r="439" spans="1:1" x14ac:dyDescent="0.25">
      <c r="A439" s="27" t="s">
        <v>592</v>
      </c>
    </row>
    <row r="440" spans="1:1" x14ac:dyDescent="0.25">
      <c r="A440" s="27" t="s">
        <v>593</v>
      </c>
    </row>
    <row r="441" spans="1:1" x14ac:dyDescent="0.25">
      <c r="A441" s="27" t="s">
        <v>594</v>
      </c>
    </row>
    <row r="442" spans="1:1" x14ac:dyDescent="0.25">
      <c r="A442" s="27" t="s">
        <v>595</v>
      </c>
    </row>
    <row r="443" spans="1:1" x14ac:dyDescent="0.25">
      <c r="A443" s="27" t="s">
        <v>596</v>
      </c>
    </row>
    <row r="444" spans="1:1" x14ac:dyDescent="0.25">
      <c r="A444" s="27" t="s">
        <v>597</v>
      </c>
    </row>
    <row r="445" spans="1:1" x14ac:dyDescent="0.25">
      <c r="A445" s="27" t="s">
        <v>598</v>
      </c>
    </row>
    <row r="446" spans="1:1" x14ac:dyDescent="0.25">
      <c r="A446" s="27" t="s">
        <v>599</v>
      </c>
    </row>
    <row r="447" spans="1:1" x14ac:dyDescent="0.25">
      <c r="A447" s="27" t="s">
        <v>600</v>
      </c>
    </row>
    <row r="448" spans="1:1" x14ac:dyDescent="0.25">
      <c r="A448" s="27" t="s">
        <v>601</v>
      </c>
    </row>
    <row r="449" spans="1:1" x14ac:dyDescent="0.25">
      <c r="A449" s="27" t="s">
        <v>602</v>
      </c>
    </row>
    <row r="450" spans="1:1" x14ac:dyDescent="0.25">
      <c r="A450" s="27" t="s">
        <v>603</v>
      </c>
    </row>
    <row r="451" spans="1:1" x14ac:dyDescent="0.25">
      <c r="A451" s="27" t="s">
        <v>604</v>
      </c>
    </row>
    <row r="452" spans="1:1" x14ac:dyDescent="0.25">
      <c r="A452" s="27" t="s">
        <v>605</v>
      </c>
    </row>
    <row r="453" spans="1:1" x14ac:dyDescent="0.25">
      <c r="A453" s="27" t="s">
        <v>606</v>
      </c>
    </row>
    <row r="454" spans="1:1" x14ac:dyDescent="0.25">
      <c r="A454" s="27" t="s">
        <v>607</v>
      </c>
    </row>
    <row r="455" spans="1:1" x14ac:dyDescent="0.25">
      <c r="A455" s="27" t="s">
        <v>608</v>
      </c>
    </row>
    <row r="456" spans="1:1" x14ac:dyDescent="0.25">
      <c r="A456" s="27" t="s">
        <v>609</v>
      </c>
    </row>
    <row r="457" spans="1:1" x14ac:dyDescent="0.25">
      <c r="A457" s="27" t="s">
        <v>610</v>
      </c>
    </row>
    <row r="458" spans="1:1" x14ac:dyDescent="0.25">
      <c r="A458" s="27" t="s">
        <v>611</v>
      </c>
    </row>
    <row r="459" spans="1:1" x14ac:dyDescent="0.25">
      <c r="A459" s="27" t="s">
        <v>612</v>
      </c>
    </row>
    <row r="460" spans="1:1" x14ac:dyDescent="0.25">
      <c r="A460" s="27" t="s">
        <v>613</v>
      </c>
    </row>
    <row r="461" spans="1:1" x14ac:dyDescent="0.25">
      <c r="A461" s="27" t="s">
        <v>614</v>
      </c>
    </row>
    <row r="462" spans="1:1" x14ac:dyDescent="0.25">
      <c r="A462" s="27" t="s">
        <v>615</v>
      </c>
    </row>
    <row r="463" spans="1:1" x14ac:dyDescent="0.25">
      <c r="A463" s="27" t="s">
        <v>616</v>
      </c>
    </row>
    <row r="464" spans="1:1" x14ac:dyDescent="0.25">
      <c r="A464" s="27" t="s">
        <v>617</v>
      </c>
    </row>
    <row r="465" spans="1:1" x14ac:dyDescent="0.25">
      <c r="A465" s="27" t="s">
        <v>618</v>
      </c>
    </row>
    <row r="674" spans="1:1" x14ac:dyDescent="0.25">
      <c r="A674" s="27" t="s">
        <v>619</v>
      </c>
    </row>
    <row r="675" spans="1:1" x14ac:dyDescent="0.25">
      <c r="A675" s="27" t="s">
        <v>620</v>
      </c>
    </row>
    <row r="676" spans="1:1" x14ac:dyDescent="0.25">
      <c r="A676" s="27" t="s">
        <v>621</v>
      </c>
    </row>
    <row r="677" spans="1:1" x14ac:dyDescent="0.25">
      <c r="A677" s="27" t="s">
        <v>622</v>
      </c>
    </row>
    <row r="678" spans="1:1" x14ac:dyDescent="0.25">
      <c r="A678" s="27" t="s">
        <v>623</v>
      </c>
    </row>
    <row r="679" spans="1:1" x14ac:dyDescent="0.25">
      <c r="A679" s="27" t="s">
        <v>624</v>
      </c>
    </row>
    <row r="680" spans="1:1" x14ac:dyDescent="0.25">
      <c r="A680" s="27" t="s">
        <v>625</v>
      </c>
    </row>
    <row r="681" spans="1:1" x14ac:dyDescent="0.25">
      <c r="A681" s="27" t="s">
        <v>626</v>
      </c>
    </row>
    <row r="682" spans="1:1" x14ac:dyDescent="0.25">
      <c r="A682" s="27" t="s">
        <v>627</v>
      </c>
    </row>
    <row r="683" spans="1:1" x14ac:dyDescent="0.25">
      <c r="A683" s="27" t="s">
        <v>628</v>
      </c>
    </row>
    <row r="684" spans="1:1" x14ac:dyDescent="0.25">
      <c r="A684" s="27" t="s">
        <v>629</v>
      </c>
    </row>
    <row r="685" spans="1:1" x14ac:dyDescent="0.25">
      <c r="A685" s="27" t="s">
        <v>630</v>
      </c>
    </row>
    <row r="686" spans="1:1" x14ac:dyDescent="0.25">
      <c r="A686" s="27" t="s">
        <v>631</v>
      </c>
    </row>
    <row r="687" spans="1:1" x14ac:dyDescent="0.25">
      <c r="A687" s="27" t="s">
        <v>632</v>
      </c>
    </row>
    <row r="688" spans="1:1" x14ac:dyDescent="0.25">
      <c r="A688" s="27" t="s">
        <v>633</v>
      </c>
    </row>
    <row r="689" spans="1:1" x14ac:dyDescent="0.25">
      <c r="A689" s="27" t="s">
        <v>634</v>
      </c>
    </row>
    <row r="690" spans="1:1" x14ac:dyDescent="0.25">
      <c r="A690" s="27" t="s">
        <v>635</v>
      </c>
    </row>
    <row r="691" spans="1:1" x14ac:dyDescent="0.25">
      <c r="A691" s="27" t="s">
        <v>636</v>
      </c>
    </row>
    <row r="692" spans="1:1" x14ac:dyDescent="0.25">
      <c r="A692" s="27" t="s">
        <v>637</v>
      </c>
    </row>
    <row r="693" spans="1:1" x14ac:dyDescent="0.25">
      <c r="A693" s="27" t="s">
        <v>638</v>
      </c>
    </row>
    <row r="694" spans="1:1" x14ac:dyDescent="0.25">
      <c r="A694" s="27" t="s">
        <v>639</v>
      </c>
    </row>
    <row r="695" spans="1:1" x14ac:dyDescent="0.25">
      <c r="A695" s="27" t="s">
        <v>640</v>
      </c>
    </row>
    <row r="696" spans="1:1" x14ac:dyDescent="0.25">
      <c r="A696" s="27" t="s">
        <v>641</v>
      </c>
    </row>
    <row r="697" spans="1:1" x14ac:dyDescent="0.25">
      <c r="A697" s="27" t="s">
        <v>642</v>
      </c>
    </row>
    <row r="698" spans="1:1" x14ac:dyDescent="0.25">
      <c r="A698" s="27" t="s">
        <v>643</v>
      </c>
    </row>
    <row r="699" spans="1:1" x14ac:dyDescent="0.25">
      <c r="A699" s="27" t="s">
        <v>644</v>
      </c>
    </row>
    <row r="746" spans="1:1" x14ac:dyDescent="0.25">
      <c r="A746" s="27" t="s">
        <v>645</v>
      </c>
    </row>
    <row r="747" spans="1:1" x14ac:dyDescent="0.25">
      <c r="A747" s="27" t="s">
        <v>646</v>
      </c>
    </row>
    <row r="748" spans="1:1" x14ac:dyDescent="0.25">
      <c r="A748" s="27" t="s">
        <v>647</v>
      </c>
    </row>
    <row r="749" spans="1:1" x14ac:dyDescent="0.25">
      <c r="A749" s="27" t="s">
        <v>648</v>
      </c>
    </row>
    <row r="750" spans="1:1" x14ac:dyDescent="0.25">
      <c r="A750" s="27" t="s">
        <v>649</v>
      </c>
    </row>
    <row r="751" spans="1:1" x14ac:dyDescent="0.25">
      <c r="A751" s="27" t="s">
        <v>650</v>
      </c>
    </row>
    <row r="752" spans="1:1" x14ac:dyDescent="0.25">
      <c r="A752" s="27" t="s">
        <v>651</v>
      </c>
    </row>
    <row r="753" spans="1:1" x14ac:dyDescent="0.25">
      <c r="A753" s="27" t="s">
        <v>652</v>
      </c>
    </row>
    <row r="754" spans="1:1" x14ac:dyDescent="0.25">
      <c r="A754" s="27" t="s">
        <v>653</v>
      </c>
    </row>
    <row r="755" spans="1:1" x14ac:dyDescent="0.25">
      <c r="A755" s="27" t="s">
        <v>654</v>
      </c>
    </row>
    <row r="756" spans="1:1" x14ac:dyDescent="0.25">
      <c r="A756" s="27" t="s">
        <v>655</v>
      </c>
    </row>
    <row r="757" spans="1:1" x14ac:dyDescent="0.25">
      <c r="A757" s="27" t="s">
        <v>656</v>
      </c>
    </row>
    <row r="758" spans="1:1" x14ac:dyDescent="0.25">
      <c r="A758" s="27" t="s">
        <v>657</v>
      </c>
    </row>
    <row r="759" spans="1:1" x14ac:dyDescent="0.25">
      <c r="A759" s="27" t="s">
        <v>658</v>
      </c>
    </row>
    <row r="760" spans="1:1" x14ac:dyDescent="0.25">
      <c r="A760" s="27" t="s">
        <v>659</v>
      </c>
    </row>
    <row r="761" spans="1:1" x14ac:dyDescent="0.25">
      <c r="A761" s="27" t="s">
        <v>660</v>
      </c>
    </row>
    <row r="762" spans="1:1" x14ac:dyDescent="0.25">
      <c r="A762" s="27" t="s">
        <v>661</v>
      </c>
    </row>
    <row r="763" spans="1:1" x14ac:dyDescent="0.25">
      <c r="A763" s="27" t="s">
        <v>662</v>
      </c>
    </row>
    <row r="764" spans="1:1" x14ac:dyDescent="0.25">
      <c r="A764" s="27" t="s">
        <v>663</v>
      </c>
    </row>
    <row r="765" spans="1:1" x14ac:dyDescent="0.25">
      <c r="A765" s="27" t="s">
        <v>664</v>
      </c>
    </row>
    <row r="766" spans="1:1" x14ac:dyDescent="0.25">
      <c r="A766" s="27" t="s">
        <v>665</v>
      </c>
    </row>
    <row r="767" spans="1:1" x14ac:dyDescent="0.25">
      <c r="A767" s="27" t="s">
        <v>666</v>
      </c>
    </row>
    <row r="768" spans="1:1" x14ac:dyDescent="0.25">
      <c r="A768" s="27" t="s">
        <v>667</v>
      </c>
    </row>
    <row r="769" spans="1:1" x14ac:dyDescent="0.25">
      <c r="A769" s="27" t="s">
        <v>668</v>
      </c>
    </row>
    <row r="770" spans="1:1" x14ac:dyDescent="0.25">
      <c r="A770" s="27" t="s">
        <v>669</v>
      </c>
    </row>
    <row r="771" spans="1:1" x14ac:dyDescent="0.25">
      <c r="A771" s="27" t="s">
        <v>670</v>
      </c>
    </row>
    <row r="772" spans="1:1" x14ac:dyDescent="0.25">
      <c r="A772" s="27" t="s">
        <v>671</v>
      </c>
    </row>
    <row r="773" spans="1:1" x14ac:dyDescent="0.25">
      <c r="A773" s="27" t="s">
        <v>672</v>
      </c>
    </row>
    <row r="774" spans="1:1" x14ac:dyDescent="0.25">
      <c r="A774" s="27" t="s">
        <v>673</v>
      </c>
    </row>
    <row r="775" spans="1:1" x14ac:dyDescent="0.25">
      <c r="A775" s="27" t="s">
        <v>674</v>
      </c>
    </row>
    <row r="776" spans="1:1" x14ac:dyDescent="0.25">
      <c r="A776" s="27" t="s">
        <v>675</v>
      </c>
    </row>
    <row r="777" spans="1:1" x14ac:dyDescent="0.25">
      <c r="A777" s="27" t="s">
        <v>676</v>
      </c>
    </row>
    <row r="778" spans="1:1" x14ac:dyDescent="0.25">
      <c r="A778" s="27" t="s">
        <v>677</v>
      </c>
    </row>
    <row r="779" spans="1:1" x14ac:dyDescent="0.25">
      <c r="A779" s="27" t="s">
        <v>678</v>
      </c>
    </row>
    <row r="780" spans="1:1" x14ac:dyDescent="0.25">
      <c r="A780" s="27" t="s">
        <v>679</v>
      </c>
    </row>
    <row r="781" spans="1:1" x14ac:dyDescent="0.25">
      <c r="A781" s="27" t="s">
        <v>680</v>
      </c>
    </row>
    <row r="782" spans="1:1" x14ac:dyDescent="0.25">
      <c r="A782" s="27" t="s">
        <v>681</v>
      </c>
    </row>
    <row r="783" spans="1:1" x14ac:dyDescent="0.25">
      <c r="A783" s="27" t="s">
        <v>682</v>
      </c>
    </row>
    <row r="784" spans="1:1" x14ac:dyDescent="0.25">
      <c r="A784" s="27" t="s">
        <v>683</v>
      </c>
    </row>
    <row r="785" spans="1:1" x14ac:dyDescent="0.25">
      <c r="A785" s="27" t="s">
        <v>684</v>
      </c>
    </row>
    <row r="786" spans="1:1" x14ac:dyDescent="0.25">
      <c r="A786" s="27" t="s">
        <v>685</v>
      </c>
    </row>
    <row r="787" spans="1:1" x14ac:dyDescent="0.25">
      <c r="A787" s="27" t="s">
        <v>686</v>
      </c>
    </row>
    <row r="788" spans="1:1" x14ac:dyDescent="0.25">
      <c r="A788" s="27" t="s">
        <v>687</v>
      </c>
    </row>
    <row r="789" spans="1:1" x14ac:dyDescent="0.25">
      <c r="A789" s="27" t="s">
        <v>688</v>
      </c>
    </row>
    <row r="790" spans="1:1" x14ac:dyDescent="0.25">
      <c r="A790" s="27" t="s">
        <v>689</v>
      </c>
    </row>
    <row r="791" spans="1:1" x14ac:dyDescent="0.25">
      <c r="A791" s="27" t="s">
        <v>690</v>
      </c>
    </row>
    <row r="792" spans="1:1" x14ac:dyDescent="0.25">
      <c r="A792" s="27" t="s">
        <v>691</v>
      </c>
    </row>
    <row r="793" spans="1:1" x14ac:dyDescent="0.25">
      <c r="A793" s="27" t="s">
        <v>692</v>
      </c>
    </row>
    <row r="794" spans="1:1" x14ac:dyDescent="0.25">
      <c r="A794" s="27" t="s">
        <v>693</v>
      </c>
    </row>
    <row r="795" spans="1:1" x14ac:dyDescent="0.25">
      <c r="A795" s="27" t="s">
        <v>694</v>
      </c>
    </row>
    <row r="796" spans="1:1" x14ac:dyDescent="0.25">
      <c r="A796" s="27" t="s">
        <v>695</v>
      </c>
    </row>
    <row r="797" spans="1:1" x14ac:dyDescent="0.25">
      <c r="A797" s="27" t="s">
        <v>696</v>
      </c>
    </row>
    <row r="1028" spans="1:1" x14ac:dyDescent="0.25">
      <c r="A1028" s="27" t="s">
        <v>697</v>
      </c>
    </row>
    <row r="1029" spans="1:1" x14ac:dyDescent="0.25">
      <c r="A1029" s="27" t="s">
        <v>698</v>
      </c>
    </row>
    <row r="1030" spans="1:1" x14ac:dyDescent="0.25">
      <c r="A1030" s="27" t="s">
        <v>699</v>
      </c>
    </row>
    <row r="1031" spans="1:1" x14ac:dyDescent="0.25">
      <c r="A1031" s="27" t="s">
        <v>700</v>
      </c>
    </row>
    <row r="1032" spans="1:1" x14ac:dyDescent="0.25">
      <c r="A1032" s="27" t="s">
        <v>701</v>
      </c>
    </row>
    <row r="1033" spans="1:1" x14ac:dyDescent="0.25">
      <c r="A1033" s="27" t="s">
        <v>702</v>
      </c>
    </row>
    <row r="1034" spans="1:1" x14ac:dyDescent="0.25">
      <c r="A1034" s="27" t="s">
        <v>703</v>
      </c>
    </row>
    <row r="1035" spans="1:1" x14ac:dyDescent="0.25">
      <c r="A1035" s="27" t="s">
        <v>704</v>
      </c>
    </row>
    <row r="1036" spans="1:1" x14ac:dyDescent="0.25">
      <c r="A1036" s="27" t="s">
        <v>705</v>
      </c>
    </row>
    <row r="1037" spans="1:1" x14ac:dyDescent="0.25">
      <c r="A1037" s="27" t="s">
        <v>706</v>
      </c>
    </row>
    <row r="1038" spans="1:1" x14ac:dyDescent="0.25">
      <c r="A1038" s="27" t="s">
        <v>707</v>
      </c>
    </row>
    <row r="1039" spans="1:1" x14ac:dyDescent="0.25">
      <c r="A1039" s="27" t="s">
        <v>708</v>
      </c>
    </row>
    <row r="1040" spans="1:1" x14ac:dyDescent="0.25">
      <c r="A1040" s="27" t="s">
        <v>709</v>
      </c>
    </row>
    <row r="1041" spans="1:1" x14ac:dyDescent="0.25">
      <c r="A1041" s="27" t="s">
        <v>710</v>
      </c>
    </row>
    <row r="1042" spans="1:1" x14ac:dyDescent="0.25">
      <c r="A1042" s="27" t="s">
        <v>711</v>
      </c>
    </row>
    <row r="1043" spans="1:1" x14ac:dyDescent="0.25">
      <c r="A1043" s="27" t="s">
        <v>712</v>
      </c>
    </row>
    <row r="1397" spans="1:1" x14ac:dyDescent="0.25">
      <c r="A1397" s="27" t="s">
        <v>713</v>
      </c>
    </row>
    <row r="1398" spans="1:1" x14ac:dyDescent="0.25">
      <c r="A1398" s="27" t="s">
        <v>714</v>
      </c>
    </row>
    <row r="1399" spans="1:1" x14ac:dyDescent="0.25">
      <c r="A1399" s="27" t="s">
        <v>715</v>
      </c>
    </row>
    <row r="1400" spans="1:1" x14ac:dyDescent="0.25">
      <c r="A1400" s="27" t="s">
        <v>716</v>
      </c>
    </row>
    <row r="1401" spans="1:1" x14ac:dyDescent="0.25">
      <c r="A1401" s="27" t="s">
        <v>717</v>
      </c>
    </row>
    <row r="1402" spans="1:1" x14ac:dyDescent="0.25">
      <c r="A1402" s="27" t="s">
        <v>718</v>
      </c>
    </row>
    <row r="1403" spans="1:1" x14ac:dyDescent="0.25">
      <c r="A1403" s="27" t="s">
        <v>719</v>
      </c>
    </row>
    <row r="1404" spans="1:1" x14ac:dyDescent="0.25">
      <c r="A1404" s="27" t="s">
        <v>720</v>
      </c>
    </row>
    <row r="1405" spans="1:1" x14ac:dyDescent="0.25">
      <c r="A1405" s="27" t="s">
        <v>721</v>
      </c>
    </row>
    <row r="1406" spans="1:1" x14ac:dyDescent="0.25">
      <c r="A1406" s="27" t="s">
        <v>722</v>
      </c>
    </row>
    <row r="1407" spans="1:1" x14ac:dyDescent="0.25">
      <c r="A1407" s="27" t="s">
        <v>723</v>
      </c>
    </row>
    <row r="1408" spans="1:1" x14ac:dyDescent="0.25">
      <c r="A1408" s="27" t="s">
        <v>724</v>
      </c>
    </row>
    <row r="1409" spans="1:1" x14ac:dyDescent="0.25">
      <c r="A1409" s="27" t="s">
        <v>725</v>
      </c>
    </row>
    <row r="1410" spans="1:1" x14ac:dyDescent="0.25">
      <c r="A1410" s="27" t="s">
        <v>726</v>
      </c>
    </row>
    <row r="1411" spans="1:1" x14ac:dyDescent="0.25">
      <c r="A1411" s="27" t="s">
        <v>727</v>
      </c>
    </row>
    <row r="1412" spans="1:1" x14ac:dyDescent="0.25">
      <c r="A1412" s="27" t="s">
        <v>728</v>
      </c>
    </row>
    <row r="1413" spans="1:1" x14ac:dyDescent="0.25">
      <c r="A1413" s="27" t="s">
        <v>729</v>
      </c>
    </row>
    <row r="1414" spans="1:1" x14ac:dyDescent="0.25">
      <c r="A1414" s="27" t="s">
        <v>730</v>
      </c>
    </row>
    <row r="1415" spans="1:1" x14ac:dyDescent="0.25">
      <c r="A1415" s="27" t="s">
        <v>731</v>
      </c>
    </row>
    <row r="1416" spans="1:1" x14ac:dyDescent="0.25">
      <c r="A1416" s="27" t="s">
        <v>732</v>
      </c>
    </row>
    <row r="1417" spans="1:1" x14ac:dyDescent="0.25">
      <c r="A1417" s="27" t="s">
        <v>733</v>
      </c>
    </row>
    <row r="1418" spans="1:1" x14ac:dyDescent="0.25">
      <c r="A1418" s="27" t="s">
        <v>734</v>
      </c>
    </row>
    <row r="1419" spans="1:1" x14ac:dyDescent="0.25">
      <c r="A1419" s="27" t="s">
        <v>735</v>
      </c>
    </row>
    <row r="1420" spans="1:1" x14ac:dyDescent="0.25">
      <c r="A1420" s="27" t="s">
        <v>736</v>
      </c>
    </row>
    <row r="1421" spans="1:1" x14ac:dyDescent="0.25">
      <c r="A1421" s="27" t="s">
        <v>737</v>
      </c>
    </row>
    <row r="1422" spans="1:1" x14ac:dyDescent="0.25">
      <c r="A1422" s="27" t="s">
        <v>738</v>
      </c>
    </row>
    <row r="1423" spans="1:1" x14ac:dyDescent="0.25">
      <c r="A1423" s="27" t="s">
        <v>739</v>
      </c>
    </row>
    <row r="1424" spans="1:1" x14ac:dyDescent="0.25">
      <c r="A1424" s="27" t="s">
        <v>740</v>
      </c>
    </row>
    <row r="1425" spans="1:1" x14ac:dyDescent="0.25">
      <c r="A1425" s="27" t="s">
        <v>741</v>
      </c>
    </row>
    <row r="1426" spans="1:1" x14ac:dyDescent="0.25">
      <c r="A1426" s="27" t="s">
        <v>742</v>
      </c>
    </row>
    <row r="1427" spans="1:1" x14ac:dyDescent="0.25">
      <c r="A1427" s="27" t="s">
        <v>743</v>
      </c>
    </row>
    <row r="1428" spans="1:1" x14ac:dyDescent="0.25">
      <c r="A1428" s="27" t="s">
        <v>744</v>
      </c>
    </row>
    <row r="1429" spans="1:1" x14ac:dyDescent="0.25">
      <c r="A1429" s="27" t="s">
        <v>745</v>
      </c>
    </row>
    <row r="1430" spans="1:1" x14ac:dyDescent="0.25">
      <c r="A1430" s="27" t="s">
        <v>746</v>
      </c>
    </row>
    <row r="1431" spans="1:1" x14ac:dyDescent="0.25">
      <c r="A1431" s="27" t="s">
        <v>747</v>
      </c>
    </row>
    <row r="1432" spans="1:1" x14ac:dyDescent="0.25">
      <c r="A1432" s="27" t="s">
        <v>748</v>
      </c>
    </row>
    <row r="1433" spans="1:1" x14ac:dyDescent="0.25">
      <c r="A1433" s="27" t="s">
        <v>749</v>
      </c>
    </row>
    <row r="1434" spans="1:1" x14ac:dyDescent="0.25">
      <c r="A1434" s="27" t="s">
        <v>750</v>
      </c>
    </row>
    <row r="1435" spans="1:1" x14ac:dyDescent="0.25">
      <c r="A1435" s="27" t="s">
        <v>751</v>
      </c>
    </row>
    <row r="1436" spans="1:1" x14ac:dyDescent="0.25">
      <c r="A1436" s="27" t="s">
        <v>752</v>
      </c>
    </row>
    <row r="1437" spans="1:1" x14ac:dyDescent="0.25">
      <c r="A1437" s="27" t="s">
        <v>753</v>
      </c>
    </row>
    <row r="1438" spans="1:1" x14ac:dyDescent="0.25">
      <c r="A1438" s="27" t="s">
        <v>754</v>
      </c>
    </row>
    <row r="1439" spans="1:1" x14ac:dyDescent="0.25">
      <c r="A1439" s="27" t="s">
        <v>755</v>
      </c>
    </row>
    <row r="1440" spans="1:1" x14ac:dyDescent="0.25">
      <c r="A1440" s="27" t="s">
        <v>756</v>
      </c>
    </row>
    <row r="1441" spans="1:1" x14ac:dyDescent="0.25">
      <c r="A1441" s="27" t="s">
        <v>757</v>
      </c>
    </row>
    <row r="1442" spans="1:1" x14ac:dyDescent="0.25">
      <c r="A1442" s="27" t="s">
        <v>758</v>
      </c>
    </row>
    <row r="1443" spans="1:1" x14ac:dyDescent="0.25">
      <c r="A1443" s="27" t="s">
        <v>759</v>
      </c>
    </row>
    <row r="1444" spans="1:1" x14ac:dyDescent="0.25">
      <c r="A1444" s="27" t="s">
        <v>760</v>
      </c>
    </row>
    <row r="1445" spans="1:1" x14ac:dyDescent="0.25">
      <c r="A1445" s="27" t="s">
        <v>761</v>
      </c>
    </row>
    <row r="1446" spans="1:1" x14ac:dyDescent="0.25">
      <c r="A1446" s="27" t="s">
        <v>762</v>
      </c>
    </row>
    <row r="1447" spans="1:1" x14ac:dyDescent="0.25">
      <c r="A1447" s="27" t="s">
        <v>763</v>
      </c>
    </row>
    <row r="1448" spans="1:1" x14ac:dyDescent="0.25">
      <c r="A1448" s="27" t="s">
        <v>764</v>
      </c>
    </row>
    <row r="1449" spans="1:1" x14ac:dyDescent="0.25">
      <c r="A1449" s="27" t="s">
        <v>765</v>
      </c>
    </row>
    <row r="1450" spans="1:1" x14ac:dyDescent="0.25">
      <c r="A1450" s="27" t="s">
        <v>766</v>
      </c>
    </row>
    <row r="1451" spans="1:1" x14ac:dyDescent="0.25">
      <c r="A1451" s="27" t="s">
        <v>767</v>
      </c>
    </row>
    <row r="1452" spans="1:1" x14ac:dyDescent="0.25">
      <c r="A1452" s="27" t="s">
        <v>768</v>
      </c>
    </row>
    <row r="1453" spans="1:1" x14ac:dyDescent="0.25">
      <c r="A1453" s="27" t="s">
        <v>769</v>
      </c>
    </row>
    <row r="1454" spans="1:1" x14ac:dyDescent="0.25">
      <c r="A1454" s="27" t="s">
        <v>770</v>
      </c>
    </row>
    <row r="1455" spans="1:1" x14ac:dyDescent="0.25">
      <c r="A1455" s="27" t="s">
        <v>771</v>
      </c>
    </row>
    <row r="1456" spans="1:1" x14ac:dyDescent="0.25">
      <c r="A1456" s="27" t="s">
        <v>772</v>
      </c>
    </row>
    <row r="1457" spans="1:1" x14ac:dyDescent="0.25">
      <c r="A1457" s="27" t="s">
        <v>773</v>
      </c>
    </row>
    <row r="1458" spans="1:1" x14ac:dyDescent="0.25">
      <c r="A1458" s="27" t="s">
        <v>774</v>
      </c>
    </row>
    <row r="1459" spans="1:1" x14ac:dyDescent="0.25">
      <c r="A1459" s="27" t="s">
        <v>775</v>
      </c>
    </row>
    <row r="1460" spans="1:1" x14ac:dyDescent="0.25">
      <c r="A1460" s="27" t="s">
        <v>776</v>
      </c>
    </row>
    <row r="1461" spans="1:1" x14ac:dyDescent="0.25">
      <c r="A1461" s="27" t="s">
        <v>777</v>
      </c>
    </row>
    <row r="1462" spans="1:1" x14ac:dyDescent="0.25">
      <c r="A1462" s="27" t="s">
        <v>778</v>
      </c>
    </row>
    <row r="1463" spans="1:1" x14ac:dyDescent="0.25">
      <c r="A1463" s="27" t="s">
        <v>779</v>
      </c>
    </row>
    <row r="1464" spans="1:1" x14ac:dyDescent="0.25">
      <c r="A1464" s="27" t="s">
        <v>780</v>
      </c>
    </row>
    <row r="1465" spans="1:1" x14ac:dyDescent="0.25">
      <c r="A1465" s="27" t="s">
        <v>781</v>
      </c>
    </row>
    <row r="1466" spans="1:1" x14ac:dyDescent="0.25">
      <c r="A1466" s="27" t="s">
        <v>782</v>
      </c>
    </row>
    <row r="1467" spans="1:1" x14ac:dyDescent="0.25">
      <c r="A1467" s="27" t="s">
        <v>783</v>
      </c>
    </row>
    <row r="1468" spans="1:1" x14ac:dyDescent="0.25">
      <c r="A1468" s="27" t="s">
        <v>784</v>
      </c>
    </row>
    <row r="1469" spans="1:1" x14ac:dyDescent="0.25">
      <c r="A1469" s="27" t="s">
        <v>785</v>
      </c>
    </row>
    <row r="1470" spans="1:1" x14ac:dyDescent="0.25">
      <c r="A1470" s="27" t="s">
        <v>786</v>
      </c>
    </row>
    <row r="1471" spans="1:1" x14ac:dyDescent="0.25">
      <c r="A1471" s="27" t="s">
        <v>787</v>
      </c>
    </row>
    <row r="1472" spans="1:1" x14ac:dyDescent="0.25">
      <c r="A1472" s="27" t="s">
        <v>788</v>
      </c>
    </row>
    <row r="1473" spans="1:1" x14ac:dyDescent="0.25">
      <c r="A1473" s="27" t="s">
        <v>789</v>
      </c>
    </row>
    <row r="1474" spans="1:1" x14ac:dyDescent="0.25">
      <c r="A1474" s="27" t="s">
        <v>790</v>
      </c>
    </row>
    <row r="1475" spans="1:1" x14ac:dyDescent="0.25">
      <c r="A1475" s="27" t="s">
        <v>791</v>
      </c>
    </row>
    <row r="1476" spans="1:1" x14ac:dyDescent="0.25">
      <c r="A1476" s="27" t="s">
        <v>792</v>
      </c>
    </row>
    <row r="1477" spans="1:1" x14ac:dyDescent="0.25">
      <c r="A1477" s="27" t="s">
        <v>793</v>
      </c>
    </row>
    <row r="1478" spans="1:1" x14ac:dyDescent="0.25">
      <c r="A1478" s="27" t="s">
        <v>794</v>
      </c>
    </row>
    <row r="1479" spans="1:1" x14ac:dyDescent="0.25">
      <c r="A1479" s="27" t="s">
        <v>795</v>
      </c>
    </row>
    <row r="1480" spans="1:1" x14ac:dyDescent="0.25">
      <c r="A1480" s="27" t="s">
        <v>796</v>
      </c>
    </row>
    <row r="1481" spans="1:1" x14ac:dyDescent="0.25">
      <c r="A1481" s="27" t="s">
        <v>797</v>
      </c>
    </row>
    <row r="1482" spans="1:1" x14ac:dyDescent="0.25">
      <c r="A1482" s="27" t="s">
        <v>798</v>
      </c>
    </row>
    <row r="1483" spans="1:1" x14ac:dyDescent="0.25">
      <c r="A1483" s="27" t="s">
        <v>799</v>
      </c>
    </row>
    <row r="1484" spans="1:1" x14ac:dyDescent="0.25">
      <c r="A1484" s="27" t="s">
        <v>800</v>
      </c>
    </row>
    <row r="1485" spans="1:1" x14ac:dyDescent="0.25">
      <c r="A1485" s="27" t="s">
        <v>801</v>
      </c>
    </row>
    <row r="1486" spans="1:1" x14ac:dyDescent="0.25">
      <c r="A1486" s="27" t="s">
        <v>802</v>
      </c>
    </row>
    <row r="1487" spans="1:1" x14ac:dyDescent="0.25">
      <c r="A1487" s="27" t="s">
        <v>803</v>
      </c>
    </row>
    <row r="1488" spans="1:1" x14ac:dyDescent="0.25">
      <c r="A1488" s="27" t="s">
        <v>804</v>
      </c>
    </row>
    <row r="1489" spans="1:1" x14ac:dyDescent="0.25">
      <c r="A1489" s="27" t="s">
        <v>805</v>
      </c>
    </row>
    <row r="1490" spans="1:1" x14ac:dyDescent="0.25">
      <c r="A1490" s="27" t="s">
        <v>806</v>
      </c>
    </row>
    <row r="1491" spans="1:1" x14ac:dyDescent="0.25">
      <c r="A1491" s="27" t="s">
        <v>807</v>
      </c>
    </row>
    <row r="1492" spans="1:1" x14ac:dyDescent="0.25">
      <c r="A1492" s="27" t="s">
        <v>808</v>
      </c>
    </row>
    <row r="1493" spans="1:1" x14ac:dyDescent="0.25">
      <c r="A1493" s="27" t="s">
        <v>809</v>
      </c>
    </row>
    <row r="1494" spans="1:1" x14ac:dyDescent="0.25">
      <c r="A1494" s="27" t="s">
        <v>810</v>
      </c>
    </row>
    <row r="1495" spans="1:1" x14ac:dyDescent="0.25">
      <c r="A1495" s="27" t="s">
        <v>811</v>
      </c>
    </row>
    <row r="1496" spans="1:1" x14ac:dyDescent="0.25">
      <c r="A1496" s="27" t="s">
        <v>812</v>
      </c>
    </row>
    <row r="1497" spans="1:1" x14ac:dyDescent="0.25">
      <c r="A1497" s="27" t="s">
        <v>813</v>
      </c>
    </row>
    <row r="1498" spans="1:1" x14ac:dyDescent="0.25">
      <c r="A1498" s="27" t="s">
        <v>814</v>
      </c>
    </row>
    <row r="1499" spans="1:1" x14ac:dyDescent="0.25">
      <c r="A1499" s="27" t="s">
        <v>815</v>
      </c>
    </row>
    <row r="1500" spans="1:1" x14ac:dyDescent="0.25">
      <c r="A1500" s="27" t="s">
        <v>816</v>
      </c>
    </row>
    <row r="1501" spans="1:1" x14ac:dyDescent="0.25">
      <c r="A1501" s="27" t="s">
        <v>817</v>
      </c>
    </row>
    <row r="1502" spans="1:1" x14ac:dyDescent="0.25">
      <c r="A1502" s="27" t="s">
        <v>818</v>
      </c>
    </row>
    <row r="1503" spans="1:1" x14ac:dyDescent="0.25">
      <c r="A1503" s="27" t="s">
        <v>819</v>
      </c>
    </row>
    <row r="1504" spans="1:1" x14ac:dyDescent="0.25">
      <c r="A1504" s="27" t="s">
        <v>820</v>
      </c>
    </row>
    <row r="1505" spans="1:1" x14ac:dyDescent="0.25">
      <c r="A1505" s="27" t="s">
        <v>821</v>
      </c>
    </row>
    <row r="1506" spans="1:1" x14ac:dyDescent="0.25">
      <c r="A1506" s="27" t="s">
        <v>822</v>
      </c>
    </row>
    <row r="1507" spans="1:1" x14ac:dyDescent="0.25">
      <c r="A1507" s="27" t="s">
        <v>823</v>
      </c>
    </row>
    <row r="1508" spans="1:1" x14ac:dyDescent="0.25">
      <c r="A1508" s="27" t="s">
        <v>824</v>
      </c>
    </row>
    <row r="1509" spans="1:1" x14ac:dyDescent="0.25">
      <c r="A1509" s="27" t="s">
        <v>825</v>
      </c>
    </row>
    <row r="1510" spans="1:1" x14ac:dyDescent="0.25">
      <c r="A1510" s="27" t="s">
        <v>826</v>
      </c>
    </row>
    <row r="1511" spans="1:1" x14ac:dyDescent="0.25">
      <c r="A1511" s="27" t="s">
        <v>827</v>
      </c>
    </row>
    <row r="1512" spans="1:1" x14ac:dyDescent="0.25">
      <c r="A1512" s="27" t="s">
        <v>828</v>
      </c>
    </row>
    <row r="1513" spans="1:1" x14ac:dyDescent="0.25">
      <c r="A1513" s="27" t="s">
        <v>829</v>
      </c>
    </row>
    <row r="1514" spans="1:1" x14ac:dyDescent="0.25">
      <c r="A1514" s="27" t="s">
        <v>830</v>
      </c>
    </row>
    <row r="1515" spans="1:1" x14ac:dyDescent="0.25">
      <c r="A1515" s="27" t="s">
        <v>831</v>
      </c>
    </row>
    <row r="1516" spans="1:1" x14ac:dyDescent="0.25">
      <c r="A1516" s="27" t="s">
        <v>832</v>
      </c>
    </row>
    <row r="1517" spans="1:1" x14ac:dyDescent="0.25">
      <c r="A1517" s="27" t="s">
        <v>833</v>
      </c>
    </row>
    <row r="1518" spans="1:1" x14ac:dyDescent="0.25">
      <c r="A1518" s="27" t="s">
        <v>834</v>
      </c>
    </row>
    <row r="1519" spans="1:1" x14ac:dyDescent="0.25">
      <c r="A1519" s="27" t="s">
        <v>835</v>
      </c>
    </row>
    <row r="1520" spans="1:1" x14ac:dyDescent="0.25">
      <c r="A1520" s="27" t="s">
        <v>836</v>
      </c>
    </row>
    <row r="1521" spans="1:1" x14ac:dyDescent="0.25">
      <c r="A1521" s="27" t="s">
        <v>837</v>
      </c>
    </row>
    <row r="1522" spans="1:1" x14ac:dyDescent="0.25">
      <c r="A1522" s="27" t="s">
        <v>838</v>
      </c>
    </row>
    <row r="1523" spans="1:1" x14ac:dyDescent="0.25">
      <c r="A1523" s="27" t="s">
        <v>839</v>
      </c>
    </row>
    <row r="1524" spans="1:1" x14ac:dyDescent="0.25">
      <c r="A1524" s="27" t="s">
        <v>840</v>
      </c>
    </row>
    <row r="1525" spans="1:1" x14ac:dyDescent="0.25">
      <c r="A1525" s="27" t="s">
        <v>841</v>
      </c>
    </row>
    <row r="1526" spans="1:1" x14ac:dyDescent="0.25">
      <c r="A1526" s="27" t="s">
        <v>842</v>
      </c>
    </row>
    <row r="1527" spans="1:1" x14ac:dyDescent="0.25">
      <c r="A1527" s="27" t="s">
        <v>843</v>
      </c>
    </row>
    <row r="1528" spans="1:1" x14ac:dyDescent="0.25">
      <c r="A1528" s="27" t="s">
        <v>844</v>
      </c>
    </row>
    <row r="1529" spans="1:1" x14ac:dyDescent="0.25">
      <c r="A1529" s="27" t="s">
        <v>845</v>
      </c>
    </row>
    <row r="1530" spans="1:1" x14ac:dyDescent="0.25">
      <c r="A1530" s="27" t="s">
        <v>846</v>
      </c>
    </row>
    <row r="1531" spans="1:1" x14ac:dyDescent="0.25">
      <c r="A1531" s="27" t="s">
        <v>847</v>
      </c>
    </row>
    <row r="1532" spans="1:1" x14ac:dyDescent="0.25">
      <c r="A1532" s="27" t="s">
        <v>848</v>
      </c>
    </row>
    <row r="1533" spans="1:1" x14ac:dyDescent="0.25">
      <c r="A1533" s="27" t="s">
        <v>849</v>
      </c>
    </row>
    <row r="1534" spans="1:1" x14ac:dyDescent="0.25">
      <c r="A1534" s="27" t="s">
        <v>850</v>
      </c>
    </row>
    <row r="1535" spans="1:1" x14ac:dyDescent="0.25">
      <c r="A1535" s="27" t="s">
        <v>851</v>
      </c>
    </row>
    <row r="1536" spans="1:1" x14ac:dyDescent="0.25">
      <c r="A1536" s="27" t="s">
        <v>852</v>
      </c>
    </row>
    <row r="1537" spans="1:1" x14ac:dyDescent="0.25">
      <c r="A1537" s="27" t="s">
        <v>853</v>
      </c>
    </row>
    <row r="1538" spans="1:1" x14ac:dyDescent="0.25">
      <c r="A1538" s="27" t="s">
        <v>854</v>
      </c>
    </row>
    <row r="1539" spans="1:1" x14ac:dyDescent="0.25">
      <c r="A1539" s="27" t="s">
        <v>855</v>
      </c>
    </row>
    <row r="1540" spans="1:1" x14ac:dyDescent="0.25">
      <c r="A1540" s="27" t="s">
        <v>856</v>
      </c>
    </row>
    <row r="1541" spans="1:1" x14ac:dyDescent="0.25">
      <c r="A1541" s="27" t="s">
        <v>857</v>
      </c>
    </row>
    <row r="1542" spans="1:1" x14ac:dyDescent="0.25">
      <c r="A1542" s="27" t="s">
        <v>858</v>
      </c>
    </row>
    <row r="1543" spans="1:1" x14ac:dyDescent="0.25">
      <c r="A1543" s="27" t="s">
        <v>859</v>
      </c>
    </row>
    <row r="1544" spans="1:1" x14ac:dyDescent="0.25">
      <c r="A1544" s="27" t="s">
        <v>860</v>
      </c>
    </row>
    <row r="1545" spans="1:1" x14ac:dyDescent="0.25">
      <c r="A1545" s="27" t="s">
        <v>861</v>
      </c>
    </row>
    <row r="1546" spans="1:1" x14ac:dyDescent="0.25">
      <c r="A1546" s="27" t="s">
        <v>862</v>
      </c>
    </row>
    <row r="1547" spans="1:1" x14ac:dyDescent="0.25">
      <c r="A1547" s="27" t="s">
        <v>863</v>
      </c>
    </row>
    <row r="1548" spans="1:1" x14ac:dyDescent="0.25">
      <c r="A1548" s="27" t="s">
        <v>864</v>
      </c>
    </row>
    <row r="1549" spans="1:1" x14ac:dyDescent="0.25">
      <c r="A1549" s="27" t="s">
        <v>865</v>
      </c>
    </row>
    <row r="1550" spans="1:1" x14ac:dyDescent="0.25">
      <c r="A1550" s="27" t="s">
        <v>866</v>
      </c>
    </row>
    <row r="1551" spans="1:1" x14ac:dyDescent="0.25">
      <c r="A1551" s="27" t="s">
        <v>867</v>
      </c>
    </row>
    <row r="1552" spans="1:1" x14ac:dyDescent="0.25">
      <c r="A1552" s="27" t="s">
        <v>868</v>
      </c>
    </row>
    <row r="1553" spans="1:1" x14ac:dyDescent="0.25">
      <c r="A1553" s="27" t="s">
        <v>869</v>
      </c>
    </row>
    <row r="1554" spans="1:1" x14ac:dyDescent="0.25">
      <c r="A1554" s="27" t="s">
        <v>870</v>
      </c>
    </row>
    <row r="1555" spans="1:1" x14ac:dyDescent="0.25">
      <c r="A1555" s="27" t="s">
        <v>871</v>
      </c>
    </row>
    <row r="1556" spans="1:1" x14ac:dyDescent="0.25">
      <c r="A1556" s="27" t="s">
        <v>872</v>
      </c>
    </row>
    <row r="1557" spans="1:1" x14ac:dyDescent="0.25">
      <c r="A1557" s="27" t="s">
        <v>873</v>
      </c>
    </row>
    <row r="1558" spans="1:1" x14ac:dyDescent="0.25">
      <c r="A1558" s="27" t="s">
        <v>874</v>
      </c>
    </row>
    <row r="1559" spans="1:1" x14ac:dyDescent="0.25">
      <c r="A1559" s="27" t="s">
        <v>875</v>
      </c>
    </row>
    <row r="1560" spans="1:1" x14ac:dyDescent="0.25">
      <c r="A1560" s="27" t="s">
        <v>876</v>
      </c>
    </row>
    <row r="1561" spans="1:1" x14ac:dyDescent="0.25">
      <c r="A1561" s="27" t="s">
        <v>877</v>
      </c>
    </row>
    <row r="1562" spans="1:1" x14ac:dyDescent="0.25">
      <c r="A1562" s="92" t="s">
        <v>878</v>
      </c>
    </row>
    <row r="1563" spans="1:1" x14ac:dyDescent="0.25">
      <c r="A1563" s="92" t="s">
        <v>879</v>
      </c>
    </row>
    <row r="1564" spans="1:1" x14ac:dyDescent="0.25">
      <c r="A1564" s="92" t="s">
        <v>880</v>
      </c>
    </row>
    <row r="1565" spans="1:1" x14ac:dyDescent="0.25">
      <c r="A1565" s="93" t="s">
        <v>881</v>
      </c>
    </row>
    <row r="1566" spans="1:1" x14ac:dyDescent="0.25">
      <c r="A1566" s="93" t="s">
        <v>882</v>
      </c>
    </row>
    <row r="1567" spans="1:1" x14ac:dyDescent="0.25">
      <c r="A1567" s="92" t="s">
        <v>883</v>
      </c>
    </row>
    <row r="1568" spans="1:1" x14ac:dyDescent="0.25">
      <c r="A1568" s="92" t="s">
        <v>884</v>
      </c>
    </row>
    <row r="1569" spans="1:1" x14ac:dyDescent="0.25">
      <c r="A1569" s="92" t="s">
        <v>885</v>
      </c>
    </row>
    <row r="1570" spans="1:1" x14ac:dyDescent="0.25">
      <c r="A1570" s="92" t="s">
        <v>886</v>
      </c>
    </row>
    <row r="1571" spans="1:1" x14ac:dyDescent="0.25">
      <c r="A1571" s="93" t="s">
        <v>887</v>
      </c>
    </row>
    <row r="1572" spans="1:1" x14ac:dyDescent="0.25">
      <c r="A1572" s="93" t="s">
        <v>888</v>
      </c>
    </row>
    <row r="1573" spans="1:1" x14ac:dyDescent="0.25">
      <c r="A1573" s="92" t="s">
        <v>889</v>
      </c>
    </row>
    <row r="1574" spans="1:1" x14ac:dyDescent="0.25">
      <c r="A1574" s="92" t="s">
        <v>890</v>
      </c>
    </row>
    <row r="1575" spans="1:1" x14ac:dyDescent="0.25">
      <c r="A1575" s="92" t="s">
        <v>891</v>
      </c>
    </row>
    <row r="1576" spans="1:1" x14ac:dyDescent="0.25">
      <c r="A1576" s="92" t="s">
        <v>892</v>
      </c>
    </row>
    <row r="1577" spans="1:1" x14ac:dyDescent="0.25">
      <c r="A1577" s="93" t="s">
        <v>893</v>
      </c>
    </row>
    <row r="1578" spans="1:1" x14ac:dyDescent="0.25">
      <c r="A1578" s="93" t="s">
        <v>894</v>
      </c>
    </row>
    <row r="1579" spans="1:1" x14ac:dyDescent="0.25">
      <c r="A1579" s="92" t="s">
        <v>895</v>
      </c>
    </row>
    <row r="1580" spans="1:1" x14ac:dyDescent="0.25">
      <c r="A1580" s="92" t="s">
        <v>896</v>
      </c>
    </row>
    <row r="1581" spans="1:1" x14ac:dyDescent="0.25">
      <c r="A1581" s="92" t="s">
        <v>897</v>
      </c>
    </row>
    <row r="1582" spans="1:1" x14ac:dyDescent="0.25">
      <c r="A1582" s="92" t="s">
        <v>898</v>
      </c>
    </row>
    <row r="1583" spans="1:1" x14ac:dyDescent="0.25">
      <c r="A1583" s="93" t="s">
        <v>899</v>
      </c>
    </row>
    <row r="1584" spans="1:1" x14ac:dyDescent="0.25">
      <c r="A1584" s="93" t="s">
        <v>900</v>
      </c>
    </row>
    <row r="1585" spans="1:1" x14ac:dyDescent="0.25">
      <c r="A1585" s="92" t="s">
        <v>901</v>
      </c>
    </row>
    <row r="1586" spans="1:1" x14ac:dyDescent="0.25">
      <c r="A1586" s="92" t="s">
        <v>902</v>
      </c>
    </row>
    <row r="1587" spans="1:1" x14ac:dyDescent="0.25">
      <c r="A1587" s="92" t="s">
        <v>903</v>
      </c>
    </row>
    <row r="1588" spans="1:1" x14ac:dyDescent="0.25">
      <c r="A1588" s="92" t="s">
        <v>904</v>
      </c>
    </row>
    <row r="1589" spans="1:1" x14ac:dyDescent="0.25">
      <c r="A1589" s="93" t="s">
        <v>905</v>
      </c>
    </row>
    <row r="1590" spans="1:1" x14ac:dyDescent="0.25">
      <c r="A1590" s="93" t="s">
        <v>906</v>
      </c>
    </row>
    <row r="1591" spans="1:1" x14ac:dyDescent="0.25">
      <c r="A1591" s="92" t="s">
        <v>907</v>
      </c>
    </row>
    <row r="1592" spans="1:1" x14ac:dyDescent="0.25">
      <c r="A1592" s="92" t="s">
        <v>908</v>
      </c>
    </row>
    <row r="1593" spans="1:1" x14ac:dyDescent="0.25">
      <c r="A1593" s="92" t="s">
        <v>909</v>
      </c>
    </row>
    <row r="1594" spans="1:1" x14ac:dyDescent="0.25">
      <c r="A1594" s="92" t="s">
        <v>910</v>
      </c>
    </row>
    <row r="1595" spans="1:1" x14ac:dyDescent="0.25">
      <c r="A1595" s="93" t="s">
        <v>911</v>
      </c>
    </row>
    <row r="1596" spans="1:1" x14ac:dyDescent="0.25">
      <c r="A1596" s="93" t="s">
        <v>912</v>
      </c>
    </row>
    <row r="1597" spans="1:1" x14ac:dyDescent="0.25">
      <c r="A1597" s="92" t="s">
        <v>913</v>
      </c>
    </row>
    <row r="1598" spans="1:1" x14ac:dyDescent="0.25">
      <c r="A1598" s="92" t="s">
        <v>914</v>
      </c>
    </row>
    <row r="1599" spans="1:1" x14ac:dyDescent="0.25">
      <c r="A1599" s="92" t="s">
        <v>915</v>
      </c>
    </row>
    <row r="1600" spans="1:1" x14ac:dyDescent="0.25">
      <c r="A1600" s="92" t="s">
        <v>916</v>
      </c>
    </row>
    <row r="1601" spans="1:1" x14ac:dyDescent="0.25">
      <c r="A1601" s="93" t="s">
        <v>917</v>
      </c>
    </row>
    <row r="1602" spans="1:1" x14ac:dyDescent="0.25">
      <c r="A1602" s="93" t="s">
        <v>918</v>
      </c>
    </row>
    <row r="1603" spans="1:1" x14ac:dyDescent="0.25">
      <c r="A1603" s="92" t="s">
        <v>919</v>
      </c>
    </row>
    <row r="1604" spans="1:1" x14ac:dyDescent="0.25">
      <c r="A1604" s="92" t="s">
        <v>920</v>
      </c>
    </row>
    <row r="1605" spans="1:1" x14ac:dyDescent="0.25">
      <c r="A1605" s="92" t="s">
        <v>921</v>
      </c>
    </row>
    <row r="1606" spans="1:1" x14ac:dyDescent="0.25">
      <c r="A1606" s="92" t="s">
        <v>922</v>
      </c>
    </row>
    <row r="1607" spans="1:1" x14ac:dyDescent="0.25">
      <c r="A1607" s="93" t="s">
        <v>923</v>
      </c>
    </row>
    <row r="1608" spans="1:1" x14ac:dyDescent="0.25">
      <c r="A1608" s="93" t="s">
        <v>924</v>
      </c>
    </row>
    <row r="1609" spans="1:1" x14ac:dyDescent="0.25">
      <c r="A1609" s="92" t="s">
        <v>925</v>
      </c>
    </row>
    <row r="1610" spans="1:1" x14ac:dyDescent="0.25">
      <c r="A1610" s="92" t="s">
        <v>926</v>
      </c>
    </row>
    <row r="1611" spans="1:1" x14ac:dyDescent="0.25">
      <c r="A1611" s="92" t="s">
        <v>927</v>
      </c>
    </row>
    <row r="1612" spans="1:1" x14ac:dyDescent="0.25">
      <c r="A1612" s="92" t="s">
        <v>928</v>
      </c>
    </row>
    <row r="1613" spans="1:1" x14ac:dyDescent="0.25">
      <c r="A1613" s="93" t="s">
        <v>929</v>
      </c>
    </row>
    <row r="1614" spans="1:1" x14ac:dyDescent="0.25">
      <c r="A1614" s="93" t="s">
        <v>930</v>
      </c>
    </row>
    <row r="1615" spans="1:1" x14ac:dyDescent="0.25">
      <c r="A1615" s="92" t="s">
        <v>931</v>
      </c>
    </row>
    <row r="1616" spans="1:1" x14ac:dyDescent="0.25">
      <c r="A1616" s="92" t="s">
        <v>932</v>
      </c>
    </row>
    <row r="1617" spans="1:1" x14ac:dyDescent="0.25">
      <c r="A1617" s="92" t="s">
        <v>933</v>
      </c>
    </row>
    <row r="1618" spans="1:1" x14ac:dyDescent="0.25">
      <c r="A1618" s="92" t="s">
        <v>934</v>
      </c>
    </row>
    <row r="1619" spans="1:1" x14ac:dyDescent="0.25">
      <c r="A1619" s="93" t="s">
        <v>935</v>
      </c>
    </row>
    <row r="1620" spans="1:1" x14ac:dyDescent="0.25">
      <c r="A1620" s="93" t="s">
        <v>936</v>
      </c>
    </row>
    <row r="1621" spans="1:1" x14ac:dyDescent="0.25">
      <c r="A1621" s="92" t="s">
        <v>937</v>
      </c>
    </row>
    <row r="1622" spans="1:1" x14ac:dyDescent="0.25">
      <c r="A1622" s="92" t="s">
        <v>938</v>
      </c>
    </row>
    <row r="1623" spans="1:1" x14ac:dyDescent="0.25">
      <c r="A1623" s="92" t="s">
        <v>939</v>
      </c>
    </row>
    <row r="1624" spans="1:1" x14ac:dyDescent="0.25">
      <c r="A1624" s="92" t="s">
        <v>940</v>
      </c>
    </row>
    <row r="1625" spans="1:1" x14ac:dyDescent="0.25">
      <c r="A1625" s="93" t="s">
        <v>941</v>
      </c>
    </row>
    <row r="1626" spans="1:1" x14ac:dyDescent="0.25">
      <c r="A1626" s="93" t="s">
        <v>942</v>
      </c>
    </row>
    <row r="1627" spans="1:1" x14ac:dyDescent="0.25">
      <c r="A1627" s="92" t="s">
        <v>943</v>
      </c>
    </row>
    <row r="1628" spans="1:1" x14ac:dyDescent="0.25">
      <c r="A1628" s="92" t="s">
        <v>944</v>
      </c>
    </row>
    <row r="1629" spans="1:1" x14ac:dyDescent="0.25">
      <c r="A1629" s="92" t="s">
        <v>945</v>
      </c>
    </row>
    <row r="1630" spans="1:1" x14ac:dyDescent="0.25">
      <c r="A1630" s="92" t="s">
        <v>946</v>
      </c>
    </row>
    <row r="1631" spans="1:1" x14ac:dyDescent="0.25">
      <c r="A1631" s="93" t="s">
        <v>947</v>
      </c>
    </row>
    <row r="1632" spans="1:1" x14ac:dyDescent="0.25">
      <c r="A1632" s="93" t="s">
        <v>948</v>
      </c>
    </row>
    <row r="1633" spans="1:1" x14ac:dyDescent="0.25">
      <c r="A1633" s="92" t="s">
        <v>949</v>
      </c>
    </row>
    <row r="1634" spans="1:1" x14ac:dyDescent="0.25">
      <c r="A1634" s="92" t="s">
        <v>950</v>
      </c>
    </row>
    <row r="1635" spans="1:1" x14ac:dyDescent="0.25">
      <c r="A1635" s="92" t="s">
        <v>951</v>
      </c>
    </row>
    <row r="1636" spans="1:1" x14ac:dyDescent="0.25">
      <c r="A1636" s="92" t="s">
        <v>952</v>
      </c>
    </row>
    <row r="1637" spans="1:1" x14ac:dyDescent="0.25">
      <c r="A1637" s="93" t="s">
        <v>953</v>
      </c>
    </row>
    <row r="1638" spans="1:1" x14ac:dyDescent="0.25">
      <c r="A1638" s="93" t="s">
        <v>954</v>
      </c>
    </row>
    <row r="1639" spans="1:1" x14ac:dyDescent="0.25">
      <c r="A1639" s="92" t="s">
        <v>955</v>
      </c>
    </row>
    <row r="1640" spans="1:1" x14ac:dyDescent="0.25">
      <c r="A1640" s="92" t="s">
        <v>956</v>
      </c>
    </row>
    <row r="1641" spans="1:1" x14ac:dyDescent="0.25">
      <c r="A1641" s="92" t="s">
        <v>957</v>
      </c>
    </row>
    <row r="1642" spans="1:1" x14ac:dyDescent="0.25">
      <c r="A1642" s="92" t="s">
        <v>958</v>
      </c>
    </row>
    <row r="1643" spans="1:1" x14ac:dyDescent="0.25">
      <c r="A1643" s="93" t="s">
        <v>959</v>
      </c>
    </row>
    <row r="1644" spans="1:1" x14ac:dyDescent="0.25">
      <c r="A1644" s="93" t="s">
        <v>960</v>
      </c>
    </row>
    <row r="1645" spans="1:1" x14ac:dyDescent="0.25">
      <c r="A1645" s="92" t="s">
        <v>961</v>
      </c>
    </row>
    <row r="1646" spans="1:1" x14ac:dyDescent="0.25">
      <c r="A1646" s="92" t="s">
        <v>962</v>
      </c>
    </row>
    <row r="1647" spans="1:1" x14ac:dyDescent="0.25">
      <c r="A1647" s="92" t="s">
        <v>963</v>
      </c>
    </row>
    <row r="1648" spans="1:1" x14ac:dyDescent="0.25">
      <c r="A1648" s="92" t="s">
        <v>964</v>
      </c>
    </row>
    <row r="1649" spans="1:1" x14ac:dyDescent="0.25">
      <c r="A1649" s="93" t="s">
        <v>965</v>
      </c>
    </row>
    <row r="1650" spans="1:1" x14ac:dyDescent="0.25">
      <c r="A1650" s="93" t="s">
        <v>966</v>
      </c>
    </row>
    <row r="1651" spans="1:1" x14ac:dyDescent="0.25">
      <c r="A1651" s="92" t="s">
        <v>967</v>
      </c>
    </row>
    <row r="1652" spans="1:1" x14ac:dyDescent="0.25">
      <c r="A1652" s="92" t="s">
        <v>968</v>
      </c>
    </row>
    <row r="1653" spans="1:1" x14ac:dyDescent="0.25">
      <c r="A1653" s="92" t="s">
        <v>969</v>
      </c>
    </row>
    <row r="1654" spans="1:1" x14ac:dyDescent="0.25">
      <c r="A1654" s="92" t="s">
        <v>970</v>
      </c>
    </row>
    <row r="1655" spans="1:1" x14ac:dyDescent="0.25">
      <c r="A1655" s="93" t="s">
        <v>971</v>
      </c>
    </row>
    <row r="1656" spans="1:1" x14ac:dyDescent="0.25">
      <c r="A1656" s="93" t="s">
        <v>972</v>
      </c>
    </row>
    <row r="1657" spans="1:1" x14ac:dyDescent="0.25">
      <c r="A1657" s="92" t="s">
        <v>973</v>
      </c>
    </row>
    <row r="1658" spans="1:1" x14ac:dyDescent="0.25">
      <c r="A1658" s="92" t="s">
        <v>974</v>
      </c>
    </row>
    <row r="1659" spans="1:1" x14ac:dyDescent="0.25">
      <c r="A1659" s="92" t="s">
        <v>975</v>
      </c>
    </row>
    <row r="1660" spans="1:1" x14ac:dyDescent="0.25">
      <c r="A1660" s="92" t="s">
        <v>976</v>
      </c>
    </row>
    <row r="1661" spans="1:1" x14ac:dyDescent="0.25">
      <c r="A1661" s="93" t="s">
        <v>977</v>
      </c>
    </row>
    <row r="1662" spans="1:1" x14ac:dyDescent="0.25">
      <c r="A1662" s="93" t="s">
        <v>978</v>
      </c>
    </row>
    <row r="1663" spans="1:1" x14ac:dyDescent="0.25">
      <c r="A1663" s="92" t="s">
        <v>979</v>
      </c>
    </row>
    <row r="1664" spans="1:1" x14ac:dyDescent="0.25">
      <c r="A1664" s="92" t="s">
        <v>980</v>
      </c>
    </row>
    <row r="1665" spans="1:1" x14ac:dyDescent="0.25">
      <c r="A1665" s="92" t="s">
        <v>981</v>
      </c>
    </row>
    <row r="1666" spans="1:1" x14ac:dyDescent="0.25">
      <c r="A1666" s="92" t="s">
        <v>982</v>
      </c>
    </row>
    <row r="1667" spans="1:1" x14ac:dyDescent="0.25">
      <c r="A1667" s="93" t="s">
        <v>983</v>
      </c>
    </row>
    <row r="1668" spans="1:1" x14ac:dyDescent="0.25">
      <c r="A1668" s="93" t="s">
        <v>984</v>
      </c>
    </row>
    <row r="1669" spans="1:1" x14ac:dyDescent="0.25">
      <c r="A1669" s="92" t="s">
        <v>985</v>
      </c>
    </row>
    <row r="1670" spans="1:1" x14ac:dyDescent="0.25">
      <c r="A1670" s="92" t="s">
        <v>986</v>
      </c>
    </row>
    <row r="1671" spans="1:1" x14ac:dyDescent="0.25">
      <c r="A1671" s="92" t="s">
        <v>987</v>
      </c>
    </row>
    <row r="1672" spans="1:1" x14ac:dyDescent="0.25">
      <c r="A1672" s="92" t="s">
        <v>988</v>
      </c>
    </row>
    <row r="1673" spans="1:1" x14ac:dyDescent="0.25">
      <c r="A1673" s="93" t="s">
        <v>989</v>
      </c>
    </row>
    <row r="1674" spans="1:1" x14ac:dyDescent="0.25">
      <c r="A1674" s="93" t="s">
        <v>990</v>
      </c>
    </row>
    <row r="1675" spans="1:1" x14ac:dyDescent="0.25">
      <c r="A1675" s="92" t="s">
        <v>991</v>
      </c>
    </row>
    <row r="1676" spans="1:1" x14ac:dyDescent="0.25">
      <c r="A1676" s="92" t="s">
        <v>992</v>
      </c>
    </row>
    <row r="1677" spans="1:1" x14ac:dyDescent="0.25">
      <c r="A1677" s="92" t="s">
        <v>993</v>
      </c>
    </row>
    <row r="1678" spans="1:1" x14ac:dyDescent="0.25">
      <c r="A1678" s="92" t="s">
        <v>994</v>
      </c>
    </row>
    <row r="1679" spans="1:1" x14ac:dyDescent="0.25">
      <c r="A1679" s="93" t="s">
        <v>995</v>
      </c>
    </row>
    <row r="1680" spans="1:1" x14ac:dyDescent="0.25">
      <c r="A1680" s="93" t="s">
        <v>996</v>
      </c>
    </row>
    <row r="1681" spans="1:1" x14ac:dyDescent="0.25">
      <c r="A1681" s="92" t="s">
        <v>997</v>
      </c>
    </row>
    <row r="1682" spans="1:1" x14ac:dyDescent="0.25">
      <c r="A1682" s="92" t="s">
        <v>998</v>
      </c>
    </row>
    <row r="1683" spans="1:1" x14ac:dyDescent="0.25">
      <c r="A1683" s="92" t="s">
        <v>999</v>
      </c>
    </row>
    <row r="1684" spans="1:1" x14ac:dyDescent="0.25">
      <c r="A1684" s="92" t="s">
        <v>1000</v>
      </c>
    </row>
    <row r="1685" spans="1:1" x14ac:dyDescent="0.25">
      <c r="A1685" s="93" t="s">
        <v>1001</v>
      </c>
    </row>
    <row r="1686" spans="1:1" x14ac:dyDescent="0.25">
      <c r="A1686" s="93" t="s">
        <v>1002</v>
      </c>
    </row>
    <row r="1687" spans="1:1" x14ac:dyDescent="0.25">
      <c r="A1687" s="92" t="s">
        <v>1003</v>
      </c>
    </row>
    <row r="1688" spans="1:1" x14ac:dyDescent="0.25">
      <c r="A1688" s="92" t="s">
        <v>1004</v>
      </c>
    </row>
    <row r="1689" spans="1:1" x14ac:dyDescent="0.25">
      <c r="A1689" s="92" t="s">
        <v>1005</v>
      </c>
    </row>
    <row r="1690" spans="1:1" x14ac:dyDescent="0.25">
      <c r="A1690" s="92" t="s">
        <v>1006</v>
      </c>
    </row>
    <row r="1691" spans="1:1" x14ac:dyDescent="0.25">
      <c r="A1691" s="93" t="s">
        <v>1007</v>
      </c>
    </row>
    <row r="1692" spans="1:1" x14ac:dyDescent="0.25">
      <c r="A1692" s="93" t="s">
        <v>1008</v>
      </c>
    </row>
    <row r="1693" spans="1:1" x14ac:dyDescent="0.25">
      <c r="A1693" s="92" t="s">
        <v>1009</v>
      </c>
    </row>
    <row r="1694" spans="1:1" x14ac:dyDescent="0.25">
      <c r="A1694" s="92" t="s">
        <v>1010</v>
      </c>
    </row>
    <row r="1695" spans="1:1" x14ac:dyDescent="0.25">
      <c r="A1695" s="92" t="s">
        <v>1011</v>
      </c>
    </row>
    <row r="1696" spans="1:1" x14ac:dyDescent="0.25">
      <c r="A1696" s="92" t="s">
        <v>1012</v>
      </c>
    </row>
    <row r="1697" spans="1:1" x14ac:dyDescent="0.25">
      <c r="A1697" s="93" t="s">
        <v>1013</v>
      </c>
    </row>
    <row r="1698" spans="1:1" x14ac:dyDescent="0.25">
      <c r="A1698" s="93" t="s">
        <v>1014</v>
      </c>
    </row>
    <row r="1699" spans="1:1" x14ac:dyDescent="0.25">
      <c r="A1699" s="92" t="s">
        <v>1015</v>
      </c>
    </row>
    <row r="1700" spans="1:1" x14ac:dyDescent="0.25">
      <c r="A1700" s="92" t="s">
        <v>1016</v>
      </c>
    </row>
    <row r="1701" spans="1:1" x14ac:dyDescent="0.25">
      <c r="A1701" s="92" t="s">
        <v>1017</v>
      </c>
    </row>
    <row r="1702" spans="1:1" x14ac:dyDescent="0.25">
      <c r="A1702" s="92" t="s">
        <v>1018</v>
      </c>
    </row>
    <row r="1703" spans="1:1" x14ac:dyDescent="0.25">
      <c r="A1703" s="93" t="s">
        <v>1019</v>
      </c>
    </row>
    <row r="1704" spans="1:1" x14ac:dyDescent="0.25">
      <c r="A1704" s="93" t="s">
        <v>1020</v>
      </c>
    </row>
    <row r="1705" spans="1:1" x14ac:dyDescent="0.25">
      <c r="A1705" s="92" t="s">
        <v>1021</v>
      </c>
    </row>
    <row r="1706" spans="1:1" x14ac:dyDescent="0.25">
      <c r="A1706" s="92" t="s">
        <v>1022</v>
      </c>
    </row>
    <row r="1707" spans="1:1" x14ac:dyDescent="0.25">
      <c r="A1707" s="92" t="s">
        <v>1023</v>
      </c>
    </row>
    <row r="1708" spans="1:1" x14ac:dyDescent="0.25">
      <c r="A1708" s="92" t="s">
        <v>1024</v>
      </c>
    </row>
    <row r="1709" spans="1:1" x14ac:dyDescent="0.25">
      <c r="A1709" s="93" t="s">
        <v>1025</v>
      </c>
    </row>
    <row r="1710" spans="1:1" x14ac:dyDescent="0.25">
      <c r="A1710" s="93" t="s">
        <v>1026</v>
      </c>
    </row>
    <row r="1711" spans="1:1" x14ac:dyDescent="0.25">
      <c r="A1711" s="92" t="s">
        <v>1027</v>
      </c>
    </row>
    <row r="1712" spans="1:1" x14ac:dyDescent="0.25">
      <c r="A1712" s="92" t="s">
        <v>1028</v>
      </c>
    </row>
    <row r="1713" spans="1:1" x14ac:dyDescent="0.25">
      <c r="A1713" s="92" t="s">
        <v>1029</v>
      </c>
    </row>
    <row r="1714" spans="1:1" x14ac:dyDescent="0.25">
      <c r="A1714" s="92" t="s">
        <v>1030</v>
      </c>
    </row>
    <row r="1715" spans="1:1" x14ac:dyDescent="0.25">
      <c r="A1715" s="93" t="s">
        <v>1031</v>
      </c>
    </row>
    <row r="1716" spans="1:1" x14ac:dyDescent="0.25">
      <c r="A1716" s="93" t="s">
        <v>1032</v>
      </c>
    </row>
    <row r="1717" spans="1:1" x14ac:dyDescent="0.25">
      <c r="A1717" s="92" t="s">
        <v>1033</v>
      </c>
    </row>
    <row r="1718" spans="1:1" x14ac:dyDescent="0.25">
      <c r="A1718" s="92" t="s">
        <v>1034</v>
      </c>
    </row>
    <row r="1719" spans="1:1" x14ac:dyDescent="0.25">
      <c r="A1719" s="92" t="s">
        <v>1035</v>
      </c>
    </row>
    <row r="1720" spans="1:1" x14ac:dyDescent="0.25">
      <c r="A1720" s="92" t="s">
        <v>1036</v>
      </c>
    </row>
    <row r="1721" spans="1:1" x14ac:dyDescent="0.25">
      <c r="A1721" s="93" t="s">
        <v>1037</v>
      </c>
    </row>
    <row r="1722" spans="1:1" x14ac:dyDescent="0.25">
      <c r="A1722" s="93" t="s">
        <v>1038</v>
      </c>
    </row>
    <row r="1723" spans="1:1" x14ac:dyDescent="0.25">
      <c r="A1723" s="92" t="s">
        <v>1039</v>
      </c>
    </row>
    <row r="1724" spans="1:1" x14ac:dyDescent="0.25">
      <c r="A1724" s="92" t="s">
        <v>1040</v>
      </c>
    </row>
    <row r="1725" spans="1:1" x14ac:dyDescent="0.25">
      <c r="A1725" s="92" t="s">
        <v>1041</v>
      </c>
    </row>
    <row r="1726" spans="1:1" x14ac:dyDescent="0.25">
      <c r="A1726" s="92" t="s">
        <v>1042</v>
      </c>
    </row>
    <row r="1727" spans="1:1" x14ac:dyDescent="0.25">
      <c r="A1727" s="93" t="s">
        <v>1043</v>
      </c>
    </row>
    <row r="1728" spans="1:1" x14ac:dyDescent="0.25">
      <c r="A1728" s="93" t="s">
        <v>1044</v>
      </c>
    </row>
    <row r="1729" spans="1:1" x14ac:dyDescent="0.25">
      <c r="A1729" s="92" t="s">
        <v>1045</v>
      </c>
    </row>
    <row r="1730" spans="1:1" x14ac:dyDescent="0.25">
      <c r="A1730" s="92" t="s">
        <v>1046</v>
      </c>
    </row>
    <row r="1731" spans="1:1" x14ac:dyDescent="0.25">
      <c r="A1731" s="92" t="s">
        <v>1047</v>
      </c>
    </row>
    <row r="1732" spans="1:1" x14ac:dyDescent="0.25">
      <c r="A1732" s="92" t="s">
        <v>1048</v>
      </c>
    </row>
    <row r="1733" spans="1:1" x14ac:dyDescent="0.25">
      <c r="A1733" s="93" t="s">
        <v>1049</v>
      </c>
    </row>
    <row r="1734" spans="1:1" x14ac:dyDescent="0.25">
      <c r="A1734" s="93" t="s">
        <v>1050</v>
      </c>
    </row>
    <row r="1735" spans="1:1" x14ac:dyDescent="0.25">
      <c r="A1735" s="92" t="s">
        <v>1051</v>
      </c>
    </row>
    <row r="1736" spans="1:1" x14ac:dyDescent="0.25">
      <c r="A1736" s="27" t="s">
        <v>1052</v>
      </c>
    </row>
    <row r="1737" spans="1:1" x14ac:dyDescent="0.25">
      <c r="A1737" s="27" t="s">
        <v>1053</v>
      </c>
    </row>
    <row r="1738" spans="1:1" x14ac:dyDescent="0.25">
      <c r="A1738" s="27" t="s">
        <v>1054</v>
      </c>
    </row>
    <row r="1739" spans="1:1" x14ac:dyDescent="0.25">
      <c r="A1739" s="27" t="s">
        <v>1055</v>
      </c>
    </row>
    <row r="1740" spans="1:1" x14ac:dyDescent="0.25">
      <c r="A1740" s="27" t="s">
        <v>1056</v>
      </c>
    </row>
    <row r="1741" spans="1:1" x14ac:dyDescent="0.25">
      <c r="A1741" s="27" t="s">
        <v>1057</v>
      </c>
    </row>
    <row r="1742" spans="1:1" x14ac:dyDescent="0.25">
      <c r="A1742" s="27" t="s">
        <v>1058</v>
      </c>
    </row>
    <row r="1743" spans="1:1" x14ac:dyDescent="0.25">
      <c r="A1743" s="27" t="s">
        <v>1059</v>
      </c>
    </row>
    <row r="1744" spans="1:1" x14ac:dyDescent="0.25">
      <c r="A1744" s="27" t="s">
        <v>1060</v>
      </c>
    </row>
    <row r="1745" spans="1:1" x14ac:dyDescent="0.25">
      <c r="A1745" s="27" t="s">
        <v>1061</v>
      </c>
    </row>
    <row r="1746" spans="1:1" x14ac:dyDescent="0.25">
      <c r="A1746" s="27" t="s">
        <v>1062</v>
      </c>
    </row>
    <row r="1747" spans="1:1" x14ac:dyDescent="0.25">
      <c r="A1747" s="27" t="s">
        <v>1063</v>
      </c>
    </row>
    <row r="1748" spans="1:1" x14ac:dyDescent="0.25">
      <c r="A1748" s="27" t="s">
        <v>1064</v>
      </c>
    </row>
    <row r="1749" spans="1:1" x14ac:dyDescent="0.25">
      <c r="A1749" s="27" t="s">
        <v>1065</v>
      </c>
    </row>
    <row r="1750" spans="1:1" x14ac:dyDescent="0.25">
      <c r="A1750" s="27" t="s">
        <v>1066</v>
      </c>
    </row>
    <row r="1751" spans="1:1" x14ac:dyDescent="0.25">
      <c r="A1751" s="27" t="s">
        <v>1067</v>
      </c>
    </row>
    <row r="1752" spans="1:1" x14ac:dyDescent="0.25">
      <c r="A1752" s="27" t="s">
        <v>1068</v>
      </c>
    </row>
    <row r="1753" spans="1:1" x14ac:dyDescent="0.25">
      <c r="A1753" s="27" t="s">
        <v>1069</v>
      </c>
    </row>
    <row r="1754" spans="1:1" x14ac:dyDescent="0.25">
      <c r="A1754" s="27" t="s">
        <v>1070</v>
      </c>
    </row>
    <row r="1755" spans="1:1" x14ac:dyDescent="0.25">
      <c r="A1755" s="27" t="s">
        <v>1071</v>
      </c>
    </row>
    <row r="1756" spans="1:1" x14ac:dyDescent="0.25">
      <c r="A1756" s="27" t="s">
        <v>1072</v>
      </c>
    </row>
    <row r="1757" spans="1:1" x14ac:dyDescent="0.25">
      <c r="A1757" s="27" t="s">
        <v>1073</v>
      </c>
    </row>
    <row r="1758" spans="1:1" x14ac:dyDescent="0.25">
      <c r="A1758" s="27" t="s">
        <v>1074</v>
      </c>
    </row>
    <row r="1759" spans="1:1" x14ac:dyDescent="0.25">
      <c r="A1759" s="27" t="s">
        <v>1075</v>
      </c>
    </row>
    <row r="1760" spans="1:1" x14ac:dyDescent="0.25">
      <c r="A1760" s="27" t="s">
        <v>1076</v>
      </c>
    </row>
    <row r="1761" spans="1:1" x14ac:dyDescent="0.25">
      <c r="A1761" s="27" t="s">
        <v>1077</v>
      </c>
    </row>
    <row r="1762" spans="1:1" x14ac:dyDescent="0.25">
      <c r="A1762" s="27" t="s">
        <v>1078</v>
      </c>
    </row>
    <row r="1763" spans="1:1" x14ac:dyDescent="0.25">
      <c r="A1763" s="27" t="s">
        <v>1079</v>
      </c>
    </row>
    <row r="1764" spans="1:1" x14ac:dyDescent="0.25">
      <c r="A1764" s="27" t="s">
        <v>1080</v>
      </c>
    </row>
    <row r="1765" spans="1:1" x14ac:dyDescent="0.25">
      <c r="A1765" s="27" t="s">
        <v>1081</v>
      </c>
    </row>
    <row r="1766" spans="1:1" x14ac:dyDescent="0.25">
      <c r="A1766" s="27" t="s">
        <v>1082</v>
      </c>
    </row>
    <row r="1767" spans="1:1" x14ac:dyDescent="0.25">
      <c r="A1767" s="27" t="s">
        <v>1083</v>
      </c>
    </row>
    <row r="1768" spans="1:1" x14ac:dyDescent="0.25">
      <c r="A1768" s="27" t="s">
        <v>1084</v>
      </c>
    </row>
    <row r="1769" spans="1:1" x14ac:dyDescent="0.25">
      <c r="A1769" s="27" t="s">
        <v>1085</v>
      </c>
    </row>
    <row r="1770" spans="1:1" x14ac:dyDescent="0.25">
      <c r="A1770" s="27" t="s">
        <v>1086</v>
      </c>
    </row>
    <row r="1771" spans="1:1" x14ac:dyDescent="0.25">
      <c r="A1771" s="27" t="s">
        <v>1087</v>
      </c>
    </row>
    <row r="1772" spans="1:1" x14ac:dyDescent="0.25">
      <c r="A1772" s="27" t="s">
        <v>1088</v>
      </c>
    </row>
    <row r="1773" spans="1:1" x14ac:dyDescent="0.25">
      <c r="A1773" s="27" t="s">
        <v>1089</v>
      </c>
    </row>
    <row r="1774" spans="1:1" x14ac:dyDescent="0.25">
      <c r="A1774" s="27" t="s">
        <v>1090</v>
      </c>
    </row>
    <row r="1775" spans="1:1" x14ac:dyDescent="0.25">
      <c r="A1775" s="27" t="s">
        <v>1091</v>
      </c>
    </row>
    <row r="1776" spans="1:1" x14ac:dyDescent="0.25">
      <c r="A1776" s="27" t="s">
        <v>1092</v>
      </c>
    </row>
    <row r="1777" spans="1:1" x14ac:dyDescent="0.25">
      <c r="A1777" s="27" t="s">
        <v>1093</v>
      </c>
    </row>
    <row r="1778" spans="1:1" x14ac:dyDescent="0.25">
      <c r="A1778" s="27" t="s">
        <v>1094</v>
      </c>
    </row>
    <row r="1779" spans="1:1" x14ac:dyDescent="0.25">
      <c r="A1779" s="27" t="s">
        <v>1095</v>
      </c>
    </row>
    <row r="1780" spans="1:1" x14ac:dyDescent="0.25">
      <c r="A1780" s="27" t="s">
        <v>1096</v>
      </c>
    </row>
    <row r="1781" spans="1:1" x14ac:dyDescent="0.25">
      <c r="A1781" s="27" t="s">
        <v>1097</v>
      </c>
    </row>
    <row r="1782" spans="1:1" x14ac:dyDescent="0.25">
      <c r="A1782" s="27" t="s">
        <v>1098</v>
      </c>
    </row>
    <row r="1783" spans="1:1" x14ac:dyDescent="0.25">
      <c r="A1783" s="27" t="s">
        <v>1099</v>
      </c>
    </row>
    <row r="1784" spans="1:1" x14ac:dyDescent="0.25">
      <c r="A1784" s="27" t="s">
        <v>1100</v>
      </c>
    </row>
    <row r="1785" spans="1:1" x14ac:dyDescent="0.25">
      <c r="A1785" s="27" t="s">
        <v>1101</v>
      </c>
    </row>
    <row r="1786" spans="1:1" x14ac:dyDescent="0.25">
      <c r="A1786" s="27" t="s">
        <v>1102</v>
      </c>
    </row>
    <row r="1787" spans="1:1" x14ac:dyDescent="0.25">
      <c r="A1787" s="27" t="s">
        <v>1103</v>
      </c>
    </row>
    <row r="1788" spans="1:1" x14ac:dyDescent="0.25">
      <c r="A1788" s="27" t="s">
        <v>1104</v>
      </c>
    </row>
    <row r="1789" spans="1:1" x14ac:dyDescent="0.25">
      <c r="A1789" s="27" t="s">
        <v>1105</v>
      </c>
    </row>
    <row r="1790" spans="1:1" x14ac:dyDescent="0.25">
      <c r="A1790" s="27" t="s">
        <v>1106</v>
      </c>
    </row>
    <row r="1791" spans="1:1" x14ac:dyDescent="0.25">
      <c r="A1791" s="27" t="s">
        <v>1107</v>
      </c>
    </row>
    <row r="1792" spans="1:1" x14ac:dyDescent="0.25">
      <c r="A1792" s="27" t="s">
        <v>1108</v>
      </c>
    </row>
    <row r="1793" spans="1:1" x14ac:dyDescent="0.25">
      <c r="A1793" s="27" t="s">
        <v>1109</v>
      </c>
    </row>
    <row r="1794" spans="1:1" x14ac:dyDescent="0.25">
      <c r="A1794" s="27" t="s">
        <v>1110</v>
      </c>
    </row>
    <row r="1795" spans="1:1" x14ac:dyDescent="0.25">
      <c r="A1795" s="27" t="s">
        <v>1111</v>
      </c>
    </row>
    <row r="1796" spans="1:1" x14ac:dyDescent="0.25">
      <c r="A1796" s="27" t="s">
        <v>1112</v>
      </c>
    </row>
    <row r="1797" spans="1:1" x14ac:dyDescent="0.25">
      <c r="A1797" s="27" t="s">
        <v>1113</v>
      </c>
    </row>
    <row r="1798" spans="1:1" x14ac:dyDescent="0.25">
      <c r="A1798" s="27" t="s">
        <v>1114</v>
      </c>
    </row>
    <row r="1799" spans="1:1" x14ac:dyDescent="0.25">
      <c r="A1799" s="27" t="s">
        <v>1115</v>
      </c>
    </row>
    <row r="1800" spans="1:1" x14ac:dyDescent="0.25">
      <c r="A1800" s="27" t="s">
        <v>1116</v>
      </c>
    </row>
    <row r="1801" spans="1:1" x14ac:dyDescent="0.25">
      <c r="A1801" s="27" t="s">
        <v>1117</v>
      </c>
    </row>
    <row r="1802" spans="1:1" x14ac:dyDescent="0.25">
      <c r="A1802" s="27" t="s">
        <v>1118</v>
      </c>
    </row>
    <row r="1803" spans="1:1" x14ac:dyDescent="0.25">
      <c r="A1803" s="27" t="s">
        <v>1119</v>
      </c>
    </row>
    <row r="1804" spans="1:1" x14ac:dyDescent="0.25">
      <c r="A1804" s="27" t="s">
        <v>1120</v>
      </c>
    </row>
    <row r="1805" spans="1:1" x14ac:dyDescent="0.25">
      <c r="A1805" s="27" t="s">
        <v>1121</v>
      </c>
    </row>
    <row r="1806" spans="1:1" x14ac:dyDescent="0.25">
      <c r="A1806" s="27" t="s">
        <v>1122</v>
      </c>
    </row>
    <row r="1807" spans="1:1" x14ac:dyDescent="0.25">
      <c r="A1807" s="27" t="s">
        <v>1123</v>
      </c>
    </row>
    <row r="1808" spans="1:1" x14ac:dyDescent="0.25">
      <c r="A1808" s="27" t="s">
        <v>1124</v>
      </c>
    </row>
    <row r="1809" spans="1:1" x14ac:dyDescent="0.25">
      <c r="A1809" s="27" t="s">
        <v>1125</v>
      </c>
    </row>
    <row r="1810" spans="1:1" x14ac:dyDescent="0.25">
      <c r="A1810" s="27" t="s">
        <v>1126</v>
      </c>
    </row>
    <row r="1811" spans="1:1" x14ac:dyDescent="0.25">
      <c r="A1811" s="27" t="s">
        <v>1127</v>
      </c>
    </row>
    <row r="1812" spans="1:1" x14ac:dyDescent="0.25">
      <c r="A1812" s="27" t="s">
        <v>1128</v>
      </c>
    </row>
    <row r="1813" spans="1:1" x14ac:dyDescent="0.25">
      <c r="A1813" s="27" t="s">
        <v>1129</v>
      </c>
    </row>
    <row r="1814" spans="1:1" x14ac:dyDescent="0.25">
      <c r="A1814" s="27" t="s">
        <v>1130</v>
      </c>
    </row>
    <row r="1815" spans="1:1" x14ac:dyDescent="0.25">
      <c r="A1815" s="27" t="s">
        <v>1131</v>
      </c>
    </row>
    <row r="1816" spans="1:1" x14ac:dyDescent="0.25">
      <c r="A1816" s="27" t="s">
        <v>1132</v>
      </c>
    </row>
    <row r="1817" spans="1:1" x14ac:dyDescent="0.25">
      <c r="A1817" s="27" t="s">
        <v>1133</v>
      </c>
    </row>
    <row r="1818" spans="1:1" x14ac:dyDescent="0.25">
      <c r="A1818" s="27" t="s">
        <v>1134</v>
      </c>
    </row>
    <row r="1819" spans="1:1" x14ac:dyDescent="0.25">
      <c r="A1819" s="27" t="s">
        <v>1135</v>
      </c>
    </row>
    <row r="1820" spans="1:1" x14ac:dyDescent="0.25">
      <c r="A1820" s="27" t="s">
        <v>1136</v>
      </c>
    </row>
    <row r="1821" spans="1:1" x14ac:dyDescent="0.25">
      <c r="A1821" s="27" t="s">
        <v>1137</v>
      </c>
    </row>
    <row r="1822" spans="1:1" x14ac:dyDescent="0.25">
      <c r="A1822" s="27" t="s">
        <v>1138</v>
      </c>
    </row>
    <row r="1823" spans="1:1" x14ac:dyDescent="0.25">
      <c r="A1823" s="27" t="s">
        <v>1139</v>
      </c>
    </row>
    <row r="1824" spans="1:1" x14ac:dyDescent="0.25">
      <c r="A1824" s="27" t="s">
        <v>1140</v>
      </c>
    </row>
    <row r="1825" spans="1:1" x14ac:dyDescent="0.25">
      <c r="A1825" s="27" t="s">
        <v>1141</v>
      </c>
    </row>
    <row r="1826" spans="1:1" x14ac:dyDescent="0.25">
      <c r="A1826" s="27" t="s">
        <v>1142</v>
      </c>
    </row>
    <row r="1827" spans="1:1" x14ac:dyDescent="0.25">
      <c r="A1827" s="27" t="s">
        <v>1143</v>
      </c>
    </row>
    <row r="1828" spans="1:1" x14ac:dyDescent="0.25">
      <c r="A1828" s="27" t="s">
        <v>1144</v>
      </c>
    </row>
    <row r="1829" spans="1:1" x14ac:dyDescent="0.25">
      <c r="A1829" s="27" t="s">
        <v>1145</v>
      </c>
    </row>
    <row r="1830" spans="1:1" x14ac:dyDescent="0.25">
      <c r="A1830" s="27" t="s">
        <v>1146</v>
      </c>
    </row>
    <row r="1831" spans="1:1" x14ac:dyDescent="0.25">
      <c r="A1831" s="27" t="s">
        <v>1147</v>
      </c>
    </row>
    <row r="1832" spans="1:1" x14ac:dyDescent="0.25">
      <c r="A1832" s="27" t="s">
        <v>1148</v>
      </c>
    </row>
    <row r="1833" spans="1:1" x14ac:dyDescent="0.25">
      <c r="A1833" s="27" t="s">
        <v>1149</v>
      </c>
    </row>
    <row r="1834" spans="1:1" x14ac:dyDescent="0.25">
      <c r="A1834" s="27" t="s">
        <v>1150</v>
      </c>
    </row>
    <row r="1835" spans="1:1" x14ac:dyDescent="0.25">
      <c r="A1835" s="27" t="s">
        <v>1151</v>
      </c>
    </row>
    <row r="1836" spans="1:1" x14ac:dyDescent="0.25">
      <c r="A1836" s="27" t="s">
        <v>1152</v>
      </c>
    </row>
    <row r="1837" spans="1:1" x14ac:dyDescent="0.25">
      <c r="A1837" s="27" t="s">
        <v>1153</v>
      </c>
    </row>
    <row r="1838" spans="1:1" x14ac:dyDescent="0.25">
      <c r="A1838" s="27" t="s">
        <v>1154</v>
      </c>
    </row>
    <row r="1839" spans="1:1" x14ac:dyDescent="0.25">
      <c r="A1839" s="27" t="s">
        <v>1155</v>
      </c>
    </row>
    <row r="1840" spans="1:1" x14ac:dyDescent="0.25">
      <c r="A1840" s="27" t="s">
        <v>1156</v>
      </c>
    </row>
    <row r="1841" spans="1:1" x14ac:dyDescent="0.25">
      <c r="A1841" s="27" t="s">
        <v>1157</v>
      </c>
    </row>
    <row r="1842" spans="1:1" x14ac:dyDescent="0.25">
      <c r="A1842" s="27" t="s">
        <v>1158</v>
      </c>
    </row>
    <row r="1843" spans="1:1" x14ac:dyDescent="0.25">
      <c r="A1843" s="27" t="s">
        <v>1159</v>
      </c>
    </row>
    <row r="1844" spans="1:1" x14ac:dyDescent="0.25">
      <c r="A1844" s="27" t="s">
        <v>1160</v>
      </c>
    </row>
    <row r="1845" spans="1:1" x14ac:dyDescent="0.25">
      <c r="A1845" s="27" t="s">
        <v>1161</v>
      </c>
    </row>
    <row r="1846" spans="1:1" x14ac:dyDescent="0.25">
      <c r="A1846" s="27" t="s">
        <v>1162</v>
      </c>
    </row>
    <row r="1847" spans="1:1" x14ac:dyDescent="0.25">
      <c r="A1847" s="27" t="s">
        <v>1163</v>
      </c>
    </row>
    <row r="1848" spans="1:1" x14ac:dyDescent="0.25">
      <c r="A1848" s="27" t="s">
        <v>1164</v>
      </c>
    </row>
    <row r="1849" spans="1:1" x14ac:dyDescent="0.25">
      <c r="A1849" s="27" t="s">
        <v>1165</v>
      </c>
    </row>
    <row r="1850" spans="1:1" x14ac:dyDescent="0.25">
      <c r="A1850" s="27" t="s">
        <v>1166</v>
      </c>
    </row>
    <row r="1851" spans="1:1" x14ac:dyDescent="0.25">
      <c r="A1851" s="27" t="s">
        <v>1167</v>
      </c>
    </row>
    <row r="1852" spans="1:1" x14ac:dyDescent="0.25">
      <c r="A1852" s="27" t="s">
        <v>1168</v>
      </c>
    </row>
    <row r="1853" spans="1:1" x14ac:dyDescent="0.25">
      <c r="A1853" s="27" t="s">
        <v>1169</v>
      </c>
    </row>
    <row r="1854" spans="1:1" x14ac:dyDescent="0.25">
      <c r="A1854" s="27" t="s">
        <v>1170</v>
      </c>
    </row>
    <row r="1855" spans="1:1" x14ac:dyDescent="0.25">
      <c r="A1855" s="27" t="s">
        <v>1171</v>
      </c>
    </row>
    <row r="1856" spans="1:1" x14ac:dyDescent="0.25">
      <c r="A1856" s="27" t="s">
        <v>1172</v>
      </c>
    </row>
    <row r="1857" spans="1:1" x14ac:dyDescent="0.25">
      <c r="A1857" s="27" t="s">
        <v>1173</v>
      </c>
    </row>
    <row r="1858" spans="1:1" x14ac:dyDescent="0.25">
      <c r="A1858" s="27" t="s">
        <v>1174</v>
      </c>
    </row>
    <row r="1859" spans="1:1" x14ac:dyDescent="0.25">
      <c r="A1859" s="27" t="s">
        <v>1175</v>
      </c>
    </row>
    <row r="1860" spans="1:1" x14ac:dyDescent="0.25">
      <c r="A1860" s="27" t="s">
        <v>1176</v>
      </c>
    </row>
    <row r="1861" spans="1:1" x14ac:dyDescent="0.25">
      <c r="A1861" s="27" t="s">
        <v>1177</v>
      </c>
    </row>
    <row r="1862" spans="1:1" x14ac:dyDescent="0.25">
      <c r="A1862" s="27" t="s">
        <v>1178</v>
      </c>
    </row>
    <row r="1863" spans="1:1" x14ac:dyDescent="0.25">
      <c r="A1863" s="27" t="s">
        <v>1179</v>
      </c>
    </row>
    <row r="1864" spans="1:1" x14ac:dyDescent="0.25">
      <c r="A1864" s="27" t="s">
        <v>1180</v>
      </c>
    </row>
    <row r="1865" spans="1:1" x14ac:dyDescent="0.25">
      <c r="A1865" s="27" t="s">
        <v>1181</v>
      </c>
    </row>
    <row r="1866" spans="1:1" x14ac:dyDescent="0.25">
      <c r="A1866" s="27" t="s">
        <v>1182</v>
      </c>
    </row>
    <row r="1867" spans="1:1" x14ac:dyDescent="0.25">
      <c r="A1867" s="27" t="s">
        <v>1183</v>
      </c>
    </row>
    <row r="1868" spans="1:1" x14ac:dyDescent="0.25">
      <c r="A1868" s="27" t="s">
        <v>1184</v>
      </c>
    </row>
    <row r="1869" spans="1:1" x14ac:dyDescent="0.25">
      <c r="A1869" s="27" t="s">
        <v>1185</v>
      </c>
    </row>
    <row r="1870" spans="1:1" x14ac:dyDescent="0.25">
      <c r="A1870" s="27" t="s">
        <v>1186</v>
      </c>
    </row>
    <row r="1871" spans="1:1" x14ac:dyDescent="0.25">
      <c r="A1871" s="27" t="s">
        <v>1187</v>
      </c>
    </row>
    <row r="1872" spans="1:1" x14ac:dyDescent="0.25">
      <c r="A1872" s="27" t="s">
        <v>1188</v>
      </c>
    </row>
    <row r="1873" spans="1:1" x14ac:dyDescent="0.25">
      <c r="A1873" s="27" t="s">
        <v>1189</v>
      </c>
    </row>
    <row r="1874" spans="1:1" x14ac:dyDescent="0.25">
      <c r="A1874" s="27" t="s">
        <v>1190</v>
      </c>
    </row>
    <row r="1875" spans="1:1" x14ac:dyDescent="0.25">
      <c r="A1875" s="27" t="s">
        <v>1191</v>
      </c>
    </row>
    <row r="1876" spans="1:1" x14ac:dyDescent="0.25">
      <c r="A1876" s="27" t="s">
        <v>1192</v>
      </c>
    </row>
    <row r="1877" spans="1:1" x14ac:dyDescent="0.25">
      <c r="A1877" s="27" t="s">
        <v>1193</v>
      </c>
    </row>
    <row r="1878" spans="1:1" x14ac:dyDescent="0.25">
      <c r="A1878" s="27" t="s">
        <v>1194</v>
      </c>
    </row>
    <row r="1879" spans="1:1" x14ac:dyDescent="0.25">
      <c r="A1879" s="27" t="s">
        <v>1195</v>
      </c>
    </row>
    <row r="1880" spans="1:1" x14ac:dyDescent="0.25">
      <c r="A1880" s="27" t="s">
        <v>1196</v>
      </c>
    </row>
    <row r="1881" spans="1:1" x14ac:dyDescent="0.25">
      <c r="A1881" s="27" t="s">
        <v>1197</v>
      </c>
    </row>
    <row r="1882" spans="1:1" x14ac:dyDescent="0.25">
      <c r="A1882" s="27" t="s">
        <v>1198</v>
      </c>
    </row>
    <row r="1883" spans="1:1" x14ac:dyDescent="0.25">
      <c r="A1883" s="27" t="s">
        <v>1199</v>
      </c>
    </row>
    <row r="1884" spans="1:1" x14ac:dyDescent="0.25">
      <c r="A1884" s="27" t="s">
        <v>1200</v>
      </c>
    </row>
    <row r="1885" spans="1:1" x14ac:dyDescent="0.25">
      <c r="A1885" s="27" t="s">
        <v>1201</v>
      </c>
    </row>
    <row r="1886" spans="1:1" x14ac:dyDescent="0.25">
      <c r="A1886" s="27" t="s">
        <v>1202</v>
      </c>
    </row>
    <row r="1887" spans="1:1" x14ac:dyDescent="0.25">
      <c r="A1887" s="27" t="s">
        <v>1203</v>
      </c>
    </row>
    <row r="1888" spans="1:1" x14ac:dyDescent="0.25">
      <c r="A1888" s="27" t="s">
        <v>1204</v>
      </c>
    </row>
    <row r="1889" spans="1:1" x14ac:dyDescent="0.25">
      <c r="A1889" s="27" t="s">
        <v>1205</v>
      </c>
    </row>
    <row r="1890" spans="1:1" x14ac:dyDescent="0.25">
      <c r="A1890" s="27" t="s">
        <v>1206</v>
      </c>
    </row>
    <row r="1891" spans="1:1" x14ac:dyDescent="0.25">
      <c r="A1891" s="27" t="s">
        <v>1207</v>
      </c>
    </row>
    <row r="1892" spans="1:1" x14ac:dyDescent="0.25">
      <c r="A1892" s="27" t="s">
        <v>1208</v>
      </c>
    </row>
    <row r="1893" spans="1:1" x14ac:dyDescent="0.25">
      <c r="A1893" s="27" t="s">
        <v>1209</v>
      </c>
    </row>
    <row r="1894" spans="1:1" x14ac:dyDescent="0.25">
      <c r="A1894" s="27" t="s">
        <v>1210</v>
      </c>
    </row>
    <row r="1895" spans="1:1" x14ac:dyDescent="0.25">
      <c r="A1895" s="27" t="s">
        <v>1211</v>
      </c>
    </row>
    <row r="1896" spans="1:1" x14ac:dyDescent="0.25">
      <c r="A1896" s="27" t="s">
        <v>1212</v>
      </c>
    </row>
    <row r="1897" spans="1:1" x14ac:dyDescent="0.25">
      <c r="A1897" s="27" t="s">
        <v>1213</v>
      </c>
    </row>
    <row r="1898" spans="1:1" x14ac:dyDescent="0.25">
      <c r="A1898" s="27" t="s">
        <v>1214</v>
      </c>
    </row>
    <row r="1899" spans="1:1" x14ac:dyDescent="0.25">
      <c r="A1899" s="27" t="s">
        <v>1215</v>
      </c>
    </row>
    <row r="1900" spans="1:1" x14ac:dyDescent="0.25">
      <c r="A1900" s="27" t="s">
        <v>1216</v>
      </c>
    </row>
    <row r="1901" spans="1:1" x14ac:dyDescent="0.25">
      <c r="A1901" s="27" t="s">
        <v>1217</v>
      </c>
    </row>
    <row r="1902" spans="1:1" x14ac:dyDescent="0.25">
      <c r="A1902" s="27" t="s">
        <v>1218</v>
      </c>
    </row>
    <row r="1903" spans="1:1" x14ac:dyDescent="0.25">
      <c r="A1903" s="27" t="s">
        <v>1219</v>
      </c>
    </row>
    <row r="1904" spans="1:1" x14ac:dyDescent="0.25">
      <c r="A1904" s="27" t="s">
        <v>1220</v>
      </c>
    </row>
    <row r="1905" spans="1:1" x14ac:dyDescent="0.25">
      <c r="A1905" s="27" t="s">
        <v>1221</v>
      </c>
    </row>
    <row r="1906" spans="1:1" x14ac:dyDescent="0.25">
      <c r="A1906" s="27" t="s">
        <v>1222</v>
      </c>
    </row>
    <row r="1907" spans="1:1" x14ac:dyDescent="0.25">
      <c r="A1907" s="27" t="s">
        <v>1223</v>
      </c>
    </row>
    <row r="1908" spans="1:1" x14ac:dyDescent="0.25">
      <c r="A1908" s="27" t="s">
        <v>1224</v>
      </c>
    </row>
    <row r="1909" spans="1:1" x14ac:dyDescent="0.25">
      <c r="A1909" s="27" t="s">
        <v>1225</v>
      </c>
    </row>
    <row r="1910" spans="1:1" x14ac:dyDescent="0.25">
      <c r="A1910" s="27" t="s">
        <v>1226</v>
      </c>
    </row>
    <row r="1911" spans="1:1" x14ac:dyDescent="0.25">
      <c r="A1911" s="27" t="s">
        <v>1227</v>
      </c>
    </row>
    <row r="1912" spans="1:1" x14ac:dyDescent="0.25">
      <c r="A1912" s="27" t="s">
        <v>1228</v>
      </c>
    </row>
    <row r="1913" spans="1:1" x14ac:dyDescent="0.25">
      <c r="A1913" s="27" t="s">
        <v>1229</v>
      </c>
    </row>
    <row r="1914" spans="1:1" x14ac:dyDescent="0.25">
      <c r="A1914" s="27" t="s">
        <v>1230</v>
      </c>
    </row>
    <row r="1915" spans="1:1" x14ac:dyDescent="0.25">
      <c r="A1915" s="27" t="s">
        <v>1231</v>
      </c>
    </row>
    <row r="1916" spans="1:1" x14ac:dyDescent="0.25">
      <c r="A1916" s="27" t="s">
        <v>1232</v>
      </c>
    </row>
    <row r="1917" spans="1:1" x14ac:dyDescent="0.25">
      <c r="A1917" s="27" t="s">
        <v>1233</v>
      </c>
    </row>
    <row r="1918" spans="1:1" x14ac:dyDescent="0.25">
      <c r="A1918" s="27" t="s">
        <v>1234</v>
      </c>
    </row>
    <row r="1919" spans="1:1" x14ac:dyDescent="0.25">
      <c r="A1919" s="27" t="s">
        <v>1235</v>
      </c>
    </row>
    <row r="1920" spans="1:1" x14ac:dyDescent="0.25">
      <c r="A1920" s="27" t="s">
        <v>1236</v>
      </c>
    </row>
    <row r="1921" spans="1:1" x14ac:dyDescent="0.25">
      <c r="A1921" s="27" t="s">
        <v>1237</v>
      </c>
    </row>
    <row r="1922" spans="1:1" x14ac:dyDescent="0.25">
      <c r="A1922" s="27" t="s">
        <v>1238</v>
      </c>
    </row>
    <row r="1923" spans="1:1" x14ac:dyDescent="0.25">
      <c r="A1923" s="27" t="s">
        <v>1239</v>
      </c>
    </row>
    <row r="1924" spans="1:1" x14ac:dyDescent="0.25">
      <c r="A1924" s="27" t="s">
        <v>1240</v>
      </c>
    </row>
    <row r="1925" spans="1:1" x14ac:dyDescent="0.25">
      <c r="A1925" s="27" t="s">
        <v>1241</v>
      </c>
    </row>
    <row r="1926" spans="1:1" x14ac:dyDescent="0.25">
      <c r="A1926" s="27" t="s">
        <v>1242</v>
      </c>
    </row>
    <row r="1927" spans="1:1" x14ac:dyDescent="0.25">
      <c r="A1927" s="27" t="s">
        <v>1243</v>
      </c>
    </row>
    <row r="1928" spans="1:1" x14ac:dyDescent="0.25">
      <c r="A1928" s="27" t="s">
        <v>1244</v>
      </c>
    </row>
    <row r="1929" spans="1:1" x14ac:dyDescent="0.25">
      <c r="A1929" s="27" t="s">
        <v>1245</v>
      </c>
    </row>
    <row r="1930" spans="1:1" x14ac:dyDescent="0.25">
      <c r="A1930" s="27" t="s">
        <v>1246</v>
      </c>
    </row>
    <row r="1931" spans="1:1" x14ac:dyDescent="0.25">
      <c r="A1931" s="27" t="s">
        <v>1247</v>
      </c>
    </row>
    <row r="1932" spans="1:1" x14ac:dyDescent="0.25">
      <c r="A1932" s="27" t="s">
        <v>1248</v>
      </c>
    </row>
    <row r="1933" spans="1:1" x14ac:dyDescent="0.25">
      <c r="A1933" s="27" t="s">
        <v>1249</v>
      </c>
    </row>
    <row r="1934" spans="1:1" x14ac:dyDescent="0.25">
      <c r="A1934" s="27" t="s">
        <v>1250</v>
      </c>
    </row>
    <row r="1935" spans="1:1" x14ac:dyDescent="0.25">
      <c r="A1935" s="27" t="s">
        <v>1251</v>
      </c>
    </row>
    <row r="1936" spans="1:1" x14ac:dyDescent="0.25">
      <c r="A1936" s="27" t="s">
        <v>1252</v>
      </c>
    </row>
    <row r="1937" spans="1:1" x14ac:dyDescent="0.25">
      <c r="A1937" s="27" t="s">
        <v>1253</v>
      </c>
    </row>
    <row r="1938" spans="1:1" x14ac:dyDescent="0.25">
      <c r="A1938" s="27" t="s">
        <v>1254</v>
      </c>
    </row>
    <row r="1939" spans="1:1" x14ac:dyDescent="0.25">
      <c r="A1939" s="27" t="s">
        <v>1255</v>
      </c>
    </row>
    <row r="1940" spans="1:1" x14ac:dyDescent="0.25">
      <c r="A1940" s="27" t="s">
        <v>1256</v>
      </c>
    </row>
    <row r="1941" spans="1:1" x14ac:dyDescent="0.25">
      <c r="A1941" s="27" t="s">
        <v>1257</v>
      </c>
    </row>
    <row r="1942" spans="1:1" x14ac:dyDescent="0.25">
      <c r="A1942" s="27" t="s">
        <v>1258</v>
      </c>
    </row>
    <row r="1943" spans="1:1" x14ac:dyDescent="0.25">
      <c r="A1943" s="27" t="s">
        <v>1259</v>
      </c>
    </row>
    <row r="1944" spans="1:1" x14ac:dyDescent="0.25">
      <c r="A1944" s="27" t="s">
        <v>1260</v>
      </c>
    </row>
    <row r="1945" spans="1:1" x14ac:dyDescent="0.25">
      <c r="A1945" s="27" t="s">
        <v>1261</v>
      </c>
    </row>
    <row r="1946" spans="1:1" x14ac:dyDescent="0.25">
      <c r="A1946" s="27" t="s">
        <v>1262</v>
      </c>
    </row>
    <row r="1947" spans="1:1" x14ac:dyDescent="0.25">
      <c r="A1947" s="27" t="s">
        <v>1263</v>
      </c>
    </row>
    <row r="1948" spans="1:1" x14ac:dyDescent="0.25">
      <c r="A1948" s="27" t="s">
        <v>1264</v>
      </c>
    </row>
    <row r="1949" spans="1:1" x14ac:dyDescent="0.25">
      <c r="A1949" s="27" t="s">
        <v>1265</v>
      </c>
    </row>
    <row r="1950" spans="1:1" x14ac:dyDescent="0.25">
      <c r="A1950" s="27" t="s">
        <v>1266</v>
      </c>
    </row>
    <row r="1951" spans="1:1" x14ac:dyDescent="0.25">
      <c r="A1951" s="27" t="s">
        <v>1267</v>
      </c>
    </row>
    <row r="1952" spans="1:1" x14ac:dyDescent="0.25">
      <c r="A1952" s="27" t="s">
        <v>1268</v>
      </c>
    </row>
    <row r="1953" spans="1:1" x14ac:dyDescent="0.25">
      <c r="A1953" s="27" t="s">
        <v>1269</v>
      </c>
    </row>
    <row r="1954" spans="1:1" x14ac:dyDescent="0.25">
      <c r="A1954" s="27" t="s">
        <v>1270</v>
      </c>
    </row>
    <row r="1955" spans="1:1" x14ac:dyDescent="0.25">
      <c r="A1955" s="27" t="s">
        <v>1271</v>
      </c>
    </row>
    <row r="1956" spans="1:1" x14ac:dyDescent="0.25">
      <c r="A1956" s="27" t="s">
        <v>1272</v>
      </c>
    </row>
    <row r="1957" spans="1:1" x14ac:dyDescent="0.25">
      <c r="A1957" s="27" t="s">
        <v>1273</v>
      </c>
    </row>
    <row r="1958" spans="1:1" x14ac:dyDescent="0.25">
      <c r="A1958" s="27" t="s">
        <v>1274</v>
      </c>
    </row>
    <row r="1959" spans="1:1" x14ac:dyDescent="0.25">
      <c r="A1959" s="27" t="s">
        <v>1275</v>
      </c>
    </row>
    <row r="1960" spans="1:1" x14ac:dyDescent="0.25">
      <c r="A1960" s="27" t="s">
        <v>1276</v>
      </c>
    </row>
    <row r="1961" spans="1:1" x14ac:dyDescent="0.25">
      <c r="A1961" s="27" t="s">
        <v>1277</v>
      </c>
    </row>
    <row r="1962" spans="1:1" x14ac:dyDescent="0.25">
      <c r="A1962" s="27" t="s">
        <v>1278</v>
      </c>
    </row>
    <row r="1963" spans="1:1" x14ac:dyDescent="0.25">
      <c r="A1963" s="27" t="s">
        <v>1279</v>
      </c>
    </row>
    <row r="1964" spans="1:1" x14ac:dyDescent="0.25">
      <c r="A1964" s="27" t="s">
        <v>1280</v>
      </c>
    </row>
    <row r="1965" spans="1:1" x14ac:dyDescent="0.25">
      <c r="A1965" s="27" t="s">
        <v>1281</v>
      </c>
    </row>
    <row r="1966" spans="1:1" x14ac:dyDescent="0.25">
      <c r="A1966" s="27" t="s">
        <v>1282</v>
      </c>
    </row>
    <row r="1967" spans="1:1" x14ac:dyDescent="0.25">
      <c r="A1967" s="27" t="s">
        <v>1283</v>
      </c>
    </row>
    <row r="1968" spans="1:1" x14ac:dyDescent="0.25">
      <c r="A1968" s="27" t="s">
        <v>1284</v>
      </c>
    </row>
    <row r="1969" spans="1:1" x14ac:dyDescent="0.25">
      <c r="A1969" s="27" t="s">
        <v>1285</v>
      </c>
    </row>
    <row r="1970" spans="1:1" x14ac:dyDescent="0.25">
      <c r="A1970" s="27" t="s">
        <v>1286</v>
      </c>
    </row>
    <row r="1971" spans="1:1" x14ac:dyDescent="0.25">
      <c r="A1971" s="27" t="s">
        <v>1287</v>
      </c>
    </row>
    <row r="1972" spans="1:1" x14ac:dyDescent="0.25">
      <c r="A1972" s="27" t="s">
        <v>1288</v>
      </c>
    </row>
    <row r="1973" spans="1:1" x14ac:dyDescent="0.25">
      <c r="A1973" s="27" t="s">
        <v>1289</v>
      </c>
    </row>
    <row r="1974" spans="1:1" x14ac:dyDescent="0.25">
      <c r="A1974" s="27" t="s">
        <v>1290</v>
      </c>
    </row>
    <row r="1975" spans="1:1" x14ac:dyDescent="0.25">
      <c r="A1975" s="27" t="s">
        <v>1291</v>
      </c>
    </row>
    <row r="1976" spans="1:1" x14ac:dyDescent="0.25">
      <c r="A1976" s="27" t="s">
        <v>1292</v>
      </c>
    </row>
    <row r="1977" spans="1:1" x14ac:dyDescent="0.25">
      <c r="A1977" s="27" t="s">
        <v>1293</v>
      </c>
    </row>
    <row r="1978" spans="1:1" x14ac:dyDescent="0.25">
      <c r="A1978" s="27" t="s">
        <v>1294</v>
      </c>
    </row>
    <row r="1979" spans="1:1" x14ac:dyDescent="0.25">
      <c r="A1979" s="27" t="s">
        <v>1295</v>
      </c>
    </row>
    <row r="1980" spans="1:1" x14ac:dyDescent="0.25">
      <c r="A1980" s="27" t="s">
        <v>1296</v>
      </c>
    </row>
    <row r="1981" spans="1:1" x14ac:dyDescent="0.25">
      <c r="A1981" s="27" t="s">
        <v>1297</v>
      </c>
    </row>
    <row r="1982" spans="1:1" x14ac:dyDescent="0.25">
      <c r="A1982" s="27" t="s">
        <v>1298</v>
      </c>
    </row>
    <row r="1983" spans="1:1" x14ac:dyDescent="0.25">
      <c r="A1983" s="27" t="s">
        <v>1299</v>
      </c>
    </row>
    <row r="1984" spans="1:1" x14ac:dyDescent="0.25">
      <c r="A1984" s="27" t="s">
        <v>1300</v>
      </c>
    </row>
    <row r="1985" spans="1:1" x14ac:dyDescent="0.25">
      <c r="A1985" s="27" t="s">
        <v>1301</v>
      </c>
    </row>
    <row r="1986" spans="1:1" x14ac:dyDescent="0.25">
      <c r="A1986" s="27" t="s">
        <v>1302</v>
      </c>
    </row>
    <row r="1987" spans="1:1" x14ac:dyDescent="0.25">
      <c r="A1987" s="27" t="s">
        <v>1303</v>
      </c>
    </row>
    <row r="1988" spans="1:1" x14ac:dyDescent="0.25">
      <c r="A1988" s="27" t="s">
        <v>1304</v>
      </c>
    </row>
    <row r="1989" spans="1:1" x14ac:dyDescent="0.25">
      <c r="A1989" s="27" t="s">
        <v>1305</v>
      </c>
    </row>
    <row r="1990" spans="1:1" x14ac:dyDescent="0.25">
      <c r="A1990" s="27" t="s">
        <v>1306</v>
      </c>
    </row>
    <row r="1991" spans="1:1" x14ac:dyDescent="0.25">
      <c r="A1991" s="27" t="s">
        <v>1307</v>
      </c>
    </row>
    <row r="1992" spans="1:1" x14ac:dyDescent="0.25">
      <c r="A1992" s="27" t="s">
        <v>1308</v>
      </c>
    </row>
    <row r="1993" spans="1:1" x14ac:dyDescent="0.25">
      <c r="A1993" s="27" t="s">
        <v>1309</v>
      </c>
    </row>
    <row r="1994" spans="1:1" x14ac:dyDescent="0.25">
      <c r="A1994" s="27" t="s">
        <v>1310</v>
      </c>
    </row>
    <row r="1995" spans="1:1" x14ac:dyDescent="0.25">
      <c r="A1995" s="27" t="s">
        <v>1311</v>
      </c>
    </row>
    <row r="1996" spans="1:1" x14ac:dyDescent="0.25">
      <c r="A1996" s="27" t="s">
        <v>1312</v>
      </c>
    </row>
    <row r="1997" spans="1:1" x14ac:dyDescent="0.25">
      <c r="A1997" s="27" t="s">
        <v>1313</v>
      </c>
    </row>
    <row r="1998" spans="1:1" x14ac:dyDescent="0.25">
      <c r="A1998" s="27" t="s">
        <v>1314</v>
      </c>
    </row>
    <row r="1999" spans="1:1" x14ac:dyDescent="0.25">
      <c r="A1999" s="27" t="s">
        <v>1315</v>
      </c>
    </row>
    <row r="2000" spans="1:1" x14ac:dyDescent="0.25">
      <c r="A2000" s="27" t="s">
        <v>1316</v>
      </c>
    </row>
    <row r="2001" spans="1:1" x14ac:dyDescent="0.25">
      <c r="A2001" s="27" t="s">
        <v>1317</v>
      </c>
    </row>
    <row r="2002" spans="1:1" x14ac:dyDescent="0.25">
      <c r="A2002" s="27" t="s">
        <v>1318</v>
      </c>
    </row>
    <row r="2003" spans="1:1" x14ac:dyDescent="0.25">
      <c r="A2003" s="27" t="s">
        <v>1319</v>
      </c>
    </row>
    <row r="2004" spans="1:1" x14ac:dyDescent="0.25">
      <c r="A2004" s="27" t="s">
        <v>1320</v>
      </c>
    </row>
    <row r="2005" spans="1:1" x14ac:dyDescent="0.25">
      <c r="A2005" s="27" t="s">
        <v>1321</v>
      </c>
    </row>
    <row r="2006" spans="1:1" x14ac:dyDescent="0.25">
      <c r="A2006" s="27" t="s">
        <v>1322</v>
      </c>
    </row>
    <row r="2007" spans="1:1" x14ac:dyDescent="0.25">
      <c r="A2007" s="27" t="s">
        <v>1323</v>
      </c>
    </row>
    <row r="2008" spans="1:1" x14ac:dyDescent="0.25">
      <c r="A2008" s="27" t="s">
        <v>1324</v>
      </c>
    </row>
    <row r="2009" spans="1:1" x14ac:dyDescent="0.25">
      <c r="A2009" s="27" t="s">
        <v>1325</v>
      </c>
    </row>
    <row r="2010" spans="1:1" x14ac:dyDescent="0.25">
      <c r="A2010" s="27" t="s">
        <v>1326</v>
      </c>
    </row>
    <row r="2011" spans="1:1" x14ac:dyDescent="0.25">
      <c r="A2011" s="27" t="s">
        <v>1327</v>
      </c>
    </row>
    <row r="2012" spans="1:1" x14ac:dyDescent="0.25">
      <c r="A2012" s="27" t="s">
        <v>1328</v>
      </c>
    </row>
    <row r="2013" spans="1:1" x14ac:dyDescent="0.25">
      <c r="A2013" s="27" t="s">
        <v>1329</v>
      </c>
    </row>
    <row r="2014" spans="1:1" x14ac:dyDescent="0.25">
      <c r="A2014" s="27" t="s">
        <v>1330</v>
      </c>
    </row>
    <row r="2015" spans="1:1" x14ac:dyDescent="0.25">
      <c r="A2015" s="27" t="s">
        <v>1331</v>
      </c>
    </row>
    <row r="2016" spans="1:1" x14ac:dyDescent="0.25">
      <c r="A2016" s="27" t="s">
        <v>1332</v>
      </c>
    </row>
    <row r="2017" spans="1:1" x14ac:dyDescent="0.25">
      <c r="A2017" s="27" t="s">
        <v>1333</v>
      </c>
    </row>
    <row r="2018" spans="1:1" x14ac:dyDescent="0.25">
      <c r="A2018" s="27" t="s">
        <v>1334</v>
      </c>
    </row>
    <row r="2019" spans="1:1" x14ac:dyDescent="0.25">
      <c r="A2019" s="27" t="s">
        <v>1335</v>
      </c>
    </row>
    <row r="2020" spans="1:1" x14ac:dyDescent="0.25">
      <c r="A2020" s="27" t="s">
        <v>1336</v>
      </c>
    </row>
    <row r="2021" spans="1:1" x14ac:dyDescent="0.25">
      <c r="A2021" s="27" t="s">
        <v>1337</v>
      </c>
    </row>
    <row r="2022" spans="1:1" x14ac:dyDescent="0.25">
      <c r="A2022" s="27" t="s">
        <v>1338</v>
      </c>
    </row>
    <row r="2023" spans="1:1" x14ac:dyDescent="0.25">
      <c r="A2023" s="27" t="s">
        <v>1339</v>
      </c>
    </row>
    <row r="2024" spans="1:1" x14ac:dyDescent="0.25">
      <c r="A2024" s="27" t="s">
        <v>1340</v>
      </c>
    </row>
    <row r="2025" spans="1:1" x14ac:dyDescent="0.25">
      <c r="A2025" s="27" t="s">
        <v>1341</v>
      </c>
    </row>
    <row r="2026" spans="1:1" x14ac:dyDescent="0.25">
      <c r="A2026" s="27" t="s">
        <v>1342</v>
      </c>
    </row>
    <row r="2027" spans="1:1" x14ac:dyDescent="0.25">
      <c r="A2027" s="27" t="s">
        <v>1343</v>
      </c>
    </row>
    <row r="2028" spans="1:1" x14ac:dyDescent="0.25">
      <c r="A2028" s="27" t="s">
        <v>1344</v>
      </c>
    </row>
    <row r="2029" spans="1:1" x14ac:dyDescent="0.25">
      <c r="A2029" s="27" t="s">
        <v>1345</v>
      </c>
    </row>
    <row r="2030" spans="1:1" x14ac:dyDescent="0.25">
      <c r="A2030" s="27" t="s">
        <v>1346</v>
      </c>
    </row>
    <row r="2031" spans="1:1" x14ac:dyDescent="0.25">
      <c r="A2031" s="27" t="s">
        <v>1347</v>
      </c>
    </row>
    <row r="2032" spans="1:1" x14ac:dyDescent="0.25">
      <c r="A2032" s="27" t="s">
        <v>1348</v>
      </c>
    </row>
    <row r="2033" spans="1:1" x14ac:dyDescent="0.25">
      <c r="A2033" s="27" t="s">
        <v>1349</v>
      </c>
    </row>
    <row r="2034" spans="1:1" x14ac:dyDescent="0.25">
      <c r="A2034" s="27" t="s">
        <v>1350</v>
      </c>
    </row>
    <row r="2035" spans="1:1" x14ac:dyDescent="0.25">
      <c r="A2035" s="27" t="s">
        <v>1351</v>
      </c>
    </row>
    <row r="2036" spans="1:1" x14ac:dyDescent="0.25">
      <c r="A2036" s="27" t="s">
        <v>1352</v>
      </c>
    </row>
    <row r="2037" spans="1:1" x14ac:dyDescent="0.25">
      <c r="A2037" s="27" t="s">
        <v>1353</v>
      </c>
    </row>
    <row r="2038" spans="1:1" x14ac:dyDescent="0.25">
      <c r="A2038" s="27" t="s">
        <v>1354</v>
      </c>
    </row>
    <row r="2039" spans="1:1" x14ac:dyDescent="0.25">
      <c r="A2039" s="27" t="s">
        <v>1355</v>
      </c>
    </row>
    <row r="2040" spans="1:1" x14ac:dyDescent="0.25">
      <c r="A2040" s="27" t="s">
        <v>1356</v>
      </c>
    </row>
    <row r="2041" spans="1:1" x14ac:dyDescent="0.25">
      <c r="A2041" s="27" t="s">
        <v>1357</v>
      </c>
    </row>
    <row r="2042" spans="1:1" x14ac:dyDescent="0.25">
      <c r="A2042" s="27" t="s">
        <v>1358</v>
      </c>
    </row>
    <row r="2043" spans="1:1" x14ac:dyDescent="0.25">
      <c r="A2043" s="27" t="s">
        <v>1359</v>
      </c>
    </row>
    <row r="2044" spans="1:1" x14ac:dyDescent="0.25">
      <c r="A2044" s="27" t="s">
        <v>1360</v>
      </c>
    </row>
    <row r="2045" spans="1:1" x14ac:dyDescent="0.25">
      <c r="A2045" s="27" t="s">
        <v>1361</v>
      </c>
    </row>
    <row r="2046" spans="1:1" x14ac:dyDescent="0.25">
      <c r="A2046" s="27" t="s">
        <v>1362</v>
      </c>
    </row>
    <row r="2047" spans="1:1" x14ac:dyDescent="0.25">
      <c r="A2047" s="27" t="s">
        <v>1363</v>
      </c>
    </row>
    <row r="2048" spans="1:1" x14ac:dyDescent="0.25">
      <c r="A2048" s="27" t="s">
        <v>1364</v>
      </c>
    </row>
    <row r="2049" spans="1:1" x14ac:dyDescent="0.25">
      <c r="A2049" s="27" t="s">
        <v>1365</v>
      </c>
    </row>
    <row r="2050" spans="1:1" x14ac:dyDescent="0.25">
      <c r="A2050" s="27" t="s">
        <v>1366</v>
      </c>
    </row>
    <row r="2051" spans="1:1" x14ac:dyDescent="0.25">
      <c r="A2051" s="27" t="s">
        <v>1367</v>
      </c>
    </row>
    <row r="2052" spans="1:1" x14ac:dyDescent="0.25">
      <c r="A2052" s="27" t="s">
        <v>1368</v>
      </c>
    </row>
    <row r="2053" spans="1:1" x14ac:dyDescent="0.25">
      <c r="A2053" s="27" t="s">
        <v>1369</v>
      </c>
    </row>
    <row r="2054" spans="1:1" x14ac:dyDescent="0.25">
      <c r="A2054" s="27" t="s">
        <v>1370</v>
      </c>
    </row>
    <row r="2055" spans="1:1" x14ac:dyDescent="0.25">
      <c r="A2055" s="27" t="s">
        <v>1371</v>
      </c>
    </row>
    <row r="2056" spans="1:1" x14ac:dyDescent="0.25">
      <c r="A2056" s="27" t="s">
        <v>1372</v>
      </c>
    </row>
    <row r="2057" spans="1:1" x14ac:dyDescent="0.25">
      <c r="A2057" s="27" t="s">
        <v>1373</v>
      </c>
    </row>
    <row r="2058" spans="1:1" x14ac:dyDescent="0.25">
      <c r="A2058" s="27" t="s">
        <v>1374</v>
      </c>
    </row>
    <row r="2059" spans="1:1" x14ac:dyDescent="0.25">
      <c r="A2059" s="27" t="s">
        <v>1375</v>
      </c>
    </row>
    <row r="2060" spans="1:1" x14ac:dyDescent="0.25">
      <c r="A2060" s="27" t="s">
        <v>1376</v>
      </c>
    </row>
    <row r="2061" spans="1:1" x14ac:dyDescent="0.25">
      <c r="A2061" s="27" t="s">
        <v>1377</v>
      </c>
    </row>
    <row r="2062" spans="1:1" x14ac:dyDescent="0.25">
      <c r="A2062" s="27" t="s">
        <v>1378</v>
      </c>
    </row>
    <row r="2063" spans="1:1" x14ac:dyDescent="0.25">
      <c r="A2063" s="27" t="s">
        <v>1379</v>
      </c>
    </row>
    <row r="2064" spans="1:1" x14ac:dyDescent="0.25">
      <c r="A2064" s="27" t="s">
        <v>1380</v>
      </c>
    </row>
    <row r="2065" spans="1:1" x14ac:dyDescent="0.25">
      <c r="A2065" s="27" t="s">
        <v>1381</v>
      </c>
    </row>
    <row r="2066" spans="1:1" x14ac:dyDescent="0.25">
      <c r="A2066" s="27" t="s">
        <v>1382</v>
      </c>
    </row>
    <row r="2067" spans="1:1" x14ac:dyDescent="0.25">
      <c r="A2067" s="27" t="s">
        <v>1383</v>
      </c>
    </row>
    <row r="2068" spans="1:1" x14ac:dyDescent="0.25">
      <c r="A2068" s="27" t="s">
        <v>1384</v>
      </c>
    </row>
    <row r="2069" spans="1:1" x14ac:dyDescent="0.25">
      <c r="A2069" s="27" t="s">
        <v>1385</v>
      </c>
    </row>
    <row r="2070" spans="1:1" x14ac:dyDescent="0.25">
      <c r="A2070" s="27" t="s">
        <v>1386</v>
      </c>
    </row>
    <row r="2071" spans="1:1" x14ac:dyDescent="0.25">
      <c r="A2071" s="27" t="s">
        <v>1387</v>
      </c>
    </row>
    <row r="2072" spans="1:1" x14ac:dyDescent="0.25">
      <c r="A2072" s="27" t="s">
        <v>1388</v>
      </c>
    </row>
    <row r="2073" spans="1:1" x14ac:dyDescent="0.25">
      <c r="A2073" s="27" t="s">
        <v>1389</v>
      </c>
    </row>
    <row r="2074" spans="1:1" x14ac:dyDescent="0.25">
      <c r="A2074" s="27" t="s">
        <v>1390</v>
      </c>
    </row>
    <row r="2075" spans="1:1" x14ac:dyDescent="0.25">
      <c r="A2075" s="27" t="s">
        <v>1391</v>
      </c>
    </row>
    <row r="2076" spans="1:1" x14ac:dyDescent="0.25">
      <c r="A2076" s="27" t="s">
        <v>1392</v>
      </c>
    </row>
    <row r="2077" spans="1:1" x14ac:dyDescent="0.25">
      <c r="A2077" s="27" t="s">
        <v>1393</v>
      </c>
    </row>
    <row r="2078" spans="1:1" x14ac:dyDescent="0.25">
      <c r="A2078" s="27" t="s">
        <v>1394</v>
      </c>
    </row>
    <row r="2079" spans="1:1" x14ac:dyDescent="0.25">
      <c r="A2079" s="27" t="s">
        <v>1395</v>
      </c>
    </row>
    <row r="2080" spans="1:1" x14ac:dyDescent="0.25">
      <c r="A2080" s="27" t="s">
        <v>1396</v>
      </c>
    </row>
    <row r="2081" spans="1:1" x14ac:dyDescent="0.25">
      <c r="A2081" s="27" t="s">
        <v>1397</v>
      </c>
    </row>
    <row r="2082" spans="1:1" x14ac:dyDescent="0.25">
      <c r="A2082" s="27" t="s">
        <v>1398</v>
      </c>
    </row>
    <row r="2083" spans="1:1" x14ac:dyDescent="0.25">
      <c r="A2083" s="27" t="s">
        <v>1399</v>
      </c>
    </row>
    <row r="2084" spans="1:1" x14ac:dyDescent="0.25">
      <c r="A2084" s="27" t="s">
        <v>1400</v>
      </c>
    </row>
    <row r="2085" spans="1:1" x14ac:dyDescent="0.25">
      <c r="A2085" s="27" t="s">
        <v>1401</v>
      </c>
    </row>
    <row r="2086" spans="1:1" x14ac:dyDescent="0.25">
      <c r="A2086" s="27" t="s">
        <v>1402</v>
      </c>
    </row>
    <row r="2087" spans="1:1" x14ac:dyDescent="0.25">
      <c r="A2087" s="27" t="s">
        <v>1403</v>
      </c>
    </row>
    <row r="2088" spans="1:1" x14ac:dyDescent="0.25">
      <c r="A2088" s="27" t="s">
        <v>1404</v>
      </c>
    </row>
    <row r="2089" spans="1:1" x14ac:dyDescent="0.25">
      <c r="A2089" s="27" t="s">
        <v>1405</v>
      </c>
    </row>
    <row r="2090" spans="1:1" x14ac:dyDescent="0.25">
      <c r="A2090" s="27" t="s">
        <v>1406</v>
      </c>
    </row>
    <row r="2091" spans="1:1" x14ac:dyDescent="0.25">
      <c r="A2091" s="27" t="s">
        <v>1407</v>
      </c>
    </row>
    <row r="2092" spans="1:1" x14ac:dyDescent="0.25">
      <c r="A2092" s="27" t="s">
        <v>1408</v>
      </c>
    </row>
    <row r="2093" spans="1:1" x14ac:dyDescent="0.25">
      <c r="A2093" s="27" t="s">
        <v>1409</v>
      </c>
    </row>
    <row r="2094" spans="1:1" x14ac:dyDescent="0.25">
      <c r="A2094" s="27" t="s">
        <v>1410</v>
      </c>
    </row>
    <row r="2095" spans="1:1" x14ac:dyDescent="0.25">
      <c r="A2095" s="27" t="s">
        <v>1411</v>
      </c>
    </row>
    <row r="2096" spans="1:1" x14ac:dyDescent="0.25">
      <c r="A2096" s="27" t="s">
        <v>1412</v>
      </c>
    </row>
    <row r="2097" spans="1:1" x14ac:dyDescent="0.25">
      <c r="A2097" s="27" t="s">
        <v>1413</v>
      </c>
    </row>
    <row r="2098" spans="1:1" x14ac:dyDescent="0.25">
      <c r="A2098" s="27" t="s">
        <v>1414</v>
      </c>
    </row>
    <row r="2099" spans="1:1" x14ac:dyDescent="0.25">
      <c r="A2099" s="27" t="s">
        <v>1415</v>
      </c>
    </row>
    <row r="2100" spans="1:1" x14ac:dyDescent="0.25">
      <c r="A2100" s="27" t="s">
        <v>1416</v>
      </c>
    </row>
    <row r="2101" spans="1:1" x14ac:dyDescent="0.25">
      <c r="A2101" s="27" t="s">
        <v>1417</v>
      </c>
    </row>
    <row r="2102" spans="1:1" x14ac:dyDescent="0.25">
      <c r="A2102" s="27" t="s">
        <v>1418</v>
      </c>
    </row>
    <row r="2103" spans="1:1" x14ac:dyDescent="0.25">
      <c r="A2103" s="27" t="s">
        <v>1419</v>
      </c>
    </row>
    <row r="2104" spans="1:1" x14ac:dyDescent="0.25">
      <c r="A2104" s="27" t="s">
        <v>1420</v>
      </c>
    </row>
    <row r="2105" spans="1:1" x14ac:dyDescent="0.25">
      <c r="A2105" s="27" t="s">
        <v>1421</v>
      </c>
    </row>
    <row r="2106" spans="1:1" x14ac:dyDescent="0.25">
      <c r="A2106" s="27" t="s">
        <v>1422</v>
      </c>
    </row>
    <row r="2107" spans="1:1" x14ac:dyDescent="0.25">
      <c r="A2107" s="27" t="s">
        <v>1423</v>
      </c>
    </row>
    <row r="2108" spans="1:1" x14ac:dyDescent="0.25">
      <c r="A2108" s="27" t="s">
        <v>1424</v>
      </c>
    </row>
    <row r="2109" spans="1:1" x14ac:dyDescent="0.25">
      <c r="A2109" s="27" t="s">
        <v>1425</v>
      </c>
    </row>
    <row r="2110" spans="1:1" x14ac:dyDescent="0.25">
      <c r="A2110" s="27" t="s">
        <v>1426</v>
      </c>
    </row>
    <row r="2111" spans="1:1" x14ac:dyDescent="0.25">
      <c r="A2111" s="27" t="s">
        <v>1427</v>
      </c>
    </row>
    <row r="2112" spans="1:1" x14ac:dyDescent="0.25">
      <c r="A2112" s="27" t="s">
        <v>1428</v>
      </c>
    </row>
    <row r="2113" spans="1:1" x14ac:dyDescent="0.25">
      <c r="A2113" s="27" t="s">
        <v>1429</v>
      </c>
    </row>
    <row r="2114" spans="1:1" x14ac:dyDescent="0.25">
      <c r="A2114" s="27" t="s">
        <v>1430</v>
      </c>
    </row>
    <row r="2115" spans="1:1" x14ac:dyDescent="0.25">
      <c r="A2115" s="27" t="s">
        <v>1431</v>
      </c>
    </row>
    <row r="2116" spans="1:1" x14ac:dyDescent="0.25">
      <c r="A2116" s="27" t="s">
        <v>1432</v>
      </c>
    </row>
    <row r="2117" spans="1:1" x14ac:dyDescent="0.25">
      <c r="A2117" s="27" t="s">
        <v>1433</v>
      </c>
    </row>
    <row r="2118" spans="1:1" x14ac:dyDescent="0.25">
      <c r="A2118" s="27" t="s">
        <v>1434</v>
      </c>
    </row>
    <row r="2119" spans="1:1" x14ac:dyDescent="0.25">
      <c r="A2119" s="27" t="s">
        <v>1435</v>
      </c>
    </row>
    <row r="2120" spans="1:1" x14ac:dyDescent="0.25">
      <c r="A2120" s="27" t="s">
        <v>1436</v>
      </c>
    </row>
    <row r="2121" spans="1:1" x14ac:dyDescent="0.25">
      <c r="A2121" s="27" t="s">
        <v>1437</v>
      </c>
    </row>
    <row r="2122" spans="1:1" x14ac:dyDescent="0.25">
      <c r="A2122" s="27" t="s">
        <v>1438</v>
      </c>
    </row>
    <row r="2123" spans="1:1" x14ac:dyDescent="0.25">
      <c r="A2123" s="27" t="s">
        <v>1439</v>
      </c>
    </row>
    <row r="2124" spans="1:1" x14ac:dyDescent="0.25">
      <c r="A2124" s="27" t="s">
        <v>1440</v>
      </c>
    </row>
    <row r="2125" spans="1:1" x14ac:dyDescent="0.25">
      <c r="A2125" s="27" t="s">
        <v>1441</v>
      </c>
    </row>
    <row r="2126" spans="1:1" x14ac:dyDescent="0.25">
      <c r="A2126" s="27" t="s">
        <v>1442</v>
      </c>
    </row>
    <row r="2127" spans="1:1" x14ac:dyDescent="0.25">
      <c r="A2127" s="27" t="s">
        <v>1443</v>
      </c>
    </row>
    <row r="2128" spans="1:1" x14ac:dyDescent="0.25">
      <c r="A2128" s="27" t="s">
        <v>1444</v>
      </c>
    </row>
    <row r="2129" spans="1:1" x14ac:dyDescent="0.25">
      <c r="A2129" s="27" t="s">
        <v>1445</v>
      </c>
    </row>
    <row r="2130" spans="1:1" x14ac:dyDescent="0.25">
      <c r="A2130" s="27" t="s">
        <v>1446</v>
      </c>
    </row>
    <row r="2131" spans="1:1" x14ac:dyDescent="0.25">
      <c r="A2131" s="27" t="s">
        <v>1447</v>
      </c>
    </row>
    <row r="2132" spans="1:1" x14ac:dyDescent="0.25">
      <c r="A2132" s="27" t="s">
        <v>1448</v>
      </c>
    </row>
    <row r="2133" spans="1:1" x14ac:dyDescent="0.25">
      <c r="A2133" s="27" t="s">
        <v>1449</v>
      </c>
    </row>
    <row r="2134" spans="1:1" x14ac:dyDescent="0.25">
      <c r="A2134" s="27" t="s">
        <v>1450</v>
      </c>
    </row>
    <row r="2135" spans="1:1" x14ac:dyDescent="0.25">
      <c r="A2135" s="27" t="s">
        <v>1451</v>
      </c>
    </row>
    <row r="2136" spans="1:1" x14ac:dyDescent="0.25">
      <c r="A2136" s="27" t="s">
        <v>1452</v>
      </c>
    </row>
    <row r="2137" spans="1:1" x14ac:dyDescent="0.25">
      <c r="A2137" s="27" t="s">
        <v>1453</v>
      </c>
    </row>
    <row r="2138" spans="1:1" x14ac:dyDescent="0.25">
      <c r="A2138" s="27" t="s">
        <v>1454</v>
      </c>
    </row>
    <row r="2139" spans="1:1" x14ac:dyDescent="0.25">
      <c r="A2139" s="27" t="s">
        <v>1455</v>
      </c>
    </row>
    <row r="2140" spans="1:1" x14ac:dyDescent="0.25">
      <c r="A2140" s="27" t="s">
        <v>1456</v>
      </c>
    </row>
    <row r="2141" spans="1:1" x14ac:dyDescent="0.25">
      <c r="A2141" s="27" t="s">
        <v>1457</v>
      </c>
    </row>
    <row r="2142" spans="1:1" x14ac:dyDescent="0.25">
      <c r="A2142" s="27" t="s">
        <v>1458</v>
      </c>
    </row>
    <row r="2143" spans="1:1" x14ac:dyDescent="0.25">
      <c r="A2143" s="27" t="s">
        <v>1459</v>
      </c>
    </row>
    <row r="2144" spans="1:1" x14ac:dyDescent="0.25">
      <c r="A2144" s="27" t="s">
        <v>1460</v>
      </c>
    </row>
    <row r="2145" spans="1:1" x14ac:dyDescent="0.25">
      <c r="A2145" s="27" t="s">
        <v>1461</v>
      </c>
    </row>
    <row r="2146" spans="1:1" x14ac:dyDescent="0.25">
      <c r="A2146" s="27" t="s">
        <v>1462</v>
      </c>
    </row>
    <row r="2147" spans="1:1" x14ac:dyDescent="0.25">
      <c r="A2147" s="27" t="s">
        <v>1463</v>
      </c>
    </row>
    <row r="2148" spans="1:1" x14ac:dyDescent="0.25">
      <c r="A2148" s="27" t="s">
        <v>1464</v>
      </c>
    </row>
    <row r="2149" spans="1:1" x14ac:dyDescent="0.25">
      <c r="A2149" s="27" t="s">
        <v>1465</v>
      </c>
    </row>
    <row r="2150" spans="1:1" x14ac:dyDescent="0.25">
      <c r="A2150" s="27" t="s">
        <v>1466</v>
      </c>
    </row>
    <row r="2151" spans="1:1" x14ac:dyDescent="0.25">
      <c r="A2151" s="27" t="s">
        <v>1467</v>
      </c>
    </row>
    <row r="2152" spans="1:1" x14ac:dyDescent="0.25">
      <c r="A2152" s="27" t="s">
        <v>1468</v>
      </c>
    </row>
    <row r="2153" spans="1:1" x14ac:dyDescent="0.25">
      <c r="A2153" s="27" t="s">
        <v>1469</v>
      </c>
    </row>
    <row r="2154" spans="1:1" x14ac:dyDescent="0.25">
      <c r="A2154" s="27" t="s">
        <v>1470</v>
      </c>
    </row>
    <row r="2155" spans="1:1" x14ac:dyDescent="0.25">
      <c r="A2155" s="27" t="s">
        <v>1471</v>
      </c>
    </row>
    <row r="2156" spans="1:1" x14ac:dyDescent="0.25">
      <c r="A2156" s="27" t="s">
        <v>1472</v>
      </c>
    </row>
    <row r="2157" spans="1:1" x14ac:dyDescent="0.25">
      <c r="A2157" s="27" t="s">
        <v>1473</v>
      </c>
    </row>
    <row r="2158" spans="1:1" x14ac:dyDescent="0.25">
      <c r="A2158" s="27" t="s">
        <v>1474</v>
      </c>
    </row>
    <row r="2159" spans="1:1" x14ac:dyDescent="0.25">
      <c r="A2159" s="27" t="s">
        <v>1475</v>
      </c>
    </row>
    <row r="2160" spans="1:1" x14ac:dyDescent="0.25">
      <c r="A2160" s="27" t="s">
        <v>1476</v>
      </c>
    </row>
    <row r="2161" spans="1:1" x14ac:dyDescent="0.25">
      <c r="A2161" s="27" t="s">
        <v>1477</v>
      </c>
    </row>
    <row r="2162" spans="1:1" x14ac:dyDescent="0.25">
      <c r="A2162" s="27" t="s">
        <v>1478</v>
      </c>
    </row>
    <row r="2163" spans="1:1" x14ac:dyDescent="0.25">
      <c r="A2163" s="27" t="s">
        <v>1479</v>
      </c>
    </row>
    <row r="2164" spans="1:1" x14ac:dyDescent="0.25">
      <c r="A2164" s="27" t="s">
        <v>1480</v>
      </c>
    </row>
    <row r="2165" spans="1:1" x14ac:dyDescent="0.25">
      <c r="A2165" s="27" t="s">
        <v>1481</v>
      </c>
    </row>
    <row r="2166" spans="1:1" x14ac:dyDescent="0.25">
      <c r="A2166" s="27" t="s">
        <v>1482</v>
      </c>
    </row>
    <row r="2167" spans="1:1" x14ac:dyDescent="0.25">
      <c r="A2167" s="27" t="s">
        <v>1483</v>
      </c>
    </row>
    <row r="2168" spans="1:1" x14ac:dyDescent="0.25">
      <c r="A2168" s="27" t="s">
        <v>1484</v>
      </c>
    </row>
    <row r="2169" spans="1:1" x14ac:dyDescent="0.25">
      <c r="A2169" s="27" t="s">
        <v>1485</v>
      </c>
    </row>
    <row r="2170" spans="1:1" x14ac:dyDescent="0.25">
      <c r="A2170" s="27" t="s">
        <v>1486</v>
      </c>
    </row>
    <row r="2171" spans="1:1" x14ac:dyDescent="0.25">
      <c r="A2171" s="27" t="s">
        <v>1487</v>
      </c>
    </row>
    <row r="2172" spans="1:1" x14ac:dyDescent="0.25">
      <c r="A2172" s="27" t="s">
        <v>1488</v>
      </c>
    </row>
    <row r="2173" spans="1:1" x14ac:dyDescent="0.25">
      <c r="A2173" s="27" t="s">
        <v>1489</v>
      </c>
    </row>
    <row r="2174" spans="1:1" x14ac:dyDescent="0.25">
      <c r="A2174" s="27" t="s">
        <v>1490</v>
      </c>
    </row>
    <row r="2175" spans="1:1" x14ac:dyDescent="0.25">
      <c r="A2175" s="27" t="s">
        <v>1491</v>
      </c>
    </row>
    <row r="2176" spans="1:1" x14ac:dyDescent="0.25">
      <c r="A2176" s="27" t="s">
        <v>1492</v>
      </c>
    </row>
    <row r="2177" spans="1:1" x14ac:dyDescent="0.25">
      <c r="A2177" s="27" t="s">
        <v>1493</v>
      </c>
    </row>
    <row r="2178" spans="1:1" x14ac:dyDescent="0.25">
      <c r="A2178" s="27" t="s">
        <v>1494</v>
      </c>
    </row>
    <row r="2179" spans="1:1" x14ac:dyDescent="0.25">
      <c r="A2179" s="27" t="s">
        <v>1495</v>
      </c>
    </row>
    <row r="2180" spans="1:1" x14ac:dyDescent="0.25">
      <c r="A2180" s="27" t="s">
        <v>1496</v>
      </c>
    </row>
    <row r="2181" spans="1:1" x14ac:dyDescent="0.25">
      <c r="A2181" s="27" t="s">
        <v>1497</v>
      </c>
    </row>
    <row r="2182" spans="1:1" x14ac:dyDescent="0.25">
      <c r="A2182" s="27" t="s">
        <v>1498</v>
      </c>
    </row>
    <row r="2183" spans="1:1" x14ac:dyDescent="0.25">
      <c r="A2183" s="27" t="s">
        <v>1499</v>
      </c>
    </row>
    <row r="2184" spans="1:1" x14ac:dyDescent="0.25">
      <c r="A2184" s="27" t="s">
        <v>1500</v>
      </c>
    </row>
    <row r="2185" spans="1:1" x14ac:dyDescent="0.25">
      <c r="A2185" s="27" t="s">
        <v>1501</v>
      </c>
    </row>
    <row r="2186" spans="1:1" x14ac:dyDescent="0.25">
      <c r="A2186" s="27" t="s">
        <v>1502</v>
      </c>
    </row>
    <row r="2187" spans="1:1" x14ac:dyDescent="0.25">
      <c r="A2187" s="27" t="s">
        <v>1503</v>
      </c>
    </row>
    <row r="2188" spans="1:1" x14ac:dyDescent="0.25">
      <c r="A2188" s="27" t="s">
        <v>1504</v>
      </c>
    </row>
    <row r="2189" spans="1:1" x14ac:dyDescent="0.25">
      <c r="A2189" s="27" t="s">
        <v>1505</v>
      </c>
    </row>
    <row r="2190" spans="1:1" x14ac:dyDescent="0.25">
      <c r="A2190" s="27" t="s">
        <v>1506</v>
      </c>
    </row>
    <row r="2191" spans="1:1" x14ac:dyDescent="0.25">
      <c r="A2191" s="27" t="s">
        <v>1507</v>
      </c>
    </row>
    <row r="2192" spans="1:1" x14ac:dyDescent="0.25">
      <c r="A2192" s="27" t="s">
        <v>1508</v>
      </c>
    </row>
    <row r="2193" spans="1:1" x14ac:dyDescent="0.25">
      <c r="A2193" s="27" t="s">
        <v>1509</v>
      </c>
    </row>
    <row r="2194" spans="1:1" x14ac:dyDescent="0.25">
      <c r="A2194" s="27" t="s">
        <v>1510</v>
      </c>
    </row>
    <row r="2195" spans="1:1" x14ac:dyDescent="0.25">
      <c r="A2195" s="27" t="s">
        <v>1511</v>
      </c>
    </row>
    <row r="2196" spans="1:1" x14ac:dyDescent="0.25">
      <c r="A2196" s="27" t="s">
        <v>1512</v>
      </c>
    </row>
    <row r="2197" spans="1:1" x14ac:dyDescent="0.25">
      <c r="A2197" s="27" t="s">
        <v>1513</v>
      </c>
    </row>
    <row r="2198" spans="1:1" x14ac:dyDescent="0.25">
      <c r="A2198" s="27" t="s">
        <v>1514</v>
      </c>
    </row>
    <row r="2199" spans="1:1" x14ac:dyDescent="0.25">
      <c r="A2199" s="27" t="s">
        <v>1515</v>
      </c>
    </row>
    <row r="2200" spans="1:1" x14ac:dyDescent="0.25">
      <c r="A2200" s="27" t="s">
        <v>1516</v>
      </c>
    </row>
    <row r="2201" spans="1:1" x14ac:dyDescent="0.25">
      <c r="A2201" s="27" t="s">
        <v>1517</v>
      </c>
    </row>
    <row r="2202" spans="1:1" x14ac:dyDescent="0.25">
      <c r="A2202" s="27" t="s">
        <v>1518</v>
      </c>
    </row>
    <row r="2203" spans="1:1" x14ac:dyDescent="0.25">
      <c r="A2203" s="27" t="s">
        <v>1519</v>
      </c>
    </row>
    <row r="2204" spans="1:1" x14ac:dyDescent="0.25">
      <c r="A2204" s="27" t="s">
        <v>1520</v>
      </c>
    </row>
    <row r="2205" spans="1:1" x14ac:dyDescent="0.25">
      <c r="A2205" s="27" t="s">
        <v>1521</v>
      </c>
    </row>
    <row r="2206" spans="1:1" x14ac:dyDescent="0.25">
      <c r="A2206" s="27" t="s">
        <v>1522</v>
      </c>
    </row>
    <row r="2207" spans="1:1" x14ac:dyDescent="0.25">
      <c r="A2207" s="27" t="s">
        <v>1523</v>
      </c>
    </row>
    <row r="2208" spans="1:1" x14ac:dyDescent="0.25">
      <c r="A2208" s="27" t="s">
        <v>1524</v>
      </c>
    </row>
    <row r="2209" spans="1:1" x14ac:dyDescent="0.25">
      <c r="A2209" s="27" t="s">
        <v>1525</v>
      </c>
    </row>
    <row r="2210" spans="1:1" x14ac:dyDescent="0.25">
      <c r="A2210" s="27" t="s">
        <v>1526</v>
      </c>
    </row>
    <row r="2211" spans="1:1" x14ac:dyDescent="0.25">
      <c r="A2211" s="27" t="s">
        <v>1527</v>
      </c>
    </row>
    <row r="2212" spans="1:1" x14ac:dyDescent="0.25">
      <c r="A2212" s="27" t="s">
        <v>1528</v>
      </c>
    </row>
    <row r="2213" spans="1:1" x14ac:dyDescent="0.25">
      <c r="A2213" s="27" t="s">
        <v>1529</v>
      </c>
    </row>
    <row r="2214" spans="1:1" x14ac:dyDescent="0.25">
      <c r="A2214" s="27" t="s">
        <v>1530</v>
      </c>
    </row>
    <row r="2215" spans="1:1" x14ac:dyDescent="0.25">
      <c r="A2215" s="27" t="s">
        <v>1531</v>
      </c>
    </row>
    <row r="2216" spans="1:1" x14ac:dyDescent="0.25">
      <c r="A2216" s="27" t="s">
        <v>1532</v>
      </c>
    </row>
    <row r="2217" spans="1:1" x14ac:dyDescent="0.25">
      <c r="A2217" s="27" t="s">
        <v>1533</v>
      </c>
    </row>
    <row r="2218" spans="1:1" x14ac:dyDescent="0.25">
      <c r="A2218" s="27" t="s">
        <v>1534</v>
      </c>
    </row>
    <row r="2219" spans="1:1" x14ac:dyDescent="0.25">
      <c r="A2219" s="27" t="s">
        <v>1535</v>
      </c>
    </row>
    <row r="2220" spans="1:1" x14ac:dyDescent="0.25">
      <c r="A2220" s="27" t="s">
        <v>1536</v>
      </c>
    </row>
    <row r="2221" spans="1:1" x14ac:dyDescent="0.25">
      <c r="A2221" s="27" t="s">
        <v>1537</v>
      </c>
    </row>
    <row r="2222" spans="1:1" x14ac:dyDescent="0.25">
      <c r="A2222" s="27" t="s">
        <v>1538</v>
      </c>
    </row>
    <row r="2223" spans="1:1" x14ac:dyDescent="0.25">
      <c r="A2223" s="27" t="s">
        <v>1539</v>
      </c>
    </row>
    <row r="2224" spans="1:1" x14ac:dyDescent="0.25">
      <c r="A2224" s="27" t="s">
        <v>1540</v>
      </c>
    </row>
    <row r="2225" spans="1:1" x14ac:dyDescent="0.25">
      <c r="A2225" s="27" t="s">
        <v>1541</v>
      </c>
    </row>
    <row r="2226" spans="1:1" x14ac:dyDescent="0.25">
      <c r="A2226" s="27" t="s">
        <v>1542</v>
      </c>
    </row>
    <row r="2227" spans="1:1" x14ac:dyDescent="0.25">
      <c r="A2227" s="27" t="s">
        <v>1543</v>
      </c>
    </row>
    <row r="2228" spans="1:1" x14ac:dyDescent="0.25">
      <c r="A2228" s="27" t="s">
        <v>1544</v>
      </c>
    </row>
    <row r="2229" spans="1:1" x14ac:dyDescent="0.25">
      <c r="A2229" s="27" t="s">
        <v>1545</v>
      </c>
    </row>
    <row r="2230" spans="1:1" x14ac:dyDescent="0.25">
      <c r="A2230" s="27" t="s">
        <v>1546</v>
      </c>
    </row>
    <row r="2231" spans="1:1" x14ac:dyDescent="0.25">
      <c r="A2231" s="27" t="s">
        <v>1547</v>
      </c>
    </row>
    <row r="2232" spans="1:1" x14ac:dyDescent="0.25">
      <c r="A2232" s="27" t="s">
        <v>1548</v>
      </c>
    </row>
    <row r="2233" spans="1:1" x14ac:dyDescent="0.25">
      <c r="A2233" s="27" t="s">
        <v>1549</v>
      </c>
    </row>
    <row r="2234" spans="1:1" x14ac:dyDescent="0.25">
      <c r="A2234" s="27" t="s">
        <v>1550</v>
      </c>
    </row>
    <row r="2235" spans="1:1" x14ac:dyDescent="0.25">
      <c r="A2235" s="27" t="s">
        <v>1551</v>
      </c>
    </row>
    <row r="2236" spans="1:1" x14ac:dyDescent="0.25">
      <c r="A2236" s="27" t="s">
        <v>1552</v>
      </c>
    </row>
    <row r="2237" spans="1:1" x14ac:dyDescent="0.25">
      <c r="A2237" s="27" t="s">
        <v>1553</v>
      </c>
    </row>
    <row r="2238" spans="1:1" x14ac:dyDescent="0.25">
      <c r="A2238" s="27" t="s">
        <v>1554</v>
      </c>
    </row>
    <row r="2239" spans="1:1" x14ac:dyDescent="0.25">
      <c r="A2239" s="27" t="s">
        <v>1555</v>
      </c>
    </row>
    <row r="2240" spans="1:1" x14ac:dyDescent="0.25">
      <c r="A2240" s="27" t="s">
        <v>1556</v>
      </c>
    </row>
    <row r="2241" spans="1:1" x14ac:dyDescent="0.25">
      <c r="A2241" s="27" t="s">
        <v>1557</v>
      </c>
    </row>
    <row r="2242" spans="1:1" x14ac:dyDescent="0.25">
      <c r="A2242" s="27" t="s">
        <v>1558</v>
      </c>
    </row>
    <row r="2243" spans="1:1" x14ac:dyDescent="0.25">
      <c r="A2243" s="27" t="s">
        <v>1559</v>
      </c>
    </row>
    <row r="2244" spans="1:1" x14ac:dyDescent="0.25">
      <c r="A2244" s="27" t="s">
        <v>1560</v>
      </c>
    </row>
    <row r="2245" spans="1:1" x14ac:dyDescent="0.25">
      <c r="A2245" s="27" t="s">
        <v>1561</v>
      </c>
    </row>
    <row r="2246" spans="1:1" x14ac:dyDescent="0.25">
      <c r="A2246" s="27" t="s">
        <v>1562</v>
      </c>
    </row>
    <row r="2247" spans="1:1" x14ac:dyDescent="0.25">
      <c r="A2247" s="27" t="s">
        <v>1563</v>
      </c>
    </row>
    <row r="2248" spans="1:1" x14ac:dyDescent="0.25">
      <c r="A2248" s="27" t="s">
        <v>1564</v>
      </c>
    </row>
    <row r="2249" spans="1:1" x14ac:dyDescent="0.25">
      <c r="A2249" s="27" t="s">
        <v>1565</v>
      </c>
    </row>
    <row r="2250" spans="1:1" x14ac:dyDescent="0.25">
      <c r="A2250" s="27" t="s">
        <v>1566</v>
      </c>
    </row>
    <row r="2251" spans="1:1" x14ac:dyDescent="0.25">
      <c r="A2251" s="27" t="s">
        <v>1567</v>
      </c>
    </row>
    <row r="2252" spans="1:1" x14ac:dyDescent="0.25">
      <c r="A2252" s="27" t="s">
        <v>1568</v>
      </c>
    </row>
    <row r="2253" spans="1:1" x14ac:dyDescent="0.25">
      <c r="A2253" s="27" t="s">
        <v>1569</v>
      </c>
    </row>
    <row r="2254" spans="1:1" x14ac:dyDescent="0.25">
      <c r="A2254" s="27" t="s">
        <v>1570</v>
      </c>
    </row>
    <row r="2255" spans="1:1" x14ac:dyDescent="0.25">
      <c r="A2255" s="27" t="s">
        <v>1571</v>
      </c>
    </row>
    <row r="2256" spans="1:1" x14ac:dyDescent="0.25">
      <c r="A2256" s="27" t="s">
        <v>1572</v>
      </c>
    </row>
    <row r="2257" spans="1:1" x14ac:dyDescent="0.25">
      <c r="A2257" s="27" t="s">
        <v>1573</v>
      </c>
    </row>
    <row r="2258" spans="1:1" x14ac:dyDescent="0.25">
      <c r="A2258" s="27" t="s">
        <v>1574</v>
      </c>
    </row>
    <row r="2259" spans="1:1" x14ac:dyDescent="0.25">
      <c r="A2259" s="27" t="s">
        <v>1575</v>
      </c>
    </row>
    <row r="2260" spans="1:1" x14ac:dyDescent="0.25">
      <c r="A2260" s="27" t="s">
        <v>1576</v>
      </c>
    </row>
    <row r="2261" spans="1:1" x14ac:dyDescent="0.25">
      <c r="A2261" s="27" t="s">
        <v>1577</v>
      </c>
    </row>
    <row r="2262" spans="1:1" x14ac:dyDescent="0.25">
      <c r="A2262" s="27" t="s">
        <v>1578</v>
      </c>
    </row>
    <row r="2263" spans="1:1" x14ac:dyDescent="0.25">
      <c r="A2263" s="27" t="s">
        <v>1579</v>
      </c>
    </row>
    <row r="2264" spans="1:1" x14ac:dyDescent="0.25">
      <c r="A2264" s="27" t="s">
        <v>1580</v>
      </c>
    </row>
    <row r="2265" spans="1:1" x14ac:dyDescent="0.25">
      <c r="A2265" s="27" t="s">
        <v>1581</v>
      </c>
    </row>
    <row r="2266" spans="1:1" x14ac:dyDescent="0.25">
      <c r="A2266" s="27" t="s">
        <v>1582</v>
      </c>
    </row>
    <row r="2267" spans="1:1" x14ac:dyDescent="0.25">
      <c r="A2267" s="27" t="s">
        <v>1583</v>
      </c>
    </row>
    <row r="2268" spans="1:1" x14ac:dyDescent="0.25">
      <c r="A2268" s="27" t="s">
        <v>1584</v>
      </c>
    </row>
    <row r="2269" spans="1:1" x14ac:dyDescent="0.25">
      <c r="A2269" s="27" t="s">
        <v>1585</v>
      </c>
    </row>
    <row r="2270" spans="1:1" x14ac:dyDescent="0.25">
      <c r="A2270" s="27" t="s">
        <v>1586</v>
      </c>
    </row>
    <row r="2271" spans="1:1" x14ac:dyDescent="0.25">
      <c r="A2271" s="27" t="s">
        <v>1587</v>
      </c>
    </row>
    <row r="2272" spans="1:1" x14ac:dyDescent="0.25">
      <c r="A2272" s="27" t="s">
        <v>1588</v>
      </c>
    </row>
    <row r="2273" spans="1:1" x14ac:dyDescent="0.25">
      <c r="A2273" s="27" t="s">
        <v>1589</v>
      </c>
    </row>
    <row r="2274" spans="1:1" x14ac:dyDescent="0.25">
      <c r="A2274" s="27" t="s">
        <v>1590</v>
      </c>
    </row>
    <row r="2275" spans="1:1" x14ac:dyDescent="0.25">
      <c r="A2275" s="27" t="s">
        <v>1591</v>
      </c>
    </row>
    <row r="2276" spans="1:1" x14ac:dyDescent="0.25">
      <c r="A2276" s="27" t="s">
        <v>1592</v>
      </c>
    </row>
    <row r="2277" spans="1:1" x14ac:dyDescent="0.25">
      <c r="A2277" s="27" t="s">
        <v>1593</v>
      </c>
    </row>
    <row r="2278" spans="1:1" x14ac:dyDescent="0.25">
      <c r="A2278" s="27" t="s">
        <v>1594</v>
      </c>
    </row>
    <row r="2279" spans="1:1" x14ac:dyDescent="0.25">
      <c r="A2279" s="27" t="s">
        <v>1595</v>
      </c>
    </row>
    <row r="2280" spans="1:1" x14ac:dyDescent="0.25">
      <c r="A2280" s="27" t="s">
        <v>1596</v>
      </c>
    </row>
    <row r="2281" spans="1:1" x14ac:dyDescent="0.25">
      <c r="A2281" s="27" t="s">
        <v>1597</v>
      </c>
    </row>
    <row r="2282" spans="1:1" x14ac:dyDescent="0.25">
      <c r="A2282" s="27" t="s">
        <v>1598</v>
      </c>
    </row>
    <row r="2283" spans="1:1" x14ac:dyDescent="0.25">
      <c r="A2283" s="27" t="s">
        <v>1599</v>
      </c>
    </row>
    <row r="2284" spans="1:1" x14ac:dyDescent="0.25">
      <c r="A2284" s="27" t="s">
        <v>1600</v>
      </c>
    </row>
    <row r="2285" spans="1:1" x14ac:dyDescent="0.25">
      <c r="A2285" s="27" t="s">
        <v>1601</v>
      </c>
    </row>
    <row r="2286" spans="1:1" x14ac:dyDescent="0.25">
      <c r="A2286" s="27" t="s">
        <v>1602</v>
      </c>
    </row>
    <row r="2287" spans="1:1" x14ac:dyDescent="0.25">
      <c r="A2287" s="27" t="s">
        <v>1603</v>
      </c>
    </row>
    <row r="2288" spans="1:1" x14ac:dyDescent="0.25">
      <c r="A2288" s="27" t="s">
        <v>1604</v>
      </c>
    </row>
    <row r="2289" spans="1:1" x14ac:dyDescent="0.25">
      <c r="A2289" s="27" t="s">
        <v>1605</v>
      </c>
    </row>
    <row r="2290" spans="1:1" x14ac:dyDescent="0.25">
      <c r="A2290" s="27" t="s">
        <v>1606</v>
      </c>
    </row>
    <row r="2291" spans="1:1" x14ac:dyDescent="0.25">
      <c r="A2291" s="27" t="s">
        <v>1607</v>
      </c>
    </row>
    <row r="2292" spans="1:1" x14ac:dyDescent="0.25">
      <c r="A2292" s="27" t="s">
        <v>1608</v>
      </c>
    </row>
    <row r="2293" spans="1:1" x14ac:dyDescent="0.25">
      <c r="A2293" s="27" t="s">
        <v>1609</v>
      </c>
    </row>
    <row r="2294" spans="1:1" x14ac:dyDescent="0.25">
      <c r="A2294" s="27" t="s">
        <v>1610</v>
      </c>
    </row>
    <row r="2295" spans="1:1" x14ac:dyDescent="0.25">
      <c r="A2295" s="27" t="s">
        <v>1611</v>
      </c>
    </row>
    <row r="2296" spans="1:1" x14ac:dyDescent="0.25">
      <c r="A2296" s="27" t="s">
        <v>1612</v>
      </c>
    </row>
    <row r="2297" spans="1:1" x14ac:dyDescent="0.25">
      <c r="A2297" s="27" t="s">
        <v>1613</v>
      </c>
    </row>
    <row r="2298" spans="1:1" x14ac:dyDescent="0.25">
      <c r="A2298" s="27" t="s">
        <v>1614</v>
      </c>
    </row>
    <row r="2299" spans="1:1" x14ac:dyDescent="0.25">
      <c r="A2299" s="27" t="s">
        <v>1615</v>
      </c>
    </row>
    <row r="2300" spans="1:1" x14ac:dyDescent="0.25">
      <c r="A2300" s="27" t="s">
        <v>1616</v>
      </c>
    </row>
    <row r="2301" spans="1:1" x14ac:dyDescent="0.25">
      <c r="A2301" s="27" t="s">
        <v>1617</v>
      </c>
    </row>
    <row r="2302" spans="1:1" x14ac:dyDescent="0.25">
      <c r="A2302" s="27" t="s">
        <v>1618</v>
      </c>
    </row>
    <row r="2303" spans="1:1" x14ac:dyDescent="0.25">
      <c r="A2303" s="27" t="s">
        <v>1619</v>
      </c>
    </row>
    <row r="2304" spans="1:1" x14ac:dyDescent="0.25">
      <c r="A2304" s="27" t="s">
        <v>1620</v>
      </c>
    </row>
    <row r="2305" spans="1:1" x14ac:dyDescent="0.25">
      <c r="A2305" s="27" t="s">
        <v>1621</v>
      </c>
    </row>
    <row r="2306" spans="1:1" x14ac:dyDescent="0.25">
      <c r="A2306" s="27" t="s">
        <v>1622</v>
      </c>
    </row>
    <row r="2307" spans="1:1" x14ac:dyDescent="0.25">
      <c r="A2307" s="27" t="s">
        <v>1623</v>
      </c>
    </row>
    <row r="2308" spans="1:1" x14ac:dyDescent="0.25">
      <c r="A2308" s="27" t="s">
        <v>1624</v>
      </c>
    </row>
    <row r="2309" spans="1:1" x14ac:dyDescent="0.25">
      <c r="A2309" s="27" t="s">
        <v>1625</v>
      </c>
    </row>
    <row r="2310" spans="1:1" x14ac:dyDescent="0.25">
      <c r="A2310" s="27" t="s">
        <v>1626</v>
      </c>
    </row>
    <row r="2311" spans="1:1" x14ac:dyDescent="0.25">
      <c r="A2311" s="27" t="s">
        <v>1627</v>
      </c>
    </row>
    <row r="2312" spans="1:1" x14ac:dyDescent="0.25">
      <c r="A2312" s="27" t="s">
        <v>1628</v>
      </c>
    </row>
    <row r="2313" spans="1:1" x14ac:dyDescent="0.25">
      <c r="A2313" s="27" t="s">
        <v>1629</v>
      </c>
    </row>
    <row r="2314" spans="1:1" x14ac:dyDescent="0.25">
      <c r="A2314" s="27" t="s">
        <v>1630</v>
      </c>
    </row>
    <row r="2315" spans="1:1" x14ac:dyDescent="0.25">
      <c r="A2315" s="27" t="s">
        <v>1631</v>
      </c>
    </row>
    <row r="2316" spans="1:1" x14ac:dyDescent="0.25">
      <c r="A2316" s="27" t="s">
        <v>1632</v>
      </c>
    </row>
    <row r="2317" spans="1:1" x14ac:dyDescent="0.25">
      <c r="A2317" s="27" t="s">
        <v>1633</v>
      </c>
    </row>
    <row r="2318" spans="1:1" x14ac:dyDescent="0.25">
      <c r="A2318" s="27" t="s">
        <v>1634</v>
      </c>
    </row>
    <row r="2319" spans="1:1" x14ac:dyDescent="0.25">
      <c r="A2319" s="27" t="s">
        <v>1635</v>
      </c>
    </row>
    <row r="2320" spans="1:1" x14ac:dyDescent="0.25">
      <c r="A2320" s="27" t="s">
        <v>1636</v>
      </c>
    </row>
    <row r="2321" spans="1:1" x14ac:dyDescent="0.25">
      <c r="A2321" s="27" t="s">
        <v>1637</v>
      </c>
    </row>
    <row r="2322" spans="1:1" x14ac:dyDescent="0.25">
      <c r="A2322" s="27" t="s">
        <v>1638</v>
      </c>
    </row>
    <row r="2323" spans="1:1" x14ac:dyDescent="0.25">
      <c r="A2323" s="27" t="s">
        <v>1639</v>
      </c>
    </row>
    <row r="2324" spans="1:1" x14ac:dyDescent="0.25">
      <c r="A2324" s="27" t="s">
        <v>1640</v>
      </c>
    </row>
    <row r="2325" spans="1:1" x14ac:dyDescent="0.25">
      <c r="A2325" s="27" t="s">
        <v>1641</v>
      </c>
    </row>
    <row r="2326" spans="1:1" x14ac:dyDescent="0.25">
      <c r="A2326" s="27" t="s">
        <v>1642</v>
      </c>
    </row>
    <row r="2327" spans="1:1" x14ac:dyDescent="0.25">
      <c r="A2327" s="27" t="s">
        <v>1643</v>
      </c>
    </row>
    <row r="2328" spans="1:1" x14ac:dyDescent="0.25">
      <c r="A2328" s="27" t="s">
        <v>1644</v>
      </c>
    </row>
    <row r="2329" spans="1:1" x14ac:dyDescent="0.25">
      <c r="A2329" s="27" t="s">
        <v>1645</v>
      </c>
    </row>
    <row r="2330" spans="1:1" x14ac:dyDescent="0.25">
      <c r="A2330" s="27" t="s">
        <v>1646</v>
      </c>
    </row>
    <row r="2331" spans="1:1" x14ac:dyDescent="0.25">
      <c r="A2331" s="27" t="s">
        <v>1647</v>
      </c>
    </row>
    <row r="2332" spans="1:1" x14ac:dyDescent="0.25">
      <c r="A2332" s="27" t="s">
        <v>1648</v>
      </c>
    </row>
    <row r="2333" spans="1:1" x14ac:dyDescent="0.25">
      <c r="A2333" s="27" t="s">
        <v>1649</v>
      </c>
    </row>
    <row r="2334" spans="1:1" x14ac:dyDescent="0.25">
      <c r="A2334" s="27" t="s">
        <v>1650</v>
      </c>
    </row>
    <row r="2335" spans="1:1" x14ac:dyDescent="0.25">
      <c r="A2335" s="27" t="s">
        <v>1651</v>
      </c>
    </row>
    <row r="2336" spans="1:1" x14ac:dyDescent="0.25">
      <c r="A2336" s="27" t="s">
        <v>1652</v>
      </c>
    </row>
    <row r="2337" spans="1:1" x14ac:dyDescent="0.25">
      <c r="A2337" s="27" t="s">
        <v>1653</v>
      </c>
    </row>
    <row r="2338" spans="1:1" x14ac:dyDescent="0.25">
      <c r="A2338" s="27" t="s">
        <v>1654</v>
      </c>
    </row>
    <row r="2339" spans="1:1" x14ac:dyDescent="0.25">
      <c r="A2339" s="27" t="s">
        <v>1655</v>
      </c>
    </row>
    <row r="2340" spans="1:1" x14ac:dyDescent="0.25">
      <c r="A2340" s="27" t="s">
        <v>1656</v>
      </c>
    </row>
    <row r="2341" spans="1:1" x14ac:dyDescent="0.25">
      <c r="A2341" s="27" t="s">
        <v>1657</v>
      </c>
    </row>
    <row r="2342" spans="1:1" x14ac:dyDescent="0.25">
      <c r="A2342" s="27" t="s">
        <v>1658</v>
      </c>
    </row>
    <row r="2343" spans="1:1" x14ac:dyDescent="0.25">
      <c r="A2343" s="27" t="s">
        <v>1659</v>
      </c>
    </row>
    <row r="2344" spans="1:1" x14ac:dyDescent="0.25">
      <c r="A2344" s="27" t="s">
        <v>1660</v>
      </c>
    </row>
    <row r="2345" spans="1:1" x14ac:dyDescent="0.25">
      <c r="A2345" s="27" t="s">
        <v>1661</v>
      </c>
    </row>
    <row r="2346" spans="1:1" x14ac:dyDescent="0.25">
      <c r="A2346" s="27" t="s">
        <v>1662</v>
      </c>
    </row>
    <row r="2347" spans="1:1" x14ac:dyDescent="0.25">
      <c r="A2347" s="27" t="s">
        <v>1663</v>
      </c>
    </row>
    <row r="2348" spans="1:1" x14ac:dyDescent="0.25">
      <c r="A2348" s="27" t="s">
        <v>1664</v>
      </c>
    </row>
    <row r="2349" spans="1:1" x14ac:dyDescent="0.25">
      <c r="A2349" s="27" t="s">
        <v>1665</v>
      </c>
    </row>
    <row r="2350" spans="1:1" x14ac:dyDescent="0.25">
      <c r="A2350" s="27" t="s">
        <v>1666</v>
      </c>
    </row>
    <row r="2351" spans="1:1" x14ac:dyDescent="0.25">
      <c r="A2351" s="27" t="s">
        <v>1667</v>
      </c>
    </row>
    <row r="2352" spans="1:1" x14ac:dyDescent="0.25">
      <c r="A2352" s="27" t="s">
        <v>1668</v>
      </c>
    </row>
    <row r="2353" spans="1:1" x14ac:dyDescent="0.25">
      <c r="A2353" s="27" t="s">
        <v>1669</v>
      </c>
    </row>
    <row r="2354" spans="1:1" x14ac:dyDescent="0.25">
      <c r="A2354" s="27" t="s">
        <v>1670</v>
      </c>
    </row>
    <row r="2355" spans="1:1" x14ac:dyDescent="0.25">
      <c r="A2355" s="27" t="s">
        <v>1671</v>
      </c>
    </row>
    <row r="2356" spans="1:1" x14ac:dyDescent="0.25">
      <c r="A2356" s="27" t="s">
        <v>1672</v>
      </c>
    </row>
    <row r="2357" spans="1:1" x14ac:dyDescent="0.25">
      <c r="A2357" s="27" t="s">
        <v>1673</v>
      </c>
    </row>
    <row r="2358" spans="1:1" x14ac:dyDescent="0.25">
      <c r="A2358" s="27" t="s">
        <v>1674</v>
      </c>
    </row>
    <row r="2359" spans="1:1" x14ac:dyDescent="0.25">
      <c r="A2359" s="27" t="s">
        <v>1675</v>
      </c>
    </row>
    <row r="2360" spans="1:1" x14ac:dyDescent="0.25">
      <c r="A2360" s="27" t="s">
        <v>1676</v>
      </c>
    </row>
    <row r="2361" spans="1:1" x14ac:dyDescent="0.25">
      <c r="A2361" s="27" t="s">
        <v>1677</v>
      </c>
    </row>
    <row r="2362" spans="1:1" x14ac:dyDescent="0.25">
      <c r="A2362" s="27" t="s">
        <v>1678</v>
      </c>
    </row>
    <row r="2363" spans="1:1" x14ac:dyDescent="0.25">
      <c r="A2363" s="27" t="s">
        <v>1679</v>
      </c>
    </row>
    <row r="2364" spans="1:1" x14ac:dyDescent="0.25">
      <c r="A2364" s="27" t="s">
        <v>1680</v>
      </c>
    </row>
    <row r="2365" spans="1:1" x14ac:dyDescent="0.25">
      <c r="A2365" s="27" t="s">
        <v>1681</v>
      </c>
    </row>
    <row r="2366" spans="1:1" x14ac:dyDescent="0.25">
      <c r="A2366" s="27" t="s">
        <v>1682</v>
      </c>
    </row>
    <row r="2367" spans="1:1" x14ac:dyDescent="0.25">
      <c r="A2367" s="27" t="s">
        <v>1683</v>
      </c>
    </row>
    <row r="2368" spans="1:1" x14ac:dyDescent="0.25">
      <c r="A2368" s="27" t="s">
        <v>1684</v>
      </c>
    </row>
    <row r="2369" spans="1:1" x14ac:dyDescent="0.25">
      <c r="A2369" s="27" t="s">
        <v>1685</v>
      </c>
    </row>
    <row r="2370" spans="1:1" x14ac:dyDescent="0.25">
      <c r="A2370" s="27" t="s">
        <v>1686</v>
      </c>
    </row>
    <row r="2371" spans="1:1" x14ac:dyDescent="0.25">
      <c r="A2371" s="27" t="s">
        <v>1687</v>
      </c>
    </row>
    <row r="2372" spans="1:1" x14ac:dyDescent="0.25">
      <c r="A2372" s="27" t="s">
        <v>1688</v>
      </c>
    </row>
    <row r="2373" spans="1:1" x14ac:dyDescent="0.25">
      <c r="A2373" s="27" t="s">
        <v>1689</v>
      </c>
    </row>
    <row r="2374" spans="1:1" x14ac:dyDescent="0.25">
      <c r="A2374" s="27" t="s">
        <v>1690</v>
      </c>
    </row>
    <row r="2375" spans="1:1" x14ac:dyDescent="0.25">
      <c r="A2375" s="27" t="s">
        <v>1691</v>
      </c>
    </row>
    <row r="2376" spans="1:1" x14ac:dyDescent="0.25">
      <c r="A2376" s="27" t="s">
        <v>1692</v>
      </c>
    </row>
    <row r="2377" spans="1:1" x14ac:dyDescent="0.25">
      <c r="A2377" s="27" t="s">
        <v>1693</v>
      </c>
    </row>
    <row r="2378" spans="1:1" x14ac:dyDescent="0.25">
      <c r="A2378" s="27" t="s">
        <v>1694</v>
      </c>
    </row>
    <row r="2379" spans="1:1" x14ac:dyDescent="0.25">
      <c r="A2379" s="27" t="s">
        <v>1695</v>
      </c>
    </row>
    <row r="2380" spans="1:1" x14ac:dyDescent="0.25">
      <c r="A2380" s="27" t="s">
        <v>1696</v>
      </c>
    </row>
    <row r="2381" spans="1:1" x14ac:dyDescent="0.25">
      <c r="A2381" s="27" t="s">
        <v>1697</v>
      </c>
    </row>
    <row r="2382" spans="1:1" x14ac:dyDescent="0.25">
      <c r="A2382" s="27" t="s">
        <v>1698</v>
      </c>
    </row>
    <row r="2383" spans="1:1" x14ac:dyDescent="0.25">
      <c r="A2383" s="27" t="s">
        <v>1699</v>
      </c>
    </row>
    <row r="2384" spans="1:1" x14ac:dyDescent="0.25">
      <c r="A2384" s="27" t="s">
        <v>1700</v>
      </c>
    </row>
    <row r="2385" spans="1:1" x14ac:dyDescent="0.25">
      <c r="A2385" s="27" t="s">
        <v>1701</v>
      </c>
    </row>
    <row r="2386" spans="1:1" x14ac:dyDescent="0.25">
      <c r="A2386" s="27" t="s">
        <v>1702</v>
      </c>
    </row>
    <row r="2387" spans="1:1" x14ac:dyDescent="0.25">
      <c r="A2387" s="27" t="s">
        <v>1703</v>
      </c>
    </row>
    <row r="2388" spans="1:1" x14ac:dyDescent="0.25">
      <c r="A2388" s="27" t="s">
        <v>1704</v>
      </c>
    </row>
    <row r="2389" spans="1:1" x14ac:dyDescent="0.25">
      <c r="A2389" s="27" t="s">
        <v>1705</v>
      </c>
    </row>
    <row r="2390" spans="1:1" x14ac:dyDescent="0.25">
      <c r="A2390" s="27" t="s">
        <v>1706</v>
      </c>
    </row>
    <row r="2391" spans="1:1" x14ac:dyDescent="0.25">
      <c r="A2391" s="27" t="s">
        <v>1707</v>
      </c>
    </row>
    <row r="2392" spans="1:1" x14ac:dyDescent="0.25">
      <c r="A2392" s="27" t="s">
        <v>1708</v>
      </c>
    </row>
    <row r="2393" spans="1:1" x14ac:dyDescent="0.25">
      <c r="A2393" s="27" t="s">
        <v>1709</v>
      </c>
    </row>
    <row r="2394" spans="1:1" x14ac:dyDescent="0.25">
      <c r="A2394" s="27" t="s">
        <v>1710</v>
      </c>
    </row>
    <row r="2395" spans="1:1" x14ac:dyDescent="0.25">
      <c r="A2395" s="27" t="s">
        <v>1711</v>
      </c>
    </row>
    <row r="2396" spans="1:1" x14ac:dyDescent="0.25">
      <c r="A2396" s="27" t="s">
        <v>1712</v>
      </c>
    </row>
    <row r="2397" spans="1:1" x14ac:dyDescent="0.25">
      <c r="A2397" s="27" t="s">
        <v>1713</v>
      </c>
    </row>
    <row r="2398" spans="1:1" x14ac:dyDescent="0.25">
      <c r="A2398" s="27" t="s">
        <v>1714</v>
      </c>
    </row>
    <row r="2399" spans="1:1" x14ac:dyDescent="0.25">
      <c r="A2399" s="27" t="s">
        <v>1715</v>
      </c>
    </row>
    <row r="2400" spans="1:1" x14ac:dyDescent="0.25">
      <c r="A2400" s="27" t="s">
        <v>1716</v>
      </c>
    </row>
    <row r="2401" spans="1:1" x14ac:dyDescent="0.25">
      <c r="A2401" s="27" t="s">
        <v>1717</v>
      </c>
    </row>
    <row r="2402" spans="1:1" x14ac:dyDescent="0.25">
      <c r="A2402" s="27" t="s">
        <v>1718</v>
      </c>
    </row>
    <row r="2403" spans="1:1" x14ac:dyDescent="0.25">
      <c r="A2403" s="27" t="s">
        <v>1719</v>
      </c>
    </row>
    <row r="2404" spans="1:1" x14ac:dyDescent="0.25">
      <c r="A2404" s="27" t="s">
        <v>1720</v>
      </c>
    </row>
    <row r="2405" spans="1:1" x14ac:dyDescent="0.25">
      <c r="A2405" s="27" t="s">
        <v>1721</v>
      </c>
    </row>
    <row r="2406" spans="1:1" x14ac:dyDescent="0.25">
      <c r="A2406" s="27" t="s">
        <v>1722</v>
      </c>
    </row>
    <row r="2407" spans="1:1" x14ac:dyDescent="0.25">
      <c r="A2407" s="27" t="s">
        <v>1723</v>
      </c>
    </row>
    <row r="2408" spans="1:1" x14ac:dyDescent="0.25">
      <c r="A2408" s="27" t="s">
        <v>1724</v>
      </c>
    </row>
    <row r="2409" spans="1:1" x14ac:dyDescent="0.25">
      <c r="A2409" s="27" t="s">
        <v>1725</v>
      </c>
    </row>
    <row r="2410" spans="1:1" x14ac:dyDescent="0.25">
      <c r="A2410" s="27" t="s">
        <v>1726</v>
      </c>
    </row>
    <row r="2411" spans="1:1" x14ac:dyDescent="0.25">
      <c r="A2411" s="27" t="s">
        <v>1727</v>
      </c>
    </row>
    <row r="2412" spans="1:1" x14ac:dyDescent="0.25">
      <c r="A2412" s="27" t="s">
        <v>1728</v>
      </c>
    </row>
    <row r="2413" spans="1:1" x14ac:dyDescent="0.25">
      <c r="A2413" s="27" t="s">
        <v>1729</v>
      </c>
    </row>
    <row r="2414" spans="1:1" x14ac:dyDescent="0.25">
      <c r="A2414" s="27" t="s">
        <v>1730</v>
      </c>
    </row>
    <row r="2415" spans="1:1" x14ac:dyDescent="0.25">
      <c r="A2415" s="27" t="s">
        <v>1731</v>
      </c>
    </row>
    <row r="2416" spans="1:1" x14ac:dyDescent="0.25">
      <c r="A2416" s="27" t="s">
        <v>1732</v>
      </c>
    </row>
    <row r="2417" spans="1:1" x14ac:dyDescent="0.25">
      <c r="A2417" s="27" t="s">
        <v>1733</v>
      </c>
    </row>
    <row r="2418" spans="1:1" x14ac:dyDescent="0.25">
      <c r="A2418" s="27" t="s">
        <v>1734</v>
      </c>
    </row>
    <row r="2419" spans="1:1" x14ac:dyDescent="0.25">
      <c r="A2419" s="27" t="s">
        <v>1735</v>
      </c>
    </row>
    <row r="2420" spans="1:1" x14ac:dyDescent="0.25">
      <c r="A2420" s="27" t="s">
        <v>1736</v>
      </c>
    </row>
    <row r="2421" spans="1:1" x14ac:dyDescent="0.25">
      <c r="A2421" s="27" t="s">
        <v>1737</v>
      </c>
    </row>
    <row r="2422" spans="1:1" x14ac:dyDescent="0.25">
      <c r="A2422" s="27" t="s">
        <v>1738</v>
      </c>
    </row>
    <row r="2423" spans="1:1" x14ac:dyDescent="0.25">
      <c r="A2423" s="27" t="s">
        <v>1739</v>
      </c>
    </row>
    <row r="2424" spans="1:1" x14ac:dyDescent="0.25">
      <c r="A2424" s="27" t="s">
        <v>1740</v>
      </c>
    </row>
    <row r="2425" spans="1:1" x14ac:dyDescent="0.25">
      <c r="A2425" s="27" t="s">
        <v>1741</v>
      </c>
    </row>
    <row r="2426" spans="1:1" x14ac:dyDescent="0.25">
      <c r="A2426" s="27" t="s">
        <v>1742</v>
      </c>
    </row>
    <row r="2427" spans="1:1" x14ac:dyDescent="0.25">
      <c r="A2427" s="27" t="s">
        <v>1743</v>
      </c>
    </row>
    <row r="2428" spans="1:1" x14ac:dyDescent="0.25">
      <c r="A2428" s="27" t="s">
        <v>1744</v>
      </c>
    </row>
    <row r="2429" spans="1:1" x14ac:dyDescent="0.25">
      <c r="A2429" s="27" t="s">
        <v>1745</v>
      </c>
    </row>
    <row r="2430" spans="1:1" x14ac:dyDescent="0.25">
      <c r="A2430" s="27" t="s">
        <v>1746</v>
      </c>
    </row>
    <row r="2431" spans="1:1" x14ac:dyDescent="0.25">
      <c r="A2431" s="27" t="s">
        <v>1747</v>
      </c>
    </row>
    <row r="2432" spans="1:1" x14ac:dyDescent="0.25">
      <c r="A2432" s="27" t="s">
        <v>1748</v>
      </c>
    </row>
    <row r="2433" spans="1:1" x14ac:dyDescent="0.25">
      <c r="A2433" s="27" t="s">
        <v>1749</v>
      </c>
    </row>
    <row r="2434" spans="1:1" x14ac:dyDescent="0.25">
      <c r="A2434" s="27" t="s">
        <v>1750</v>
      </c>
    </row>
    <row r="2435" spans="1:1" x14ac:dyDescent="0.25">
      <c r="A2435" s="27" t="s">
        <v>1751</v>
      </c>
    </row>
    <row r="2436" spans="1:1" x14ac:dyDescent="0.25">
      <c r="A2436" s="27" t="s">
        <v>1752</v>
      </c>
    </row>
    <row r="2437" spans="1:1" x14ac:dyDescent="0.25">
      <c r="A2437" s="27" t="s">
        <v>1753</v>
      </c>
    </row>
    <row r="2438" spans="1:1" x14ac:dyDescent="0.25">
      <c r="A2438" s="27" t="s">
        <v>1754</v>
      </c>
    </row>
    <row r="2439" spans="1:1" x14ac:dyDescent="0.25">
      <c r="A2439" s="27" t="s">
        <v>1755</v>
      </c>
    </row>
    <row r="2440" spans="1:1" x14ac:dyDescent="0.25">
      <c r="A2440" s="27" t="s">
        <v>1756</v>
      </c>
    </row>
    <row r="2441" spans="1:1" x14ac:dyDescent="0.25">
      <c r="A2441" s="27" t="s">
        <v>1757</v>
      </c>
    </row>
    <row r="2442" spans="1:1" x14ac:dyDescent="0.25">
      <c r="A2442" s="27" t="s">
        <v>1758</v>
      </c>
    </row>
    <row r="2443" spans="1:1" x14ac:dyDescent="0.25">
      <c r="A2443" s="27" t="s">
        <v>1759</v>
      </c>
    </row>
    <row r="2444" spans="1:1" x14ac:dyDescent="0.25">
      <c r="A2444" s="27" t="s">
        <v>1760</v>
      </c>
    </row>
    <row r="2445" spans="1:1" x14ac:dyDescent="0.25">
      <c r="A2445" s="27" t="s">
        <v>1761</v>
      </c>
    </row>
    <row r="2446" spans="1:1" x14ac:dyDescent="0.25">
      <c r="A2446" s="27" t="s">
        <v>1762</v>
      </c>
    </row>
    <row r="2447" spans="1:1" x14ac:dyDescent="0.25">
      <c r="A2447" s="27" t="s">
        <v>1763</v>
      </c>
    </row>
    <row r="2448" spans="1:1" x14ac:dyDescent="0.25">
      <c r="A2448" s="27" t="s">
        <v>1764</v>
      </c>
    </row>
    <row r="2449" spans="1:1" x14ac:dyDescent="0.25">
      <c r="A2449" s="27" t="s">
        <v>1765</v>
      </c>
    </row>
    <row r="2450" spans="1:1" x14ac:dyDescent="0.25">
      <c r="A2450" s="27" t="s">
        <v>1766</v>
      </c>
    </row>
    <row r="2451" spans="1:1" x14ac:dyDescent="0.25">
      <c r="A2451" s="27" t="s">
        <v>1767</v>
      </c>
    </row>
    <row r="2452" spans="1:1" x14ac:dyDescent="0.25">
      <c r="A2452" s="27" t="s">
        <v>1768</v>
      </c>
    </row>
    <row r="2453" spans="1:1" x14ac:dyDescent="0.25">
      <c r="A2453" s="27" t="s">
        <v>1769</v>
      </c>
    </row>
    <row r="2454" spans="1:1" x14ac:dyDescent="0.25">
      <c r="A2454" s="27" t="s">
        <v>1770</v>
      </c>
    </row>
    <row r="2455" spans="1:1" x14ac:dyDescent="0.25">
      <c r="A2455" s="27" t="s">
        <v>1771</v>
      </c>
    </row>
    <row r="2456" spans="1:1" x14ac:dyDescent="0.25">
      <c r="A2456" s="27" t="s">
        <v>1772</v>
      </c>
    </row>
    <row r="2457" spans="1:1" x14ac:dyDescent="0.25">
      <c r="A2457" s="27" t="s">
        <v>1773</v>
      </c>
    </row>
    <row r="2458" spans="1:1" x14ac:dyDescent="0.25">
      <c r="A2458" s="27" t="s">
        <v>1774</v>
      </c>
    </row>
    <row r="2459" spans="1:1" x14ac:dyDescent="0.25">
      <c r="A2459" s="27" t="s">
        <v>1775</v>
      </c>
    </row>
    <row r="2460" spans="1:1" x14ac:dyDescent="0.25">
      <c r="A2460" s="27" t="s">
        <v>1776</v>
      </c>
    </row>
    <row r="2461" spans="1:1" x14ac:dyDescent="0.25">
      <c r="A2461" s="27" t="s">
        <v>1777</v>
      </c>
    </row>
    <row r="2462" spans="1:1" x14ac:dyDescent="0.25">
      <c r="A2462" s="27" t="s">
        <v>1778</v>
      </c>
    </row>
    <row r="2463" spans="1:1" x14ac:dyDescent="0.25">
      <c r="A2463" s="27" t="s">
        <v>1779</v>
      </c>
    </row>
    <row r="2464" spans="1:1" x14ac:dyDescent="0.25">
      <c r="A2464" s="27" t="s">
        <v>1780</v>
      </c>
    </row>
    <row r="2465" spans="1:1" x14ac:dyDescent="0.25">
      <c r="A2465" s="27" t="s">
        <v>1781</v>
      </c>
    </row>
    <row r="2466" spans="1:1" x14ac:dyDescent="0.25">
      <c r="A2466" s="27" t="s">
        <v>1782</v>
      </c>
    </row>
    <row r="2467" spans="1:1" x14ac:dyDescent="0.25">
      <c r="A2467" s="27" t="s">
        <v>1783</v>
      </c>
    </row>
    <row r="2468" spans="1:1" x14ac:dyDescent="0.25">
      <c r="A2468" s="27" t="s">
        <v>1784</v>
      </c>
    </row>
    <row r="2469" spans="1:1" x14ac:dyDescent="0.25">
      <c r="A2469" s="27" t="s">
        <v>1785</v>
      </c>
    </row>
    <row r="2470" spans="1:1" x14ac:dyDescent="0.25">
      <c r="A2470" s="27" t="s">
        <v>1786</v>
      </c>
    </row>
    <row r="2471" spans="1:1" x14ac:dyDescent="0.25">
      <c r="A2471" s="27" t="s">
        <v>1787</v>
      </c>
    </row>
    <row r="2472" spans="1:1" x14ac:dyDescent="0.25">
      <c r="A2472" s="27" t="s">
        <v>1788</v>
      </c>
    </row>
    <row r="2473" spans="1:1" x14ac:dyDescent="0.25">
      <c r="A2473" s="27" t="s">
        <v>1789</v>
      </c>
    </row>
    <row r="2474" spans="1:1" x14ac:dyDescent="0.25">
      <c r="A2474" s="27" t="s">
        <v>1790</v>
      </c>
    </row>
    <row r="2475" spans="1:1" x14ac:dyDescent="0.25">
      <c r="A2475" s="27" t="s">
        <v>1791</v>
      </c>
    </row>
    <row r="2476" spans="1:1" x14ac:dyDescent="0.25">
      <c r="A2476" s="27" t="s">
        <v>1792</v>
      </c>
    </row>
    <row r="2477" spans="1:1" x14ac:dyDescent="0.25">
      <c r="A2477" s="27" t="s">
        <v>1793</v>
      </c>
    </row>
    <row r="2478" spans="1:1" x14ac:dyDescent="0.25">
      <c r="A2478" s="27" t="s">
        <v>1794</v>
      </c>
    </row>
    <row r="2479" spans="1:1" x14ac:dyDescent="0.25">
      <c r="A2479" s="27" t="s">
        <v>1795</v>
      </c>
    </row>
    <row r="2480" spans="1:1" x14ac:dyDescent="0.25">
      <c r="A2480" s="27" t="s">
        <v>1796</v>
      </c>
    </row>
    <row r="2481" spans="1:1" x14ac:dyDescent="0.25">
      <c r="A2481" s="27" t="s">
        <v>1797</v>
      </c>
    </row>
    <row r="2482" spans="1:1" x14ac:dyDescent="0.25">
      <c r="A2482" s="27" t="s">
        <v>1798</v>
      </c>
    </row>
    <row r="2483" spans="1:1" x14ac:dyDescent="0.25">
      <c r="A2483" s="27" t="s">
        <v>1799</v>
      </c>
    </row>
    <row r="2484" spans="1:1" x14ac:dyDescent="0.25">
      <c r="A2484" s="27" t="s">
        <v>1800</v>
      </c>
    </row>
    <row r="2485" spans="1:1" x14ac:dyDescent="0.25">
      <c r="A2485" s="27" t="s">
        <v>1801</v>
      </c>
    </row>
    <row r="2486" spans="1:1" x14ac:dyDescent="0.25">
      <c r="A2486" s="27" t="s">
        <v>1802</v>
      </c>
    </row>
    <row r="2487" spans="1:1" x14ac:dyDescent="0.25">
      <c r="A2487" s="27" t="s">
        <v>1803</v>
      </c>
    </row>
    <row r="2488" spans="1:1" x14ac:dyDescent="0.25">
      <c r="A2488" s="27" t="s">
        <v>1804</v>
      </c>
    </row>
    <row r="2489" spans="1:1" x14ac:dyDescent="0.25">
      <c r="A2489" s="27" t="s">
        <v>1805</v>
      </c>
    </row>
    <row r="2490" spans="1:1" x14ac:dyDescent="0.25">
      <c r="A2490" s="27" t="s">
        <v>1806</v>
      </c>
    </row>
    <row r="2491" spans="1:1" x14ac:dyDescent="0.25">
      <c r="A2491" s="27" t="s">
        <v>1807</v>
      </c>
    </row>
    <row r="2492" spans="1:1" x14ac:dyDescent="0.25">
      <c r="A2492" s="27" t="s">
        <v>1808</v>
      </c>
    </row>
    <row r="2493" spans="1:1" x14ac:dyDescent="0.25">
      <c r="A2493" s="27" t="s">
        <v>1809</v>
      </c>
    </row>
    <row r="2494" spans="1:1" x14ac:dyDescent="0.25">
      <c r="A2494" s="27" t="s">
        <v>1810</v>
      </c>
    </row>
    <row r="2495" spans="1:1" x14ac:dyDescent="0.25">
      <c r="A2495" s="27" t="s">
        <v>1811</v>
      </c>
    </row>
    <row r="2496" spans="1:1" x14ac:dyDescent="0.25">
      <c r="A2496" s="27" t="s">
        <v>1812</v>
      </c>
    </row>
    <row r="2497" spans="1:1" x14ac:dyDescent="0.25">
      <c r="A2497" s="27" t="s">
        <v>1813</v>
      </c>
    </row>
    <row r="2498" spans="1:1" x14ac:dyDescent="0.25">
      <c r="A2498" s="27" t="s">
        <v>1814</v>
      </c>
    </row>
    <row r="2499" spans="1:1" x14ac:dyDescent="0.25">
      <c r="A2499" s="27" t="s">
        <v>1815</v>
      </c>
    </row>
    <row r="2500" spans="1:1" x14ac:dyDescent="0.25">
      <c r="A2500" s="27" t="s">
        <v>1816</v>
      </c>
    </row>
    <row r="2501" spans="1:1" x14ac:dyDescent="0.25">
      <c r="A2501" s="27" t="s">
        <v>1817</v>
      </c>
    </row>
    <row r="2502" spans="1:1" x14ac:dyDescent="0.25">
      <c r="A2502" s="27" t="s">
        <v>1818</v>
      </c>
    </row>
    <row r="2503" spans="1:1" x14ac:dyDescent="0.25">
      <c r="A2503" s="27" t="s">
        <v>1819</v>
      </c>
    </row>
    <row r="2504" spans="1:1" x14ac:dyDescent="0.25">
      <c r="A2504" s="27" t="s">
        <v>1820</v>
      </c>
    </row>
    <row r="2505" spans="1:1" x14ac:dyDescent="0.25">
      <c r="A2505" s="27" t="s">
        <v>1821</v>
      </c>
    </row>
    <row r="2506" spans="1:1" x14ac:dyDescent="0.25">
      <c r="A2506" s="27" t="s">
        <v>1822</v>
      </c>
    </row>
    <row r="2507" spans="1:1" x14ac:dyDescent="0.25">
      <c r="A2507" s="27" t="s">
        <v>1823</v>
      </c>
    </row>
    <row r="2508" spans="1:1" x14ac:dyDescent="0.25">
      <c r="A2508" s="27" t="s">
        <v>1824</v>
      </c>
    </row>
    <row r="2509" spans="1:1" x14ac:dyDescent="0.25">
      <c r="A2509" s="27" t="s">
        <v>1825</v>
      </c>
    </row>
    <row r="2510" spans="1:1" x14ac:dyDescent="0.25">
      <c r="A2510" s="27" t="s">
        <v>1826</v>
      </c>
    </row>
    <row r="2511" spans="1:1" x14ac:dyDescent="0.25">
      <c r="A2511" s="27" t="s">
        <v>1827</v>
      </c>
    </row>
    <row r="2512" spans="1:1" x14ac:dyDescent="0.25">
      <c r="A2512" s="27" t="s">
        <v>1828</v>
      </c>
    </row>
    <row r="2513" spans="1:1" x14ac:dyDescent="0.25">
      <c r="A2513" s="27" t="s">
        <v>1829</v>
      </c>
    </row>
    <row r="2514" spans="1:1" x14ac:dyDescent="0.25">
      <c r="A2514" s="27" t="s">
        <v>1830</v>
      </c>
    </row>
    <row r="2515" spans="1:1" x14ac:dyDescent="0.25">
      <c r="A2515" s="27" t="s">
        <v>1831</v>
      </c>
    </row>
    <row r="2516" spans="1:1" x14ac:dyDescent="0.25">
      <c r="A2516" s="27" t="s">
        <v>1832</v>
      </c>
    </row>
    <row r="2517" spans="1:1" x14ac:dyDescent="0.25">
      <c r="A2517" s="27" t="s">
        <v>1833</v>
      </c>
    </row>
    <row r="2518" spans="1:1" x14ac:dyDescent="0.25">
      <c r="A2518" s="27" t="s">
        <v>1834</v>
      </c>
    </row>
    <row r="2519" spans="1:1" x14ac:dyDescent="0.25">
      <c r="A2519" s="27" t="s">
        <v>1835</v>
      </c>
    </row>
    <row r="2520" spans="1:1" x14ac:dyDescent="0.25">
      <c r="A2520" s="27" t="s">
        <v>1836</v>
      </c>
    </row>
    <row r="2521" spans="1:1" x14ac:dyDescent="0.25">
      <c r="A2521" s="27" t="s">
        <v>1837</v>
      </c>
    </row>
    <row r="2522" spans="1:1" x14ac:dyDescent="0.25">
      <c r="A2522" s="27" t="s">
        <v>1838</v>
      </c>
    </row>
    <row r="2523" spans="1:1" x14ac:dyDescent="0.25">
      <c r="A2523" s="27" t="s">
        <v>1839</v>
      </c>
    </row>
    <row r="2524" spans="1:1" x14ac:dyDescent="0.25">
      <c r="A2524" s="27" t="s">
        <v>1840</v>
      </c>
    </row>
    <row r="2525" spans="1:1" x14ac:dyDescent="0.25">
      <c r="A2525" s="27" t="s">
        <v>1841</v>
      </c>
    </row>
    <row r="2526" spans="1:1" x14ac:dyDescent="0.25">
      <c r="A2526" s="27" t="s">
        <v>1842</v>
      </c>
    </row>
    <row r="2527" spans="1:1" x14ac:dyDescent="0.25">
      <c r="A2527" s="27" t="s">
        <v>1843</v>
      </c>
    </row>
    <row r="2528" spans="1:1" x14ac:dyDescent="0.25">
      <c r="A2528" s="27" t="s">
        <v>1844</v>
      </c>
    </row>
    <row r="2529" spans="1:1" x14ac:dyDescent="0.25">
      <c r="A2529" s="27" t="s">
        <v>1845</v>
      </c>
    </row>
    <row r="2530" spans="1:1" x14ac:dyDescent="0.25">
      <c r="A2530" s="27" t="s">
        <v>1846</v>
      </c>
    </row>
    <row r="2531" spans="1:1" x14ac:dyDescent="0.25">
      <c r="A2531" s="27" t="s">
        <v>1847</v>
      </c>
    </row>
    <row r="2532" spans="1:1" x14ac:dyDescent="0.25">
      <c r="A2532" s="27" t="s">
        <v>1848</v>
      </c>
    </row>
    <row r="2533" spans="1:1" x14ac:dyDescent="0.25">
      <c r="A2533" s="27" t="s">
        <v>1849</v>
      </c>
    </row>
    <row r="2534" spans="1:1" x14ac:dyDescent="0.25">
      <c r="A2534" s="27" t="s">
        <v>1850</v>
      </c>
    </row>
    <row r="2535" spans="1:1" x14ac:dyDescent="0.25">
      <c r="A2535" s="27" t="s">
        <v>1851</v>
      </c>
    </row>
    <row r="2536" spans="1:1" x14ac:dyDescent="0.25">
      <c r="A2536" s="27" t="s">
        <v>1852</v>
      </c>
    </row>
    <row r="2537" spans="1:1" x14ac:dyDescent="0.25">
      <c r="A2537" s="27" t="s">
        <v>1853</v>
      </c>
    </row>
    <row r="2538" spans="1:1" x14ac:dyDescent="0.25">
      <c r="A2538" s="27" t="s">
        <v>1854</v>
      </c>
    </row>
    <row r="2539" spans="1:1" x14ac:dyDescent="0.25">
      <c r="A2539" s="27" t="s">
        <v>1855</v>
      </c>
    </row>
    <row r="2540" spans="1:1" x14ac:dyDescent="0.25">
      <c r="A2540" s="27" t="s">
        <v>1856</v>
      </c>
    </row>
    <row r="2541" spans="1:1" x14ac:dyDescent="0.25">
      <c r="A2541" s="27" t="s">
        <v>1857</v>
      </c>
    </row>
    <row r="2542" spans="1:1" x14ac:dyDescent="0.25">
      <c r="A2542" s="27" t="s">
        <v>1858</v>
      </c>
    </row>
    <row r="2543" spans="1:1" x14ac:dyDescent="0.25">
      <c r="A2543" s="27" t="s">
        <v>1859</v>
      </c>
    </row>
    <row r="2544" spans="1:1" x14ac:dyDescent="0.25">
      <c r="A2544" s="27" t="s">
        <v>1860</v>
      </c>
    </row>
    <row r="2545" spans="1:1" x14ac:dyDescent="0.25">
      <c r="A2545" s="27" t="s">
        <v>1861</v>
      </c>
    </row>
    <row r="2546" spans="1:1" x14ac:dyDescent="0.25">
      <c r="A2546" s="27" t="s">
        <v>1862</v>
      </c>
    </row>
    <row r="2547" spans="1:1" x14ac:dyDescent="0.25">
      <c r="A2547" s="27" t="s">
        <v>1863</v>
      </c>
    </row>
    <row r="2548" spans="1:1" x14ac:dyDescent="0.25">
      <c r="A2548" s="27" t="s">
        <v>1864</v>
      </c>
    </row>
    <row r="2549" spans="1:1" x14ac:dyDescent="0.25">
      <c r="A2549" s="27" t="s">
        <v>1865</v>
      </c>
    </row>
    <row r="2550" spans="1:1" x14ac:dyDescent="0.25">
      <c r="A2550" s="27" t="s">
        <v>1866</v>
      </c>
    </row>
    <row r="2551" spans="1:1" x14ac:dyDescent="0.25">
      <c r="A2551" s="27" t="s">
        <v>1867</v>
      </c>
    </row>
    <row r="2552" spans="1:1" x14ac:dyDescent="0.25">
      <c r="A2552" s="27" t="s">
        <v>1868</v>
      </c>
    </row>
    <row r="2553" spans="1:1" x14ac:dyDescent="0.25">
      <c r="A2553" s="27" t="s">
        <v>1869</v>
      </c>
    </row>
    <row r="2554" spans="1:1" x14ac:dyDescent="0.25">
      <c r="A2554" s="27" t="s">
        <v>1870</v>
      </c>
    </row>
    <row r="2555" spans="1:1" x14ac:dyDescent="0.25">
      <c r="A2555" s="27" t="s">
        <v>1871</v>
      </c>
    </row>
    <row r="2556" spans="1:1" x14ac:dyDescent="0.25">
      <c r="A2556" s="27" t="s">
        <v>1872</v>
      </c>
    </row>
    <row r="2557" spans="1:1" x14ac:dyDescent="0.25">
      <c r="A2557" s="27" t="s">
        <v>1873</v>
      </c>
    </row>
    <row r="2558" spans="1:1" x14ac:dyDescent="0.25">
      <c r="A2558" s="27" t="s">
        <v>1874</v>
      </c>
    </row>
    <row r="2559" spans="1:1" x14ac:dyDescent="0.25">
      <c r="A2559" s="27" t="s">
        <v>1875</v>
      </c>
    </row>
    <row r="2560" spans="1:1" x14ac:dyDescent="0.25">
      <c r="A2560" s="27" t="s">
        <v>1876</v>
      </c>
    </row>
    <row r="2561" spans="1:1" x14ac:dyDescent="0.25">
      <c r="A2561" s="27" t="s">
        <v>1877</v>
      </c>
    </row>
    <row r="2562" spans="1:1" x14ac:dyDescent="0.25">
      <c r="A2562" s="27" t="s">
        <v>1878</v>
      </c>
    </row>
    <row r="2563" spans="1:1" x14ac:dyDescent="0.25">
      <c r="A2563" s="27" t="s">
        <v>1879</v>
      </c>
    </row>
    <row r="2564" spans="1:1" x14ac:dyDescent="0.25">
      <c r="A2564" s="27" t="s">
        <v>1880</v>
      </c>
    </row>
    <row r="2565" spans="1:1" x14ac:dyDescent="0.25">
      <c r="A2565" s="27" t="s">
        <v>1881</v>
      </c>
    </row>
    <row r="2566" spans="1:1" x14ac:dyDescent="0.25">
      <c r="A2566" s="27" t="s">
        <v>1882</v>
      </c>
    </row>
    <row r="2567" spans="1:1" x14ac:dyDescent="0.25">
      <c r="A2567" s="27" t="s">
        <v>1883</v>
      </c>
    </row>
    <row r="2568" spans="1:1" x14ac:dyDescent="0.25">
      <c r="A2568" s="27" t="s">
        <v>1884</v>
      </c>
    </row>
    <row r="2569" spans="1:1" x14ac:dyDescent="0.25">
      <c r="A2569" s="27" t="s">
        <v>1885</v>
      </c>
    </row>
    <row r="2570" spans="1:1" x14ac:dyDescent="0.25">
      <c r="A2570" s="27" t="s">
        <v>1886</v>
      </c>
    </row>
    <row r="2571" spans="1:1" x14ac:dyDescent="0.25">
      <c r="A2571" s="27" t="s">
        <v>1887</v>
      </c>
    </row>
    <row r="2572" spans="1:1" x14ac:dyDescent="0.25">
      <c r="A2572" s="27" t="s">
        <v>1888</v>
      </c>
    </row>
    <row r="2573" spans="1:1" x14ac:dyDescent="0.25">
      <c r="A2573" s="27" t="s">
        <v>1889</v>
      </c>
    </row>
    <row r="2574" spans="1:1" x14ac:dyDescent="0.25">
      <c r="A2574" s="27" t="s">
        <v>1890</v>
      </c>
    </row>
    <row r="2575" spans="1:1" x14ac:dyDescent="0.25">
      <c r="A2575" s="27" t="s">
        <v>1891</v>
      </c>
    </row>
    <row r="2576" spans="1:1" x14ac:dyDescent="0.25">
      <c r="A2576" s="27" t="s">
        <v>1892</v>
      </c>
    </row>
    <row r="2577" spans="1:1" x14ac:dyDescent="0.25">
      <c r="A2577" s="27" t="s">
        <v>1893</v>
      </c>
    </row>
    <row r="2578" spans="1:1" x14ac:dyDescent="0.25">
      <c r="A2578" s="27" t="s">
        <v>1894</v>
      </c>
    </row>
    <row r="2579" spans="1:1" x14ac:dyDescent="0.25">
      <c r="A2579" s="27" t="s">
        <v>1895</v>
      </c>
    </row>
    <row r="2580" spans="1:1" x14ac:dyDescent="0.25">
      <c r="A2580" s="27" t="s">
        <v>1896</v>
      </c>
    </row>
    <row r="2581" spans="1:1" x14ac:dyDescent="0.25">
      <c r="A2581" s="27" t="s">
        <v>1897</v>
      </c>
    </row>
    <row r="2582" spans="1:1" x14ac:dyDescent="0.25">
      <c r="A2582" s="27" t="s">
        <v>1898</v>
      </c>
    </row>
    <row r="2583" spans="1:1" x14ac:dyDescent="0.25">
      <c r="A2583" s="27" t="s">
        <v>1899</v>
      </c>
    </row>
    <row r="2584" spans="1:1" x14ac:dyDescent="0.25">
      <c r="A2584" s="27" t="s">
        <v>1900</v>
      </c>
    </row>
    <row r="2585" spans="1:1" x14ac:dyDescent="0.25">
      <c r="A2585" s="27" t="s">
        <v>1901</v>
      </c>
    </row>
    <row r="2586" spans="1:1" x14ac:dyDescent="0.25">
      <c r="A2586" s="27" t="s">
        <v>1902</v>
      </c>
    </row>
    <row r="2587" spans="1:1" x14ac:dyDescent="0.25">
      <c r="A2587" s="27" t="s">
        <v>1903</v>
      </c>
    </row>
    <row r="2588" spans="1:1" x14ac:dyDescent="0.25">
      <c r="A2588" s="27" t="s">
        <v>1904</v>
      </c>
    </row>
    <row r="2589" spans="1:1" x14ac:dyDescent="0.25">
      <c r="A2589" s="27" t="s">
        <v>1905</v>
      </c>
    </row>
    <row r="2590" spans="1:1" x14ac:dyDescent="0.25">
      <c r="A2590" s="27" t="s">
        <v>1906</v>
      </c>
    </row>
    <row r="2591" spans="1:1" x14ac:dyDescent="0.25">
      <c r="A2591" s="27" t="s">
        <v>1907</v>
      </c>
    </row>
    <row r="2592" spans="1:1" x14ac:dyDescent="0.25">
      <c r="A2592" s="27" t="s">
        <v>1908</v>
      </c>
    </row>
    <row r="2593" spans="1:1" x14ac:dyDescent="0.25">
      <c r="A2593" s="27" t="s">
        <v>1909</v>
      </c>
    </row>
    <row r="2594" spans="1:1" x14ac:dyDescent="0.25">
      <c r="A2594" s="27" t="s">
        <v>1910</v>
      </c>
    </row>
    <row r="2595" spans="1:1" x14ac:dyDescent="0.25">
      <c r="A2595" s="27" t="s">
        <v>1911</v>
      </c>
    </row>
    <row r="2596" spans="1:1" x14ac:dyDescent="0.25">
      <c r="A2596" s="27" t="s">
        <v>1912</v>
      </c>
    </row>
    <row r="2597" spans="1:1" x14ac:dyDescent="0.25">
      <c r="A2597" s="27" t="s">
        <v>1913</v>
      </c>
    </row>
    <row r="2598" spans="1:1" x14ac:dyDescent="0.25">
      <c r="A2598" s="27" t="s">
        <v>1914</v>
      </c>
    </row>
    <row r="2599" spans="1:1" x14ac:dyDescent="0.25">
      <c r="A2599" s="27" t="s">
        <v>1915</v>
      </c>
    </row>
    <row r="2600" spans="1:1" x14ac:dyDescent="0.25">
      <c r="A2600" s="27" t="s">
        <v>1916</v>
      </c>
    </row>
    <row r="2601" spans="1:1" x14ac:dyDescent="0.25">
      <c r="A2601" s="27" t="s">
        <v>1917</v>
      </c>
    </row>
    <row r="2602" spans="1:1" x14ac:dyDescent="0.25">
      <c r="A2602" s="27" t="s">
        <v>1918</v>
      </c>
    </row>
    <row r="2603" spans="1:1" x14ac:dyDescent="0.25">
      <c r="A2603" s="27" t="s">
        <v>1919</v>
      </c>
    </row>
    <row r="2604" spans="1:1" x14ac:dyDescent="0.25">
      <c r="A2604" s="27" t="s">
        <v>1920</v>
      </c>
    </row>
    <row r="2605" spans="1:1" x14ac:dyDescent="0.25">
      <c r="A2605" s="27" t="s">
        <v>1921</v>
      </c>
    </row>
    <row r="2606" spans="1:1" x14ac:dyDescent="0.25">
      <c r="A2606" s="27" t="s">
        <v>1922</v>
      </c>
    </row>
    <row r="2607" spans="1:1" x14ac:dyDescent="0.25">
      <c r="A2607" s="27" t="s">
        <v>1923</v>
      </c>
    </row>
    <row r="2608" spans="1:1" x14ac:dyDescent="0.25">
      <c r="A2608" s="27" t="s">
        <v>1924</v>
      </c>
    </row>
    <row r="2609" spans="1:1" x14ac:dyDescent="0.25">
      <c r="A2609" s="27" t="s">
        <v>1925</v>
      </c>
    </row>
    <row r="2610" spans="1:1" x14ac:dyDescent="0.25">
      <c r="A2610" s="27" t="s">
        <v>1926</v>
      </c>
    </row>
    <row r="2611" spans="1:1" x14ac:dyDescent="0.25">
      <c r="A2611" s="27" t="s">
        <v>1927</v>
      </c>
    </row>
    <row r="2612" spans="1:1" x14ac:dyDescent="0.25">
      <c r="A2612" s="27" t="s">
        <v>1928</v>
      </c>
    </row>
    <row r="2613" spans="1:1" x14ac:dyDescent="0.25">
      <c r="A2613" s="27" t="s">
        <v>1929</v>
      </c>
    </row>
    <row r="2614" spans="1:1" x14ac:dyDescent="0.25">
      <c r="A2614" s="27" t="s">
        <v>1930</v>
      </c>
    </row>
    <row r="2615" spans="1:1" x14ac:dyDescent="0.25">
      <c r="A2615" s="27" t="s">
        <v>1931</v>
      </c>
    </row>
    <row r="2616" spans="1:1" x14ac:dyDescent="0.25">
      <c r="A2616" s="27" t="s">
        <v>1932</v>
      </c>
    </row>
    <row r="2617" spans="1:1" x14ac:dyDescent="0.25">
      <c r="A2617" s="27" t="s">
        <v>1933</v>
      </c>
    </row>
    <row r="2618" spans="1:1" x14ac:dyDescent="0.25">
      <c r="A2618" s="27" t="s">
        <v>1934</v>
      </c>
    </row>
    <row r="2619" spans="1:1" x14ac:dyDescent="0.25">
      <c r="A2619" s="27" t="s">
        <v>1935</v>
      </c>
    </row>
    <row r="2620" spans="1:1" x14ac:dyDescent="0.25">
      <c r="A2620" s="27" t="s">
        <v>1936</v>
      </c>
    </row>
    <row r="2621" spans="1:1" x14ac:dyDescent="0.25">
      <c r="A2621" s="27" t="s">
        <v>1937</v>
      </c>
    </row>
    <row r="2622" spans="1:1" x14ac:dyDescent="0.25">
      <c r="A2622" s="27" t="s">
        <v>1938</v>
      </c>
    </row>
    <row r="2623" spans="1:1" x14ac:dyDescent="0.25">
      <c r="A2623" s="27" t="s">
        <v>1939</v>
      </c>
    </row>
    <row r="2624" spans="1:1" x14ac:dyDescent="0.25">
      <c r="A2624" s="27" t="s">
        <v>1940</v>
      </c>
    </row>
    <row r="2625" spans="1:1" x14ac:dyDescent="0.25">
      <c r="A2625" s="27" t="s">
        <v>1941</v>
      </c>
    </row>
    <row r="2626" spans="1:1" x14ac:dyDescent="0.25">
      <c r="A2626" s="27" t="s">
        <v>1942</v>
      </c>
    </row>
    <row r="2627" spans="1:1" x14ac:dyDescent="0.25">
      <c r="A2627" s="27" t="s">
        <v>1943</v>
      </c>
    </row>
    <row r="2628" spans="1:1" x14ac:dyDescent="0.25">
      <c r="A2628" s="27" t="s">
        <v>1944</v>
      </c>
    </row>
    <row r="2629" spans="1:1" x14ac:dyDescent="0.25">
      <c r="A2629" s="27" t="s">
        <v>1945</v>
      </c>
    </row>
    <row r="2630" spans="1:1" x14ac:dyDescent="0.25">
      <c r="A2630" s="27" t="s">
        <v>1946</v>
      </c>
    </row>
    <row r="2631" spans="1:1" x14ac:dyDescent="0.25">
      <c r="A2631" s="27" t="s">
        <v>1947</v>
      </c>
    </row>
    <row r="2632" spans="1:1" x14ac:dyDescent="0.25">
      <c r="A2632" s="27" t="s">
        <v>1948</v>
      </c>
    </row>
    <row r="2633" spans="1:1" x14ac:dyDescent="0.25">
      <c r="A2633" s="27" t="s">
        <v>1949</v>
      </c>
    </row>
    <row r="2634" spans="1:1" x14ac:dyDescent="0.25">
      <c r="A2634" s="27" t="s">
        <v>1950</v>
      </c>
    </row>
    <row r="2635" spans="1:1" x14ac:dyDescent="0.25">
      <c r="A2635" s="27" t="s">
        <v>1951</v>
      </c>
    </row>
    <row r="2636" spans="1:1" x14ac:dyDescent="0.25">
      <c r="A2636" s="27" t="s">
        <v>1952</v>
      </c>
    </row>
    <row r="2637" spans="1:1" x14ac:dyDescent="0.25">
      <c r="A2637" s="27" t="s">
        <v>1953</v>
      </c>
    </row>
    <row r="2638" spans="1:1" x14ac:dyDescent="0.25">
      <c r="A2638" s="27" t="s">
        <v>1954</v>
      </c>
    </row>
    <row r="2639" spans="1:1" x14ac:dyDescent="0.25">
      <c r="A2639" s="27" t="s">
        <v>1955</v>
      </c>
    </row>
    <row r="2640" spans="1:1" x14ac:dyDescent="0.25">
      <c r="A2640" s="27" t="s">
        <v>1956</v>
      </c>
    </row>
    <row r="2641" spans="1:1" x14ac:dyDescent="0.25">
      <c r="A2641" s="27" t="s">
        <v>1957</v>
      </c>
    </row>
    <row r="2642" spans="1:1" x14ac:dyDescent="0.25">
      <c r="A2642" s="27" t="s">
        <v>1958</v>
      </c>
    </row>
    <row r="2643" spans="1:1" x14ac:dyDescent="0.25">
      <c r="A2643" s="27" t="s">
        <v>1959</v>
      </c>
    </row>
    <row r="2644" spans="1:1" x14ac:dyDescent="0.25">
      <c r="A2644" s="27" t="s">
        <v>1960</v>
      </c>
    </row>
    <row r="2645" spans="1:1" x14ac:dyDescent="0.25">
      <c r="A2645" s="27" t="s">
        <v>1961</v>
      </c>
    </row>
    <row r="2646" spans="1:1" x14ac:dyDescent="0.25">
      <c r="A2646" s="27" t="s">
        <v>1962</v>
      </c>
    </row>
    <row r="2647" spans="1:1" x14ac:dyDescent="0.25">
      <c r="A2647" s="27" t="s">
        <v>1963</v>
      </c>
    </row>
    <row r="2648" spans="1:1" x14ac:dyDescent="0.25">
      <c r="A2648" s="27" t="s">
        <v>1964</v>
      </c>
    </row>
    <row r="2649" spans="1:1" x14ac:dyDescent="0.25">
      <c r="A2649" s="27" t="s">
        <v>1965</v>
      </c>
    </row>
    <row r="2650" spans="1:1" x14ac:dyDescent="0.25">
      <c r="A2650" s="27" t="s">
        <v>1966</v>
      </c>
    </row>
    <row r="2651" spans="1:1" x14ac:dyDescent="0.25">
      <c r="A2651" s="27" t="s">
        <v>1967</v>
      </c>
    </row>
    <row r="2652" spans="1:1" x14ac:dyDescent="0.25">
      <c r="A2652" s="27" t="s">
        <v>1968</v>
      </c>
    </row>
    <row r="2653" spans="1:1" x14ac:dyDescent="0.25">
      <c r="A2653" s="27" t="s">
        <v>1969</v>
      </c>
    </row>
    <row r="2654" spans="1:1" x14ac:dyDescent="0.25">
      <c r="A2654" s="27" t="s">
        <v>1970</v>
      </c>
    </row>
    <row r="2655" spans="1:1" x14ac:dyDescent="0.25">
      <c r="A2655" s="27" t="s">
        <v>1971</v>
      </c>
    </row>
    <row r="2656" spans="1:1" x14ac:dyDescent="0.25">
      <c r="A2656" s="27" t="s">
        <v>1972</v>
      </c>
    </row>
    <row r="2657" spans="1:1" x14ac:dyDescent="0.25">
      <c r="A2657" s="27" t="s">
        <v>1973</v>
      </c>
    </row>
    <row r="2658" spans="1:1" x14ac:dyDescent="0.25">
      <c r="A2658" s="27" t="s">
        <v>1974</v>
      </c>
    </row>
    <row r="2659" spans="1:1" x14ac:dyDescent="0.25">
      <c r="A2659" s="27" t="s">
        <v>1975</v>
      </c>
    </row>
    <row r="2660" spans="1:1" x14ac:dyDescent="0.25">
      <c r="A2660" s="27" t="s">
        <v>1976</v>
      </c>
    </row>
    <row r="2661" spans="1:1" x14ac:dyDescent="0.25">
      <c r="A2661" s="27" t="s">
        <v>1977</v>
      </c>
    </row>
    <row r="2662" spans="1:1" x14ac:dyDescent="0.25">
      <c r="A2662" s="27" t="s">
        <v>1978</v>
      </c>
    </row>
    <row r="2663" spans="1:1" x14ac:dyDescent="0.25">
      <c r="A2663" s="27" t="s">
        <v>1979</v>
      </c>
    </row>
    <row r="2664" spans="1:1" x14ac:dyDescent="0.25">
      <c r="A2664" s="27" t="s">
        <v>1980</v>
      </c>
    </row>
    <row r="2665" spans="1:1" x14ac:dyDescent="0.25">
      <c r="A2665" s="27" t="s">
        <v>1981</v>
      </c>
    </row>
    <row r="2666" spans="1:1" x14ac:dyDescent="0.25">
      <c r="A2666" s="27" t="s">
        <v>1982</v>
      </c>
    </row>
    <row r="2667" spans="1:1" x14ac:dyDescent="0.25">
      <c r="A2667" s="27" t="s">
        <v>1983</v>
      </c>
    </row>
    <row r="2668" spans="1:1" x14ac:dyDescent="0.25">
      <c r="A2668" s="27" t="s">
        <v>1984</v>
      </c>
    </row>
    <row r="2669" spans="1:1" x14ac:dyDescent="0.25">
      <c r="A2669" s="27" t="s">
        <v>1985</v>
      </c>
    </row>
    <row r="2670" spans="1:1" x14ac:dyDescent="0.25">
      <c r="A2670" s="27" t="s">
        <v>1986</v>
      </c>
    </row>
    <row r="2671" spans="1:1" x14ac:dyDescent="0.25">
      <c r="A2671" s="27" t="s">
        <v>1987</v>
      </c>
    </row>
    <row r="2672" spans="1:1" x14ac:dyDescent="0.25">
      <c r="A2672" s="27" t="s">
        <v>1988</v>
      </c>
    </row>
    <row r="2673" spans="1:1" x14ac:dyDescent="0.25">
      <c r="A2673" s="27" t="s">
        <v>1989</v>
      </c>
    </row>
    <row r="2674" spans="1:1" x14ac:dyDescent="0.25">
      <c r="A2674" s="27" t="s">
        <v>1990</v>
      </c>
    </row>
    <row r="2675" spans="1:1" x14ac:dyDescent="0.25">
      <c r="A2675" s="27" t="s">
        <v>1991</v>
      </c>
    </row>
    <row r="2676" spans="1:1" x14ac:dyDescent="0.25">
      <c r="A2676" s="27" t="s">
        <v>1992</v>
      </c>
    </row>
    <row r="2677" spans="1:1" x14ac:dyDescent="0.25">
      <c r="A2677" s="27" t="s">
        <v>1993</v>
      </c>
    </row>
    <row r="2678" spans="1:1" x14ac:dyDescent="0.25">
      <c r="A2678" s="27" t="s">
        <v>1994</v>
      </c>
    </row>
    <row r="2679" spans="1:1" x14ac:dyDescent="0.25">
      <c r="A2679" s="27" t="s">
        <v>1995</v>
      </c>
    </row>
    <row r="2680" spans="1:1" x14ac:dyDescent="0.25">
      <c r="A2680" s="27" t="s">
        <v>1996</v>
      </c>
    </row>
    <row r="2681" spans="1:1" x14ac:dyDescent="0.25">
      <c r="A2681" s="27" t="s">
        <v>1997</v>
      </c>
    </row>
    <row r="2682" spans="1:1" x14ac:dyDescent="0.25">
      <c r="A2682" s="27" t="s">
        <v>1998</v>
      </c>
    </row>
    <row r="2683" spans="1:1" x14ac:dyDescent="0.25">
      <c r="A2683" s="27" t="s">
        <v>1999</v>
      </c>
    </row>
    <row r="2684" spans="1:1" x14ac:dyDescent="0.25">
      <c r="A2684" s="27" t="s">
        <v>2000</v>
      </c>
    </row>
    <row r="2685" spans="1:1" x14ac:dyDescent="0.25">
      <c r="A2685" s="27" t="s">
        <v>2001</v>
      </c>
    </row>
    <row r="2686" spans="1:1" x14ac:dyDescent="0.25">
      <c r="A2686" s="27" t="s">
        <v>2002</v>
      </c>
    </row>
    <row r="2687" spans="1:1" x14ac:dyDescent="0.25">
      <c r="A2687" s="27" t="s">
        <v>2003</v>
      </c>
    </row>
    <row r="2688" spans="1:1" x14ac:dyDescent="0.25">
      <c r="A2688" s="27" t="s">
        <v>2004</v>
      </c>
    </row>
    <row r="2689" spans="1:1" x14ac:dyDescent="0.25">
      <c r="A2689" s="27" t="s">
        <v>2005</v>
      </c>
    </row>
    <row r="2690" spans="1:1" x14ac:dyDescent="0.25">
      <c r="A2690" s="27" t="s">
        <v>2006</v>
      </c>
    </row>
    <row r="2691" spans="1:1" x14ac:dyDescent="0.25">
      <c r="A2691" s="27" t="s">
        <v>2007</v>
      </c>
    </row>
    <row r="2692" spans="1:1" x14ac:dyDescent="0.25">
      <c r="A2692" s="27" t="s">
        <v>2008</v>
      </c>
    </row>
    <row r="2693" spans="1:1" x14ac:dyDescent="0.25">
      <c r="A2693" s="27" t="s">
        <v>2009</v>
      </c>
    </row>
    <row r="2694" spans="1:1" x14ac:dyDescent="0.25">
      <c r="A2694" s="27" t="s">
        <v>2010</v>
      </c>
    </row>
    <row r="2695" spans="1:1" x14ac:dyDescent="0.25">
      <c r="A2695" s="27" t="s">
        <v>2011</v>
      </c>
    </row>
    <row r="2696" spans="1:1" x14ac:dyDescent="0.25">
      <c r="A2696" s="27" t="s">
        <v>2012</v>
      </c>
    </row>
    <row r="2697" spans="1:1" x14ac:dyDescent="0.25">
      <c r="A2697" s="27" t="s">
        <v>2013</v>
      </c>
    </row>
    <row r="2698" spans="1:1" x14ac:dyDescent="0.25">
      <c r="A2698" s="27" t="s">
        <v>2014</v>
      </c>
    </row>
    <row r="2699" spans="1:1" x14ac:dyDescent="0.25">
      <c r="A2699" s="27" t="s">
        <v>2015</v>
      </c>
    </row>
    <row r="2700" spans="1:1" x14ac:dyDescent="0.25">
      <c r="A2700" s="27" t="s">
        <v>2016</v>
      </c>
    </row>
    <row r="2701" spans="1:1" x14ac:dyDescent="0.25">
      <c r="A2701" s="27" t="s">
        <v>2017</v>
      </c>
    </row>
    <row r="2702" spans="1:1" x14ac:dyDescent="0.25">
      <c r="A2702" s="27" t="s">
        <v>2018</v>
      </c>
    </row>
    <row r="2703" spans="1:1" x14ac:dyDescent="0.25">
      <c r="A2703" s="27" t="s">
        <v>2019</v>
      </c>
    </row>
    <row r="2704" spans="1:1" x14ac:dyDescent="0.25">
      <c r="A2704" s="27" t="s">
        <v>2020</v>
      </c>
    </row>
    <row r="2705" spans="1:1" x14ac:dyDescent="0.25">
      <c r="A2705" s="27" t="s">
        <v>2021</v>
      </c>
    </row>
    <row r="2706" spans="1:1" x14ac:dyDescent="0.25">
      <c r="A2706" s="27" t="s">
        <v>2022</v>
      </c>
    </row>
    <row r="2707" spans="1:1" x14ac:dyDescent="0.25">
      <c r="A2707" s="27" t="s">
        <v>2023</v>
      </c>
    </row>
    <row r="2708" spans="1:1" x14ac:dyDescent="0.25">
      <c r="A2708" s="27" t="s">
        <v>2024</v>
      </c>
    </row>
    <row r="2709" spans="1:1" x14ac:dyDescent="0.25">
      <c r="A2709" s="27" t="s">
        <v>2025</v>
      </c>
    </row>
    <row r="2710" spans="1:1" x14ac:dyDescent="0.25">
      <c r="A2710" s="27" t="s">
        <v>2026</v>
      </c>
    </row>
    <row r="2711" spans="1:1" x14ac:dyDescent="0.25">
      <c r="A2711" s="27" t="s">
        <v>2027</v>
      </c>
    </row>
    <row r="2712" spans="1:1" x14ac:dyDescent="0.25">
      <c r="A2712" s="27" t="s">
        <v>2028</v>
      </c>
    </row>
    <row r="2713" spans="1:1" x14ac:dyDescent="0.25">
      <c r="A2713" s="27" t="s">
        <v>2029</v>
      </c>
    </row>
    <row r="2714" spans="1:1" x14ac:dyDescent="0.25">
      <c r="A2714" s="27" t="s">
        <v>2030</v>
      </c>
    </row>
    <row r="2715" spans="1:1" x14ac:dyDescent="0.25">
      <c r="A2715" s="27" t="s">
        <v>2031</v>
      </c>
    </row>
    <row r="2716" spans="1:1" x14ac:dyDescent="0.25">
      <c r="A2716" s="27" t="s">
        <v>2032</v>
      </c>
    </row>
    <row r="2717" spans="1:1" x14ac:dyDescent="0.25">
      <c r="A2717" s="27" t="s">
        <v>2033</v>
      </c>
    </row>
    <row r="2718" spans="1:1" x14ac:dyDescent="0.25">
      <c r="A2718" s="27" t="s">
        <v>2034</v>
      </c>
    </row>
    <row r="2719" spans="1:1" x14ac:dyDescent="0.25">
      <c r="A2719" s="27" t="s">
        <v>2035</v>
      </c>
    </row>
    <row r="2720" spans="1:1" x14ac:dyDescent="0.25">
      <c r="A2720" s="27" t="s">
        <v>2036</v>
      </c>
    </row>
    <row r="2721" spans="1:1" x14ac:dyDescent="0.25">
      <c r="A2721" s="27" t="s">
        <v>2037</v>
      </c>
    </row>
    <row r="2722" spans="1:1" x14ac:dyDescent="0.25">
      <c r="A2722" s="27" t="s">
        <v>2038</v>
      </c>
    </row>
    <row r="2723" spans="1:1" x14ac:dyDescent="0.25">
      <c r="A2723" s="27" t="s">
        <v>2039</v>
      </c>
    </row>
    <row r="2724" spans="1:1" x14ac:dyDescent="0.25">
      <c r="A2724" s="27" t="s">
        <v>2040</v>
      </c>
    </row>
    <row r="2725" spans="1:1" x14ac:dyDescent="0.25">
      <c r="A2725" s="27" t="s">
        <v>2041</v>
      </c>
    </row>
    <row r="2726" spans="1:1" x14ac:dyDescent="0.25">
      <c r="A2726" s="27" t="s">
        <v>2042</v>
      </c>
    </row>
    <row r="2727" spans="1:1" x14ac:dyDescent="0.25">
      <c r="A2727" s="27" t="s">
        <v>2043</v>
      </c>
    </row>
    <row r="2728" spans="1:1" x14ac:dyDescent="0.25">
      <c r="A2728" s="27" t="s">
        <v>2044</v>
      </c>
    </row>
    <row r="2729" spans="1:1" x14ac:dyDescent="0.25">
      <c r="A2729" s="27" t="s">
        <v>2045</v>
      </c>
    </row>
    <row r="2730" spans="1:1" x14ac:dyDescent="0.25">
      <c r="A2730" s="27" t="s">
        <v>2046</v>
      </c>
    </row>
    <row r="2731" spans="1:1" x14ac:dyDescent="0.25">
      <c r="A2731" s="27" t="s">
        <v>2047</v>
      </c>
    </row>
    <row r="2732" spans="1:1" x14ac:dyDescent="0.25">
      <c r="A2732" s="27" t="s">
        <v>2048</v>
      </c>
    </row>
    <row r="2733" spans="1:1" x14ac:dyDescent="0.25">
      <c r="A2733" s="27" t="s">
        <v>2049</v>
      </c>
    </row>
    <row r="2734" spans="1:1" x14ac:dyDescent="0.25">
      <c r="A2734" s="27" t="s">
        <v>2050</v>
      </c>
    </row>
    <row r="2735" spans="1:1" x14ac:dyDescent="0.25">
      <c r="A2735" s="27" t="s">
        <v>2051</v>
      </c>
    </row>
    <row r="2736" spans="1:1" x14ac:dyDescent="0.25">
      <c r="A2736" s="27" t="s">
        <v>2052</v>
      </c>
    </row>
    <row r="2737" spans="1:1" x14ac:dyDescent="0.25">
      <c r="A2737" s="27" t="s">
        <v>2053</v>
      </c>
    </row>
    <row r="2738" spans="1:1" x14ac:dyDescent="0.25">
      <c r="A2738" s="27" t="s">
        <v>2054</v>
      </c>
    </row>
    <row r="2739" spans="1:1" x14ac:dyDescent="0.25">
      <c r="A2739" s="27" t="s">
        <v>2055</v>
      </c>
    </row>
    <row r="2740" spans="1:1" x14ac:dyDescent="0.25">
      <c r="A2740" s="27" t="s">
        <v>2056</v>
      </c>
    </row>
    <row r="2741" spans="1:1" x14ac:dyDescent="0.25">
      <c r="A2741" s="27" t="s">
        <v>2057</v>
      </c>
    </row>
    <row r="2742" spans="1:1" x14ac:dyDescent="0.25">
      <c r="A2742" s="27" t="s">
        <v>2058</v>
      </c>
    </row>
    <row r="2743" spans="1:1" x14ac:dyDescent="0.25">
      <c r="A2743" s="27" t="s">
        <v>2059</v>
      </c>
    </row>
    <row r="2744" spans="1:1" x14ac:dyDescent="0.25">
      <c r="A2744" s="27" t="s">
        <v>2060</v>
      </c>
    </row>
    <row r="2745" spans="1:1" x14ac:dyDescent="0.25">
      <c r="A2745" s="27" t="s">
        <v>2061</v>
      </c>
    </row>
    <row r="2746" spans="1:1" x14ac:dyDescent="0.25">
      <c r="A2746" s="27" t="s">
        <v>2062</v>
      </c>
    </row>
    <row r="2747" spans="1:1" x14ac:dyDescent="0.25">
      <c r="A2747" s="27" t="s">
        <v>2063</v>
      </c>
    </row>
    <row r="2748" spans="1:1" x14ac:dyDescent="0.25">
      <c r="A2748" s="27" t="s">
        <v>2064</v>
      </c>
    </row>
    <row r="2749" spans="1:1" x14ac:dyDescent="0.25">
      <c r="A2749" s="27" t="s">
        <v>2065</v>
      </c>
    </row>
    <row r="2750" spans="1:1" x14ac:dyDescent="0.25">
      <c r="A2750" s="27" t="s">
        <v>2066</v>
      </c>
    </row>
    <row r="2751" spans="1:1" x14ac:dyDescent="0.25">
      <c r="A2751" s="27" t="s">
        <v>2067</v>
      </c>
    </row>
    <row r="2752" spans="1:1" x14ac:dyDescent="0.25">
      <c r="A2752" s="27" t="s">
        <v>2068</v>
      </c>
    </row>
    <row r="2753" spans="1:1" x14ac:dyDescent="0.25">
      <c r="A2753" s="27" t="s">
        <v>2069</v>
      </c>
    </row>
    <row r="2754" spans="1:1" x14ac:dyDescent="0.25">
      <c r="A2754" s="27" t="s">
        <v>2070</v>
      </c>
    </row>
    <row r="2755" spans="1:1" x14ac:dyDescent="0.25">
      <c r="A2755" s="27" t="s">
        <v>2071</v>
      </c>
    </row>
    <row r="2756" spans="1:1" x14ac:dyDescent="0.25">
      <c r="A2756" s="27" t="s">
        <v>2072</v>
      </c>
    </row>
    <row r="2757" spans="1:1" x14ac:dyDescent="0.25">
      <c r="A2757" s="27" t="s">
        <v>2073</v>
      </c>
    </row>
    <row r="2758" spans="1:1" x14ac:dyDescent="0.25">
      <c r="A2758" s="27" t="s">
        <v>2074</v>
      </c>
    </row>
    <row r="2759" spans="1:1" x14ac:dyDescent="0.25">
      <c r="A2759" s="27" t="s">
        <v>2075</v>
      </c>
    </row>
    <row r="2760" spans="1:1" x14ac:dyDescent="0.25">
      <c r="A2760" s="27" t="s">
        <v>2076</v>
      </c>
    </row>
    <row r="2761" spans="1:1" x14ac:dyDescent="0.25">
      <c r="A2761" s="27" t="s">
        <v>2077</v>
      </c>
    </row>
    <row r="2762" spans="1:1" x14ac:dyDescent="0.25">
      <c r="A2762" s="27" t="s">
        <v>2078</v>
      </c>
    </row>
    <row r="2763" spans="1:1" x14ac:dyDescent="0.25">
      <c r="A2763" s="27" t="s">
        <v>2079</v>
      </c>
    </row>
    <row r="2764" spans="1:1" x14ac:dyDescent="0.25">
      <c r="A2764" s="27" t="s">
        <v>2080</v>
      </c>
    </row>
    <row r="2765" spans="1:1" x14ac:dyDescent="0.25">
      <c r="A2765" s="27" t="s">
        <v>2081</v>
      </c>
    </row>
    <row r="2766" spans="1:1" x14ac:dyDescent="0.25">
      <c r="A2766" s="27" t="s">
        <v>2082</v>
      </c>
    </row>
    <row r="2767" spans="1:1" x14ac:dyDescent="0.25">
      <c r="A2767" s="27" t="s">
        <v>2083</v>
      </c>
    </row>
    <row r="2768" spans="1:1" x14ac:dyDescent="0.25">
      <c r="A2768" s="27" t="s">
        <v>2084</v>
      </c>
    </row>
    <row r="2769" spans="1:1" x14ac:dyDescent="0.25">
      <c r="A2769" s="27" t="s">
        <v>2085</v>
      </c>
    </row>
    <row r="2770" spans="1:1" x14ac:dyDescent="0.25">
      <c r="A2770" s="27" t="s">
        <v>2086</v>
      </c>
    </row>
    <row r="2771" spans="1:1" x14ac:dyDescent="0.25">
      <c r="A2771" s="27" t="s">
        <v>2087</v>
      </c>
    </row>
    <row r="2772" spans="1:1" x14ac:dyDescent="0.25">
      <c r="A2772" s="27" t="s">
        <v>2088</v>
      </c>
    </row>
    <row r="2773" spans="1:1" x14ac:dyDescent="0.25">
      <c r="A2773" s="27" t="s">
        <v>2089</v>
      </c>
    </row>
    <row r="2774" spans="1:1" x14ac:dyDescent="0.25">
      <c r="A2774" s="27" t="s">
        <v>2090</v>
      </c>
    </row>
    <row r="2775" spans="1:1" x14ac:dyDescent="0.25">
      <c r="A2775" s="27" t="s">
        <v>2091</v>
      </c>
    </row>
    <row r="2776" spans="1:1" x14ac:dyDescent="0.25">
      <c r="A2776" s="27" t="s">
        <v>2092</v>
      </c>
    </row>
    <row r="2777" spans="1:1" x14ac:dyDescent="0.25">
      <c r="A2777" s="27" t="s">
        <v>2093</v>
      </c>
    </row>
    <row r="2778" spans="1:1" x14ac:dyDescent="0.25">
      <c r="A2778" s="27" t="s">
        <v>2094</v>
      </c>
    </row>
    <row r="2779" spans="1:1" x14ac:dyDescent="0.25">
      <c r="A2779" s="27" t="s">
        <v>2095</v>
      </c>
    </row>
    <row r="2780" spans="1:1" x14ac:dyDescent="0.25">
      <c r="A2780" s="27" t="s">
        <v>2096</v>
      </c>
    </row>
    <row r="2781" spans="1:1" x14ac:dyDescent="0.25">
      <c r="A2781" s="27" t="s">
        <v>2097</v>
      </c>
    </row>
    <row r="2782" spans="1:1" x14ac:dyDescent="0.25">
      <c r="A2782" s="27" t="s">
        <v>2098</v>
      </c>
    </row>
    <row r="2783" spans="1:1" x14ac:dyDescent="0.25">
      <c r="A2783" s="27" t="s">
        <v>2099</v>
      </c>
    </row>
    <row r="2784" spans="1:1" x14ac:dyDescent="0.25">
      <c r="A2784" s="27" t="s">
        <v>2100</v>
      </c>
    </row>
    <row r="2785" spans="1:1" x14ac:dyDescent="0.25">
      <c r="A2785" s="27" t="s">
        <v>2101</v>
      </c>
    </row>
    <row r="2786" spans="1:1" x14ac:dyDescent="0.25">
      <c r="A2786" s="27" t="s">
        <v>2102</v>
      </c>
    </row>
    <row r="2787" spans="1:1" x14ac:dyDescent="0.25">
      <c r="A2787" s="27" t="s">
        <v>2103</v>
      </c>
    </row>
    <row r="2788" spans="1:1" x14ac:dyDescent="0.25">
      <c r="A2788" s="27" t="s">
        <v>2104</v>
      </c>
    </row>
    <row r="2789" spans="1:1" x14ac:dyDescent="0.25">
      <c r="A2789" s="27" t="s">
        <v>2105</v>
      </c>
    </row>
    <row r="2790" spans="1:1" x14ac:dyDescent="0.25">
      <c r="A2790" s="27" t="s">
        <v>2106</v>
      </c>
    </row>
    <row r="2791" spans="1:1" x14ac:dyDescent="0.25">
      <c r="A2791" s="27" t="s">
        <v>2107</v>
      </c>
    </row>
    <row r="2792" spans="1:1" x14ac:dyDescent="0.25">
      <c r="A2792" s="27" t="s">
        <v>2108</v>
      </c>
    </row>
    <row r="2793" spans="1:1" x14ac:dyDescent="0.25">
      <c r="A2793" s="27" t="s">
        <v>2109</v>
      </c>
    </row>
    <row r="2794" spans="1:1" x14ac:dyDescent="0.25">
      <c r="A2794" s="27" t="s">
        <v>2110</v>
      </c>
    </row>
    <row r="2795" spans="1:1" x14ac:dyDescent="0.25">
      <c r="A2795" s="27" t="s">
        <v>2111</v>
      </c>
    </row>
    <row r="2796" spans="1:1" x14ac:dyDescent="0.25">
      <c r="A2796" s="27" t="s">
        <v>2112</v>
      </c>
    </row>
    <row r="2797" spans="1:1" x14ac:dyDescent="0.25">
      <c r="A2797" s="27" t="s">
        <v>2113</v>
      </c>
    </row>
    <row r="2798" spans="1:1" x14ac:dyDescent="0.25">
      <c r="A2798" s="27" t="s">
        <v>2114</v>
      </c>
    </row>
    <row r="2799" spans="1:1" x14ac:dyDescent="0.25">
      <c r="A2799" s="27" t="s">
        <v>2115</v>
      </c>
    </row>
    <row r="2800" spans="1:1" x14ac:dyDescent="0.25">
      <c r="A2800" s="27" t="s">
        <v>2116</v>
      </c>
    </row>
    <row r="2801" spans="1:1" x14ac:dyDescent="0.25">
      <c r="A2801" s="27" t="s">
        <v>2117</v>
      </c>
    </row>
    <row r="2802" spans="1:1" x14ac:dyDescent="0.25">
      <c r="A2802" s="27" t="s">
        <v>2118</v>
      </c>
    </row>
    <row r="2803" spans="1:1" x14ac:dyDescent="0.25">
      <c r="A2803" s="27" t="s">
        <v>2119</v>
      </c>
    </row>
    <row r="2804" spans="1:1" x14ac:dyDescent="0.25">
      <c r="A2804" s="27" t="s">
        <v>2120</v>
      </c>
    </row>
    <row r="2805" spans="1:1" x14ac:dyDescent="0.25">
      <c r="A2805" s="27" t="s">
        <v>2121</v>
      </c>
    </row>
    <row r="2806" spans="1:1" x14ac:dyDescent="0.25">
      <c r="A2806" s="27" t="s">
        <v>2122</v>
      </c>
    </row>
    <row r="2807" spans="1:1" x14ac:dyDescent="0.25">
      <c r="A2807" s="27" t="s">
        <v>2123</v>
      </c>
    </row>
    <row r="2808" spans="1:1" x14ac:dyDescent="0.25">
      <c r="A2808" s="27" t="s">
        <v>2124</v>
      </c>
    </row>
    <row r="2809" spans="1:1" x14ac:dyDescent="0.25">
      <c r="A2809" s="27" t="s">
        <v>2125</v>
      </c>
    </row>
    <row r="2810" spans="1:1" x14ac:dyDescent="0.25">
      <c r="A2810" s="27" t="s">
        <v>2126</v>
      </c>
    </row>
    <row r="2811" spans="1:1" x14ac:dyDescent="0.25">
      <c r="A2811" s="27" t="s">
        <v>2127</v>
      </c>
    </row>
    <row r="2812" spans="1:1" x14ac:dyDescent="0.25">
      <c r="A2812" s="27" t="s">
        <v>2128</v>
      </c>
    </row>
    <row r="2813" spans="1:1" x14ac:dyDescent="0.25">
      <c r="A2813" s="27" t="s">
        <v>2129</v>
      </c>
    </row>
    <row r="2814" spans="1:1" x14ac:dyDescent="0.25">
      <c r="A2814" s="27" t="s">
        <v>2130</v>
      </c>
    </row>
    <row r="2815" spans="1:1" x14ac:dyDescent="0.25">
      <c r="A2815" s="27" t="s">
        <v>2131</v>
      </c>
    </row>
    <row r="2816" spans="1:1" x14ac:dyDescent="0.25">
      <c r="A2816" s="27" t="s">
        <v>2132</v>
      </c>
    </row>
    <row r="2817" spans="1:1" x14ac:dyDescent="0.25">
      <c r="A2817" s="27" t="s">
        <v>2133</v>
      </c>
    </row>
    <row r="2818" spans="1:1" x14ac:dyDescent="0.25">
      <c r="A2818" s="27" t="s">
        <v>2134</v>
      </c>
    </row>
    <row r="2819" spans="1:1" x14ac:dyDescent="0.25">
      <c r="A2819" s="27" t="s">
        <v>2135</v>
      </c>
    </row>
    <row r="2820" spans="1:1" x14ac:dyDescent="0.25">
      <c r="A2820" s="27" t="s">
        <v>2136</v>
      </c>
    </row>
    <row r="2821" spans="1:1" x14ac:dyDescent="0.25">
      <c r="A2821" s="27" t="s">
        <v>2137</v>
      </c>
    </row>
    <row r="2822" spans="1:1" x14ac:dyDescent="0.25">
      <c r="A2822" s="27" t="s">
        <v>2138</v>
      </c>
    </row>
    <row r="2823" spans="1:1" x14ac:dyDescent="0.25">
      <c r="A2823" s="27" t="s">
        <v>2139</v>
      </c>
    </row>
    <row r="2824" spans="1:1" x14ac:dyDescent="0.25">
      <c r="A2824" s="27" t="s">
        <v>2140</v>
      </c>
    </row>
    <row r="2825" spans="1:1" x14ac:dyDescent="0.25">
      <c r="A2825" s="27" t="s">
        <v>2141</v>
      </c>
    </row>
    <row r="2826" spans="1:1" x14ac:dyDescent="0.25">
      <c r="A2826" s="27" t="s">
        <v>2142</v>
      </c>
    </row>
    <row r="2827" spans="1:1" x14ac:dyDescent="0.25">
      <c r="A2827" s="27" t="s">
        <v>2143</v>
      </c>
    </row>
    <row r="2828" spans="1:1" x14ac:dyDescent="0.25">
      <c r="A2828" s="27" t="s">
        <v>2144</v>
      </c>
    </row>
    <row r="2829" spans="1:1" x14ac:dyDescent="0.25">
      <c r="A2829" s="27" t="s">
        <v>2145</v>
      </c>
    </row>
    <row r="2830" spans="1:1" x14ac:dyDescent="0.25">
      <c r="A2830" s="27" t="s">
        <v>2146</v>
      </c>
    </row>
    <row r="2831" spans="1:1" x14ac:dyDescent="0.25">
      <c r="A2831" s="27" t="s">
        <v>2147</v>
      </c>
    </row>
    <row r="2832" spans="1:1" x14ac:dyDescent="0.25">
      <c r="A2832" s="27" t="s">
        <v>2148</v>
      </c>
    </row>
    <row r="2833" spans="1:1" x14ac:dyDescent="0.25">
      <c r="A2833" s="27" t="s">
        <v>2149</v>
      </c>
    </row>
    <row r="2834" spans="1:1" x14ac:dyDescent="0.25">
      <c r="A2834" s="27" t="s">
        <v>2150</v>
      </c>
    </row>
    <row r="2835" spans="1:1" x14ac:dyDescent="0.25">
      <c r="A2835" s="27" t="s">
        <v>2151</v>
      </c>
    </row>
    <row r="2836" spans="1:1" x14ac:dyDescent="0.25">
      <c r="A2836" s="27" t="s">
        <v>2152</v>
      </c>
    </row>
    <row r="2837" spans="1:1" x14ac:dyDescent="0.25">
      <c r="A2837" s="27" t="s">
        <v>2153</v>
      </c>
    </row>
    <row r="2838" spans="1:1" x14ac:dyDescent="0.25">
      <c r="A2838" s="27" t="s">
        <v>2154</v>
      </c>
    </row>
    <row r="2839" spans="1:1" x14ac:dyDescent="0.25">
      <c r="A2839" s="27" t="s">
        <v>2155</v>
      </c>
    </row>
    <row r="2840" spans="1:1" x14ac:dyDescent="0.25">
      <c r="A2840" s="27" t="s">
        <v>2156</v>
      </c>
    </row>
    <row r="2841" spans="1:1" x14ac:dyDescent="0.25">
      <c r="A2841" s="27" t="s">
        <v>2157</v>
      </c>
    </row>
    <row r="2842" spans="1:1" x14ac:dyDescent="0.25">
      <c r="A2842" s="27" t="s">
        <v>2158</v>
      </c>
    </row>
    <row r="2843" spans="1:1" x14ac:dyDescent="0.25">
      <c r="A2843" s="27" t="s">
        <v>2159</v>
      </c>
    </row>
    <row r="2844" spans="1:1" x14ac:dyDescent="0.25">
      <c r="A2844" s="27" t="s">
        <v>2160</v>
      </c>
    </row>
    <row r="2845" spans="1:1" x14ac:dyDescent="0.25">
      <c r="A2845" s="27" t="s">
        <v>2161</v>
      </c>
    </row>
    <row r="2846" spans="1:1" x14ac:dyDescent="0.25">
      <c r="A2846" s="27" t="s">
        <v>2162</v>
      </c>
    </row>
    <row r="2847" spans="1:1" x14ac:dyDescent="0.25">
      <c r="A2847" s="27" t="s">
        <v>2163</v>
      </c>
    </row>
    <row r="2848" spans="1:1" x14ac:dyDescent="0.25">
      <c r="A2848" s="27" t="s">
        <v>2164</v>
      </c>
    </row>
    <row r="2849" spans="1:1" x14ac:dyDescent="0.25">
      <c r="A2849" s="27" t="s">
        <v>2165</v>
      </c>
    </row>
    <row r="2850" spans="1:1" x14ac:dyDescent="0.25">
      <c r="A2850" s="27" t="s">
        <v>2166</v>
      </c>
    </row>
    <row r="2851" spans="1:1" x14ac:dyDescent="0.25">
      <c r="A2851" s="27" t="s">
        <v>2167</v>
      </c>
    </row>
    <row r="2852" spans="1:1" x14ac:dyDescent="0.25">
      <c r="A2852" s="27" t="s">
        <v>2168</v>
      </c>
    </row>
    <row r="2853" spans="1:1" x14ac:dyDescent="0.25">
      <c r="A2853" s="27" t="s">
        <v>2169</v>
      </c>
    </row>
    <row r="2854" spans="1:1" x14ac:dyDescent="0.25">
      <c r="A2854" s="27" t="s">
        <v>2170</v>
      </c>
    </row>
    <row r="2855" spans="1:1" x14ac:dyDescent="0.25">
      <c r="A2855" s="27" t="s">
        <v>2171</v>
      </c>
    </row>
    <row r="2856" spans="1:1" x14ac:dyDescent="0.25">
      <c r="A2856" s="27" t="s">
        <v>2172</v>
      </c>
    </row>
    <row r="2857" spans="1:1" x14ac:dyDescent="0.25">
      <c r="A2857" s="27" t="s">
        <v>2173</v>
      </c>
    </row>
    <row r="2858" spans="1:1" x14ac:dyDescent="0.25">
      <c r="A2858" s="27" t="s">
        <v>2174</v>
      </c>
    </row>
    <row r="2859" spans="1:1" x14ac:dyDescent="0.25">
      <c r="A2859" s="27" t="s">
        <v>2175</v>
      </c>
    </row>
    <row r="2860" spans="1:1" x14ac:dyDescent="0.25">
      <c r="A2860" s="27" t="s">
        <v>2176</v>
      </c>
    </row>
    <row r="2861" spans="1:1" x14ac:dyDescent="0.25">
      <c r="A2861" s="27" t="s">
        <v>2177</v>
      </c>
    </row>
    <row r="2862" spans="1:1" x14ac:dyDescent="0.25">
      <c r="A2862" s="27" t="s">
        <v>2178</v>
      </c>
    </row>
    <row r="2863" spans="1:1" x14ac:dyDescent="0.25">
      <c r="A2863" s="27" t="s">
        <v>2179</v>
      </c>
    </row>
    <row r="2864" spans="1:1" x14ac:dyDescent="0.25">
      <c r="A2864" s="27" t="s">
        <v>2180</v>
      </c>
    </row>
    <row r="2865" spans="1:1" x14ac:dyDescent="0.25">
      <c r="A2865" s="27" t="s">
        <v>2181</v>
      </c>
    </row>
    <row r="2866" spans="1:1" x14ac:dyDescent="0.25">
      <c r="A2866" s="27" t="s">
        <v>2182</v>
      </c>
    </row>
    <row r="2867" spans="1:1" x14ac:dyDescent="0.25">
      <c r="A2867" s="27" t="s">
        <v>2183</v>
      </c>
    </row>
    <row r="2868" spans="1:1" x14ac:dyDescent="0.25">
      <c r="A2868" s="27" t="s">
        <v>2184</v>
      </c>
    </row>
    <row r="2869" spans="1:1" x14ac:dyDescent="0.25">
      <c r="A2869" s="27" t="s">
        <v>2185</v>
      </c>
    </row>
    <row r="2870" spans="1:1" x14ac:dyDescent="0.25">
      <c r="A2870" s="27" t="s">
        <v>2186</v>
      </c>
    </row>
    <row r="2871" spans="1:1" x14ac:dyDescent="0.25">
      <c r="A2871" s="27" t="s">
        <v>2187</v>
      </c>
    </row>
    <row r="2872" spans="1:1" x14ac:dyDescent="0.25">
      <c r="A2872" s="27" t="s">
        <v>2188</v>
      </c>
    </row>
    <row r="2873" spans="1:1" x14ac:dyDescent="0.25">
      <c r="A2873" s="27" t="s">
        <v>2189</v>
      </c>
    </row>
    <row r="2874" spans="1:1" x14ac:dyDescent="0.25">
      <c r="A2874" s="27" t="s">
        <v>2190</v>
      </c>
    </row>
    <row r="2875" spans="1:1" x14ac:dyDescent="0.25">
      <c r="A2875" s="27" t="s">
        <v>2191</v>
      </c>
    </row>
    <row r="2876" spans="1:1" x14ac:dyDescent="0.25">
      <c r="A2876" s="27" t="s">
        <v>2192</v>
      </c>
    </row>
    <row r="2877" spans="1:1" x14ac:dyDescent="0.25">
      <c r="A2877" s="27" t="s">
        <v>2193</v>
      </c>
    </row>
    <row r="2878" spans="1:1" x14ac:dyDescent="0.25">
      <c r="A2878" s="27" t="s">
        <v>2194</v>
      </c>
    </row>
    <row r="2879" spans="1:1" x14ac:dyDescent="0.25">
      <c r="A2879" s="27" t="s">
        <v>2195</v>
      </c>
    </row>
    <row r="2880" spans="1:1" x14ac:dyDescent="0.25">
      <c r="A2880" s="27" t="s">
        <v>2196</v>
      </c>
    </row>
    <row r="2881" spans="1:1" x14ac:dyDescent="0.25">
      <c r="A2881" s="27" t="s">
        <v>2197</v>
      </c>
    </row>
    <row r="2882" spans="1:1" x14ac:dyDescent="0.25">
      <c r="A2882" s="27" t="s">
        <v>2198</v>
      </c>
    </row>
    <row r="2883" spans="1:1" x14ac:dyDescent="0.25">
      <c r="A2883" s="27" t="s">
        <v>2199</v>
      </c>
    </row>
    <row r="2884" spans="1:1" x14ac:dyDescent="0.25">
      <c r="A2884" s="27" t="s">
        <v>2200</v>
      </c>
    </row>
    <row r="2885" spans="1:1" x14ac:dyDescent="0.25">
      <c r="A2885" s="27" t="s">
        <v>2201</v>
      </c>
    </row>
    <row r="2886" spans="1:1" x14ac:dyDescent="0.25">
      <c r="A2886" s="27" t="s">
        <v>2202</v>
      </c>
    </row>
    <row r="2887" spans="1:1" x14ac:dyDescent="0.25">
      <c r="A2887" s="27" t="s">
        <v>2203</v>
      </c>
    </row>
    <row r="2888" spans="1:1" x14ac:dyDescent="0.25">
      <c r="A2888" s="27" t="s">
        <v>2204</v>
      </c>
    </row>
    <row r="2889" spans="1:1" x14ac:dyDescent="0.25">
      <c r="A2889" s="27" t="s">
        <v>2205</v>
      </c>
    </row>
    <row r="2890" spans="1:1" x14ac:dyDescent="0.25">
      <c r="A2890" s="27" t="s">
        <v>2206</v>
      </c>
    </row>
    <row r="2891" spans="1:1" x14ac:dyDescent="0.25">
      <c r="A2891" s="27" t="s">
        <v>2207</v>
      </c>
    </row>
    <row r="2892" spans="1:1" x14ac:dyDescent="0.25">
      <c r="A2892" s="27" t="s">
        <v>2208</v>
      </c>
    </row>
    <row r="2893" spans="1:1" x14ac:dyDescent="0.25">
      <c r="A2893" s="27" t="s">
        <v>2209</v>
      </c>
    </row>
    <row r="2894" spans="1:1" x14ac:dyDescent="0.25">
      <c r="A2894" s="27" t="s">
        <v>2210</v>
      </c>
    </row>
    <row r="2895" spans="1:1" x14ac:dyDescent="0.25">
      <c r="A2895" s="27" t="s">
        <v>2211</v>
      </c>
    </row>
    <row r="2896" spans="1:1" x14ac:dyDescent="0.25">
      <c r="A2896" s="27" t="s">
        <v>2212</v>
      </c>
    </row>
    <row r="2897" spans="1:1" x14ac:dyDescent="0.25">
      <c r="A2897" s="27" t="s">
        <v>2213</v>
      </c>
    </row>
    <row r="2898" spans="1:1" x14ac:dyDescent="0.25">
      <c r="A2898" s="27" t="s">
        <v>2214</v>
      </c>
    </row>
    <row r="2899" spans="1:1" x14ac:dyDescent="0.25">
      <c r="A2899" s="27" t="s">
        <v>2215</v>
      </c>
    </row>
    <row r="2900" spans="1:1" x14ac:dyDescent="0.25">
      <c r="A2900" s="27" t="s">
        <v>2216</v>
      </c>
    </row>
    <row r="2901" spans="1:1" x14ac:dyDescent="0.25">
      <c r="A2901" s="27" t="s">
        <v>2217</v>
      </c>
    </row>
    <row r="2902" spans="1:1" x14ac:dyDescent="0.25">
      <c r="A2902" s="27" t="s">
        <v>2218</v>
      </c>
    </row>
    <row r="2903" spans="1:1" x14ac:dyDescent="0.25">
      <c r="A2903" s="27" t="s">
        <v>2219</v>
      </c>
    </row>
    <row r="2904" spans="1:1" x14ac:dyDescent="0.25">
      <c r="A2904" s="27" t="s">
        <v>2220</v>
      </c>
    </row>
    <row r="2905" spans="1:1" x14ac:dyDescent="0.25">
      <c r="A2905" s="27" t="s">
        <v>2221</v>
      </c>
    </row>
    <row r="2906" spans="1:1" x14ac:dyDescent="0.25">
      <c r="A2906" s="27" t="s">
        <v>2222</v>
      </c>
    </row>
    <row r="3204" spans="1:1" x14ac:dyDescent="0.25">
      <c r="A3204" s="27" t="s">
        <v>2223</v>
      </c>
    </row>
    <row r="3205" spans="1:1" x14ac:dyDescent="0.25">
      <c r="A3205" s="27" t="s">
        <v>2224</v>
      </c>
    </row>
    <row r="3206" spans="1:1" x14ac:dyDescent="0.25">
      <c r="A3206" s="27" t="s">
        <v>2225</v>
      </c>
    </row>
    <row r="3207" spans="1:1" x14ac:dyDescent="0.25">
      <c r="A3207" s="27" t="s">
        <v>2226</v>
      </c>
    </row>
    <row r="3208" spans="1:1" x14ac:dyDescent="0.25">
      <c r="A3208" s="27" t="s">
        <v>2227</v>
      </c>
    </row>
    <row r="3209" spans="1:1" x14ac:dyDescent="0.25">
      <c r="A3209" s="27" t="s">
        <v>2228</v>
      </c>
    </row>
    <row r="3210" spans="1:1" x14ac:dyDescent="0.25">
      <c r="A3210" s="27" t="s">
        <v>2229</v>
      </c>
    </row>
    <row r="3211" spans="1:1" x14ac:dyDescent="0.25">
      <c r="A3211" s="27" t="s">
        <v>2230</v>
      </c>
    </row>
    <row r="3212" spans="1:1" x14ac:dyDescent="0.25">
      <c r="A3212" s="27" t="s">
        <v>2231</v>
      </c>
    </row>
    <row r="3213" spans="1:1" x14ac:dyDescent="0.25">
      <c r="A3213" s="27" t="s">
        <v>2232</v>
      </c>
    </row>
    <row r="3214" spans="1:1" x14ac:dyDescent="0.25">
      <c r="A3214" s="27" t="s">
        <v>2233</v>
      </c>
    </row>
    <row r="3215" spans="1:1" x14ac:dyDescent="0.25">
      <c r="A3215" s="27" t="s">
        <v>2234</v>
      </c>
    </row>
    <row r="3216" spans="1:1" x14ac:dyDescent="0.25">
      <c r="A3216" s="27" t="s">
        <v>2235</v>
      </c>
    </row>
    <row r="3217" spans="1:1" x14ac:dyDescent="0.25">
      <c r="A3217" s="27" t="s">
        <v>2236</v>
      </c>
    </row>
    <row r="3218" spans="1:1" x14ac:dyDescent="0.25">
      <c r="A3218" s="27" t="s">
        <v>2237</v>
      </c>
    </row>
    <row r="3219" spans="1:1" x14ac:dyDescent="0.25">
      <c r="A3219" s="27" t="s">
        <v>2238</v>
      </c>
    </row>
    <row r="3220" spans="1:1" x14ac:dyDescent="0.25">
      <c r="A3220" s="27" t="s">
        <v>2239</v>
      </c>
    </row>
    <row r="3221" spans="1:1" x14ac:dyDescent="0.25">
      <c r="A3221" s="27" t="s">
        <v>2240</v>
      </c>
    </row>
    <row r="3222" spans="1:1" x14ac:dyDescent="0.25">
      <c r="A3222" s="27" t="s">
        <v>2241</v>
      </c>
    </row>
    <row r="3223" spans="1:1" x14ac:dyDescent="0.25">
      <c r="A3223" s="27" t="s">
        <v>2242</v>
      </c>
    </row>
    <row r="3224" spans="1:1" x14ac:dyDescent="0.25">
      <c r="A3224" s="27" t="s">
        <v>2243</v>
      </c>
    </row>
    <row r="3225" spans="1:1" x14ac:dyDescent="0.25">
      <c r="A3225" s="27" t="s">
        <v>2244</v>
      </c>
    </row>
    <row r="3226" spans="1:1" x14ac:dyDescent="0.25">
      <c r="A3226" s="27" t="s">
        <v>2245</v>
      </c>
    </row>
    <row r="3227" spans="1:1" x14ac:dyDescent="0.25">
      <c r="A3227" s="27" t="s">
        <v>2246</v>
      </c>
    </row>
    <row r="3228" spans="1:1" x14ac:dyDescent="0.25">
      <c r="A3228" s="27" t="s">
        <v>2247</v>
      </c>
    </row>
    <row r="3229" spans="1:1" x14ac:dyDescent="0.25">
      <c r="A3229" s="27" t="s">
        <v>2248</v>
      </c>
    </row>
    <row r="3230" spans="1:1" x14ac:dyDescent="0.25">
      <c r="A3230" s="27" t="s">
        <v>2249</v>
      </c>
    </row>
    <row r="3231" spans="1:1" x14ac:dyDescent="0.25">
      <c r="A3231" s="27" t="s">
        <v>2250</v>
      </c>
    </row>
    <row r="3232" spans="1:1" x14ac:dyDescent="0.25">
      <c r="A3232" s="27" t="s">
        <v>2251</v>
      </c>
    </row>
    <row r="3233" spans="1:1" x14ac:dyDescent="0.25">
      <c r="A3233" s="27" t="s">
        <v>2252</v>
      </c>
    </row>
    <row r="3234" spans="1:1" x14ac:dyDescent="0.25">
      <c r="A3234" s="27" t="s">
        <v>2253</v>
      </c>
    </row>
    <row r="3235" spans="1:1" x14ac:dyDescent="0.25">
      <c r="A3235" s="27" t="s">
        <v>2254</v>
      </c>
    </row>
    <row r="3236" spans="1:1" x14ac:dyDescent="0.25">
      <c r="A3236" s="27" t="s">
        <v>2255</v>
      </c>
    </row>
    <row r="3237" spans="1:1" x14ac:dyDescent="0.25">
      <c r="A3237" s="27" t="s">
        <v>2256</v>
      </c>
    </row>
    <row r="3238" spans="1:1" x14ac:dyDescent="0.25">
      <c r="A3238" s="27" t="s">
        <v>2257</v>
      </c>
    </row>
    <row r="3239" spans="1:1" x14ac:dyDescent="0.25">
      <c r="A3239" s="27" t="s">
        <v>2258</v>
      </c>
    </row>
    <row r="3240" spans="1:1" x14ac:dyDescent="0.25">
      <c r="A3240" s="27" t="s">
        <v>2259</v>
      </c>
    </row>
    <row r="3241" spans="1:1" x14ac:dyDescent="0.25">
      <c r="A3241" s="27" t="s">
        <v>2260</v>
      </c>
    </row>
    <row r="3242" spans="1:1" x14ac:dyDescent="0.25">
      <c r="A3242" s="27" t="s">
        <v>2261</v>
      </c>
    </row>
    <row r="3243" spans="1:1" x14ac:dyDescent="0.25">
      <c r="A3243" s="27" t="s">
        <v>2262</v>
      </c>
    </row>
    <row r="3244" spans="1:1" x14ac:dyDescent="0.25">
      <c r="A3244" s="27" t="s">
        <v>2263</v>
      </c>
    </row>
    <row r="3245" spans="1:1" x14ac:dyDescent="0.25">
      <c r="A3245" s="27" t="s">
        <v>2264</v>
      </c>
    </row>
    <row r="3246" spans="1:1" x14ac:dyDescent="0.25">
      <c r="A3246" s="27" t="s">
        <v>2265</v>
      </c>
    </row>
    <row r="3247" spans="1:1" x14ac:dyDescent="0.25">
      <c r="A3247" s="27" t="s">
        <v>2266</v>
      </c>
    </row>
    <row r="3248" spans="1:1" x14ac:dyDescent="0.25">
      <c r="A3248" s="27" t="s">
        <v>2267</v>
      </c>
    </row>
    <row r="3249" spans="1:1" x14ac:dyDescent="0.25">
      <c r="A3249" s="27" t="s">
        <v>2268</v>
      </c>
    </row>
    <row r="3250" spans="1:1" x14ac:dyDescent="0.25">
      <c r="A3250" s="27" t="s">
        <v>2269</v>
      </c>
    </row>
    <row r="3251" spans="1:1" x14ac:dyDescent="0.25">
      <c r="A3251" s="27" t="s">
        <v>2270</v>
      </c>
    </row>
    <row r="3252" spans="1:1" x14ac:dyDescent="0.25">
      <c r="A3252" s="27" t="s">
        <v>2271</v>
      </c>
    </row>
    <row r="3253" spans="1:1" x14ac:dyDescent="0.25">
      <c r="A3253" s="27" t="s">
        <v>2272</v>
      </c>
    </row>
    <row r="3254" spans="1:1" x14ac:dyDescent="0.25">
      <c r="A3254" s="27" t="s">
        <v>2273</v>
      </c>
    </row>
    <row r="3255" spans="1:1" x14ac:dyDescent="0.25">
      <c r="A3255" s="27" t="s">
        <v>2274</v>
      </c>
    </row>
    <row r="3256" spans="1:1" x14ac:dyDescent="0.25">
      <c r="A3256" s="27" t="s">
        <v>2275</v>
      </c>
    </row>
    <row r="3257" spans="1:1" x14ac:dyDescent="0.25">
      <c r="A3257" s="27" t="s">
        <v>2276</v>
      </c>
    </row>
    <row r="3258" spans="1:1" x14ac:dyDescent="0.25">
      <c r="A3258" s="27" t="s">
        <v>2277</v>
      </c>
    </row>
    <row r="3259" spans="1:1" x14ac:dyDescent="0.25">
      <c r="A3259" s="27" t="s">
        <v>2278</v>
      </c>
    </row>
    <row r="3260" spans="1:1" x14ac:dyDescent="0.25">
      <c r="A3260" s="27" t="s">
        <v>2279</v>
      </c>
    </row>
    <row r="3261" spans="1:1" x14ac:dyDescent="0.25">
      <c r="A3261" s="27" t="s">
        <v>2280</v>
      </c>
    </row>
    <row r="3262" spans="1:1" x14ac:dyDescent="0.25">
      <c r="A3262" s="27" t="s">
        <v>2281</v>
      </c>
    </row>
    <row r="3263" spans="1:1" x14ac:dyDescent="0.25">
      <c r="A3263" s="27" t="s">
        <v>2282</v>
      </c>
    </row>
    <row r="3264" spans="1:1" x14ac:dyDescent="0.25">
      <c r="A3264" s="27" t="s">
        <v>2283</v>
      </c>
    </row>
    <row r="3265" spans="1:1" x14ac:dyDescent="0.25">
      <c r="A3265" s="27" t="s">
        <v>2284</v>
      </c>
    </row>
    <row r="3266" spans="1:1" x14ac:dyDescent="0.25">
      <c r="A3266" s="27" t="s">
        <v>2285</v>
      </c>
    </row>
    <row r="3267" spans="1:1" x14ac:dyDescent="0.25">
      <c r="A3267" s="27" t="s">
        <v>2286</v>
      </c>
    </row>
    <row r="3268" spans="1:1" x14ac:dyDescent="0.25">
      <c r="A3268" s="27" t="s">
        <v>2287</v>
      </c>
    </row>
    <row r="3269" spans="1:1" x14ac:dyDescent="0.25">
      <c r="A3269" s="27" t="s">
        <v>2288</v>
      </c>
    </row>
    <row r="3270" spans="1:1" x14ac:dyDescent="0.25">
      <c r="A3270" s="27" t="s">
        <v>2289</v>
      </c>
    </row>
    <row r="3271" spans="1:1" x14ac:dyDescent="0.25">
      <c r="A3271" s="27" t="s">
        <v>2290</v>
      </c>
    </row>
    <row r="3272" spans="1:1" x14ac:dyDescent="0.25">
      <c r="A3272" s="27" t="s">
        <v>2291</v>
      </c>
    </row>
    <row r="3273" spans="1:1" x14ac:dyDescent="0.25">
      <c r="A3273" s="27" t="s">
        <v>2292</v>
      </c>
    </row>
    <row r="3274" spans="1:1" x14ac:dyDescent="0.25">
      <c r="A3274" s="27" t="s">
        <v>2293</v>
      </c>
    </row>
    <row r="3275" spans="1:1" x14ac:dyDescent="0.25">
      <c r="A3275" s="27" t="s">
        <v>2294</v>
      </c>
    </row>
    <row r="3276" spans="1:1" x14ac:dyDescent="0.25">
      <c r="A3276" s="27" t="s">
        <v>2295</v>
      </c>
    </row>
    <row r="3277" spans="1:1" x14ac:dyDescent="0.25">
      <c r="A3277" s="27" t="s">
        <v>2296</v>
      </c>
    </row>
    <row r="3278" spans="1:1" x14ac:dyDescent="0.25">
      <c r="A3278" s="27" t="s">
        <v>2297</v>
      </c>
    </row>
    <row r="3279" spans="1:1" x14ac:dyDescent="0.25">
      <c r="A3279" s="27" t="s">
        <v>2298</v>
      </c>
    </row>
    <row r="3280" spans="1:1" x14ac:dyDescent="0.25">
      <c r="A3280" s="27" t="s">
        <v>2299</v>
      </c>
    </row>
    <row r="3281" spans="1:1" x14ac:dyDescent="0.25">
      <c r="A3281" s="27" t="s">
        <v>2300</v>
      </c>
    </row>
    <row r="3282" spans="1:1" x14ac:dyDescent="0.25">
      <c r="A3282" s="27" t="s">
        <v>2301</v>
      </c>
    </row>
    <row r="3283" spans="1:1" x14ac:dyDescent="0.25">
      <c r="A3283" s="27" t="s">
        <v>2302</v>
      </c>
    </row>
    <row r="3284" spans="1:1" x14ac:dyDescent="0.25">
      <c r="A3284" s="27" t="s">
        <v>2303</v>
      </c>
    </row>
    <row r="3285" spans="1:1" x14ac:dyDescent="0.25">
      <c r="A3285" s="27" t="s">
        <v>2304</v>
      </c>
    </row>
    <row r="3286" spans="1:1" x14ac:dyDescent="0.25">
      <c r="A3286" s="27" t="s">
        <v>2305</v>
      </c>
    </row>
    <row r="3287" spans="1:1" x14ac:dyDescent="0.25">
      <c r="A3287" s="27" t="s">
        <v>2306</v>
      </c>
    </row>
    <row r="3288" spans="1:1" x14ac:dyDescent="0.25">
      <c r="A3288" s="27" t="s">
        <v>2307</v>
      </c>
    </row>
    <row r="3289" spans="1:1" x14ac:dyDescent="0.25">
      <c r="A3289" s="27" t="s">
        <v>2308</v>
      </c>
    </row>
    <row r="3290" spans="1:1" x14ac:dyDescent="0.25">
      <c r="A3290" s="27" t="s">
        <v>2309</v>
      </c>
    </row>
    <row r="3291" spans="1:1" x14ac:dyDescent="0.25">
      <c r="A3291" s="27" t="s">
        <v>2310</v>
      </c>
    </row>
    <row r="3292" spans="1:1" x14ac:dyDescent="0.25">
      <c r="A3292" s="27" t="s">
        <v>2311</v>
      </c>
    </row>
    <row r="3293" spans="1:1" x14ac:dyDescent="0.25">
      <c r="A3293" s="27" t="s">
        <v>2312</v>
      </c>
    </row>
    <row r="3294" spans="1:1" x14ac:dyDescent="0.25">
      <c r="A3294" s="27" t="s">
        <v>2313</v>
      </c>
    </row>
    <row r="3295" spans="1:1" x14ac:dyDescent="0.25">
      <c r="A3295" s="27" t="s">
        <v>2314</v>
      </c>
    </row>
    <row r="3296" spans="1:1" x14ac:dyDescent="0.25">
      <c r="A3296" s="27" t="s">
        <v>2315</v>
      </c>
    </row>
    <row r="3297" spans="1:1" x14ac:dyDescent="0.25">
      <c r="A3297" s="27" t="s">
        <v>2316</v>
      </c>
    </row>
    <row r="3298" spans="1:1" x14ac:dyDescent="0.25">
      <c r="A3298" s="27" t="s">
        <v>2317</v>
      </c>
    </row>
    <row r="3299" spans="1:1" x14ac:dyDescent="0.25">
      <c r="A3299" s="27" t="s">
        <v>2318</v>
      </c>
    </row>
    <row r="3300" spans="1:1" x14ac:dyDescent="0.25">
      <c r="A3300" s="27" t="s">
        <v>2319</v>
      </c>
    </row>
    <row r="3301" spans="1:1" x14ac:dyDescent="0.25">
      <c r="A3301" s="27" t="s">
        <v>2320</v>
      </c>
    </row>
    <row r="3302" spans="1:1" x14ac:dyDescent="0.25">
      <c r="A3302" s="27" t="s">
        <v>2321</v>
      </c>
    </row>
    <row r="3303" spans="1:1" x14ac:dyDescent="0.25">
      <c r="A3303" s="27" t="s">
        <v>2322</v>
      </c>
    </row>
    <row r="3304" spans="1:1" x14ac:dyDescent="0.25">
      <c r="A3304" s="27" t="s">
        <v>2323</v>
      </c>
    </row>
    <row r="3305" spans="1:1" x14ac:dyDescent="0.25">
      <c r="A3305" s="27" t="s">
        <v>2324</v>
      </c>
    </row>
    <row r="3306" spans="1:1" x14ac:dyDescent="0.25">
      <c r="A3306" s="27" t="s">
        <v>2325</v>
      </c>
    </row>
    <row r="3307" spans="1:1" x14ac:dyDescent="0.25">
      <c r="A3307" s="27" t="s">
        <v>2326</v>
      </c>
    </row>
    <row r="3308" spans="1:1" x14ac:dyDescent="0.25">
      <c r="A3308" s="27" t="s">
        <v>2327</v>
      </c>
    </row>
    <row r="3309" spans="1:1" x14ac:dyDescent="0.25">
      <c r="A3309" s="27" t="s">
        <v>2328</v>
      </c>
    </row>
    <row r="3310" spans="1:1" x14ac:dyDescent="0.25">
      <c r="A3310" s="27" t="s">
        <v>2329</v>
      </c>
    </row>
    <row r="3311" spans="1:1" x14ac:dyDescent="0.25">
      <c r="A3311" s="27" t="s">
        <v>2330</v>
      </c>
    </row>
    <row r="3312" spans="1:1" x14ac:dyDescent="0.25">
      <c r="A3312" s="27" t="s">
        <v>2331</v>
      </c>
    </row>
    <row r="3313" spans="1:1" x14ac:dyDescent="0.25">
      <c r="A3313" s="27" t="s">
        <v>2332</v>
      </c>
    </row>
    <row r="3314" spans="1:1" x14ac:dyDescent="0.25">
      <c r="A3314" s="27" t="s">
        <v>2333</v>
      </c>
    </row>
    <row r="3315" spans="1:1" x14ac:dyDescent="0.25">
      <c r="A3315" s="27" t="s">
        <v>2334</v>
      </c>
    </row>
    <row r="3316" spans="1:1" x14ac:dyDescent="0.25">
      <c r="A3316" s="27" t="s">
        <v>2335</v>
      </c>
    </row>
    <row r="3317" spans="1:1" x14ac:dyDescent="0.25">
      <c r="A3317" s="27" t="s">
        <v>2336</v>
      </c>
    </row>
    <row r="3318" spans="1:1" x14ac:dyDescent="0.25">
      <c r="A3318" s="27" t="s">
        <v>2337</v>
      </c>
    </row>
    <row r="3319" spans="1:1" x14ac:dyDescent="0.25">
      <c r="A3319" s="27" t="s">
        <v>2338</v>
      </c>
    </row>
    <row r="3320" spans="1:1" x14ac:dyDescent="0.25">
      <c r="A3320" s="27" t="s">
        <v>2339</v>
      </c>
    </row>
    <row r="3321" spans="1:1" x14ac:dyDescent="0.25">
      <c r="A3321" s="27" t="s">
        <v>2340</v>
      </c>
    </row>
    <row r="3322" spans="1:1" x14ac:dyDescent="0.25">
      <c r="A3322" s="27" t="s">
        <v>2341</v>
      </c>
    </row>
    <row r="3323" spans="1:1" x14ac:dyDescent="0.25">
      <c r="A3323" s="27" t="s">
        <v>2342</v>
      </c>
    </row>
    <row r="3324" spans="1:1" x14ac:dyDescent="0.25">
      <c r="A3324" s="27" t="s">
        <v>2343</v>
      </c>
    </row>
    <row r="3325" spans="1:1" x14ac:dyDescent="0.25">
      <c r="A3325" s="27" t="s">
        <v>2344</v>
      </c>
    </row>
    <row r="3326" spans="1:1" x14ac:dyDescent="0.25">
      <c r="A3326" s="27" t="s">
        <v>2345</v>
      </c>
    </row>
    <row r="3327" spans="1:1" x14ac:dyDescent="0.25">
      <c r="A3327" s="27" t="s">
        <v>2346</v>
      </c>
    </row>
    <row r="3328" spans="1:1" x14ac:dyDescent="0.25">
      <c r="A3328" s="27" t="s">
        <v>2347</v>
      </c>
    </row>
    <row r="3329" spans="1:1" x14ac:dyDescent="0.25">
      <c r="A3329" s="27" t="s">
        <v>2348</v>
      </c>
    </row>
    <row r="3330" spans="1:1" x14ac:dyDescent="0.25">
      <c r="A3330" s="27" t="s">
        <v>2349</v>
      </c>
    </row>
    <row r="3331" spans="1:1" x14ac:dyDescent="0.25">
      <c r="A3331" s="27" t="s">
        <v>2350</v>
      </c>
    </row>
    <row r="3332" spans="1:1" x14ac:dyDescent="0.25">
      <c r="A3332" s="27" t="s">
        <v>2351</v>
      </c>
    </row>
    <row r="3333" spans="1:1" x14ac:dyDescent="0.25">
      <c r="A3333" s="27" t="s">
        <v>2352</v>
      </c>
    </row>
    <row r="3334" spans="1:1" x14ac:dyDescent="0.25">
      <c r="A3334" s="27" t="s">
        <v>2353</v>
      </c>
    </row>
    <row r="3335" spans="1:1" x14ac:dyDescent="0.25">
      <c r="A3335" s="27" t="s">
        <v>2354</v>
      </c>
    </row>
    <row r="3336" spans="1:1" x14ac:dyDescent="0.25">
      <c r="A3336" s="27" t="s">
        <v>2355</v>
      </c>
    </row>
    <row r="3337" spans="1:1" x14ac:dyDescent="0.25">
      <c r="A3337" s="27" t="s">
        <v>2356</v>
      </c>
    </row>
    <row r="3338" spans="1:1" x14ac:dyDescent="0.25">
      <c r="A3338" s="27" t="s">
        <v>2357</v>
      </c>
    </row>
    <row r="3339" spans="1:1" x14ac:dyDescent="0.25">
      <c r="A3339" s="27" t="s">
        <v>2358</v>
      </c>
    </row>
    <row r="3340" spans="1:1" x14ac:dyDescent="0.25">
      <c r="A3340" s="27" t="s">
        <v>2359</v>
      </c>
    </row>
    <row r="3341" spans="1:1" x14ac:dyDescent="0.25">
      <c r="A3341" s="27" t="s">
        <v>2360</v>
      </c>
    </row>
    <row r="3342" spans="1:1" x14ac:dyDescent="0.25">
      <c r="A3342" s="27" t="s">
        <v>2361</v>
      </c>
    </row>
    <row r="3343" spans="1:1" x14ac:dyDescent="0.25">
      <c r="A3343" s="27" t="s">
        <v>2362</v>
      </c>
    </row>
    <row r="3344" spans="1:1" x14ac:dyDescent="0.25">
      <c r="A3344" s="27" t="s">
        <v>2363</v>
      </c>
    </row>
    <row r="3345" spans="1:1" x14ac:dyDescent="0.25">
      <c r="A3345" s="27" t="s">
        <v>2364</v>
      </c>
    </row>
    <row r="3346" spans="1:1" x14ac:dyDescent="0.25">
      <c r="A3346" s="27" t="s">
        <v>2365</v>
      </c>
    </row>
    <row r="3347" spans="1:1" x14ac:dyDescent="0.25">
      <c r="A3347" s="27" t="s">
        <v>2366</v>
      </c>
    </row>
    <row r="3348" spans="1:1" x14ac:dyDescent="0.25">
      <c r="A3348" s="27" t="s">
        <v>2367</v>
      </c>
    </row>
    <row r="3349" spans="1:1" x14ac:dyDescent="0.25">
      <c r="A3349" s="27" t="s">
        <v>2368</v>
      </c>
    </row>
    <row r="3350" spans="1:1" x14ac:dyDescent="0.25">
      <c r="A3350" s="27" t="s">
        <v>2369</v>
      </c>
    </row>
    <row r="3351" spans="1:1" x14ac:dyDescent="0.25">
      <c r="A3351" s="27" t="s">
        <v>2370</v>
      </c>
    </row>
    <row r="3352" spans="1:1" x14ac:dyDescent="0.25">
      <c r="A3352" s="27" t="s">
        <v>2371</v>
      </c>
    </row>
    <row r="3353" spans="1:1" x14ac:dyDescent="0.25">
      <c r="A3353" s="27" t="s">
        <v>2372</v>
      </c>
    </row>
    <row r="3354" spans="1:1" x14ac:dyDescent="0.25">
      <c r="A3354" s="27" t="s">
        <v>2373</v>
      </c>
    </row>
    <row r="3355" spans="1:1" x14ac:dyDescent="0.25">
      <c r="A3355" s="27" t="s">
        <v>2374</v>
      </c>
    </row>
    <row r="3356" spans="1:1" x14ac:dyDescent="0.25">
      <c r="A3356" s="27" t="s">
        <v>2375</v>
      </c>
    </row>
    <row r="3357" spans="1:1" x14ac:dyDescent="0.25">
      <c r="A3357" s="27" t="s">
        <v>2376</v>
      </c>
    </row>
    <row r="3358" spans="1:1" x14ac:dyDescent="0.25">
      <c r="A3358" s="27" t="s">
        <v>2377</v>
      </c>
    </row>
    <row r="3359" spans="1:1" x14ac:dyDescent="0.25">
      <c r="A3359" s="27" t="s">
        <v>2378</v>
      </c>
    </row>
    <row r="3360" spans="1:1" x14ac:dyDescent="0.25">
      <c r="A3360" s="27" t="s">
        <v>2379</v>
      </c>
    </row>
    <row r="3361" spans="1:1" x14ac:dyDescent="0.25">
      <c r="A3361" s="27" t="s">
        <v>2380</v>
      </c>
    </row>
    <row r="3362" spans="1:1" x14ac:dyDescent="0.25">
      <c r="A3362" s="27" t="s">
        <v>2381</v>
      </c>
    </row>
    <row r="3363" spans="1:1" x14ac:dyDescent="0.25">
      <c r="A3363" s="27" t="s">
        <v>2382</v>
      </c>
    </row>
    <row r="3364" spans="1:1" x14ac:dyDescent="0.25">
      <c r="A3364" s="27" t="s">
        <v>2383</v>
      </c>
    </row>
    <row r="3365" spans="1:1" x14ac:dyDescent="0.25">
      <c r="A3365" s="27" t="s">
        <v>2384</v>
      </c>
    </row>
    <row r="3366" spans="1:1" x14ac:dyDescent="0.25">
      <c r="A3366" s="27" t="s">
        <v>2385</v>
      </c>
    </row>
    <row r="3367" spans="1:1" x14ac:dyDescent="0.25">
      <c r="A3367" s="27" t="s">
        <v>2386</v>
      </c>
    </row>
    <row r="3368" spans="1:1" x14ac:dyDescent="0.25">
      <c r="A3368" s="27" t="s">
        <v>2387</v>
      </c>
    </row>
    <row r="3369" spans="1:1" x14ac:dyDescent="0.25">
      <c r="A3369" s="27" t="s">
        <v>2388</v>
      </c>
    </row>
    <row r="3370" spans="1:1" x14ac:dyDescent="0.25">
      <c r="A3370" s="27" t="s">
        <v>2389</v>
      </c>
    </row>
    <row r="3371" spans="1:1" x14ac:dyDescent="0.25">
      <c r="A3371" s="27" t="s">
        <v>2390</v>
      </c>
    </row>
    <row r="3372" spans="1:1" x14ac:dyDescent="0.25">
      <c r="A3372" s="27" t="s">
        <v>2391</v>
      </c>
    </row>
    <row r="3373" spans="1:1" x14ac:dyDescent="0.25">
      <c r="A3373" s="27" t="s">
        <v>2392</v>
      </c>
    </row>
    <row r="3374" spans="1:1" x14ac:dyDescent="0.25">
      <c r="A3374" s="27" t="s">
        <v>2393</v>
      </c>
    </row>
    <row r="3375" spans="1:1" x14ac:dyDescent="0.25">
      <c r="A3375" s="27" t="s">
        <v>2394</v>
      </c>
    </row>
    <row r="3376" spans="1:1" x14ac:dyDescent="0.25">
      <c r="A3376" s="27" t="s">
        <v>2395</v>
      </c>
    </row>
    <row r="3377" spans="1:1" x14ac:dyDescent="0.25">
      <c r="A3377" s="27" t="s">
        <v>2396</v>
      </c>
    </row>
    <row r="3378" spans="1:1" x14ac:dyDescent="0.25">
      <c r="A3378" s="27" t="s">
        <v>2397</v>
      </c>
    </row>
    <row r="3379" spans="1:1" x14ac:dyDescent="0.25">
      <c r="A3379" s="27" t="s">
        <v>2398</v>
      </c>
    </row>
    <row r="3380" spans="1:1" x14ac:dyDescent="0.25">
      <c r="A3380" s="27" t="s">
        <v>2399</v>
      </c>
    </row>
    <row r="3381" spans="1:1" x14ac:dyDescent="0.25">
      <c r="A3381" s="27" t="s">
        <v>2400</v>
      </c>
    </row>
    <row r="3382" spans="1:1" x14ac:dyDescent="0.25">
      <c r="A3382" s="27" t="s">
        <v>2401</v>
      </c>
    </row>
    <row r="3383" spans="1:1" x14ac:dyDescent="0.25">
      <c r="A3383" s="27" t="s">
        <v>2402</v>
      </c>
    </row>
    <row r="3384" spans="1:1" x14ac:dyDescent="0.25">
      <c r="A3384" s="27" t="s">
        <v>2403</v>
      </c>
    </row>
    <row r="3385" spans="1:1" x14ac:dyDescent="0.25">
      <c r="A3385" s="27" t="s">
        <v>2404</v>
      </c>
    </row>
    <row r="3386" spans="1:1" x14ac:dyDescent="0.25">
      <c r="A3386" s="27" t="s">
        <v>2405</v>
      </c>
    </row>
    <row r="3387" spans="1:1" x14ac:dyDescent="0.25">
      <c r="A3387" s="27" t="s">
        <v>2406</v>
      </c>
    </row>
    <row r="3388" spans="1:1" x14ac:dyDescent="0.25">
      <c r="A3388" s="27" t="s">
        <v>2407</v>
      </c>
    </row>
    <row r="3389" spans="1:1" x14ac:dyDescent="0.25">
      <c r="A3389" s="27" t="s">
        <v>2408</v>
      </c>
    </row>
    <row r="3390" spans="1:1" x14ac:dyDescent="0.25">
      <c r="A3390" s="27" t="s">
        <v>2409</v>
      </c>
    </row>
    <row r="3391" spans="1:1" x14ac:dyDescent="0.25">
      <c r="A3391" s="27" t="s">
        <v>2410</v>
      </c>
    </row>
    <row r="3392" spans="1:1" x14ac:dyDescent="0.25">
      <c r="A3392" s="27" t="s">
        <v>2411</v>
      </c>
    </row>
    <row r="3393" spans="1:1" x14ac:dyDescent="0.25">
      <c r="A3393" s="27" t="s">
        <v>2412</v>
      </c>
    </row>
    <row r="3394" spans="1:1" x14ac:dyDescent="0.25">
      <c r="A3394" s="27" t="s">
        <v>2413</v>
      </c>
    </row>
    <row r="3395" spans="1:1" x14ac:dyDescent="0.25">
      <c r="A3395" s="27" t="s">
        <v>2414</v>
      </c>
    </row>
    <row r="3396" spans="1:1" x14ac:dyDescent="0.25">
      <c r="A3396" s="27" t="s">
        <v>2415</v>
      </c>
    </row>
    <row r="3397" spans="1:1" x14ac:dyDescent="0.25">
      <c r="A3397" s="27" t="s">
        <v>2416</v>
      </c>
    </row>
    <row r="3398" spans="1:1" x14ac:dyDescent="0.25">
      <c r="A3398" s="27" t="s">
        <v>2417</v>
      </c>
    </row>
    <row r="3399" spans="1:1" x14ac:dyDescent="0.25">
      <c r="A3399" s="27" t="s">
        <v>2418</v>
      </c>
    </row>
    <row r="3404" spans="1:1" x14ac:dyDescent="0.25">
      <c r="A3404" s="27" t="s">
        <v>2419</v>
      </c>
    </row>
    <row r="3405" spans="1:1" x14ac:dyDescent="0.25">
      <c r="A3405" s="27" t="s">
        <v>2420</v>
      </c>
    </row>
    <row r="3406" spans="1:1" x14ac:dyDescent="0.25">
      <c r="A3406" s="27" t="s">
        <v>2421</v>
      </c>
    </row>
    <row r="3407" spans="1:1" x14ac:dyDescent="0.25">
      <c r="A3407" s="27" t="s">
        <v>2422</v>
      </c>
    </row>
    <row r="3408" spans="1:1" x14ac:dyDescent="0.25">
      <c r="A3408" s="27" t="s">
        <v>2423</v>
      </c>
    </row>
    <row r="3409" spans="1:1" x14ac:dyDescent="0.25">
      <c r="A3409" s="27" t="s">
        <v>2424</v>
      </c>
    </row>
    <row r="3410" spans="1:1" x14ac:dyDescent="0.25">
      <c r="A3410" s="27" t="s">
        <v>2425</v>
      </c>
    </row>
    <row r="3411" spans="1:1" x14ac:dyDescent="0.25">
      <c r="A3411" s="27" t="s">
        <v>2426</v>
      </c>
    </row>
    <row r="3412" spans="1:1" x14ac:dyDescent="0.25">
      <c r="A3412" s="27" t="s">
        <v>2427</v>
      </c>
    </row>
    <row r="3413" spans="1:1" x14ac:dyDescent="0.25">
      <c r="A3413" s="27" t="s">
        <v>2428</v>
      </c>
    </row>
    <row r="3414" spans="1:1" x14ac:dyDescent="0.25">
      <c r="A3414" s="27" t="s">
        <v>2429</v>
      </c>
    </row>
    <row r="3415" spans="1:1" x14ac:dyDescent="0.25">
      <c r="A3415" s="27" t="s">
        <v>2430</v>
      </c>
    </row>
    <row r="3416" spans="1:1" x14ac:dyDescent="0.25">
      <c r="A3416" s="27" t="s">
        <v>2431</v>
      </c>
    </row>
    <row r="3417" spans="1:1" x14ac:dyDescent="0.25">
      <c r="A3417" s="27" t="s">
        <v>2432</v>
      </c>
    </row>
    <row r="3418" spans="1:1" x14ac:dyDescent="0.25">
      <c r="A3418" s="27" t="s">
        <v>2433</v>
      </c>
    </row>
    <row r="3419" spans="1:1" x14ac:dyDescent="0.25">
      <c r="A3419" s="27" t="s">
        <v>2434</v>
      </c>
    </row>
    <row r="3420" spans="1:1" x14ac:dyDescent="0.25">
      <c r="A3420" s="27" t="s">
        <v>2435</v>
      </c>
    </row>
    <row r="3421" spans="1:1" x14ac:dyDescent="0.25">
      <c r="A3421" s="27" t="s">
        <v>2436</v>
      </c>
    </row>
    <row r="3422" spans="1:1" x14ac:dyDescent="0.25">
      <c r="A3422" s="27" t="s">
        <v>2437</v>
      </c>
    </row>
    <row r="3423" spans="1:1" x14ac:dyDescent="0.25">
      <c r="A3423" s="27" t="s">
        <v>2438</v>
      </c>
    </row>
    <row r="3424" spans="1:1" x14ac:dyDescent="0.25">
      <c r="A3424" s="27" t="s">
        <v>2439</v>
      </c>
    </row>
    <row r="3425" spans="1:1" x14ac:dyDescent="0.25">
      <c r="A3425" s="27" t="s">
        <v>2440</v>
      </c>
    </row>
    <row r="3426" spans="1:1" x14ac:dyDescent="0.25">
      <c r="A3426" s="27" t="s">
        <v>2441</v>
      </c>
    </row>
    <row r="3427" spans="1:1" x14ac:dyDescent="0.25">
      <c r="A3427" s="27" t="s">
        <v>2442</v>
      </c>
    </row>
    <row r="3428" spans="1:1" x14ac:dyDescent="0.25">
      <c r="A3428" s="27" t="s">
        <v>2443</v>
      </c>
    </row>
    <row r="3429" spans="1:1" x14ac:dyDescent="0.25">
      <c r="A3429" s="27" t="s">
        <v>2444</v>
      </c>
    </row>
    <row r="3430" spans="1:1" x14ac:dyDescent="0.25">
      <c r="A3430" s="27" t="s">
        <v>2445</v>
      </c>
    </row>
    <row r="3431" spans="1:1" x14ac:dyDescent="0.25">
      <c r="A3431" s="27" t="s">
        <v>2446</v>
      </c>
    </row>
    <row r="3432" spans="1:1" x14ac:dyDescent="0.25">
      <c r="A3432" s="27" t="s">
        <v>2447</v>
      </c>
    </row>
    <row r="3433" spans="1:1" x14ac:dyDescent="0.25">
      <c r="A3433" s="27" t="s">
        <v>2448</v>
      </c>
    </row>
    <row r="3434" spans="1:1" x14ac:dyDescent="0.25">
      <c r="A3434" s="27" t="s">
        <v>2449</v>
      </c>
    </row>
    <row r="3435" spans="1:1" x14ac:dyDescent="0.25">
      <c r="A3435" s="27" t="s">
        <v>2450</v>
      </c>
    </row>
    <row r="3436" spans="1:1" x14ac:dyDescent="0.25">
      <c r="A3436" s="27" t="s">
        <v>2451</v>
      </c>
    </row>
    <row r="3437" spans="1:1" x14ac:dyDescent="0.25">
      <c r="A3437" s="27" t="s">
        <v>2452</v>
      </c>
    </row>
    <row r="3438" spans="1:1" x14ac:dyDescent="0.25">
      <c r="A3438" s="27" t="s">
        <v>2453</v>
      </c>
    </row>
    <row r="3439" spans="1:1" x14ac:dyDescent="0.25">
      <c r="A3439" s="27" t="s">
        <v>2454</v>
      </c>
    </row>
    <row r="3440" spans="1:1" x14ac:dyDescent="0.25">
      <c r="A3440" s="27" t="s">
        <v>2455</v>
      </c>
    </row>
    <row r="3441" spans="1:1" x14ac:dyDescent="0.25">
      <c r="A3441" s="27" t="s">
        <v>2456</v>
      </c>
    </row>
    <row r="3442" spans="1:1" x14ac:dyDescent="0.25">
      <c r="A3442" s="27" t="s">
        <v>2457</v>
      </c>
    </row>
    <row r="3443" spans="1:1" x14ac:dyDescent="0.25">
      <c r="A3443" s="27" t="s">
        <v>2458</v>
      </c>
    </row>
    <row r="3444" spans="1:1" x14ac:dyDescent="0.25">
      <c r="A3444" s="27" t="s">
        <v>2459</v>
      </c>
    </row>
    <row r="3445" spans="1:1" x14ac:dyDescent="0.25">
      <c r="A3445" s="27" t="s">
        <v>2460</v>
      </c>
    </row>
    <row r="3446" spans="1:1" x14ac:dyDescent="0.25">
      <c r="A3446" s="27" t="s">
        <v>2461</v>
      </c>
    </row>
    <row r="3447" spans="1:1" x14ac:dyDescent="0.25">
      <c r="A3447" s="27" t="s">
        <v>2462</v>
      </c>
    </row>
    <row r="3448" spans="1:1" x14ac:dyDescent="0.25">
      <c r="A3448" s="27" t="s">
        <v>2463</v>
      </c>
    </row>
    <row r="3449" spans="1:1" x14ac:dyDescent="0.25">
      <c r="A3449" s="27" t="s">
        <v>2464</v>
      </c>
    </row>
    <row r="3450" spans="1:1" x14ac:dyDescent="0.25">
      <c r="A3450" s="27" t="s">
        <v>2465</v>
      </c>
    </row>
    <row r="3451" spans="1:1" x14ac:dyDescent="0.25">
      <c r="A3451" s="27" t="s">
        <v>2466</v>
      </c>
    </row>
    <row r="3452" spans="1:1" x14ac:dyDescent="0.25">
      <c r="A3452" s="27" t="s">
        <v>2467</v>
      </c>
    </row>
    <row r="3453" spans="1:1" x14ac:dyDescent="0.25">
      <c r="A3453" s="27" t="s">
        <v>2468</v>
      </c>
    </row>
    <row r="3454" spans="1:1" x14ac:dyDescent="0.25">
      <c r="A3454" s="27" t="s">
        <v>2469</v>
      </c>
    </row>
    <row r="3455" spans="1:1" x14ac:dyDescent="0.25">
      <c r="A3455" s="27" t="s">
        <v>2470</v>
      </c>
    </row>
    <row r="3456" spans="1:1" x14ac:dyDescent="0.25">
      <c r="A3456" s="27" t="s">
        <v>2471</v>
      </c>
    </row>
    <row r="3457" spans="1:1" x14ac:dyDescent="0.25">
      <c r="A3457" s="27" t="s">
        <v>2472</v>
      </c>
    </row>
    <row r="3458" spans="1:1" x14ac:dyDescent="0.25">
      <c r="A3458" s="27" t="s">
        <v>2473</v>
      </c>
    </row>
    <row r="3459" spans="1:1" x14ac:dyDescent="0.25">
      <c r="A3459" s="27" t="s">
        <v>2474</v>
      </c>
    </row>
    <row r="3460" spans="1:1" x14ac:dyDescent="0.25">
      <c r="A3460" s="27" t="s">
        <v>2475</v>
      </c>
    </row>
    <row r="3461" spans="1:1" x14ac:dyDescent="0.25">
      <c r="A3461" s="27" t="s">
        <v>2476</v>
      </c>
    </row>
    <row r="3462" spans="1:1" x14ac:dyDescent="0.25">
      <c r="A3462" s="27" t="s">
        <v>2477</v>
      </c>
    </row>
    <row r="3463" spans="1:1" x14ac:dyDescent="0.25">
      <c r="A3463" s="27" t="s">
        <v>2478</v>
      </c>
    </row>
    <row r="3464" spans="1:1" x14ac:dyDescent="0.25">
      <c r="A3464" s="27" t="s">
        <v>2479</v>
      </c>
    </row>
    <row r="3465" spans="1:1" x14ac:dyDescent="0.25">
      <c r="A3465" s="27" t="s">
        <v>2480</v>
      </c>
    </row>
    <row r="3466" spans="1:1" x14ac:dyDescent="0.25">
      <c r="A3466" s="27" t="s">
        <v>2481</v>
      </c>
    </row>
    <row r="3467" spans="1:1" x14ac:dyDescent="0.25">
      <c r="A3467" s="27" t="s">
        <v>2482</v>
      </c>
    </row>
    <row r="3468" spans="1:1" x14ac:dyDescent="0.25">
      <c r="A3468" s="27" t="s">
        <v>2483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4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100" t="s">
        <v>57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23"/>
      <c r="AP1" s="23"/>
      <c r="AQ1" s="23"/>
      <c r="AR1" s="23"/>
      <c r="AS1" s="23"/>
      <c r="AT1" s="23"/>
      <c r="AU1" s="23"/>
      <c r="AV1" s="24"/>
    </row>
    <row r="2" spans="1:48" x14ac:dyDescent="0.25">
      <c r="A2" s="124" t="s">
        <v>26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5"/>
      <c r="M2" s="126" t="s">
        <v>27</v>
      </c>
      <c r="N2" s="126"/>
      <c r="O2" s="126"/>
      <c r="P2" s="126"/>
      <c r="Q2" s="126"/>
      <c r="R2" s="126" t="s">
        <v>28</v>
      </c>
      <c r="S2" s="126"/>
      <c r="T2" s="126"/>
      <c r="U2" s="126"/>
      <c r="V2" s="126"/>
      <c r="W2" s="126"/>
      <c r="X2" s="126"/>
      <c r="Y2" s="102" t="s">
        <v>41</v>
      </c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27"/>
      <c r="AM2" s="127"/>
      <c r="AN2" s="127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/>
      <c r="B4" s="2"/>
      <c r="C4" s="2"/>
      <c r="D4" s="15"/>
      <c r="E4" s="2"/>
      <c r="F4" s="2"/>
      <c r="G4" s="2"/>
      <c r="H4" s="2"/>
      <c r="I4" s="2"/>
      <c r="J4" s="2"/>
      <c r="K4" s="2"/>
      <c r="L4" s="2"/>
      <c r="M4" s="16"/>
      <c r="N4" s="16"/>
      <c r="O4" s="16"/>
      <c r="P4" s="16"/>
      <c r="Q4" s="16"/>
      <c r="R4" s="2"/>
      <c r="S4" s="2"/>
      <c r="T4" s="2"/>
      <c r="U4" s="2"/>
      <c r="V4" s="2"/>
      <c r="W4" s="2"/>
      <c r="X4" s="2"/>
      <c r="Y4" s="16"/>
      <c r="Z4" s="20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/>
      <c r="B5" s="2"/>
      <c r="C5" s="2"/>
      <c r="D5" s="15"/>
      <c r="E5" s="2"/>
      <c r="F5" s="2"/>
      <c r="G5" s="2"/>
      <c r="H5" s="2"/>
      <c r="I5" s="2"/>
      <c r="J5" s="2"/>
      <c r="K5" s="2"/>
      <c r="L5" s="2"/>
      <c r="M5" s="16"/>
      <c r="N5" s="16"/>
      <c r="O5" s="16"/>
      <c r="P5" s="21"/>
      <c r="Q5" s="16"/>
      <c r="R5" s="2"/>
      <c r="S5" s="2"/>
      <c r="T5" s="2"/>
      <c r="U5" s="2"/>
      <c r="V5" s="2"/>
      <c r="W5" s="2"/>
      <c r="X5" s="2"/>
      <c r="Y5" s="16"/>
      <c r="Z5" s="20"/>
      <c r="AA5" s="16"/>
      <c r="AB5" s="21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/>
      <c r="B6" s="2"/>
      <c r="C6" s="2"/>
      <c r="D6" s="15"/>
      <c r="E6" s="2"/>
      <c r="F6" s="2"/>
      <c r="G6" s="2"/>
      <c r="H6" s="2"/>
      <c r="I6" s="2"/>
      <c r="J6" s="2"/>
      <c r="K6" s="2"/>
      <c r="L6" s="2"/>
      <c r="M6" s="16"/>
      <c r="N6" s="16"/>
      <c r="O6" s="16"/>
      <c r="P6" s="21"/>
      <c r="Q6" s="16"/>
      <c r="R6" s="2"/>
      <c r="S6" s="2"/>
      <c r="T6" s="2"/>
      <c r="U6" s="2"/>
      <c r="V6" s="2"/>
      <c r="W6" s="2"/>
      <c r="X6" s="2"/>
      <c r="Y6" s="16"/>
      <c r="Z6" s="20"/>
      <c r="AA6" s="16"/>
      <c r="AB6" s="21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/>
      <c r="B7" s="2"/>
      <c r="C7" s="2"/>
      <c r="D7" s="15"/>
      <c r="E7" s="2"/>
      <c r="F7" s="2"/>
      <c r="G7" s="2"/>
      <c r="H7" s="2"/>
      <c r="I7" s="2"/>
      <c r="J7" s="2"/>
      <c r="K7" s="2"/>
      <c r="L7" s="2"/>
      <c r="M7" s="16"/>
      <c r="N7" s="16"/>
      <c r="O7" s="16"/>
      <c r="P7" s="21"/>
      <c r="Q7" s="16"/>
      <c r="R7" s="2"/>
      <c r="S7" s="2"/>
      <c r="T7" s="2"/>
      <c r="U7" s="2"/>
      <c r="V7" s="2"/>
      <c r="W7" s="2"/>
      <c r="X7" s="2"/>
      <c r="Y7" s="16"/>
      <c r="Z7" s="20"/>
      <c r="AA7" s="16"/>
      <c r="AB7" s="21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/>
      <c r="B8" s="2"/>
      <c r="C8" s="2"/>
      <c r="D8" s="15"/>
      <c r="E8" s="2"/>
      <c r="F8" s="2"/>
      <c r="G8" s="2"/>
      <c r="H8" s="2"/>
      <c r="I8" s="2"/>
      <c r="J8" s="2"/>
      <c r="K8" s="2"/>
      <c r="L8" s="2"/>
      <c r="M8" s="16"/>
      <c r="N8" s="16"/>
      <c r="O8" s="16"/>
      <c r="P8" s="21"/>
      <c r="Q8" s="16"/>
      <c r="R8" s="2"/>
      <c r="S8" s="2"/>
      <c r="T8" s="2"/>
      <c r="U8" s="2"/>
      <c r="V8" s="2"/>
      <c r="W8" s="2"/>
      <c r="X8" s="2"/>
      <c r="Y8" s="16"/>
      <c r="Z8" s="20"/>
      <c r="AA8" s="16"/>
      <c r="AB8" s="21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/>
      <c r="B9" s="2"/>
      <c r="C9" s="2"/>
      <c r="D9" s="15"/>
      <c r="E9" s="2"/>
      <c r="F9" s="2"/>
      <c r="G9" s="2"/>
      <c r="H9" s="2"/>
      <c r="I9" s="2"/>
      <c r="J9" s="2"/>
      <c r="K9" s="2"/>
      <c r="L9" s="2"/>
      <c r="M9" s="16"/>
      <c r="N9" s="16"/>
      <c r="O9" s="16"/>
      <c r="P9" s="21"/>
      <c r="Q9" s="16"/>
      <c r="R9" s="2"/>
      <c r="S9" s="2"/>
      <c r="T9" s="2"/>
      <c r="U9" s="2"/>
      <c r="V9" s="2"/>
      <c r="W9" s="2"/>
      <c r="X9" s="2"/>
      <c r="Y9" s="16"/>
      <c r="Z9" s="20"/>
      <c r="AA9" s="16"/>
      <c r="AB9" s="21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/>
      <c r="B10" s="2"/>
      <c r="C10" s="2"/>
      <c r="D10" s="15"/>
      <c r="E10" s="2"/>
      <c r="F10" s="2"/>
      <c r="G10" s="2"/>
      <c r="H10" s="2"/>
      <c r="I10" s="2"/>
      <c r="J10" s="2"/>
      <c r="K10" s="2"/>
      <c r="L10" s="2"/>
      <c r="M10" s="16"/>
      <c r="N10" s="16"/>
      <c r="O10" s="16"/>
      <c r="P10" s="21"/>
      <c r="Q10" s="16"/>
      <c r="R10" s="2"/>
      <c r="S10" s="2"/>
      <c r="T10" s="2"/>
      <c r="U10" s="2"/>
      <c r="V10" s="2"/>
      <c r="W10" s="2"/>
      <c r="X10" s="2"/>
      <c r="Y10" s="16"/>
      <c r="Z10" s="20"/>
      <c r="AA10" s="16"/>
      <c r="AB10" s="21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/>
      <c r="B11" s="2"/>
      <c r="C11" s="2"/>
      <c r="D11" s="15"/>
      <c r="E11" s="2"/>
      <c r="F11" s="2"/>
      <c r="G11" s="2"/>
      <c r="H11" s="2"/>
      <c r="I11" s="2"/>
      <c r="J11" s="2"/>
      <c r="K11" s="2"/>
      <c r="L11" s="2"/>
      <c r="M11" s="16"/>
      <c r="N11" s="16"/>
      <c r="O11" s="16"/>
      <c r="P11" s="21"/>
      <c r="Q11" s="16"/>
      <c r="R11" s="2"/>
      <c r="S11" s="2"/>
      <c r="T11" s="2"/>
      <c r="U11" s="2"/>
      <c r="V11" s="2"/>
      <c r="W11" s="2"/>
      <c r="X11" s="2"/>
      <c r="Y11" s="16"/>
      <c r="Z11" s="20"/>
      <c r="AA11" s="16"/>
      <c r="AB11" s="21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/>
      <c r="B12" s="2"/>
      <c r="C12" s="2"/>
      <c r="D12" s="15"/>
      <c r="E12" s="2"/>
      <c r="F12" s="2"/>
      <c r="G12" s="2"/>
      <c r="H12" s="2"/>
      <c r="I12" s="2"/>
      <c r="J12" s="2"/>
      <c r="K12" s="2"/>
      <c r="L12" s="2"/>
      <c r="M12" s="16"/>
      <c r="N12" s="16"/>
      <c r="O12" s="16"/>
      <c r="P12" s="21"/>
      <c r="Q12" s="16"/>
      <c r="R12" s="2"/>
      <c r="S12" s="2"/>
      <c r="T12" s="2"/>
      <c r="U12" s="2"/>
      <c r="V12" s="2"/>
      <c r="W12" s="2"/>
      <c r="X12" s="2"/>
      <c r="Y12" s="16"/>
      <c r="Z12" s="20"/>
      <c r="AA12" s="16"/>
      <c r="AB12" s="21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/>
      <c r="B13" s="2"/>
      <c r="C13" s="2"/>
      <c r="D13" s="15"/>
      <c r="E13" s="2"/>
      <c r="F13" s="2"/>
      <c r="G13" s="2"/>
      <c r="H13" s="2"/>
      <c r="I13" s="2"/>
      <c r="J13" s="2"/>
      <c r="K13" s="2"/>
      <c r="L13" s="2"/>
      <c r="M13" s="16"/>
      <c r="N13" s="16"/>
      <c r="O13" s="16"/>
      <c r="P13" s="21"/>
      <c r="Q13" s="16"/>
      <c r="R13" s="2"/>
      <c r="S13" s="2"/>
      <c r="T13" s="2"/>
      <c r="U13" s="2"/>
      <c r="V13" s="2"/>
      <c r="W13" s="2"/>
      <c r="X13" s="2"/>
      <c r="Y13" s="16"/>
      <c r="Z13" s="20"/>
      <c r="AA13" s="16"/>
      <c r="AB13" s="21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/>
      <c r="B14" s="2"/>
      <c r="C14" s="2"/>
      <c r="D14" s="15"/>
      <c r="E14" s="2"/>
      <c r="F14" s="2"/>
      <c r="G14" s="2"/>
      <c r="H14" s="2"/>
      <c r="I14" s="2"/>
      <c r="J14" s="2"/>
      <c r="K14" s="2"/>
      <c r="L14" s="2"/>
      <c r="M14" s="16"/>
      <c r="N14" s="16"/>
      <c r="O14" s="16"/>
      <c r="P14" s="21"/>
      <c r="Q14" s="16"/>
      <c r="R14" s="2"/>
      <c r="S14" s="2"/>
      <c r="T14" s="2"/>
      <c r="U14" s="2"/>
      <c r="V14" s="2"/>
      <c r="W14" s="2"/>
      <c r="X14" s="2"/>
      <c r="Y14" s="16"/>
      <c r="Z14" s="20"/>
      <c r="AA14" s="16"/>
      <c r="AB14" s="21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/>
      <c r="B15" s="2"/>
      <c r="C15" s="2"/>
      <c r="D15" s="15"/>
      <c r="E15" s="2"/>
      <c r="F15" s="2"/>
      <c r="G15" s="2"/>
      <c r="H15" s="2"/>
      <c r="I15" s="2"/>
      <c r="J15" s="2"/>
      <c r="K15" s="2"/>
      <c r="L15" s="2"/>
      <c r="M15" s="16"/>
      <c r="N15" s="16"/>
      <c r="O15" s="16"/>
      <c r="P15" s="21"/>
      <c r="Q15" s="16"/>
      <c r="R15" s="2"/>
      <c r="S15" s="2"/>
      <c r="T15" s="2"/>
      <c r="U15" s="2"/>
      <c r="V15" s="2"/>
      <c r="W15" s="2"/>
      <c r="X15" s="2"/>
      <c r="Y15" s="16"/>
      <c r="Z15" s="20"/>
      <c r="AA15" s="16"/>
      <c r="AB15" s="21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/>
      <c r="B16" s="2"/>
      <c r="C16" s="2"/>
      <c r="D16" s="15"/>
      <c r="E16" s="2"/>
      <c r="F16" s="2"/>
      <c r="G16" s="2"/>
      <c r="H16" s="2"/>
      <c r="I16" s="2"/>
      <c r="J16" s="2"/>
      <c r="K16" s="2"/>
      <c r="L16" s="2"/>
      <c r="M16" s="16"/>
      <c r="N16" s="16"/>
      <c r="O16" s="16"/>
      <c r="P16" s="21"/>
      <c r="Q16" s="16"/>
      <c r="R16" s="2"/>
      <c r="S16" s="2"/>
      <c r="T16" s="2"/>
      <c r="U16" s="2"/>
      <c r="V16" s="2"/>
      <c r="W16" s="2"/>
      <c r="X16" s="2"/>
      <c r="Y16" s="16"/>
      <c r="Z16" s="20"/>
      <c r="AA16" s="16"/>
      <c r="AB16" s="21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/>
      <c r="B17" s="2"/>
      <c r="C17" s="2"/>
      <c r="D17" s="15"/>
      <c r="E17" s="2"/>
      <c r="F17" s="2"/>
      <c r="G17" s="2"/>
      <c r="H17" s="2"/>
      <c r="I17" s="2"/>
      <c r="J17" s="2"/>
      <c r="K17" s="2"/>
      <c r="L17" s="2"/>
      <c r="M17" s="16"/>
      <c r="N17" s="16"/>
      <c r="O17" s="16"/>
      <c r="P17" s="21"/>
      <c r="Q17" s="16"/>
      <c r="R17" s="2"/>
      <c r="S17" s="2"/>
      <c r="T17" s="2"/>
      <c r="U17" s="2"/>
      <c r="V17" s="2"/>
      <c r="W17" s="2"/>
      <c r="X17" s="2"/>
      <c r="Y17" s="16"/>
      <c r="Z17" s="20"/>
      <c r="AA17" s="16"/>
      <c r="AB17" s="21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/>
      <c r="B18" s="2"/>
      <c r="C18" s="2"/>
      <c r="D18" s="15"/>
      <c r="E18" s="2"/>
      <c r="F18" s="2"/>
      <c r="G18" s="2"/>
      <c r="H18" s="2"/>
      <c r="I18" s="2"/>
      <c r="J18" s="2"/>
      <c r="K18" s="2"/>
      <c r="L18" s="2"/>
      <c r="M18" s="16"/>
      <c r="N18" s="16"/>
      <c r="O18" s="16"/>
      <c r="P18" s="21"/>
      <c r="Q18" s="16"/>
      <c r="R18" s="2"/>
      <c r="S18" s="2"/>
      <c r="T18" s="2"/>
      <c r="U18" s="2"/>
      <c r="V18" s="2"/>
      <c r="W18" s="2"/>
      <c r="X18" s="2"/>
      <c r="Y18" s="16"/>
      <c r="Z18" s="20"/>
      <c r="AA18" s="16"/>
      <c r="AB18" s="21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/>
      <c r="B19" s="2"/>
      <c r="C19" s="2"/>
      <c r="D19" s="15"/>
      <c r="E19" s="2"/>
      <c r="F19" s="2"/>
      <c r="G19" s="2"/>
      <c r="H19" s="2"/>
      <c r="I19" s="2"/>
      <c r="J19" s="2"/>
      <c r="K19" s="2"/>
      <c r="L19" s="2"/>
      <c r="M19" s="16"/>
      <c r="N19" s="16"/>
      <c r="O19" s="16"/>
      <c r="P19" s="21"/>
      <c r="Q19" s="16"/>
      <c r="R19" s="2"/>
      <c r="S19" s="2"/>
      <c r="T19" s="2"/>
      <c r="U19" s="2"/>
      <c r="V19" s="2"/>
      <c r="W19" s="2"/>
      <c r="X19" s="2"/>
      <c r="Y19" s="16"/>
      <c r="Z19" s="20"/>
      <c r="AA19" s="16"/>
      <c r="AB19" s="21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/>
      <c r="B20" s="2"/>
      <c r="C20" s="2"/>
      <c r="D20" s="15"/>
      <c r="E20" s="2"/>
      <c r="F20" s="2"/>
      <c r="G20" s="2"/>
      <c r="H20" s="2"/>
      <c r="I20" s="2"/>
      <c r="J20" s="2"/>
      <c r="K20" s="2"/>
      <c r="L20" s="2"/>
      <c r="M20" s="16"/>
      <c r="N20" s="16"/>
      <c r="O20" s="16"/>
      <c r="P20" s="21"/>
      <c r="Q20" s="16"/>
      <c r="R20" s="2"/>
      <c r="S20" s="2"/>
      <c r="T20" s="2"/>
      <c r="U20" s="2"/>
      <c r="V20" s="2"/>
      <c r="W20" s="2"/>
      <c r="X20" s="2"/>
      <c r="Y20" s="16"/>
      <c r="Z20" s="20"/>
      <c r="AA20" s="16"/>
      <c r="AB20" s="21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/>
      <c r="B21" s="2"/>
      <c r="C21" s="2"/>
      <c r="D21" s="15"/>
      <c r="E21" s="2"/>
      <c r="F21" s="2"/>
      <c r="G21" s="2"/>
      <c r="H21" s="2"/>
      <c r="I21" s="2"/>
      <c r="J21" s="2"/>
      <c r="K21" s="2"/>
      <c r="L21" s="2"/>
      <c r="M21" s="16"/>
      <c r="N21" s="16"/>
      <c r="O21" s="16"/>
      <c r="P21" s="21"/>
      <c r="Q21" s="16"/>
      <c r="R21" s="2"/>
      <c r="S21" s="2"/>
      <c r="T21" s="2"/>
      <c r="U21" s="2"/>
      <c r="V21" s="2"/>
      <c r="W21" s="2"/>
      <c r="X21" s="2"/>
      <c r="Y21" s="16"/>
      <c r="Z21" s="20"/>
      <c r="AA21" s="16"/>
      <c r="AB21" s="21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/>
      <c r="B22" s="2"/>
      <c r="C22" s="2"/>
      <c r="D22" s="15"/>
      <c r="E22" s="2"/>
      <c r="F22" s="2"/>
      <c r="G22" s="2"/>
      <c r="H22" s="2"/>
      <c r="I22" s="2"/>
      <c r="J22" s="2"/>
      <c r="K22" s="2"/>
      <c r="L22" s="2"/>
      <c r="M22" s="16"/>
      <c r="N22" s="16"/>
      <c r="O22" s="16"/>
      <c r="P22" s="21"/>
      <c r="Q22" s="16"/>
      <c r="R22" s="2"/>
      <c r="S22" s="2"/>
      <c r="T22" s="2"/>
      <c r="U22" s="2"/>
      <c r="V22" s="2"/>
      <c r="W22" s="2"/>
      <c r="X22" s="2"/>
      <c r="Y22" s="16"/>
      <c r="Z22" s="20"/>
      <c r="AA22" s="16"/>
      <c r="AB22" s="21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/>
      <c r="B23" s="2"/>
      <c r="C23" s="2"/>
      <c r="D23" s="15"/>
      <c r="E23" s="2"/>
      <c r="F23" s="2"/>
      <c r="G23" s="2"/>
      <c r="H23" s="2"/>
      <c r="I23" s="2"/>
      <c r="J23" s="2"/>
      <c r="K23" s="2"/>
      <c r="L23" s="2"/>
      <c r="M23" s="16"/>
      <c r="N23" s="16"/>
      <c r="O23" s="16"/>
      <c r="P23" s="21"/>
      <c r="Q23" s="16"/>
      <c r="R23" s="2"/>
      <c r="S23" s="2"/>
      <c r="T23" s="2"/>
      <c r="U23" s="2"/>
      <c r="V23" s="2"/>
      <c r="W23" s="2"/>
      <c r="X23" s="2"/>
      <c r="Y23" s="16"/>
      <c r="Z23" s="20"/>
      <c r="AA23" s="16"/>
      <c r="AB23" s="21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/>
      <c r="B24" s="2"/>
      <c r="C24" s="2"/>
      <c r="D24" s="15"/>
      <c r="E24" s="2"/>
      <c r="F24" s="2"/>
      <c r="G24" s="2"/>
      <c r="H24" s="2"/>
      <c r="I24" s="2"/>
      <c r="J24" s="2"/>
      <c r="K24" s="2"/>
      <c r="L24" s="2"/>
      <c r="M24" s="16"/>
      <c r="N24" s="16"/>
      <c r="O24" s="16"/>
      <c r="P24" s="21"/>
      <c r="Q24" s="16"/>
      <c r="R24" s="2"/>
      <c r="S24" s="2"/>
      <c r="T24" s="2"/>
      <c r="U24" s="2"/>
      <c r="V24" s="2"/>
      <c r="W24" s="2"/>
      <c r="X24" s="2"/>
      <c r="Y24" s="16"/>
      <c r="Z24" s="20"/>
      <c r="AA24" s="16"/>
      <c r="AB24" s="21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/>
      <c r="B25" s="2"/>
      <c r="C25" s="2"/>
      <c r="D25" s="15"/>
      <c r="E25" s="2"/>
      <c r="F25" s="2"/>
      <c r="G25" s="2"/>
      <c r="H25" s="2"/>
      <c r="I25" s="2"/>
      <c r="J25" s="2"/>
      <c r="K25" s="2"/>
      <c r="L25" s="2"/>
      <c r="M25" s="16"/>
      <c r="N25" s="16"/>
      <c r="O25" s="16"/>
      <c r="P25" s="21"/>
      <c r="Q25" s="16"/>
      <c r="R25" s="2"/>
      <c r="S25" s="2"/>
      <c r="T25" s="2"/>
      <c r="U25" s="2"/>
      <c r="V25" s="2"/>
      <c r="W25" s="2"/>
      <c r="X25" s="2"/>
      <c r="Y25" s="16"/>
      <c r="Z25" s="20"/>
      <c r="AA25" s="16"/>
      <c r="AB25" s="21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/>
      <c r="B26" s="2"/>
      <c r="C26" s="2"/>
      <c r="D26" s="15"/>
      <c r="E26" s="2"/>
      <c r="F26" s="2"/>
      <c r="G26" s="2"/>
      <c r="H26" s="2"/>
      <c r="I26" s="2"/>
      <c r="J26" s="2"/>
      <c r="K26" s="2"/>
      <c r="L26" s="2"/>
      <c r="M26" s="16"/>
      <c r="N26" s="16"/>
      <c r="O26" s="16"/>
      <c r="P26" s="21"/>
      <c r="Q26" s="16"/>
      <c r="R26" s="2"/>
      <c r="S26" s="2"/>
      <c r="T26" s="2"/>
      <c r="U26" s="2"/>
      <c r="V26" s="2"/>
      <c r="W26" s="2"/>
      <c r="X26" s="2"/>
      <c r="Y26" s="16"/>
      <c r="Z26" s="20"/>
      <c r="AA26" s="16"/>
      <c r="AB26" s="21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/>
      <c r="B27" s="2"/>
      <c r="C27" s="2"/>
      <c r="D27" s="15"/>
      <c r="E27" s="2"/>
      <c r="F27" s="2"/>
      <c r="G27" s="2"/>
      <c r="H27" s="2"/>
      <c r="I27" s="2"/>
      <c r="J27" s="2"/>
      <c r="K27" s="2"/>
      <c r="L27" s="2"/>
      <c r="M27" s="16"/>
      <c r="N27" s="16"/>
      <c r="O27" s="16"/>
      <c r="P27" s="21"/>
      <c r="Q27" s="16"/>
      <c r="R27" s="2"/>
      <c r="S27" s="2"/>
      <c r="T27" s="2"/>
      <c r="U27" s="2"/>
      <c r="V27" s="2"/>
      <c r="W27" s="2"/>
      <c r="X27" s="2"/>
      <c r="Y27" s="16"/>
      <c r="Z27" s="20"/>
      <c r="AA27" s="16"/>
      <c r="AB27" s="21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/>
      <c r="B28" s="2"/>
      <c r="C28" s="2"/>
      <c r="D28" s="15"/>
      <c r="E28" s="2"/>
      <c r="F28" s="2"/>
      <c r="G28" s="2"/>
      <c r="H28" s="2"/>
      <c r="I28" s="2"/>
      <c r="J28" s="2"/>
      <c r="K28" s="2"/>
      <c r="L28" s="2"/>
      <c r="M28" s="16"/>
      <c r="N28" s="16"/>
      <c r="O28" s="16"/>
      <c r="P28" s="21"/>
      <c r="Q28" s="16"/>
      <c r="R28" s="2"/>
      <c r="S28" s="2"/>
      <c r="T28" s="2"/>
      <c r="U28" s="2"/>
      <c r="V28" s="2"/>
      <c r="W28" s="2"/>
      <c r="X28" s="2"/>
      <c r="Y28" s="16"/>
      <c r="Z28" s="20"/>
      <c r="AA28" s="16"/>
      <c r="AB28" s="21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/>
      <c r="B29" s="2"/>
      <c r="C29" s="2"/>
      <c r="D29" s="15"/>
      <c r="E29" s="2"/>
      <c r="F29" s="2"/>
      <c r="G29" s="2"/>
      <c r="H29" s="2"/>
      <c r="I29" s="2"/>
      <c r="J29" s="2"/>
      <c r="K29" s="2"/>
      <c r="L29" s="2"/>
      <c r="M29" s="16"/>
      <c r="N29" s="16"/>
      <c r="O29" s="16"/>
      <c r="P29" s="21"/>
      <c r="Q29" s="16"/>
      <c r="R29" s="2"/>
      <c r="S29" s="2"/>
      <c r="T29" s="2"/>
      <c r="U29" s="2"/>
      <c r="V29" s="2"/>
      <c r="W29" s="2"/>
      <c r="X29" s="2"/>
      <c r="Y29" s="16"/>
      <c r="Z29" s="20"/>
      <c r="AA29" s="16"/>
      <c r="AB29" s="21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/>
      <c r="B30" s="2"/>
      <c r="C30" s="2"/>
      <c r="D30" s="15"/>
      <c r="E30" s="2"/>
      <c r="F30" s="2"/>
      <c r="G30" s="2"/>
      <c r="H30" s="2"/>
      <c r="I30" s="2"/>
      <c r="J30" s="2"/>
      <c r="K30" s="2"/>
      <c r="L30" s="2"/>
      <c r="M30" s="16"/>
      <c r="N30" s="16"/>
      <c r="O30" s="16"/>
      <c r="P30" s="21"/>
      <c r="Q30" s="16"/>
      <c r="R30" s="2"/>
      <c r="S30" s="2"/>
      <c r="T30" s="2"/>
      <c r="U30" s="2"/>
      <c r="V30" s="2"/>
      <c r="W30" s="2"/>
      <c r="X30" s="2"/>
      <c r="Y30" s="16"/>
      <c r="Z30" s="20"/>
      <c r="AA30" s="16"/>
      <c r="AB30" s="21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/>
      <c r="B31" s="2"/>
      <c r="C31" s="2"/>
      <c r="D31" s="15"/>
      <c r="E31" s="2"/>
      <c r="F31" s="2"/>
      <c r="G31" s="2"/>
      <c r="H31" s="2"/>
      <c r="I31" s="2"/>
      <c r="J31" s="2"/>
      <c r="K31" s="2"/>
      <c r="L31" s="2"/>
      <c r="M31" s="16"/>
      <c r="N31" s="16"/>
      <c r="O31" s="16"/>
      <c r="P31" s="21"/>
      <c r="Q31" s="16"/>
      <c r="R31" s="2"/>
      <c r="S31" s="2"/>
      <c r="T31" s="2"/>
      <c r="U31" s="2"/>
      <c r="V31" s="2"/>
      <c r="W31" s="2"/>
      <c r="X31" s="2"/>
      <c r="Y31" s="16"/>
      <c r="Z31" s="20"/>
      <c r="AA31" s="16"/>
      <c r="AB31" s="21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/>
      <c r="B32" s="2"/>
      <c r="C32" s="2"/>
      <c r="D32" s="15"/>
      <c r="E32" s="2"/>
      <c r="F32" s="2"/>
      <c r="G32" s="2"/>
      <c r="H32" s="2"/>
      <c r="I32" s="2"/>
      <c r="J32" s="2"/>
      <c r="K32" s="2"/>
      <c r="L32" s="2"/>
      <c r="M32" s="16"/>
      <c r="N32" s="16"/>
      <c r="O32" s="16"/>
      <c r="P32" s="21"/>
      <c r="Q32" s="16"/>
      <c r="R32" s="2"/>
      <c r="S32" s="2"/>
      <c r="T32" s="2"/>
      <c r="U32" s="2"/>
      <c r="V32" s="2"/>
      <c r="W32" s="2"/>
      <c r="X32" s="2"/>
      <c r="Y32" s="16"/>
      <c r="Z32" s="20"/>
      <c r="AA32" s="16"/>
      <c r="AB32" s="21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/>
      <c r="B33" s="2"/>
      <c r="C33" s="2"/>
      <c r="D33" s="15"/>
      <c r="E33" s="2"/>
      <c r="F33" s="2"/>
      <c r="G33" s="2"/>
      <c r="H33" s="2"/>
      <c r="I33" s="2"/>
      <c r="J33" s="2"/>
      <c r="K33" s="2"/>
      <c r="L33" s="2"/>
      <c r="M33" s="16"/>
      <c r="N33" s="16"/>
      <c r="O33" s="16"/>
      <c r="P33" s="21"/>
      <c r="Q33" s="16"/>
      <c r="R33" s="2"/>
      <c r="S33" s="2"/>
      <c r="T33" s="2"/>
      <c r="U33" s="2"/>
      <c r="V33" s="2"/>
      <c r="W33" s="2"/>
      <c r="X33" s="2"/>
      <c r="Y33" s="16"/>
      <c r="Z33" s="20"/>
      <c r="AA33" s="16"/>
      <c r="AB33" s="21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/>
      <c r="B34" s="2"/>
      <c r="C34" s="2"/>
      <c r="D34" s="15"/>
      <c r="E34" s="2"/>
      <c r="F34" s="2"/>
      <c r="G34" s="2"/>
      <c r="H34" s="2"/>
      <c r="I34" s="2"/>
      <c r="J34" s="2"/>
      <c r="K34" s="2"/>
      <c r="L34" s="2"/>
      <c r="M34" s="16"/>
      <c r="N34" s="16"/>
      <c r="O34" s="16"/>
      <c r="P34" s="21"/>
      <c r="Q34" s="16"/>
      <c r="R34" s="2"/>
      <c r="S34" s="2"/>
      <c r="T34" s="2"/>
      <c r="U34" s="2"/>
      <c r="V34" s="2"/>
      <c r="W34" s="2"/>
      <c r="X34" s="2"/>
      <c r="Y34" s="16"/>
      <c r="Z34" s="20"/>
      <c r="AA34" s="16"/>
      <c r="AB34" s="21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/>
      <c r="B35" s="2"/>
      <c r="C35" s="2"/>
      <c r="D35" s="15"/>
      <c r="E35" s="2"/>
      <c r="F35" s="2"/>
      <c r="G35" s="2"/>
      <c r="H35" s="2"/>
      <c r="I35" s="2"/>
      <c r="J35" s="2"/>
      <c r="K35" s="2"/>
      <c r="L35" s="2"/>
      <c r="M35" s="16"/>
      <c r="N35" s="16"/>
      <c r="O35" s="16"/>
      <c r="P35" s="21"/>
      <c r="Q35" s="16"/>
      <c r="R35" s="2"/>
      <c r="S35" s="2"/>
      <c r="T35" s="2"/>
      <c r="U35" s="2"/>
      <c r="V35" s="2"/>
      <c r="W35" s="2"/>
      <c r="X35" s="2"/>
      <c r="Y35" s="16"/>
      <c r="Z35" s="20"/>
      <c r="AA35" s="16"/>
      <c r="AB35" s="21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/>
      <c r="B36" s="2"/>
      <c r="C36" s="2"/>
      <c r="D36" s="15"/>
      <c r="E36" s="2"/>
      <c r="F36" s="2"/>
      <c r="G36" s="2"/>
      <c r="H36" s="2"/>
      <c r="I36" s="2"/>
      <c r="J36" s="2"/>
      <c r="K36" s="2"/>
      <c r="L36" s="2"/>
      <c r="M36" s="16"/>
      <c r="N36" s="16"/>
      <c r="O36" s="16"/>
      <c r="P36" s="21"/>
      <c r="Q36" s="16"/>
      <c r="R36" s="2"/>
      <c r="S36" s="2"/>
      <c r="T36" s="2"/>
      <c r="U36" s="2"/>
      <c r="V36" s="2"/>
      <c r="W36" s="2"/>
      <c r="X36" s="2"/>
      <c r="Y36" s="16"/>
      <c r="Z36" s="20"/>
      <c r="AA36" s="16"/>
      <c r="AB36" s="21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/>
      <c r="B37" s="2"/>
      <c r="C37" s="2"/>
      <c r="D37" s="15"/>
      <c r="E37" s="2"/>
      <c r="F37" s="2"/>
      <c r="G37" s="2"/>
      <c r="H37" s="2"/>
      <c r="I37" s="2"/>
      <c r="J37" s="2"/>
      <c r="K37" s="2"/>
      <c r="L37" s="2"/>
      <c r="M37" s="16"/>
      <c r="N37" s="16"/>
      <c r="O37" s="16"/>
      <c r="P37" s="21"/>
      <c r="Q37" s="16"/>
      <c r="R37" s="2"/>
      <c r="S37" s="2"/>
      <c r="T37" s="2"/>
      <c r="U37" s="2"/>
      <c r="V37" s="2"/>
      <c r="W37" s="2"/>
      <c r="X37" s="2"/>
      <c r="Y37" s="16"/>
      <c r="Z37" s="20"/>
      <c r="AA37" s="16"/>
      <c r="AB37" s="21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/>
      <c r="B38" s="2"/>
      <c r="C38" s="2"/>
      <c r="D38" s="15"/>
      <c r="E38" s="2"/>
      <c r="F38" s="2"/>
      <c r="G38" s="2"/>
      <c r="H38" s="2"/>
      <c r="I38" s="2"/>
      <c r="J38" s="2"/>
      <c r="K38" s="2"/>
      <c r="L38" s="2"/>
      <c r="M38" s="16"/>
      <c r="N38" s="16"/>
      <c r="O38" s="16"/>
      <c r="P38" s="21"/>
      <c r="Q38" s="16"/>
      <c r="R38" s="2"/>
      <c r="S38" s="2"/>
      <c r="T38" s="2"/>
      <c r="U38" s="2"/>
      <c r="V38" s="2"/>
      <c r="W38" s="2"/>
      <c r="X38" s="2"/>
      <c r="Y38" s="16"/>
      <c r="Z38" s="20"/>
      <c r="AA38" s="16"/>
      <c r="AB38" s="21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/>
      <c r="B39" s="2"/>
      <c r="C39" s="2"/>
      <c r="D39" s="15"/>
      <c r="E39" s="2"/>
      <c r="F39" s="2"/>
      <c r="G39" s="2"/>
      <c r="H39" s="2"/>
      <c r="I39" s="2"/>
      <c r="J39" s="2"/>
      <c r="K39" s="2"/>
      <c r="L39" s="2"/>
      <c r="M39" s="16"/>
      <c r="N39" s="16"/>
      <c r="O39" s="16"/>
      <c r="P39" s="21"/>
      <c r="Q39" s="16"/>
      <c r="R39" s="2"/>
      <c r="S39" s="2"/>
      <c r="T39" s="2"/>
      <c r="U39" s="2"/>
      <c r="V39" s="2"/>
      <c r="W39" s="2"/>
      <c r="X39" s="2"/>
      <c r="Y39" s="16"/>
      <c r="Z39" s="20"/>
      <c r="AA39" s="16"/>
      <c r="AB39" s="21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/>
      <c r="B40" s="2"/>
      <c r="C40" s="2"/>
      <c r="D40" s="15"/>
      <c r="E40" s="2"/>
      <c r="F40" s="2"/>
      <c r="G40" s="2"/>
      <c r="H40" s="2"/>
      <c r="I40" s="2"/>
      <c r="J40" s="2"/>
      <c r="K40" s="2"/>
      <c r="L40" s="2"/>
      <c r="M40" s="16"/>
      <c r="N40" s="16"/>
      <c r="O40" s="16"/>
      <c r="P40" s="21"/>
      <c r="Q40" s="16"/>
      <c r="R40" s="2"/>
      <c r="S40" s="2"/>
      <c r="T40" s="2"/>
      <c r="U40" s="2"/>
      <c r="V40" s="2"/>
      <c r="W40" s="2"/>
      <c r="X40" s="2"/>
      <c r="Y40" s="16"/>
      <c r="Z40" s="20"/>
      <c r="AA40" s="16"/>
      <c r="AB40" s="21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/>
      <c r="B41" s="2"/>
      <c r="C41" s="2"/>
      <c r="D41" s="15"/>
      <c r="E41" s="2"/>
      <c r="F41" s="2"/>
      <c r="G41" s="2"/>
      <c r="H41" s="2"/>
      <c r="I41" s="2"/>
      <c r="J41" s="2"/>
      <c r="K41" s="2"/>
      <c r="L41" s="2"/>
      <c r="M41" s="16"/>
      <c r="N41" s="16"/>
      <c r="O41" s="16"/>
      <c r="P41" s="21"/>
      <c r="Q41" s="16"/>
      <c r="R41" s="2"/>
      <c r="S41" s="2"/>
      <c r="T41" s="2"/>
      <c r="U41" s="2"/>
      <c r="V41" s="2"/>
      <c r="W41" s="2"/>
      <c r="X41" s="2"/>
      <c r="Y41" s="16"/>
      <c r="Z41" s="20"/>
      <c r="AA41" s="16"/>
      <c r="AB41" s="21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/>
      <c r="B42" s="2"/>
      <c r="C42" s="2"/>
      <c r="D42" s="15"/>
      <c r="E42" s="2"/>
      <c r="F42" s="2"/>
      <c r="G42" s="2"/>
      <c r="H42" s="2"/>
      <c r="I42" s="2"/>
      <c r="J42" s="2"/>
      <c r="K42" s="2"/>
      <c r="L42" s="2"/>
      <c r="M42" s="16"/>
      <c r="N42" s="16"/>
      <c r="O42" s="16"/>
      <c r="P42" s="21"/>
      <c r="Q42" s="16"/>
      <c r="R42" s="2"/>
      <c r="S42" s="2"/>
      <c r="T42" s="2"/>
      <c r="U42" s="2"/>
      <c r="V42" s="2"/>
      <c r="W42" s="2"/>
      <c r="X42" s="2"/>
      <c r="Y42" s="16"/>
      <c r="Z42" s="20"/>
      <c r="AA42" s="16"/>
      <c r="AB42" s="21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/>
      <c r="B43" s="2"/>
      <c r="C43" s="2"/>
      <c r="D43" s="15"/>
      <c r="E43" s="2"/>
      <c r="F43" s="2"/>
      <c r="G43" s="2"/>
      <c r="H43" s="2"/>
      <c r="I43" s="2"/>
      <c r="J43" s="2"/>
      <c r="K43" s="2"/>
      <c r="L43" s="2"/>
      <c r="M43" s="16"/>
      <c r="N43" s="16"/>
      <c r="O43" s="16"/>
      <c r="P43" s="21"/>
      <c r="Q43" s="16"/>
      <c r="R43" s="2"/>
      <c r="S43" s="2"/>
      <c r="T43" s="2"/>
      <c r="U43" s="2"/>
      <c r="V43" s="2"/>
      <c r="W43" s="2"/>
      <c r="X43" s="2"/>
      <c r="Y43" s="16"/>
      <c r="Z43" s="20"/>
      <c r="AA43" s="16"/>
      <c r="AB43" s="21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/>
      <c r="B44" s="2"/>
      <c r="C44" s="2"/>
      <c r="D44" s="15"/>
      <c r="E44" s="2"/>
      <c r="F44" s="2"/>
      <c r="G44" s="2"/>
      <c r="H44" s="2"/>
      <c r="I44" s="2"/>
      <c r="J44" s="2"/>
      <c r="K44" s="2"/>
      <c r="L44" s="2"/>
      <c r="M44" s="16"/>
      <c r="N44" s="16"/>
      <c r="O44" s="16"/>
      <c r="P44" s="21"/>
      <c r="Q44" s="16"/>
      <c r="R44" s="2"/>
      <c r="S44" s="2"/>
      <c r="T44" s="2"/>
      <c r="U44" s="2"/>
      <c r="V44" s="2"/>
      <c r="W44" s="2"/>
      <c r="X44" s="2"/>
      <c r="Y44" s="16"/>
      <c r="Z44" s="20"/>
      <c r="AA44" s="16"/>
      <c r="AB44" s="21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/>
      <c r="B45" s="2"/>
      <c r="C45" s="2"/>
      <c r="D45" s="15"/>
      <c r="E45" s="2"/>
      <c r="F45" s="2"/>
      <c r="G45" s="2"/>
      <c r="H45" s="2"/>
      <c r="I45" s="2"/>
      <c r="J45" s="2"/>
      <c r="K45" s="2"/>
      <c r="L45" s="2"/>
      <c r="M45" s="16"/>
      <c r="N45" s="16"/>
      <c r="O45" s="16"/>
      <c r="P45" s="21"/>
      <c r="Q45" s="16"/>
      <c r="R45" s="2"/>
      <c r="S45" s="2"/>
      <c r="T45" s="2"/>
      <c r="U45" s="2"/>
      <c r="V45" s="2"/>
      <c r="W45" s="2"/>
      <c r="X45" s="2"/>
      <c r="Y45" s="16"/>
      <c r="Z45" s="20"/>
      <c r="AA45" s="16"/>
      <c r="AB45" s="21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/>
      <c r="B46" s="2"/>
      <c r="C46" s="2"/>
      <c r="D46" s="15"/>
      <c r="E46" s="2"/>
      <c r="F46" s="2"/>
      <c r="G46" s="2"/>
      <c r="H46" s="2"/>
      <c r="I46" s="2"/>
      <c r="J46" s="2"/>
      <c r="K46" s="2"/>
      <c r="L46" s="2"/>
      <c r="M46" s="16"/>
      <c r="N46" s="16"/>
      <c r="O46" s="16"/>
      <c r="P46" s="21"/>
      <c r="Q46" s="16"/>
      <c r="R46" s="2"/>
      <c r="S46" s="2"/>
      <c r="T46" s="2"/>
      <c r="U46" s="2"/>
      <c r="V46" s="2"/>
      <c r="W46" s="2"/>
      <c r="X46" s="2"/>
      <c r="Y46" s="16"/>
      <c r="Z46" s="20"/>
      <c r="AA46" s="16"/>
      <c r="AB46" s="21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/>
      <c r="B47" s="2"/>
      <c r="C47" s="2"/>
      <c r="D47" s="15"/>
      <c r="E47" s="2"/>
      <c r="F47" s="2"/>
      <c r="G47" s="2"/>
      <c r="H47" s="2"/>
      <c r="I47" s="2"/>
      <c r="J47" s="2"/>
      <c r="K47" s="2"/>
      <c r="L47" s="2"/>
      <c r="M47" s="16"/>
      <c r="N47" s="16"/>
      <c r="O47" s="16"/>
      <c r="P47" s="21"/>
      <c r="Q47" s="16"/>
      <c r="R47" s="2"/>
      <c r="S47" s="2"/>
      <c r="T47" s="2"/>
      <c r="U47" s="2"/>
      <c r="V47" s="2"/>
      <c r="W47" s="2"/>
      <c r="X47" s="2"/>
      <c r="Y47" s="16"/>
      <c r="Z47" s="20"/>
      <c r="AA47" s="16"/>
      <c r="AB47" s="21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/>
      <c r="B48" s="2"/>
      <c r="C48" s="2"/>
      <c r="D48" s="15"/>
      <c r="E48" s="2"/>
      <c r="F48" s="2"/>
      <c r="G48" s="2"/>
      <c r="H48" s="2"/>
      <c r="I48" s="2"/>
      <c r="J48" s="2"/>
      <c r="K48" s="2"/>
      <c r="L48" s="2"/>
      <c r="M48" s="16"/>
      <c r="N48" s="16"/>
      <c r="O48" s="16"/>
      <c r="P48" s="21"/>
      <c r="Q48" s="16"/>
      <c r="R48" s="2"/>
      <c r="S48" s="2"/>
      <c r="T48" s="2"/>
      <c r="U48" s="2"/>
      <c r="V48" s="2"/>
      <c r="W48" s="2"/>
      <c r="X48" s="2"/>
      <c r="Y48" s="16"/>
      <c r="Z48" s="20"/>
      <c r="AA48" s="16"/>
      <c r="AB48" s="21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/>
      <c r="B49" s="2"/>
      <c r="C49" s="2"/>
      <c r="D49" s="15"/>
      <c r="E49" s="2"/>
      <c r="F49" s="2"/>
      <c r="G49" s="2"/>
      <c r="H49" s="2"/>
      <c r="I49" s="2"/>
      <c r="J49" s="2"/>
      <c r="K49" s="2"/>
      <c r="L49" s="2"/>
      <c r="M49" s="16"/>
      <c r="N49" s="16"/>
      <c r="O49" s="16"/>
      <c r="P49" s="21"/>
      <c r="Q49" s="16"/>
      <c r="R49" s="2"/>
      <c r="S49" s="2"/>
      <c r="T49" s="2"/>
      <c r="U49" s="2"/>
      <c r="V49" s="2"/>
      <c r="W49" s="2"/>
      <c r="X49" s="2"/>
      <c r="Y49" s="16"/>
      <c r="Z49" s="20"/>
      <c r="AA49" s="16"/>
      <c r="AB49" s="21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/>
      <c r="B50" s="2"/>
      <c r="C50" s="2"/>
      <c r="D50" s="15"/>
      <c r="E50" s="2"/>
      <c r="F50" s="2"/>
      <c r="G50" s="2"/>
      <c r="H50" s="2"/>
      <c r="I50" s="2"/>
      <c r="J50" s="2"/>
      <c r="K50" s="2"/>
      <c r="L50" s="2"/>
      <c r="M50" s="16"/>
      <c r="N50" s="16"/>
      <c r="O50" s="16"/>
      <c r="P50" s="21"/>
      <c r="Q50" s="16"/>
      <c r="R50" s="2"/>
      <c r="S50" s="2"/>
      <c r="T50" s="2"/>
      <c r="U50" s="2"/>
      <c r="V50" s="2"/>
      <c r="W50" s="2"/>
      <c r="X50" s="2"/>
      <c r="Y50" s="16"/>
      <c r="Z50" s="20"/>
      <c r="AA50" s="16"/>
      <c r="AB50" s="21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/>
      <c r="B51" s="2"/>
      <c r="C51" s="2"/>
      <c r="D51" s="15"/>
      <c r="E51" s="2"/>
      <c r="F51" s="2"/>
      <c r="G51" s="2"/>
      <c r="H51" s="2"/>
      <c r="I51" s="2"/>
      <c r="J51" s="2"/>
      <c r="K51" s="2"/>
      <c r="L51" s="2"/>
      <c r="M51" s="16"/>
      <c r="N51" s="16"/>
      <c r="O51" s="16"/>
      <c r="P51" s="21"/>
      <c r="Q51" s="16"/>
      <c r="R51" s="2"/>
      <c r="S51" s="2"/>
      <c r="T51" s="2"/>
      <c r="U51" s="2"/>
      <c r="V51" s="2"/>
      <c r="W51" s="2"/>
      <c r="X51" s="2"/>
      <c r="Y51" s="16"/>
      <c r="Z51" s="20"/>
      <c r="AA51" s="16"/>
      <c r="AB51" s="21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/>
      <c r="B52" s="2"/>
      <c r="C52" s="2"/>
      <c r="D52" s="15"/>
      <c r="E52" s="2"/>
      <c r="F52" s="2"/>
      <c r="G52" s="2"/>
      <c r="H52" s="2"/>
      <c r="I52" s="2"/>
      <c r="J52" s="2"/>
      <c r="K52" s="2"/>
      <c r="L52" s="2"/>
      <c r="M52" s="16"/>
      <c r="N52" s="16"/>
      <c r="O52" s="16"/>
      <c r="P52" s="21"/>
      <c r="Q52" s="16"/>
      <c r="R52" s="2"/>
      <c r="S52" s="2"/>
      <c r="T52" s="2"/>
      <c r="U52" s="2"/>
      <c r="V52" s="2"/>
      <c r="W52" s="2"/>
      <c r="X52" s="2"/>
      <c r="Y52" s="16"/>
      <c r="Z52" s="20"/>
      <c r="AA52" s="16"/>
      <c r="AB52" s="21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/>
      <c r="B53" s="2"/>
      <c r="C53" s="2"/>
      <c r="D53" s="15"/>
      <c r="E53" s="2"/>
      <c r="F53" s="2"/>
      <c r="G53" s="2"/>
      <c r="H53" s="2"/>
      <c r="I53" s="2"/>
      <c r="J53" s="2"/>
      <c r="K53" s="2"/>
      <c r="L53" s="2"/>
      <c r="M53" s="16"/>
      <c r="N53" s="16"/>
      <c r="O53" s="16"/>
      <c r="P53" s="21"/>
      <c r="Q53" s="16"/>
      <c r="R53" s="2"/>
      <c r="S53" s="2"/>
      <c r="T53" s="2"/>
      <c r="U53" s="2"/>
      <c r="V53" s="2"/>
      <c r="W53" s="2"/>
      <c r="X53" s="2"/>
      <c r="Y53" s="16"/>
      <c r="Z53" s="20"/>
      <c r="AA53" s="16"/>
      <c r="AB53" s="21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/>
      <c r="B54" s="2"/>
      <c r="C54" s="2"/>
      <c r="D54" s="15"/>
      <c r="E54" s="2"/>
      <c r="F54" s="2"/>
      <c r="G54" s="2"/>
      <c r="H54" s="2"/>
      <c r="I54" s="2"/>
      <c r="J54" s="2"/>
      <c r="K54" s="2"/>
      <c r="L54" s="2"/>
      <c r="M54" s="16"/>
      <c r="N54" s="16"/>
      <c r="O54" s="16"/>
      <c r="P54" s="21"/>
      <c r="Q54" s="16"/>
      <c r="R54" s="2"/>
      <c r="S54" s="2"/>
      <c r="T54" s="2"/>
      <c r="U54" s="2"/>
      <c r="V54" s="2"/>
      <c r="W54" s="2"/>
      <c r="X54" s="2"/>
      <c r="Y54" s="16"/>
      <c r="Z54" s="20"/>
      <c r="AA54" s="16"/>
      <c r="AB54" s="21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/>
      <c r="B55" s="2"/>
      <c r="C55" s="2"/>
      <c r="D55" s="15"/>
      <c r="E55" s="2"/>
      <c r="F55" s="2"/>
      <c r="G55" s="2"/>
      <c r="H55" s="2"/>
      <c r="I55" s="2"/>
      <c r="J55" s="2"/>
      <c r="K55" s="2"/>
      <c r="L55" s="2"/>
      <c r="M55" s="16"/>
      <c r="N55" s="16"/>
      <c r="O55" s="16"/>
      <c r="P55" s="21"/>
      <c r="Q55" s="16"/>
      <c r="R55" s="2"/>
      <c r="S55" s="2"/>
      <c r="T55" s="2"/>
      <c r="U55" s="2"/>
      <c r="V55" s="2"/>
      <c r="W55" s="2"/>
      <c r="X55" s="2"/>
      <c r="Y55" s="16"/>
      <c r="Z55" s="20"/>
      <c r="AA55" s="16"/>
      <c r="AB55" s="21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/>
      <c r="B56" s="2"/>
      <c r="C56" s="2"/>
      <c r="D56" s="15"/>
      <c r="E56" s="2"/>
      <c r="F56" s="2"/>
      <c r="G56" s="2"/>
      <c r="H56" s="2"/>
      <c r="I56" s="2"/>
      <c r="J56" s="2"/>
      <c r="K56" s="2"/>
      <c r="L56" s="2"/>
      <c r="M56" s="16"/>
      <c r="N56" s="16"/>
      <c r="O56" s="16"/>
      <c r="P56" s="21"/>
      <c r="Q56" s="16"/>
      <c r="R56" s="2"/>
      <c r="S56" s="2"/>
      <c r="T56" s="2"/>
      <c r="U56" s="2"/>
      <c r="V56" s="2"/>
      <c r="W56" s="2"/>
      <c r="X56" s="2"/>
      <c r="Y56" s="16"/>
      <c r="Z56" s="20"/>
      <c r="AA56" s="16"/>
      <c r="AB56" s="21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/>
      <c r="B57" s="2"/>
      <c r="C57" s="2"/>
      <c r="D57" s="15"/>
      <c r="E57" s="2"/>
      <c r="F57" s="2"/>
      <c r="G57" s="2"/>
      <c r="H57" s="2"/>
      <c r="I57" s="2"/>
      <c r="J57" s="2"/>
      <c r="K57" s="2"/>
      <c r="L57" s="2"/>
      <c r="M57" s="16"/>
      <c r="N57" s="16"/>
      <c r="O57" s="16"/>
      <c r="P57" s="21"/>
      <c r="Q57" s="16"/>
      <c r="R57" s="2"/>
      <c r="S57" s="2"/>
      <c r="T57" s="2"/>
      <c r="U57" s="2"/>
      <c r="V57" s="2"/>
      <c r="W57" s="2"/>
      <c r="X57" s="2"/>
      <c r="Y57" s="16"/>
      <c r="Z57" s="20"/>
      <c r="AA57" s="16"/>
      <c r="AB57" s="21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/>
      <c r="B58" s="2"/>
      <c r="C58" s="2"/>
      <c r="D58" s="15"/>
      <c r="E58" s="2"/>
      <c r="F58" s="2"/>
      <c r="G58" s="2"/>
      <c r="H58" s="2"/>
      <c r="I58" s="2"/>
      <c r="J58" s="2"/>
      <c r="K58" s="2"/>
      <c r="L58" s="2"/>
      <c r="M58" s="16"/>
      <c r="N58" s="16"/>
      <c r="O58" s="16"/>
      <c r="P58" s="21"/>
      <c r="Q58" s="16"/>
      <c r="R58" s="2"/>
      <c r="S58" s="2"/>
      <c r="T58" s="2"/>
      <c r="U58" s="2"/>
      <c r="V58" s="2"/>
      <c r="W58" s="2"/>
      <c r="X58" s="2"/>
      <c r="Y58" s="16"/>
      <c r="Z58" s="20"/>
      <c r="AA58" s="16"/>
      <c r="AB58" s="21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/>
      <c r="B59" s="2"/>
      <c r="C59" s="2"/>
      <c r="D59" s="15"/>
      <c r="E59" s="2"/>
      <c r="F59" s="2"/>
      <c r="G59" s="2"/>
      <c r="H59" s="2"/>
      <c r="I59" s="2"/>
      <c r="J59" s="2"/>
      <c r="K59" s="2"/>
      <c r="L59" s="2"/>
      <c r="M59" s="16"/>
      <c r="N59" s="16"/>
      <c r="O59" s="16"/>
      <c r="P59" s="21"/>
      <c r="Q59" s="16"/>
      <c r="R59" s="2"/>
      <c r="S59" s="2"/>
      <c r="T59" s="2"/>
      <c r="U59" s="2"/>
      <c r="V59" s="2"/>
      <c r="W59" s="2"/>
      <c r="X59" s="2"/>
      <c r="Y59" s="16"/>
      <c r="Z59" s="20"/>
      <c r="AA59" s="16"/>
      <c r="AB59" s="21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/>
      <c r="B60" s="2"/>
      <c r="C60" s="2"/>
      <c r="D60" s="15"/>
      <c r="E60" s="2"/>
      <c r="F60" s="2"/>
      <c r="G60" s="2"/>
      <c r="H60" s="2"/>
      <c r="I60" s="2"/>
      <c r="J60" s="2"/>
      <c r="K60" s="2"/>
      <c r="L60" s="2"/>
      <c r="M60" s="16"/>
      <c r="N60" s="16"/>
      <c r="O60" s="16"/>
      <c r="P60" s="21"/>
      <c r="Q60" s="16"/>
      <c r="R60" s="2"/>
      <c r="S60" s="2"/>
      <c r="T60" s="2"/>
      <c r="U60" s="2"/>
      <c r="V60" s="2"/>
      <c r="W60" s="2"/>
      <c r="X60" s="2"/>
      <c r="Y60" s="16"/>
      <c r="Z60" s="20"/>
      <c r="AA60" s="16"/>
      <c r="AB60" s="21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/>
      <c r="B61" s="2"/>
      <c r="C61" s="2"/>
      <c r="D61" s="15"/>
      <c r="E61" s="2"/>
      <c r="F61" s="2"/>
      <c r="G61" s="2"/>
      <c r="H61" s="2"/>
      <c r="I61" s="2"/>
      <c r="J61" s="2"/>
      <c r="K61" s="2"/>
      <c r="L61" s="2"/>
      <c r="M61" s="16"/>
      <c r="N61" s="16"/>
      <c r="O61" s="16"/>
      <c r="P61" s="21"/>
      <c r="Q61" s="16"/>
      <c r="R61" s="2"/>
      <c r="S61" s="2"/>
      <c r="T61" s="2"/>
      <c r="U61" s="2"/>
      <c r="V61" s="2"/>
      <c r="W61" s="2"/>
      <c r="X61" s="2"/>
      <c r="Y61" s="16"/>
      <c r="Z61" s="20"/>
      <c r="AA61" s="16"/>
      <c r="AB61" s="21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/>
      <c r="B62" s="2"/>
      <c r="C62" s="2"/>
      <c r="D62" s="15"/>
      <c r="E62" s="2"/>
      <c r="F62" s="2"/>
      <c r="G62" s="2"/>
      <c r="H62" s="2"/>
      <c r="I62" s="2"/>
      <c r="J62" s="2"/>
      <c r="K62" s="2"/>
      <c r="L62" s="2"/>
      <c r="M62" s="16"/>
      <c r="N62" s="16"/>
      <c r="O62" s="16"/>
      <c r="P62" s="21"/>
      <c r="Q62" s="16"/>
      <c r="R62" s="2"/>
      <c r="S62" s="2"/>
      <c r="T62" s="2"/>
      <c r="U62" s="2"/>
      <c r="V62" s="2"/>
      <c r="W62" s="2"/>
      <c r="X62" s="2"/>
      <c r="Y62" s="16"/>
      <c r="Z62" s="20"/>
      <c r="AA62" s="16"/>
      <c r="AB62" s="21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/>
      <c r="B63" s="2"/>
      <c r="C63" s="2"/>
      <c r="D63" s="15"/>
      <c r="E63" s="2"/>
      <c r="F63" s="2"/>
      <c r="G63" s="2"/>
      <c r="H63" s="2"/>
      <c r="I63" s="2"/>
      <c r="J63" s="2"/>
      <c r="K63" s="2"/>
      <c r="L63" s="2"/>
      <c r="M63" s="16"/>
      <c r="N63" s="16"/>
      <c r="O63" s="16"/>
      <c r="P63" s="21"/>
      <c r="Q63" s="16"/>
      <c r="R63" s="2"/>
      <c r="S63" s="2"/>
      <c r="T63" s="2"/>
      <c r="U63" s="2"/>
      <c r="V63" s="2"/>
      <c r="W63" s="2"/>
      <c r="X63" s="2"/>
      <c r="Y63" s="16"/>
      <c r="Z63" s="20"/>
      <c r="AA63" s="16"/>
      <c r="AB63" s="21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/>
      <c r="B64" s="2"/>
      <c r="C64" s="2"/>
      <c r="D64" s="15"/>
      <c r="E64" s="2"/>
      <c r="F64" s="2"/>
      <c r="G64" s="2"/>
      <c r="H64" s="2"/>
      <c r="I64" s="2"/>
      <c r="J64" s="2"/>
      <c r="K64" s="2"/>
      <c r="L64" s="2"/>
      <c r="M64" s="16"/>
      <c r="N64" s="16"/>
      <c r="O64" s="16"/>
      <c r="P64" s="21"/>
      <c r="Q64" s="16"/>
      <c r="R64" s="2"/>
      <c r="S64" s="2"/>
      <c r="T64" s="2"/>
      <c r="U64" s="2"/>
      <c r="V64" s="2"/>
      <c r="W64" s="2"/>
      <c r="X64" s="2"/>
      <c r="Y64" s="16"/>
      <c r="Z64" s="20"/>
      <c r="AA64" s="16"/>
      <c r="AB64" s="21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/>
      <c r="B65" s="2"/>
      <c r="C65" s="2"/>
      <c r="D65" s="15"/>
      <c r="E65" s="2"/>
      <c r="F65" s="2"/>
      <c r="G65" s="2"/>
      <c r="H65" s="2"/>
      <c r="I65" s="2"/>
      <c r="J65" s="2"/>
      <c r="K65" s="2"/>
      <c r="L65" s="2"/>
      <c r="M65" s="16"/>
      <c r="N65" s="16"/>
      <c r="O65" s="16"/>
      <c r="P65" s="21"/>
      <c r="Q65" s="16"/>
      <c r="R65" s="2"/>
      <c r="S65" s="2"/>
      <c r="T65" s="2"/>
      <c r="U65" s="2"/>
      <c r="V65" s="2"/>
      <c r="W65" s="2"/>
      <c r="X65" s="2"/>
      <c r="Y65" s="16"/>
      <c r="Z65" s="20"/>
      <c r="AA65" s="16"/>
      <c r="AB65" s="21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/>
      <c r="B66" s="2"/>
      <c r="C66" s="2"/>
      <c r="D66" s="15"/>
      <c r="E66" s="2"/>
      <c r="F66" s="2"/>
      <c r="G66" s="2"/>
      <c r="H66" s="2"/>
      <c r="I66" s="2"/>
      <c r="J66" s="2"/>
      <c r="K66" s="2"/>
      <c r="L66" s="2"/>
      <c r="M66" s="16"/>
      <c r="N66" s="16"/>
      <c r="O66" s="16"/>
      <c r="P66" s="21"/>
      <c r="Q66" s="16"/>
      <c r="R66" s="2"/>
      <c r="S66" s="2"/>
      <c r="T66" s="2"/>
      <c r="U66" s="2"/>
      <c r="V66" s="2"/>
      <c r="W66" s="2"/>
      <c r="X66" s="2"/>
      <c r="Y66" s="16"/>
      <c r="Z66" s="20"/>
      <c r="AA66" s="16"/>
      <c r="AB66" s="21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16"/>
      <c r="O67" s="16"/>
      <c r="P67" s="21"/>
      <c r="Q67" s="16"/>
      <c r="R67" s="2"/>
      <c r="S67" s="2"/>
      <c r="T67" s="2"/>
      <c r="U67" s="2"/>
      <c r="V67" s="2"/>
      <c r="W67" s="2"/>
      <c r="X67" s="2"/>
      <c r="Y67" s="16"/>
      <c r="Z67" s="20"/>
      <c r="AA67" s="16"/>
      <c r="AB67" s="21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16"/>
      <c r="O68" s="16"/>
      <c r="P68" s="21"/>
      <c r="Q68" s="16"/>
      <c r="R68" s="2"/>
      <c r="S68" s="2"/>
      <c r="T68" s="2"/>
      <c r="U68" s="2"/>
      <c r="V68" s="2"/>
      <c r="W68" s="2"/>
      <c r="X68" s="2"/>
      <c r="Y68" s="16"/>
      <c r="Z68" s="20"/>
      <c r="AA68" s="16"/>
      <c r="AB68" s="21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16"/>
      <c r="O69" s="16"/>
      <c r="P69" s="21"/>
      <c r="Q69" s="16"/>
      <c r="R69" s="2"/>
      <c r="S69" s="2"/>
      <c r="T69" s="2"/>
      <c r="U69" s="2"/>
      <c r="V69" s="2"/>
      <c r="W69" s="2"/>
      <c r="X69" s="2"/>
      <c r="Y69" s="16"/>
      <c r="Z69" s="20"/>
      <c r="AA69" s="16"/>
      <c r="AB69" s="21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16"/>
      <c r="O70" s="16"/>
      <c r="P70" s="21"/>
      <c r="Q70" s="16"/>
      <c r="R70" s="2"/>
      <c r="S70" s="2"/>
      <c r="T70" s="2"/>
      <c r="U70" s="2"/>
      <c r="V70" s="2"/>
      <c r="W70" s="2"/>
      <c r="X70" s="2"/>
      <c r="Y70" s="16"/>
      <c r="Z70" s="20"/>
      <c r="AA70" s="16"/>
      <c r="AB70" s="21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16"/>
      <c r="O71" s="16"/>
      <c r="P71" s="21"/>
      <c r="Q71" s="16"/>
      <c r="R71" s="2"/>
      <c r="S71" s="2"/>
      <c r="T71" s="2"/>
      <c r="U71" s="2"/>
      <c r="V71" s="2"/>
      <c r="W71" s="2"/>
      <c r="X71" s="2"/>
      <c r="Y71" s="16"/>
      <c r="Z71" s="20"/>
      <c r="AA71" s="16"/>
      <c r="AB71" s="21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16"/>
      <c r="O72" s="16"/>
      <c r="P72" s="21"/>
      <c r="Q72" s="16"/>
      <c r="R72" s="2"/>
      <c r="S72" s="2"/>
      <c r="T72" s="2"/>
      <c r="U72" s="2"/>
      <c r="V72" s="2"/>
      <c r="W72" s="2"/>
      <c r="X72" s="2"/>
      <c r="Y72" s="16"/>
      <c r="Z72" s="20"/>
      <c r="AA72" s="16"/>
      <c r="AB72" s="21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16"/>
      <c r="O73" s="16"/>
      <c r="P73" s="21"/>
      <c r="Q73" s="16"/>
      <c r="R73" s="2"/>
      <c r="S73" s="2"/>
      <c r="T73" s="2"/>
      <c r="U73" s="2"/>
      <c r="V73" s="2"/>
      <c r="W73" s="2"/>
      <c r="X73" s="2"/>
      <c r="Y73" s="16"/>
      <c r="Z73" s="20"/>
      <c r="AA73" s="16"/>
      <c r="AB73" s="21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16"/>
      <c r="O74" s="16"/>
      <c r="P74" s="21"/>
      <c r="Q74" s="16"/>
      <c r="R74" s="2"/>
      <c r="S74" s="2"/>
      <c r="T74" s="2"/>
      <c r="U74" s="2"/>
      <c r="V74" s="2"/>
      <c r="W74" s="2"/>
      <c r="X74" s="2"/>
      <c r="Y74" s="16"/>
      <c r="Z74" s="20"/>
      <c r="AA74" s="16"/>
      <c r="AB74" s="21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16"/>
      <c r="O75" s="16"/>
      <c r="P75" s="21"/>
      <c r="Q75" s="16"/>
      <c r="R75" s="2"/>
      <c r="S75" s="2"/>
      <c r="T75" s="2"/>
      <c r="U75" s="2"/>
      <c r="V75" s="2"/>
      <c r="W75" s="2"/>
      <c r="X75" s="2"/>
      <c r="Y75" s="16"/>
      <c r="Z75" s="20"/>
      <c r="AA75" s="16"/>
      <c r="AB75" s="21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16"/>
      <c r="O76" s="16"/>
      <c r="P76" s="21"/>
      <c r="Q76" s="16"/>
      <c r="R76" s="2"/>
      <c r="S76" s="2"/>
      <c r="T76" s="2"/>
      <c r="U76" s="2"/>
      <c r="V76" s="2"/>
      <c r="W76" s="2"/>
      <c r="X76" s="2"/>
      <c r="Y76" s="16"/>
      <c r="Z76" s="20"/>
      <c r="AA76" s="16"/>
      <c r="AB76" s="21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16"/>
      <c r="O77" s="16"/>
      <c r="P77" s="21"/>
      <c r="Q77" s="16"/>
      <c r="R77" s="2"/>
      <c r="S77" s="2"/>
      <c r="T77" s="2"/>
      <c r="U77" s="2"/>
      <c r="V77" s="2"/>
      <c r="W77" s="2"/>
      <c r="X77" s="2"/>
      <c r="Y77" s="16"/>
      <c r="Z77" s="20"/>
      <c r="AA77" s="16"/>
      <c r="AB77" s="21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16"/>
      <c r="O78" s="16"/>
      <c r="P78" s="21"/>
      <c r="Q78" s="16"/>
      <c r="R78" s="2"/>
      <c r="S78" s="2"/>
      <c r="T78" s="2"/>
      <c r="U78" s="2"/>
      <c r="V78" s="2"/>
      <c r="W78" s="2"/>
      <c r="X78" s="2"/>
      <c r="Y78" s="16"/>
      <c r="Z78" s="20"/>
      <c r="AA78" s="16"/>
      <c r="AB78" s="21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16"/>
      <c r="O79" s="16"/>
      <c r="P79" s="21"/>
      <c r="Q79" s="16"/>
      <c r="R79" s="2"/>
      <c r="S79" s="2"/>
      <c r="T79" s="2"/>
      <c r="U79" s="2"/>
      <c r="V79" s="2"/>
      <c r="W79" s="2"/>
      <c r="X79" s="2"/>
      <c r="Y79" s="16"/>
      <c r="Z79" s="20"/>
      <c r="AA79" s="16"/>
      <c r="AB79" s="21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16"/>
      <c r="O80" s="16"/>
      <c r="P80" s="21"/>
      <c r="Q80" s="16"/>
      <c r="R80" s="2"/>
      <c r="S80" s="2"/>
      <c r="T80" s="2"/>
      <c r="U80" s="2"/>
      <c r="V80" s="2"/>
      <c r="W80" s="2"/>
      <c r="X80" s="2"/>
      <c r="Y80" s="16"/>
      <c r="Z80" s="20"/>
      <c r="AA80" s="16"/>
      <c r="AB80" s="21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16"/>
      <c r="O81" s="16"/>
      <c r="P81" s="21"/>
      <c r="Q81" s="16"/>
      <c r="R81" s="2"/>
      <c r="S81" s="2"/>
      <c r="T81" s="2"/>
      <c r="U81" s="2"/>
      <c r="V81" s="2"/>
      <c r="W81" s="2"/>
      <c r="X81" s="2"/>
      <c r="Y81" s="16"/>
      <c r="Z81" s="20"/>
      <c r="AA81" s="16"/>
      <c r="AB81" s="21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16"/>
      <c r="O82" s="16"/>
      <c r="P82" s="21"/>
      <c r="Q82" s="16"/>
      <c r="R82" s="2"/>
      <c r="S82" s="2"/>
      <c r="T82" s="2"/>
      <c r="U82" s="2"/>
      <c r="V82" s="2"/>
      <c r="W82" s="2"/>
      <c r="X82" s="2"/>
      <c r="Y82" s="16"/>
      <c r="Z82" s="20"/>
      <c r="AA82" s="16"/>
      <c r="AB82" s="21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16"/>
      <c r="O83" s="16"/>
      <c r="P83" s="21"/>
      <c r="Q83" s="16"/>
      <c r="R83" s="2"/>
      <c r="S83" s="2"/>
      <c r="T83" s="2"/>
      <c r="U83" s="2"/>
      <c r="V83" s="2"/>
      <c r="W83" s="2"/>
      <c r="X83" s="2"/>
      <c r="Y83" s="16"/>
      <c r="Z83" s="20"/>
      <c r="AA83" s="16"/>
      <c r="AB83" s="21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16"/>
      <c r="O84" s="16"/>
      <c r="P84" s="21"/>
      <c r="Q84" s="16"/>
      <c r="R84" s="2"/>
      <c r="S84" s="2"/>
      <c r="T84" s="2"/>
      <c r="U84" s="2"/>
      <c r="V84" s="2"/>
      <c r="W84" s="2"/>
      <c r="X84" s="2"/>
      <c r="Y84" s="16"/>
      <c r="Z84" s="20"/>
      <c r="AA84" s="16"/>
      <c r="AB84" s="21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16"/>
      <c r="O85" s="16"/>
      <c r="P85" s="21"/>
      <c r="Q85" s="16"/>
      <c r="R85" s="2"/>
      <c r="S85" s="2"/>
      <c r="T85" s="2"/>
      <c r="U85" s="2"/>
      <c r="V85" s="2"/>
      <c r="W85" s="2"/>
      <c r="X85" s="2"/>
      <c r="Y85" s="16"/>
      <c r="Z85" s="20"/>
      <c r="AA85" s="16"/>
      <c r="AB85" s="21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16"/>
      <c r="O86" s="16"/>
      <c r="P86" s="21"/>
      <c r="Q86" s="16"/>
      <c r="R86" s="2"/>
      <c r="S86" s="2"/>
      <c r="T86" s="2"/>
      <c r="U86" s="2"/>
      <c r="V86" s="2"/>
      <c r="W86" s="2"/>
      <c r="X86" s="2"/>
      <c r="Y86" s="16"/>
      <c r="Z86" s="20"/>
      <c r="AA86" s="16"/>
      <c r="AB86" s="21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16"/>
      <c r="O87" s="16"/>
      <c r="P87" s="21"/>
      <c r="Q87" s="16"/>
      <c r="R87" s="2"/>
      <c r="S87" s="2"/>
      <c r="T87" s="2"/>
      <c r="U87" s="2"/>
      <c r="V87" s="2"/>
      <c r="W87" s="2"/>
      <c r="X87" s="2"/>
      <c r="Y87" s="16"/>
      <c r="Z87" s="20"/>
      <c r="AA87" s="16"/>
      <c r="AB87" s="21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16"/>
      <c r="O88" s="16"/>
      <c r="P88" s="21"/>
      <c r="Q88" s="16"/>
      <c r="R88" s="2"/>
      <c r="S88" s="2"/>
      <c r="T88" s="2"/>
      <c r="U88" s="2"/>
      <c r="V88" s="2"/>
      <c r="W88" s="2"/>
      <c r="X88" s="2"/>
      <c r="Y88" s="16"/>
      <c r="Z88" s="20"/>
      <c r="AA88" s="16"/>
      <c r="AB88" s="21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16"/>
      <c r="O89" s="16"/>
      <c r="P89" s="21"/>
      <c r="Q89" s="16"/>
      <c r="R89" s="2"/>
      <c r="S89" s="2"/>
      <c r="T89" s="2"/>
      <c r="U89" s="2"/>
      <c r="V89" s="2"/>
      <c r="W89" s="2"/>
      <c r="X89" s="2"/>
      <c r="Y89" s="16"/>
      <c r="Z89" s="20"/>
      <c r="AA89" s="16"/>
      <c r="AB89" s="21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16"/>
      <c r="O90" s="16"/>
      <c r="P90" s="21"/>
      <c r="Q90" s="16"/>
      <c r="R90" s="2"/>
      <c r="S90" s="2"/>
      <c r="T90" s="2"/>
      <c r="U90" s="2"/>
      <c r="V90" s="2"/>
      <c r="W90" s="2"/>
      <c r="X90" s="2"/>
      <c r="Y90" s="16"/>
      <c r="Z90" s="20"/>
      <c r="AA90" s="16"/>
      <c r="AB90" s="21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16"/>
      <c r="O91" s="16"/>
      <c r="P91" s="21"/>
      <c r="Q91" s="16"/>
      <c r="R91" s="2"/>
      <c r="S91" s="2"/>
      <c r="T91" s="2"/>
      <c r="U91" s="2"/>
      <c r="V91" s="2"/>
      <c r="W91" s="2"/>
      <c r="X91" s="2"/>
      <c r="Y91" s="16"/>
      <c r="Z91" s="20"/>
      <c r="AA91" s="16"/>
      <c r="AB91" s="21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16"/>
      <c r="O92" s="16"/>
      <c r="P92" s="21"/>
      <c r="Q92" s="16"/>
      <c r="R92" s="2"/>
      <c r="S92" s="2"/>
      <c r="T92" s="2"/>
      <c r="U92" s="2"/>
      <c r="V92" s="2"/>
      <c r="W92" s="2"/>
      <c r="X92" s="2"/>
      <c r="Y92" s="16"/>
      <c r="Z92" s="20"/>
      <c r="AA92" s="16"/>
      <c r="AB92" s="21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16"/>
      <c r="O93" s="16"/>
      <c r="P93" s="21"/>
      <c r="Q93" s="16"/>
      <c r="R93" s="2"/>
      <c r="S93" s="2"/>
      <c r="T93" s="2"/>
      <c r="U93" s="2"/>
      <c r="V93" s="2"/>
      <c r="W93" s="2"/>
      <c r="X93" s="2"/>
      <c r="Y93" s="16"/>
      <c r="Z93" s="20"/>
      <c r="AA93" s="16"/>
      <c r="AB93" s="21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  <row r="94" spans="1:40" x14ac:dyDescent="0.25">
      <c r="A94" s="2"/>
      <c r="B94" s="2"/>
      <c r="C94" s="2"/>
      <c r="D94" s="15"/>
      <c r="E94" s="2"/>
      <c r="F94" s="2"/>
      <c r="G94" s="2"/>
      <c r="H94" s="2"/>
      <c r="I94" s="2"/>
      <c r="J94" s="2"/>
      <c r="K94" s="2"/>
      <c r="L94" s="2"/>
      <c r="M94" s="16"/>
      <c r="N94" s="16"/>
      <c r="O94" s="16"/>
      <c r="P94" s="21"/>
      <c r="Q94" s="16"/>
      <c r="R94" s="2"/>
      <c r="S94" s="2"/>
      <c r="T94" s="2"/>
      <c r="U94" s="2"/>
      <c r="V94" s="2"/>
      <c r="W94" s="2"/>
      <c r="X94" s="2"/>
      <c r="Y94" s="16"/>
      <c r="Z94" s="20"/>
      <c r="AA94" s="16"/>
      <c r="AB94" s="21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2015-03-02T11:31:27Z</dcterms:modified>
</cp:coreProperties>
</file>