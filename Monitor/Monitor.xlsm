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91" i="15"/>
  <c r="Y91" i="15" s="1"/>
  <c r="W91" i="15"/>
  <c r="U91" i="15"/>
  <c r="X90" i="15"/>
  <c r="Y90" i="15" s="1"/>
  <c r="W90" i="15"/>
  <c r="U90" i="15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W81" i="15"/>
  <c r="U81" i="15"/>
  <c r="X80" i="15"/>
  <c r="W80" i="15"/>
  <c r="U80" i="15"/>
  <c r="X79" i="15"/>
  <c r="W79" i="15"/>
  <c r="U79" i="15"/>
  <c r="X78" i="15"/>
  <c r="W78" i="15"/>
  <c r="U78" i="15"/>
  <c r="X77" i="15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AE14" i="13"/>
  <c r="AE17" i="13"/>
  <c r="AE103" i="13"/>
  <c r="AE7" i="13"/>
  <c r="AE100" i="13"/>
  <c r="AE16" i="13"/>
  <c r="AE111" i="13"/>
  <c r="AE112" i="13"/>
  <c r="AE109" i="13"/>
  <c r="AE80" i="13"/>
  <c r="AE101" i="13"/>
  <c r="AE78" i="13"/>
  <c r="AE39" i="13"/>
  <c r="AE125" i="13"/>
  <c r="AE60" i="13"/>
  <c r="AE98" i="13"/>
  <c r="AE57" i="13"/>
  <c r="AE119" i="13"/>
  <c r="AE22" i="13"/>
  <c r="AE117" i="13"/>
  <c r="AE33" i="13"/>
  <c r="AE21" i="13"/>
  <c r="AE122" i="13"/>
  <c r="AE54" i="13"/>
  <c r="AE46" i="13"/>
  <c r="AE97" i="13"/>
  <c r="AE52" i="13"/>
  <c r="AE29" i="13"/>
  <c r="AE44" i="13"/>
  <c r="AE79" i="13"/>
  <c r="AE77" i="13"/>
  <c r="AE75" i="13"/>
  <c r="AE95" i="13"/>
  <c r="AE99" i="13"/>
  <c r="AE34" i="13"/>
  <c r="AE105" i="13"/>
  <c r="AE91" i="13"/>
  <c r="AE71" i="13"/>
  <c r="AE49" i="13"/>
  <c r="AE50" i="13"/>
  <c r="AE120" i="13"/>
  <c r="AE72" i="13"/>
  <c r="AE86" i="13"/>
  <c r="AE31" i="13"/>
  <c r="AE6" i="13"/>
  <c r="AE90" i="13"/>
  <c r="AE63" i="13"/>
  <c r="AE8" i="13"/>
  <c r="AE13" i="13"/>
  <c r="AE66" i="13"/>
  <c r="AE88" i="13"/>
  <c r="AE51" i="13"/>
  <c r="AE107" i="13"/>
  <c r="AE121" i="13"/>
  <c r="AE110" i="13"/>
  <c r="AE55" i="13"/>
  <c r="AE36" i="13"/>
  <c r="AE56" i="13"/>
  <c r="AE73" i="13"/>
  <c r="AE65" i="13"/>
  <c r="AE74" i="13"/>
  <c r="AE26" i="13"/>
  <c r="AE104" i="13"/>
  <c r="AE28" i="13"/>
  <c r="AE68" i="13"/>
  <c r="AE18" i="13"/>
  <c r="AE114" i="13"/>
  <c r="AE76" i="13"/>
  <c r="AE32" i="13"/>
  <c r="AE9" i="13"/>
  <c r="AE42" i="13"/>
  <c r="AE15" i="13"/>
  <c r="AE27" i="13"/>
  <c r="AE124" i="13"/>
  <c r="AE118" i="13"/>
  <c r="AE85" i="13"/>
  <c r="AE64" i="13"/>
  <c r="AE40" i="13"/>
  <c r="AE10" i="13"/>
  <c r="AE30" i="13"/>
  <c r="AE47" i="13"/>
  <c r="AE19" i="13"/>
  <c r="AE82" i="13"/>
  <c r="AE43" i="13"/>
  <c r="AE62" i="13"/>
  <c r="AE67" i="13"/>
  <c r="AE37" i="13"/>
  <c r="AE59" i="13"/>
  <c r="AE93" i="13"/>
  <c r="AE108" i="13"/>
  <c r="AE35" i="13"/>
  <c r="AE116" i="13"/>
  <c r="AE53" i="13"/>
  <c r="AE12" i="13"/>
  <c r="AE83" i="13"/>
  <c r="AE89" i="13"/>
  <c r="AE25" i="13"/>
  <c r="AE20" i="13"/>
  <c r="AE92" i="13"/>
  <c r="AE45" i="13"/>
  <c r="AE87" i="13"/>
  <c r="AE41" i="13"/>
  <c r="AE123" i="13"/>
  <c r="AE61" i="13"/>
  <c r="AE48" i="13"/>
  <c r="AE102" i="13"/>
  <c r="AE115" i="13"/>
  <c r="AE84" i="13"/>
  <c r="AE70" i="13"/>
  <c r="AE23" i="13"/>
  <c r="AE58" i="13"/>
  <c r="AE11" i="13"/>
  <c r="AE94" i="13"/>
  <c r="AE113" i="13"/>
  <c r="AE106" i="13"/>
  <c r="AE81" i="13"/>
  <c r="AE24" i="13"/>
  <c r="AE38" i="13"/>
  <c r="AE96" i="13"/>
  <c r="AE69" i="13"/>
  <c r="F64" i="15"/>
  <c r="D64" i="15"/>
  <c r="B64" i="15"/>
  <c r="H64" i="15"/>
  <c r="AA89" i="15"/>
  <c r="AA77" i="15"/>
  <c r="AA76" i="15"/>
  <c r="AA88" i="15"/>
  <c r="AA71" i="15"/>
  <c r="AA84" i="15"/>
  <c r="AA78" i="15"/>
  <c r="AA82" i="15"/>
  <c r="AA80" i="15"/>
  <c r="AA83" i="15"/>
  <c r="AA79" i="15"/>
  <c r="AA75" i="15"/>
  <c r="AA74" i="15"/>
  <c r="AA73" i="15"/>
  <c r="AA72" i="15"/>
  <c r="AA81" i="15"/>
  <c r="AA87" i="15"/>
  <c r="AA86" i="15"/>
  <c r="AA90" i="15"/>
  <c r="AA91" i="15"/>
  <c r="AA85" i="15"/>
  <c r="AC7" i="13" l="1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73" i="15"/>
  <c r="Y80" i="15"/>
  <c r="Y71" i="15"/>
  <c r="Y77" i="15"/>
  <c r="Y72" i="15"/>
  <c r="Y75" i="15"/>
  <c r="Y81" i="15"/>
  <c r="Y79" i="15"/>
  <c r="Y76" i="15"/>
  <c r="Y74" i="15"/>
  <c r="Y78" i="15"/>
  <c r="S37" i="15"/>
  <c r="T37" i="15" s="1"/>
  <c r="Q37" i="15"/>
  <c r="R37" i="15"/>
  <c r="Z89" i="15"/>
  <c r="Z82" i="15"/>
  <c r="Z80" i="15"/>
  <c r="Z81" i="15"/>
  <c r="Z84" i="15"/>
  <c r="Z72" i="15"/>
  <c r="Z79" i="15"/>
  <c r="Z74" i="15"/>
  <c r="Z83" i="15"/>
  <c r="Z77" i="15"/>
  <c r="Z71" i="15"/>
  <c r="Z75" i="15"/>
  <c r="Z73" i="15"/>
  <c r="Z76" i="15"/>
  <c r="Z78" i="15"/>
  <c r="Z91" i="15"/>
  <c r="Z90" i="15"/>
  <c r="Z87" i="15"/>
  <c r="Z88" i="15"/>
  <c r="Z85" i="15"/>
  <c r="Z86" i="15"/>
  <c r="AB82" i="15" l="1"/>
  <c r="AC82" i="15" s="1"/>
  <c r="AD82" i="15" s="1"/>
  <c r="AB91" i="15"/>
  <c r="AC91" i="15" s="1"/>
  <c r="AD91" i="15" s="1"/>
  <c r="AB87" i="15"/>
  <c r="AC87" i="15" s="1"/>
  <c r="AD87" i="15" s="1"/>
  <c r="AB81" i="15"/>
  <c r="AC81" i="15" s="1"/>
  <c r="AD81" i="15" s="1"/>
  <c r="AB76" i="15"/>
  <c r="AC76" i="15" s="1"/>
  <c r="AD76" i="15" s="1"/>
  <c r="AB90" i="15"/>
  <c r="AC90" i="15" s="1"/>
  <c r="AD90" i="15" s="1"/>
  <c r="AB88" i="15"/>
  <c r="AC88" i="15" s="1"/>
  <c r="AD88" i="15" s="1"/>
  <c r="AB71" i="15"/>
  <c r="AC71" i="15" s="1"/>
  <c r="AD71" i="15" s="1"/>
  <c r="AB83" i="15"/>
  <c r="AC83" i="15" s="1"/>
  <c r="AD83" i="15" s="1"/>
  <c r="AB89" i="15"/>
  <c r="AC89" i="15" s="1"/>
  <c r="AD89" i="15" s="1"/>
  <c r="AB74" i="15"/>
  <c r="AC74" i="15" s="1"/>
  <c r="AD74" i="15" s="1"/>
  <c r="AB72" i="15"/>
  <c r="AC72" i="15" s="1"/>
  <c r="AD72" i="15" s="1"/>
  <c r="AB86" i="15"/>
  <c r="AC86" i="15" s="1"/>
  <c r="AD86" i="15" s="1"/>
  <c r="AB85" i="15"/>
  <c r="AC85" i="15" s="1"/>
  <c r="AD85" i="15" s="1"/>
  <c r="AB84" i="15"/>
  <c r="AC84" i="15" s="1"/>
  <c r="AD84" i="15" s="1"/>
  <c r="AB77" i="15"/>
  <c r="AC77" i="15" s="1"/>
  <c r="AD77" i="15" s="1"/>
  <c r="AB75" i="15"/>
  <c r="AC75" i="15" s="1"/>
  <c r="AD75" i="15" s="1"/>
  <c r="AB80" i="15"/>
  <c r="AC80" i="15" s="1"/>
  <c r="AD80" i="15" s="1"/>
  <c r="AB78" i="15"/>
  <c r="AC78" i="15" s="1"/>
  <c r="AD78" i="15" s="1"/>
  <c r="AB79" i="15"/>
  <c r="AC79" i="15" s="1"/>
  <c r="AD79" i="15" s="1"/>
  <c r="AB73" i="15"/>
  <c r="AC73" i="15" s="1"/>
  <c r="AD73" i="15" s="1"/>
  <c r="AF4" i="13"/>
  <c r="AG69" i="15" l="1"/>
  <c r="W37" i="15" s="1"/>
  <c r="V37" i="15" s="1"/>
  <c r="S38" i="15"/>
  <c r="R38" i="15"/>
  <c r="R39" i="15" l="1"/>
  <c r="S41" i="15" s="1"/>
  <c r="S39" i="15"/>
  <c r="S42" i="15" s="1"/>
  <c r="R42" i="15"/>
  <c r="R41" i="15"/>
</calcChain>
</file>

<file path=xl/sharedStrings.xml><?xml version="1.0" encoding="utf-8"?>
<sst xmlns="http://schemas.openxmlformats.org/spreadsheetml/2006/main" count="1304" uniqueCount="333">
  <si>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</si>
  <si>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</si>
  <si>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</si>
  <si>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</si>
  <si>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</si>
  <si>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</si>
  <si>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</si>
  <si>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</si>
  <si>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</si>
  <si>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</si>
  <si>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</si>
  <si>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</si>
  <si>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</si>
  <si>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</si>
  <si>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</si>
  <si>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</si>
  <si>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</si>
  <si>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</si>
  <si>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</si>
  <si>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</si>
  <si>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</si>
  <si>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</si>
  <si>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</si>
  <si>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</si>
  <si>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</si>
  <si>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</si>
  <si>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</si>
  <si>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</si>
  <si>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</si>
  <si>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</si>
  <si>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</si>
  <si>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</si>
  <si>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</si>
  <si>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</si>
  <si>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</si>
  <si>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</si>
  <si>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</si>
  <si>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</si>
  <si>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</si>
  <si>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</si>
  <si>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</si>
  <si>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</si>
  <si>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</si>
  <si>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</si>
  <si>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</si>
  <si>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</si>
  <si>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</si>
  <si>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</si>
  <si>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</si>
  <si>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</si>
  <si>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</si>
  <si>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</si>
  <si>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</si>
  <si>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</si>
  <si>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</si>
  <si>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</si>
  <si>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</si>
  <si>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</si>
  <si>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</si>
  <si>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</si>
  <si>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</si>
  <si>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</si>
  <si>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</si>
  <si>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</si>
  <si>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</si>
  <si>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</si>
  <si>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</si>
  <si>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</si>
  <si>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</si>
  <si>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</si>
  <si>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</si>
  <si>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</si>
  <si>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</si>
  <si>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</si>
  <si>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</si>
  <si>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</si>
  <si>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</si>
  <si>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</si>
  <si>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</si>
  <si>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</si>
  <si>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</si>
  <si>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</si>
  <si>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</si>
  <si>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</si>
  <si>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</si>
  <si>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</si>
  <si>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</si>
  <si>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</si>
  <si>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</si>
  <si>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</si>
  <si>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</si>
  <si>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</si>
  <si>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</si>
  <si>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</si>
  <si>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</si>
  <si>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</si>
  <si>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</si>
  <si>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</si>
  <si>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</si>
  <si>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</si>
  <si>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</si>
  <si>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</si>
  <si>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</si>
  <si>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</si>
  <si>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</si>
  <si>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</si>
  <si>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</si>
  <si>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</si>
  <si>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</si>
  <si>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</si>
  <si>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</si>
  <si>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</si>
  <si>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</si>
  <si>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</si>
  <si>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</si>
  <si>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</si>
  <si>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</si>
  <si>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</si>
  <si>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</si>
  <si>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</si>
  <si>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</si>
  <si>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</si>
  <si>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</si>
  <si>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</si>
  <si>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</si>
  <si>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</si>
  <si>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</si>
  <si>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</si>
  <si>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</si>
  <si>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</si>
  <si>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</si>
  <si>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</si>
  <si>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</si>
  <si>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</si>
  <si>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</si>
  <si>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</si>
  <si>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</si>
  <si>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</si>
  <si>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</si>
  <si>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</si>
  <si>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</si>
  <si>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</si>
  <si>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</si>
  <si>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</si>
  <si>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</si>
  <si>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</si>
  <si>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</si>
  <si>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</si>
  <si>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</si>
  <si>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</si>
  <si>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</si>
  <si>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</si>
  <si>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</si>
  <si>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</si>
  <si>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</si>
  <si>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</si>
  <si>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</si>
  <si>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</si>
  <si>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</si>
  <si>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</si>
  <si>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</si>
  <si>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</si>
  <si>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</si>
  <si>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</si>
  <si>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</si>
  <si>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</si>
  <si>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</si>
  <si>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</si>
  <si>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</si>
  <si>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</si>
  <si>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</si>
  <si>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</si>
  <si>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</si>
  <si>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</si>
  <si>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</si>
  <si>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</si>
  <si>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</si>
  <si>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</si>
  <si>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</si>
  <si>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</si>
  <si>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</si>
  <si>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</si>
  <si>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</si>
  <si>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</si>
  <si>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</si>
  <si>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</si>
  <si>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</si>
  <si>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</si>
  <si>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</si>
  <si>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</si>
  <si>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</si>
  <si>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</si>
  <si>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</si>
  <si>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</si>
  <si>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</si>
  <si>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</si>
  <si>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</si>
  <si>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</si>
  <si>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Subscribed</t>
  </si>
  <si>
    <t>6BG5 P1505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</si>
  <si>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</si>
  <si>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</si>
  <si>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</si>
  <si>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</si>
  <si>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</si>
  <si>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</si>
  <si>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</si>
  <si>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6BG5 P1515</t>
  </si>
  <si>
    <t>6BG5 C1520</t>
  </si>
  <si>
    <t>6BG5 C1525</t>
  </si>
  <si>
    <t>6BG5 P1520</t>
  </si>
  <si>
    <t>6BG5 C1530</t>
  </si>
  <si>
    <t>STP LMT</t>
  </si>
  <si>
    <t>TWS Connected OK</t>
  </si>
  <si>
    <t>Canceled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</si>
  <si>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</si>
  <si>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</si>
  <si>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</si>
  <si>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</si>
  <si>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</si>
  <si>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</si>
  <si>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</si>
  <si>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</si>
  <si>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</si>
  <si>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</si>
  <si>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2015-2-6 9:54:2.838: Main - Initialize - initializing...</t>
  </si>
  <si>
    <t>2015-2-6 9:54:8.814: openOrderEx - I am here</t>
  </si>
  <si>
    <t>2015-2-6 9:54:17.675: OrderManagerView - updateMainSheetOrderHistory - An Error occurred Object variable or With block variable not set</t>
  </si>
  <si>
    <t>2015-2-6 9:54:17.685: OrderManagerView - updateOrderHistory - An Error occurred Object variable or With block variable not set</t>
  </si>
  <si>
    <t>2015-2-6 9:54:17.692: OrderManagerView - updateOrderHistory - An Error occurred Object variable or With block variable not set</t>
  </si>
  <si>
    <t>2015-2-6 9:54:17.699: OrderManagerView - updateOrderHistory - An Error occurred Object variable or With block variable not set</t>
  </si>
  <si>
    <t>2015-2-6 9:54:17.706: OrderManagerView - updateOrderHistory - An Error occurred Object variable or With block variable not set</t>
  </si>
  <si>
    <t>2015-2-6 9:54:17.713: OrderManagerView - updateOrderHistory - An Error occurred Object variable or With block variable not set</t>
  </si>
  <si>
    <t>2015-2-6 9:54:17.718: OrderManagerView - updateOrderHistory - An Error occurred Object variable or With block variable not set</t>
  </si>
  <si>
    <t>2015-2-6 9:54:17.721: OrderManagerView - updateOrderHistory - An Error occurred Object variable or With block variable not set</t>
  </si>
  <si>
    <t>2015-2-6 9:54:17.724: OrderManagerView - updateOrderHistory - An Error occurred Object variable or With block variable not set</t>
  </si>
  <si>
    <t>2015-2-6 9:54:17.727: OrderManagerView - updateOrderHistory - An Error occurred Object variable or With block variable not set</t>
  </si>
  <si>
    <t>2015-2-6 9:54:17.730: OrderManagerView - updateOrderHistory - An Error occurred Object variable or With block variable not set</t>
  </si>
  <si>
    <t>2015-2-6 9:54:17.733: OrderManagerView - updateOrderHistory - An Error occurred Object variable or With block variable not set</t>
  </si>
  <si>
    <t>2015-2-6 9:54:17.735: OrderManagerView - updateOrderHistory - An Error occurred Object variable or With block variable not set</t>
  </si>
  <si>
    <t>2015-2-6 9:54:17.738: OrderManagerView - updateOrderHistory - An Error occurred Object variable or With block variable not set</t>
  </si>
  <si>
    <t>2015-2-6 9:54:17.747: RTWSControl - orderStatus -  entering orderStatus id is 8727 status is PreSubmitted</t>
  </si>
  <si>
    <t>2015-2-6 9:54:17.748: OrderManager - UpdateOrderStatus - id 8727 Setting status to PreSubmitted workingOrderCount is now 0 workingQty 0</t>
  </si>
  <si>
    <t>2015-2-6 9:54:17.751: OrderManagerView - updateMainSheetOrderHistory - An Error occurred Object variable or With block variable not set</t>
  </si>
  <si>
    <t>2015-2-6 9:54:17.753: OrderManagerView - updateOrderHistory - An Error occurred Object variable or With block variable not set</t>
  </si>
  <si>
    <t>2015-2-6 9:54:17.756: OrderManagerView - updateOrderHistory - An Error occurred Object variable or With block variable not set</t>
  </si>
  <si>
    <t>2015-2-6 9:54:17.758: OrderManagerView - updateOrderHistory - An Error occurred Object variable or With block variable not set</t>
  </si>
  <si>
    <t>2015-2-6 9:54:17.760: OrderManagerView - updateOrderHistory - An Error occurred Object variable or With block variable not set</t>
  </si>
  <si>
    <t>2015-2-6 9:54:17.762: OrderManagerView - updateOrderHistory - An Error occurred Object variable or With block variable not set</t>
  </si>
  <si>
    <t>2015-2-6 9:54:17.764: OrderManagerView - updateOrderHistory - An Error occurred Object variable or With block variable not set</t>
  </si>
  <si>
    <t>2015-2-6 9:54:17.765: OrderManagerView - updateOrderHistory - An Error occurred Object variable or With block variable not set</t>
  </si>
  <si>
    <t>2015-2-6 9:54:17.767: OrderManagerView - updateOrderHistory - An Error occurred Object variable or With block variable not set</t>
  </si>
  <si>
    <t>2015-2-6 9:54:17.769: OrderManagerView - updateOrderHistory - An Error occurred Object variable or With block variable not set</t>
  </si>
  <si>
    <t>2015-2-6 9:54:17.772: OrderManagerView - updateOrderHistory - An Error occurred Object variable or With block variable not set</t>
  </si>
  <si>
    <t>2015-2-6 9:54:17.774: OrderManagerView - updateOrderHistory - An Error occurred Object variable or With block variable not set</t>
  </si>
  <si>
    <t>2015-2-6 9:54:17.776: OrderManagerView - updateOrderHistory - An Error occurred Object variable or With block variable not set</t>
  </si>
  <si>
    <t>2015-2-6 9:54:17.778: OrderManagerView - updateOrderHistory - An Error occurred Object variable or With block variable not set</t>
  </si>
  <si>
    <t>2015-2-6 9:54:17.780: RTWSControl - OrderStatus - Got OrderStatus Message id:8727 status: PreSubmitted filled: 0</t>
  </si>
  <si>
    <t>2015-2-6 9:54:17.782: RTWSControl - OrderStatus - exiting orderStatus</t>
  </si>
  <si>
    <t>2015-2-6 9:54:17.784: openOrderEnd - I am here</t>
  </si>
  <si>
    <t>2015-2-6 9:54:17.787: RTWSControl - nextValidId - entering nextValidId id is 8732</t>
  </si>
  <si>
    <t>2015-2-6 9:54:17.809: WatchlistView - initialize - an error occurredSelect method of Range class failed</t>
  </si>
  <si>
    <t>2015-2-6 9:54:17.838: RTWSControl - errMsg - got error message 2104:Market data farm connection is OK:usfuturewith id -1</t>
  </si>
  <si>
    <t>2015-2-6 9:54:17.848: RTWSControl - errMsg - got error message 2104:Market data farm connection is OK:usfuture.uswith id -1</t>
  </si>
  <si>
    <t>2015-2-6 9:54:17.878: RTWSControl - errMsg - got error message 2104:Market data farm connection is OK:cashfarmwith id -1</t>
  </si>
  <si>
    <t>2015-2-6 9:54:17.886: RTWSControl - errMsg - got error message 2104:Market data farm connection is OK:usfarmwith id -1</t>
  </si>
  <si>
    <t>2015-2-6 9:54:17.894: RTWSControl - errMsg - got error message 2106:HMDS data farm connection is OK:ilhmdswith id -1</t>
  </si>
  <si>
    <t>2015-2-6 9:54:18.54: RTWSControl - orderStatus -  entering orderStatus id is 8727 status is Cancelled</t>
  </si>
  <si>
    <t>2015-2-6 9:54:18.57: OrderManager - UpdateOrderStatus - id 8727 Setting status to Cancelled workingOrderCount is now 0 workingQty 0</t>
  </si>
  <si>
    <t>2015-2-6 9:54:18.66: OrderManagerView - updateMainSheetOrderHistory - An Error occurred Object variable or With block variable not set</t>
  </si>
  <si>
    <t>2015-2-6 9:54:18.76: OrderManagerView - updateOrderHistory - An Error occurred Object variable or With block variable not set</t>
  </si>
  <si>
    <t>2015-2-6 9:54:18.80: OrderManagerView - updateOrderHistory - An Error occurred Object variable or With block variable not set</t>
  </si>
  <si>
    <t>2015-2-6 9:54:18.85: OrderManagerView - updateOrderHistory - An Error occurred Object variable or With block variable not set</t>
  </si>
  <si>
    <t>2015-2-6 9:54:18.89: OrderManagerView - updateOrderHistory - An Error occurred Object variable or With block variable not set</t>
  </si>
  <si>
    <t>2015-2-6 9:54:18.93: OrderManagerView - updateOrderHistory - An Error occurred Object variable or With block variable not set</t>
  </si>
  <si>
    <t>2015-2-6 9:54:18.97: OrderManagerView - updateOrderHistory - An Error occurred Object variable or With block variable not set</t>
  </si>
  <si>
    <t>2015-2-6 9:54:18.101: OrderManagerView - updateOrderHistory - An Error occurred Object variable or With block variable not set</t>
  </si>
  <si>
    <t>2015-2-6 9:54:18.105: OrderManagerView - updateOrderHistory - An Error occurred Object variable or With block variable not set</t>
  </si>
  <si>
    <t>2015-2-6 9:54:18.108: OrderManagerView - updateOrderHistory - An Error occurred Object variable or With block variable not set</t>
  </si>
  <si>
    <t>2015-2-6 9:54:18.110: OrderManagerView - updateOrderHistory - An Error occurred Object variable or With block variable not set</t>
  </si>
  <si>
    <t>2015-2-6 9:54:18.112: OrderManagerView - updateOrderHistory - An Error occurred Object variable or With block variable not set</t>
  </si>
  <si>
    <t>2015-2-6 9:54:18.114: OrderManagerView - updateOrderHistory - An Error occurred Object variable or With block variable not set</t>
  </si>
  <si>
    <t>2015-2-6 9:54:18.117: OrderManagerView - updateOrderHistory - An Error occurred Object variable or With block variable not set</t>
  </si>
  <si>
    <t>2015-2-6 9:54:18.118: RTWSControl - OrderStatus - Got OrderStatus Message id:8727 status: Cancelled filled: 0</t>
  </si>
  <si>
    <t>2015-2-6 9:54:18.120: RTWSControl - OrderStatus - exiting orderStatus</t>
  </si>
  <si>
    <t>2015-2-6 9:54:18.129: RTWSControl - errMsg - got error message 202:Order Canceled - reason:with id 8727</t>
  </si>
  <si>
    <t>2015-2-6 9:54:18.130: OrderManager - canceledOrder - cleaning up after canceled order 8727BEWARE UNACCOUNTED FOR EXECUTIONS!!!</t>
  </si>
  <si>
    <t>2015-2-6 9:54:18.132: OrderManager - terminateOrder - cleaning up after Canceled 8727  order was supposed to SELL 37 1.5191 STP LMT workingQty/OrderCount now -37/-1</t>
  </si>
  <si>
    <t>2015-2-6 9:54:18.134: OrderManager - terminateOrder - terminating order who had no caller</t>
  </si>
  <si>
    <t>2015-2-6 9:54:18.135: OrderManagerView - updateOrderHistory - An Error occurred Object variable or With block variable not set</t>
  </si>
  <si>
    <t>2015-2-6 9:54:18.137: OrderManagerView - updateOrderHistory - An Error occurred Object variable or With block variable not set</t>
  </si>
  <si>
    <t>2015-2-6 9:54:18.140: OrderManagerView - updateOrderHistory - An Error occurred Object variable or With block variable not set</t>
  </si>
  <si>
    <t>2015-2-6 9:54:18.142: OrderManagerView - updateOrderHistory - An Error occurred Object variable or With block variable not set</t>
  </si>
  <si>
    <t>2015-2-6 9:54:18.143: OrderManagerView - updateOrderHistory - An Error occurred Object variable or With block variable not set</t>
  </si>
  <si>
    <t>2015-2-6 9:54:18.145: OrderManagerView - updateOrderHistory - An Error occurred Object variable or With block variable not set</t>
  </si>
  <si>
    <t>2015-2-6 9:54:18.147: OrderManagerView - updateOrderHistory - An Error occurred Object variable or With block variable not set</t>
  </si>
  <si>
    <t>2015-2-6 9:54:18.149: OrderManagerView - updateOrderHistory - An Error occurred Object variable or With block variable not set</t>
  </si>
  <si>
    <t>2015-2-6 9:54:18.152: OrderManagerView - updateOrderHistory - An Error occurred Object variable or With block variable not set</t>
  </si>
  <si>
    <t>2015-2-6 9:54:18.154: OrderManagerView - updateOrderHistory - An Error occurred Object variable or With block variable not set</t>
  </si>
  <si>
    <t>2015-2-6 9:54:18.155: OrderManagerView - updateOrderHistory - An Error occurred Object variable or With block variable not set</t>
  </si>
  <si>
    <t>2015-2-6 9:54:18.157: OrderManagerView - updateOrderHistory - An Error occurred Object variable or With block variable not set</t>
  </si>
  <si>
    <t>2015-2-6 9:54:18.159: OrderManagerView - updateOrderHistory - An Error occurred Object variable or With block variable not set</t>
  </si>
  <si>
    <t>2015-2-6 9:54:18.276: RTWSControl - contractDetailsEx - got contractDetails id 0 British pound 6BH5</t>
  </si>
  <si>
    <t>2015-2-6 9:54:18.290: RTWSControl - contractDetailsEnd - Got contract details end event</t>
  </si>
  <si>
    <t>2015-2-6 9:54:26.922: Algorithm - updatePortfolio - haveAllDetails is False</t>
  </si>
  <si>
    <t>2015-2-6 9:54:26.968: Algorithm - updatePortfolio - haveAllDetails is False</t>
  </si>
  <si>
    <t>2015-2-6 9:54:27.15: Algorithm - updatePortfolio - haveAllDetails is False</t>
  </si>
  <si>
    <t>2015-2-6 9:54:27.56: Algorithm - updatePortfolio - haveAllDetails is False</t>
  </si>
  <si>
    <t>2015-2-6 9:54:27.98: Algorithm - updatePortfolio - haveAllDetails is False</t>
  </si>
  <si>
    <t>2015-2-6 9:54:27.140: Algorithm - updatePortfolio - haveAllDetails is False</t>
  </si>
  <si>
    <t>2015-2-6 9:54:27.181: Algorithm - updatePortfolio - haveAllDetails is False</t>
  </si>
  <si>
    <t>2015-2-6 9:54:27.220: Algorithm - updatePortfolio - haveAllDetails is False</t>
  </si>
  <si>
    <t>2015-2-6 9:54:27.267: RTWSControl - contractDetailsEx - got contractDetails id 0 British pound 6BG5 P1505</t>
  </si>
  <si>
    <t>2015-2-6 9:54:27.273: RTWSControl - contractDetailsEnd - Got contract details end event</t>
  </si>
  <si>
    <t>2015-2-6 9:54:27.296: RTWSControl - contractDetailsEx - got contractDetails id 0 British pound 6BG5 P1515</t>
  </si>
  <si>
    <t>2015-2-6 9:54:27.302: RTWSControl - contractDetailsEnd - Got contract details end event</t>
  </si>
  <si>
    <t>2015-2-6 9:54:27.308: RTWSControl - contractDetailsEx - got contractDetails id 0 British pound 6BG5 C1520</t>
  </si>
  <si>
    <t>2015-2-6 9:54:27.337: RTWSControl - contractDetailsEnd - Got contract details end event</t>
  </si>
  <si>
    <t>2015-2-6 9:54:27.344: RTWSControl - contractDetailsEx - got contractDetails id 0 British pound 6BG5 C1525</t>
  </si>
  <si>
    <t>2015-2-6 9:54:27.350: RTWSControl - contractDetailsEnd - Got contract details end event</t>
  </si>
  <si>
    <t>2015-2-6 9:54:27.380: RTWSControl - contractDetailsEx - got contractDetails id 0 British pound 6BG5 P1520</t>
  </si>
  <si>
    <t>2015-2-6 9:54:27.386: RTWSControl - contractDetailsEnd - Got contract details end event</t>
  </si>
  <si>
    <t>2015-2-6 9:54:27.403: RTWSControl - contractDetailsEx - got contractDetails id 0 British pound 6BG5 C1530</t>
  </si>
  <si>
    <t>2015-2-6 9:54:27.421: RTWSControl - contractDetailsEnd - Got contract details end event</t>
  </si>
  <si>
    <t>2015-2-6 9:54:31.259: Algorithm - FindNextStrikes - price is 1.53174995 nextStrikeUp/Down 9999/1.53</t>
  </si>
  <si>
    <t>2015-2-6 9:54:31.262: Algorithm - getPortfolioForwardDelta - required deltas is 323 currentHedgePosition is 45</t>
  </si>
  <si>
    <t>2015-2-6 9:54:31.270: Algorithm - getHedgeShortfall - required deltas is 323 price is 1.53174995 currentHedgePositionDeltas is 45</t>
  </si>
  <si>
    <t>2015-2-6 9:54:31.276: Algorithm - processTransitionPoint - nextUpper/LowerStrikes are 9999/1.53 requiredDeltas/currentPosition/currentHedgeShortfall/direction/transitionPrice are 323/45/278/0/1.53174995</t>
  </si>
  <si>
    <t>2015-2-6 9:54:31.279: TransitionLogger - processTransitionpoint - checking transition - currentHedgeShortfall is 278</t>
  </si>
  <si>
    <t>2015-2-6 9:54:31.284: Algorithm - updatePortfolio - haveAllDetails is True</t>
  </si>
  <si>
    <t>2015-2-6 9:55:3.906: Algorithm - rehedge - rehedging 278 contracts</t>
  </si>
  <si>
    <t>2015-2-6 9:55:3.907: Algortihm - rehedge - inside the loop</t>
  </si>
  <si>
    <t>2015-2-6 9:55:3.908: OrderManager - PlaceOrder - id 8732 workingQty -32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</si>
</sst>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19" fillId="0" borderId="0" xfId="0" applyFont="1"/>
    <xf numFmtId="0" fontId="20" fillId="0" borderId="0" xfId="0" applyFo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18" fillId="6" borderId="0" xfId="0" applyFont="1" applyFill="1" applyBorder="1" applyAlignment="1">
      <alignment horizontal="center"/>
    </xf>
    <xf numFmtId="0" fontId="18" fillId="6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6" xfId="0" applyFont="1" applyFill="1" applyBorder="1" applyAlignment="1">
      <alignment horizontal="center"/>
    </xf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59348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383931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1196487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1200151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21248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923924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33"/>
  <sheetViews>
    <sheetView tabSelected="1" topLeftCell="A25" zoomScale="65" zoomScaleNormal="65" workbookViewId="0">
      <selection activeCell="A63" sqref="A63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184</v>
      </c>
      <c r="C1">
        <v>3</v>
      </c>
      <c r="D1" t="s">
        <v>185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95" t="s">
        <v>124</v>
      </c>
      <c r="B6" s="95"/>
      <c r="C6" s="95"/>
      <c r="D6" s="95"/>
      <c r="E6" s="95" t="s">
        <v>125</v>
      </c>
      <c r="F6" s="95"/>
      <c r="G6" s="95" t="s">
        <v>126</v>
      </c>
      <c r="H6" s="95"/>
      <c r="I6" s="95" t="s">
        <v>127</v>
      </c>
      <c r="J6" s="95"/>
      <c r="K6" s="95" t="s">
        <v>128</v>
      </c>
      <c r="L6" s="95"/>
      <c r="M6" s="95" t="s">
        <v>129</v>
      </c>
      <c r="N6" s="95"/>
      <c r="O6" s="95"/>
      <c r="P6" s="95"/>
      <c r="Q6" s="95"/>
      <c r="R6" s="95"/>
      <c r="S6" s="95"/>
      <c r="T6" s="95"/>
      <c r="U6" s="61"/>
      <c r="V6" s="61"/>
      <c r="W6" s="61"/>
      <c r="AF6" s="36"/>
    </row>
    <row r="7" spans="1:32" x14ac:dyDescent="0.25">
      <c r="A7" s="108" t="s">
        <v>130</v>
      </c>
      <c r="B7" s="108"/>
      <c r="C7" s="108">
        <v>7497</v>
      </c>
      <c r="D7" s="108"/>
      <c r="E7" s="108">
        <v>7</v>
      </c>
      <c r="F7" s="108"/>
      <c r="G7" s="108">
        <v>5</v>
      </c>
      <c r="H7" s="108"/>
      <c r="I7" s="109">
        <v>0.96388888888888891</v>
      </c>
      <c r="J7" s="110"/>
      <c r="K7" s="106" t="s">
        <v>213</v>
      </c>
      <c r="L7" s="107"/>
      <c r="M7" s="104"/>
      <c r="N7" s="105"/>
      <c r="O7" s="104"/>
      <c r="P7" s="105"/>
      <c r="Q7" s="104"/>
      <c r="R7" s="105"/>
      <c r="S7" s="104"/>
      <c r="T7" s="105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03" t="s">
        <v>135</v>
      </c>
      <c r="B12" s="103"/>
      <c r="C12" s="103" t="s">
        <v>136</v>
      </c>
      <c r="D12" s="103"/>
      <c r="E12" s="65" t="s">
        <v>137</v>
      </c>
      <c r="F12" s="65"/>
      <c r="G12" s="103" t="s">
        <v>138</v>
      </c>
      <c r="H12" s="103"/>
      <c r="I12" s="103" t="s">
        <v>139</v>
      </c>
      <c r="J12" s="103"/>
      <c r="K12" s="95" t="s">
        <v>140</v>
      </c>
      <c r="L12" s="95"/>
      <c r="M12" s="95" t="s">
        <v>141</v>
      </c>
      <c r="N12" s="95"/>
      <c r="O12" s="61" t="s">
        <v>142</v>
      </c>
      <c r="P12" s="61"/>
      <c r="Q12" s="61" t="s">
        <v>143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962158.98</v>
      </c>
      <c r="B13" s="3"/>
      <c r="C13" s="5">
        <v>862853.14</v>
      </c>
      <c r="D13" s="3"/>
      <c r="E13" s="5">
        <v>701413.78</v>
      </c>
      <c r="F13" s="5"/>
      <c r="G13" s="5">
        <v>99305.84</v>
      </c>
      <c r="H13" s="5"/>
      <c r="I13" s="5">
        <v>729</v>
      </c>
      <c r="J13" s="5"/>
      <c r="K13" s="6">
        <v>0</v>
      </c>
      <c r="L13" s="4"/>
      <c r="M13" s="62" t="s">
        <v>198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6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Y19" s="39"/>
      <c r="Z19" s="39"/>
      <c r="AA19" s="39"/>
      <c r="AB19" s="39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8">
        <v>5</v>
      </c>
      <c r="F21" s="98"/>
      <c r="G21" s="81">
        <v>5</v>
      </c>
      <c r="H21" s="81">
        <v>10</v>
      </c>
      <c r="I21" s="81">
        <v>0.2</v>
      </c>
      <c r="J21" s="81"/>
      <c r="K21" s="99">
        <v>8</v>
      </c>
      <c r="L21" s="100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154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155</v>
      </c>
      <c r="Q26" s="10"/>
      <c r="R26" s="10" t="s">
        <v>156</v>
      </c>
      <c r="S26" s="10" t="s">
        <v>157</v>
      </c>
      <c r="T26" s="10" t="s">
        <v>158</v>
      </c>
      <c r="U26" s="10" t="s">
        <v>159</v>
      </c>
      <c r="V26" s="10" t="s">
        <v>160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180</v>
      </c>
      <c r="I27" s="64" t="s">
        <v>25</v>
      </c>
      <c r="J27" s="64">
        <v>45</v>
      </c>
      <c r="K27" s="64">
        <v>1.5319</v>
      </c>
      <c r="L27" s="64"/>
      <c r="M27" s="64">
        <v>10</v>
      </c>
      <c r="N27" s="64">
        <v>1.5318000000000001</v>
      </c>
      <c r="O27" s="64">
        <v>1.5319</v>
      </c>
      <c r="P27" s="64">
        <v>5</v>
      </c>
      <c r="Q27" s="64"/>
      <c r="R27" s="64">
        <v>1.53174995</v>
      </c>
      <c r="S27" s="64">
        <v>4308046.7699999996</v>
      </c>
      <c r="T27" s="64">
        <v>95226.641220000005</v>
      </c>
      <c r="U27" s="64">
        <v>22847.919999999998</v>
      </c>
      <c r="V27" s="64">
        <v>0</v>
      </c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101" t="s">
        <v>161</v>
      </c>
      <c r="D29" s="102"/>
      <c r="E29" s="12">
        <v>1.53</v>
      </c>
      <c r="F29" s="12"/>
      <c r="G29" s="102" t="s">
        <v>162</v>
      </c>
      <c r="H29" s="102"/>
      <c r="I29" s="12">
        <v>9999</v>
      </c>
      <c r="J29" s="12"/>
      <c r="K29" s="102" t="s">
        <v>163</v>
      </c>
      <c r="L29" s="102"/>
      <c r="M29" s="12">
        <v>323</v>
      </c>
      <c r="N29" s="13"/>
      <c r="O29" s="102" t="s">
        <v>164</v>
      </c>
      <c r="P29" s="102"/>
      <c r="Q29" s="30">
        <v>1.5318314666666668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101"/>
      <c r="D30" s="102"/>
      <c r="E30" s="12">
        <v>18</v>
      </c>
      <c r="F30" s="12"/>
      <c r="G30" s="102" t="s">
        <v>194</v>
      </c>
      <c r="H30" s="102"/>
      <c r="I30" s="12">
        <v>99974682</v>
      </c>
      <c r="J30" s="12"/>
      <c r="K30" s="102" t="s">
        <v>195</v>
      </c>
      <c r="L30" s="102"/>
      <c r="M30" s="12">
        <v>45</v>
      </c>
      <c r="N30" s="13"/>
      <c r="O30" s="102" t="s">
        <v>165</v>
      </c>
      <c r="P30" s="102"/>
      <c r="Q30" s="30">
        <v>1.5318026397821187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101"/>
      <c r="D31" s="102"/>
      <c r="E31" s="12">
        <v>17</v>
      </c>
      <c r="F31" s="12"/>
      <c r="G31" s="102" t="s">
        <v>192</v>
      </c>
      <c r="H31" s="102"/>
      <c r="I31" s="12">
        <v>99974681</v>
      </c>
      <c r="J31" s="12"/>
      <c r="K31" s="102" t="s">
        <v>196</v>
      </c>
      <c r="L31" s="102"/>
      <c r="M31" s="12">
        <v>278</v>
      </c>
      <c r="N31" s="13"/>
      <c r="O31" s="102" t="s">
        <v>99</v>
      </c>
      <c r="P31" s="102"/>
      <c r="Q31" s="12">
        <v>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180</v>
      </c>
      <c r="B32" t="s">
        <v>193</v>
      </c>
      <c r="C32" s="115">
        <v>73</v>
      </c>
      <c r="D32" s="113"/>
      <c r="E32" s="113">
        <v>1.5037</v>
      </c>
      <c r="F32" s="113"/>
      <c r="G32" s="113" t="s">
        <v>192</v>
      </c>
      <c r="H32" s="113"/>
      <c r="I32" s="113">
        <v>73</v>
      </c>
      <c r="J32" s="113"/>
      <c r="K32" s="113">
        <v>0</v>
      </c>
      <c r="L32" s="113"/>
      <c r="M32" s="113"/>
      <c r="N32" s="116"/>
      <c r="O32" s="113"/>
      <c r="P32" s="113"/>
      <c r="Q32" s="113"/>
      <c r="R32" s="116"/>
      <c r="S32" s="113"/>
      <c r="T32" s="116"/>
      <c r="U32" s="113"/>
      <c r="V32" s="116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1" ht="18.75" x14ac:dyDescent="0.3">
      <c r="Y33" s="37"/>
      <c r="Z33" s="37"/>
      <c r="AA33" s="37"/>
      <c r="AB33" s="37"/>
      <c r="AC33" s="37"/>
      <c r="AD33" s="37"/>
      <c r="AE33" s="37"/>
    </row>
    <row r="34" spans="1:31" ht="18.75" customHeight="1" x14ac:dyDescent="0.3">
      <c r="A34" s="132" t="s">
        <v>216</v>
      </c>
      <c r="B34" s="132"/>
      <c r="C34" s="132"/>
      <c r="D34" s="132"/>
      <c r="E34" s="132"/>
      <c r="F34" s="132"/>
      <c r="G34" s="132"/>
      <c r="H34" s="132"/>
      <c r="I34" s="132"/>
      <c r="Q34" s="120" t="s">
        <v>186</v>
      </c>
      <c r="R34" s="120"/>
      <c r="S34" s="120"/>
      <c r="T34" s="120"/>
      <c r="U34" s="120"/>
      <c r="V34" s="120"/>
      <c r="W34" s="120"/>
    </row>
    <row r="35" spans="1:31" s="11" customFormat="1" ht="27.75" customHeight="1" thickBot="1" x14ac:dyDescent="0.35">
      <c r="A35" s="137" t="s">
        <v>217</v>
      </c>
      <c r="B35" s="137"/>
      <c r="C35" s="137"/>
      <c r="D35" s="137"/>
      <c r="E35" s="137"/>
      <c r="F35" s="137" t="s">
        <v>218</v>
      </c>
      <c r="G35" s="137"/>
      <c r="H35" s="137"/>
      <c r="I35" s="137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1" s="11" customFormat="1" ht="27.75" customHeight="1" thickTop="1" x14ac:dyDescent="0.35">
      <c r="A36" s="136" t="s">
        <v>224</v>
      </c>
      <c r="B36" s="135">
        <v>0.5</v>
      </c>
      <c r="C36" s="131"/>
      <c r="D36" s="131"/>
      <c r="E36" s="131"/>
      <c r="F36" s="131"/>
      <c r="G36" s="131"/>
      <c r="H36" s="131"/>
      <c r="I36" s="131"/>
      <c r="Q36" s="92"/>
      <c r="R36" s="92"/>
      <c r="S36" s="92"/>
      <c r="T36" s="92"/>
      <c r="U36" s="92"/>
      <c r="V36" s="92"/>
      <c r="W36" s="92"/>
      <c r="X36" s="38"/>
      <c r="Y36" s="38"/>
      <c r="AC36" s="38"/>
    </row>
    <row r="37" spans="1:31" s="11" customFormat="1" ht="42" customHeight="1" x14ac:dyDescent="0.4">
      <c r="A37" s="134" t="s">
        <v>219</v>
      </c>
      <c r="B37" s="134" t="s">
        <v>223</v>
      </c>
      <c r="C37" s="134" t="s">
        <v>220</v>
      </c>
      <c r="D37" s="134" t="s">
        <v>221</v>
      </c>
      <c r="E37" s="134" t="s">
        <v>3</v>
      </c>
      <c r="F37" s="134" t="s">
        <v>222</v>
      </c>
      <c r="G37" s="134" t="s">
        <v>220</v>
      </c>
      <c r="H37" s="134" t="s">
        <v>223</v>
      </c>
      <c r="I37" s="134" t="s">
        <v>219</v>
      </c>
      <c r="Q37" s="75">
        <f>SUM(U71:U91)+J27</f>
        <v>-183.21963494498596</v>
      </c>
      <c r="R37" s="76">
        <f>SUM(X71:X91)</f>
        <v>-14068.675439759421</v>
      </c>
      <c r="S37" s="74">
        <f>SUM(W71:W91)</f>
        <v>1.4298590447690891</v>
      </c>
      <c r="T37" s="76">
        <f>S37*62500</f>
        <v>89366.190298068075</v>
      </c>
      <c r="U37" s="73">
        <v>0.02</v>
      </c>
      <c r="V37" s="77">
        <f>-1*U37*W37</f>
        <v>-110.87499999999999</v>
      </c>
      <c r="W37" s="77">
        <f>AG69</f>
        <v>5543.7499999999991</v>
      </c>
      <c r="X37" s="46"/>
      <c r="Y37" s="46"/>
      <c r="AC37" s="38"/>
    </row>
    <row r="38" spans="1:31" ht="21" x14ac:dyDescent="0.35">
      <c r="A38" s="78">
        <v>0</v>
      </c>
      <c r="B38" s="133">
        <v>7</v>
      </c>
      <c r="C38" s="78">
        <v>0</v>
      </c>
      <c r="D38" s="76"/>
      <c r="E38" s="76"/>
      <c r="F38" s="76"/>
      <c r="G38" s="78">
        <v>0</v>
      </c>
      <c r="H38" s="133">
        <v>7</v>
      </c>
      <c r="I38" s="78">
        <v>0</v>
      </c>
      <c r="Q38" s="71" t="s">
        <v>131</v>
      </c>
      <c r="R38" s="76">
        <f>ticksUpToLoss(V37,Q37,R37)</f>
        <v>9.6787717837105297E-2</v>
      </c>
      <c r="S38" s="76">
        <f>ticksDownToLoss(V37,Q37,R37)</f>
        <v>-260.56144301465309</v>
      </c>
      <c r="T38" s="76"/>
      <c r="U38" s="76"/>
      <c r="V38" s="76"/>
      <c r="W38" s="76"/>
      <c r="X38" s="37"/>
      <c r="Y38" s="37"/>
      <c r="Z38" s="37"/>
      <c r="AA38" s="37"/>
      <c r="AB38" s="37"/>
      <c r="AC38" s="37"/>
    </row>
    <row r="39" spans="1:31" ht="23.25" x14ac:dyDescent="0.35">
      <c r="A39" s="78">
        <v>0</v>
      </c>
      <c r="B39" s="133">
        <v>6</v>
      </c>
      <c r="C39" s="78">
        <v>0</v>
      </c>
      <c r="D39" s="76"/>
      <c r="E39" s="76"/>
      <c r="F39" s="76"/>
      <c r="G39" s="78">
        <v>0</v>
      </c>
      <c r="H39" s="133">
        <v>6</v>
      </c>
      <c r="I39" s="78">
        <v>0</v>
      </c>
      <c r="Q39" s="71" t="s">
        <v>132</v>
      </c>
      <c r="R39" s="76">
        <f>Q37+R37*(R38*0.0001)</f>
        <v>-183.35580244386648</v>
      </c>
      <c r="S39" s="76">
        <f>Q37+R37*(S38*0.0001)</f>
        <v>183.35580244386648</v>
      </c>
      <c r="T39" s="76"/>
      <c r="U39" s="76"/>
      <c r="V39" s="76"/>
      <c r="W39" s="76"/>
      <c r="Y39" s="32"/>
      <c r="Z39" s="32"/>
      <c r="AA39" s="32"/>
      <c r="AB39" s="32"/>
      <c r="AC39" s="45"/>
      <c r="AD39" s="45"/>
      <c r="AE39" s="45"/>
    </row>
    <row r="40" spans="1:31" ht="21" x14ac:dyDescent="0.35">
      <c r="A40" s="78">
        <v>0</v>
      </c>
      <c r="B40" s="133">
        <v>5</v>
      </c>
      <c r="C40" s="78">
        <v>0</v>
      </c>
      <c r="D40" s="76"/>
      <c r="E40" s="76"/>
      <c r="F40" s="76"/>
      <c r="G40" s="78">
        <v>0</v>
      </c>
      <c r="H40" s="133">
        <v>5</v>
      </c>
      <c r="I40" s="78">
        <v>0</v>
      </c>
      <c r="Q40" s="120" t="s">
        <v>133</v>
      </c>
      <c r="R40" s="120"/>
      <c r="S40" s="120"/>
      <c r="T40" s="120" t="s">
        <v>189</v>
      </c>
      <c r="U40" s="120"/>
      <c r="V40" s="120"/>
      <c r="W40" s="120"/>
      <c r="Y40" s="37"/>
      <c r="Z40" s="37"/>
      <c r="AA40" s="37"/>
      <c r="AB40" s="37"/>
      <c r="AC40" s="37"/>
    </row>
    <row r="41" spans="1:31" ht="21" x14ac:dyDescent="0.35">
      <c r="A41" s="78">
        <v>0</v>
      </c>
      <c r="B41" s="133">
        <v>4</v>
      </c>
      <c r="C41" s="78">
        <v>0</v>
      </c>
      <c r="D41" s="76"/>
      <c r="E41" s="76"/>
      <c r="F41" s="76"/>
      <c r="G41" s="78">
        <v>0</v>
      </c>
      <c r="H41" s="133">
        <v>4</v>
      </c>
      <c r="I41" s="78">
        <v>0</v>
      </c>
      <c r="Q41" s="71" t="s">
        <v>134</v>
      </c>
      <c r="R41" s="84">
        <f>midMarket(N27,O27)+R38/10000</f>
        <v>1.5318596787717838</v>
      </c>
      <c r="S41" s="76">
        <f>ROUND(-R39,0)</f>
        <v>183</v>
      </c>
      <c r="T41" s="72" t="s">
        <v>187</v>
      </c>
      <c r="U41" s="78">
        <v>25</v>
      </c>
      <c r="V41" s="84"/>
      <c r="W41" s="76"/>
      <c r="Y41" s="37"/>
      <c r="Z41" s="37"/>
      <c r="AA41" s="37"/>
      <c r="AB41" s="37"/>
      <c r="AC41" s="37"/>
    </row>
    <row r="42" spans="1:31" ht="21" x14ac:dyDescent="0.35">
      <c r="A42" s="78">
        <v>0</v>
      </c>
      <c r="B42" s="133">
        <v>3</v>
      </c>
      <c r="C42" s="78">
        <v>0</v>
      </c>
      <c r="D42" s="76"/>
      <c r="E42" s="76"/>
      <c r="F42" s="76"/>
      <c r="G42" s="78">
        <v>0</v>
      </c>
      <c r="H42" s="133">
        <v>3</v>
      </c>
      <c r="I42" s="78">
        <v>0</v>
      </c>
      <c r="Q42" s="71" t="s">
        <v>144</v>
      </c>
      <c r="R42" s="84">
        <f>midMarket(N27,O27)+S38/10000</f>
        <v>1.5057938556985346</v>
      </c>
      <c r="S42" s="76">
        <f>ROUND(-S39,0)</f>
        <v>-183</v>
      </c>
      <c r="T42" s="72" t="s">
        <v>188</v>
      </c>
      <c r="U42" s="78">
        <v>2</v>
      </c>
      <c r="V42" s="84">
        <v>1.5201</v>
      </c>
      <c r="W42" s="76">
        <v>37</v>
      </c>
      <c r="X42" s="37"/>
      <c r="Y42" s="37"/>
      <c r="Z42" s="37"/>
      <c r="AA42" s="37"/>
      <c r="AB42" s="37"/>
      <c r="AC42" s="37"/>
    </row>
    <row r="43" spans="1:31" ht="21" x14ac:dyDescent="0.35">
      <c r="A43" s="78">
        <v>7</v>
      </c>
      <c r="B43" s="133">
        <v>2</v>
      </c>
      <c r="C43" s="78">
        <v>-4</v>
      </c>
      <c r="D43" s="76"/>
      <c r="E43" s="76"/>
      <c r="F43" s="76"/>
      <c r="G43" s="78">
        <v>-4</v>
      </c>
      <c r="H43" s="133">
        <v>2</v>
      </c>
      <c r="I43" s="78">
        <v>8</v>
      </c>
    </row>
    <row r="44" spans="1:31" ht="21" x14ac:dyDescent="0.35">
      <c r="A44" s="78">
        <v>5</v>
      </c>
      <c r="B44" s="133">
        <v>1</v>
      </c>
      <c r="C44" s="78">
        <v>-3</v>
      </c>
      <c r="D44" s="76"/>
      <c r="E44" s="76"/>
      <c r="F44" s="76"/>
      <c r="G44" s="78">
        <v>-3</v>
      </c>
      <c r="H44" s="133">
        <v>1</v>
      </c>
      <c r="I44" s="78">
        <v>6</v>
      </c>
      <c r="P44" t="s">
        <v>215</v>
      </c>
    </row>
    <row r="45" spans="1:31" ht="21" x14ac:dyDescent="0.35">
      <c r="A45" s="78">
        <v>1</v>
      </c>
      <c r="B45" s="133">
        <v>0</v>
      </c>
      <c r="C45" s="78">
        <v>-3</v>
      </c>
      <c r="D45" s="76"/>
      <c r="E45" s="76"/>
      <c r="F45" s="76"/>
      <c r="G45" s="78">
        <v>-3</v>
      </c>
      <c r="H45" s="133">
        <v>0</v>
      </c>
      <c r="I45" s="78">
        <v>2</v>
      </c>
    </row>
    <row r="46" spans="1:31" ht="21" x14ac:dyDescent="0.35">
      <c r="A46" s="78">
        <v>3</v>
      </c>
      <c r="B46" s="133">
        <v>-1</v>
      </c>
      <c r="C46" s="78">
        <v>-1</v>
      </c>
      <c r="D46" s="76"/>
      <c r="E46" s="76"/>
      <c r="F46" s="76"/>
      <c r="G46" s="78">
        <v>-1</v>
      </c>
      <c r="H46" s="133">
        <v>-1</v>
      </c>
      <c r="I46" s="78">
        <v>4</v>
      </c>
    </row>
    <row r="47" spans="1:31" ht="21" x14ac:dyDescent="0.35">
      <c r="A47" s="78">
        <v>0</v>
      </c>
      <c r="B47" s="133">
        <v>-2</v>
      </c>
      <c r="C47" s="78">
        <v>0</v>
      </c>
      <c r="D47" s="76"/>
      <c r="E47" s="76"/>
      <c r="F47" s="76"/>
      <c r="G47" s="78">
        <v>0</v>
      </c>
      <c r="H47" s="133">
        <v>-2</v>
      </c>
      <c r="I47" s="78">
        <v>0</v>
      </c>
    </row>
    <row r="48" spans="1:31" ht="21" x14ac:dyDescent="0.35">
      <c r="A48" s="78">
        <v>0</v>
      </c>
      <c r="B48" s="133">
        <v>-3</v>
      </c>
      <c r="C48" s="78">
        <v>0</v>
      </c>
      <c r="D48" s="76"/>
      <c r="E48" s="76"/>
      <c r="F48" s="76"/>
      <c r="G48" s="78">
        <v>0</v>
      </c>
      <c r="H48" s="133">
        <v>-3</v>
      </c>
      <c r="I48" s="78">
        <v>0</v>
      </c>
    </row>
    <row r="49" spans="1:15" s="11" customFormat="1" ht="26.25" customHeight="1" x14ac:dyDescent="0.35">
      <c r="A49" s="78">
        <v>0</v>
      </c>
      <c r="B49" s="133">
        <v>-4</v>
      </c>
      <c r="C49" s="78">
        <v>0</v>
      </c>
      <c r="D49" s="76"/>
      <c r="E49" s="76"/>
      <c r="F49" s="76"/>
      <c r="G49" s="78">
        <v>0</v>
      </c>
      <c r="H49" s="133">
        <v>-4</v>
      </c>
      <c r="I49" s="78">
        <v>0</v>
      </c>
    </row>
    <row r="50" spans="1:15" ht="21" x14ac:dyDescent="0.35">
      <c r="A50" s="78">
        <v>0</v>
      </c>
      <c r="B50" s="133">
        <v>-5</v>
      </c>
      <c r="C50" s="78">
        <v>0</v>
      </c>
      <c r="D50" s="76"/>
      <c r="E50" s="76"/>
      <c r="F50" s="76"/>
      <c r="G50" s="78">
        <v>0</v>
      </c>
      <c r="H50" s="133">
        <v>-5</v>
      </c>
      <c r="I50" s="78">
        <v>0</v>
      </c>
    </row>
    <row r="51" spans="1:15" ht="21" x14ac:dyDescent="0.35">
      <c r="A51" s="78">
        <v>0</v>
      </c>
      <c r="B51" s="133">
        <v>-6</v>
      </c>
      <c r="C51" s="78">
        <v>0</v>
      </c>
      <c r="D51" s="76"/>
      <c r="E51" s="76"/>
      <c r="F51" s="76"/>
      <c r="G51" s="78">
        <v>0</v>
      </c>
      <c r="H51" s="133">
        <v>-6</v>
      </c>
      <c r="I51" s="78">
        <v>0</v>
      </c>
    </row>
    <row r="52" spans="1:15" ht="21" x14ac:dyDescent="0.35">
      <c r="A52" s="78">
        <v>0</v>
      </c>
      <c r="B52" s="133">
        <v>-7</v>
      </c>
      <c r="C52" s="78">
        <v>0</v>
      </c>
      <c r="D52" s="76"/>
      <c r="E52" s="76"/>
      <c r="F52" s="76"/>
      <c r="G52" s="78">
        <v>0</v>
      </c>
      <c r="H52" s="133">
        <v>-7</v>
      </c>
      <c r="I52" s="78">
        <v>0</v>
      </c>
    </row>
    <row r="56" spans="1:15" x14ac:dyDescent="0.25">
      <c r="A56" s="129" t="s">
        <v>166</v>
      </c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</row>
    <row r="57" spans="1:15" ht="30" x14ac:dyDescent="0.25">
      <c r="A57" s="87" t="s">
        <v>26</v>
      </c>
      <c r="B57" s="114" t="s">
        <v>27</v>
      </c>
      <c r="C57" s="114"/>
      <c r="D57" s="114"/>
      <c r="E57" s="114"/>
      <c r="F57" s="88"/>
      <c r="G57" s="114" t="s">
        <v>28</v>
      </c>
      <c r="H57" s="114"/>
      <c r="I57" s="114"/>
      <c r="J57" s="114"/>
      <c r="K57" s="114"/>
      <c r="L57" s="88"/>
      <c r="M57" s="114" t="s">
        <v>167</v>
      </c>
      <c r="N57" s="114"/>
      <c r="O57" s="122"/>
    </row>
    <row r="58" spans="1:15" ht="30" x14ac:dyDescent="0.25">
      <c r="A58" s="89" t="s">
        <v>0</v>
      </c>
      <c r="B58" s="90" t="s">
        <v>32</v>
      </c>
      <c r="C58" s="90" t="s">
        <v>33</v>
      </c>
      <c r="D58" s="90" t="s">
        <v>34</v>
      </c>
      <c r="E58" s="90" t="s">
        <v>47</v>
      </c>
      <c r="F58" s="90" t="s">
        <v>197</v>
      </c>
      <c r="G58" s="90" t="s">
        <v>12</v>
      </c>
      <c r="H58" s="90" t="s">
        <v>37</v>
      </c>
      <c r="I58" s="90" t="s">
        <v>38</v>
      </c>
      <c r="J58" s="90" t="s">
        <v>39</v>
      </c>
      <c r="K58" s="90" t="s">
        <v>40</v>
      </c>
      <c r="L58" s="90" t="s">
        <v>168</v>
      </c>
      <c r="M58" s="90" t="s">
        <v>169</v>
      </c>
      <c r="N58" s="90" t="s">
        <v>170</v>
      </c>
      <c r="O58" s="90" t="s">
        <v>171</v>
      </c>
    </row>
    <row r="59" spans="1:15" x14ac:dyDescent="0.25">
      <c r="A59" s="2"/>
      <c r="B59" s="16" t="s">
        <v>193</v>
      </c>
      <c r="C59" s="16">
        <v>37</v>
      </c>
      <c r="D59" s="16" t="s">
        <v>212</v>
      </c>
      <c r="E59" s="16">
        <v>1.5201</v>
      </c>
      <c r="F59" s="2">
        <v>8727</v>
      </c>
      <c r="G59" s="18" t="s">
        <v>194</v>
      </c>
      <c r="H59" s="2">
        <v>0</v>
      </c>
      <c r="I59" s="2">
        <v>37</v>
      </c>
      <c r="J59" s="2">
        <v>0</v>
      </c>
      <c r="K59" s="2">
        <v>0</v>
      </c>
      <c r="L59" s="2"/>
      <c r="M59" s="2"/>
      <c r="N59" s="2"/>
      <c r="O59" s="2"/>
    </row>
    <row r="60" spans="1:15" x14ac:dyDescent="0.25">
      <c r="A60" s="2"/>
      <c r="B60" s="16"/>
      <c r="C60" s="16"/>
      <c r="D60" s="16"/>
      <c r="E60" s="16"/>
      <c r="F60" s="2"/>
      <c r="G60" s="18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16"/>
      <c r="C61" s="16"/>
      <c r="D61" s="16"/>
      <c r="E61" s="16"/>
      <c r="F61" s="2"/>
      <c r="G61" s="18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16"/>
      <c r="C62" s="16"/>
      <c r="D62" s="16"/>
      <c r="E62" s="16"/>
      <c r="F62" s="2"/>
      <c r="G62" s="18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91" t="s">
        <v>201</v>
      </c>
      <c r="B64" s="76">
        <f>ticksUpToLoss(F63,A63,B63)</f>
        <v>0</v>
      </c>
      <c r="C64" s="91" t="s">
        <v>202</v>
      </c>
      <c r="D64" s="76">
        <f>ticksUpToLoss(H63,C63,D63)</f>
        <v>0</v>
      </c>
      <c r="E64" s="91" t="s">
        <v>174</v>
      </c>
      <c r="F64" s="76">
        <f>ticksUpToLoss(J63,E63,F63)</f>
        <v>0</v>
      </c>
      <c r="G64" s="91" t="s">
        <v>203</v>
      </c>
      <c r="H64" s="76">
        <f>ticksUpToLoss(L63,G63,H63)</f>
        <v>0</v>
      </c>
      <c r="I64" s="119" t="s">
        <v>204</v>
      </c>
      <c r="J64" s="119"/>
      <c r="K64" s="76"/>
      <c r="L64" s="76"/>
      <c r="M64" s="76"/>
      <c r="N64" s="76"/>
      <c r="O64" s="76"/>
    </row>
    <row r="65" spans="1:33" ht="15.75" x14ac:dyDescent="0.25">
      <c r="A65" s="91" t="s">
        <v>200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</row>
    <row r="69" spans="1:33" x14ac:dyDescent="0.25">
      <c r="A69" s="97" t="s">
        <v>13</v>
      </c>
      <c r="B69" s="97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121" t="s">
        <v>101</v>
      </c>
      <c r="O69" s="121"/>
      <c r="P69" s="121"/>
      <c r="Q69" s="121"/>
      <c r="R69" s="121"/>
      <c r="S69" s="121"/>
      <c r="T69" s="121" t="s">
        <v>108</v>
      </c>
      <c r="U69" s="121"/>
      <c r="V69" s="121"/>
      <c r="W69" s="121"/>
      <c r="AG69" s="48">
        <f>SUM(AD71:AD91)</f>
        <v>5543.7499999999991</v>
      </c>
    </row>
    <row r="70" spans="1:33" ht="30" x14ac:dyDescent="0.25">
      <c r="A70" s="1" t="s">
        <v>9</v>
      </c>
      <c r="B70" s="1" t="s">
        <v>11</v>
      </c>
      <c r="C70" s="1" t="s">
        <v>172</v>
      </c>
      <c r="D70" s="1" t="s">
        <v>157</v>
      </c>
      <c r="E70" s="1" t="s">
        <v>158</v>
      </c>
      <c r="F70" s="1" t="s">
        <v>179</v>
      </c>
      <c r="G70" s="1" t="s">
        <v>173</v>
      </c>
      <c r="H70" s="61" t="s">
        <v>19</v>
      </c>
      <c r="I70" s="61" t="s">
        <v>21</v>
      </c>
      <c r="J70" s="61" t="s">
        <v>22</v>
      </c>
      <c r="K70" s="61" t="s">
        <v>18</v>
      </c>
      <c r="L70" s="61" t="s">
        <v>20</v>
      </c>
      <c r="M70" s="61" t="s">
        <v>23</v>
      </c>
      <c r="N70" s="31" t="s">
        <v>102</v>
      </c>
      <c r="O70" s="31" t="s">
        <v>103</v>
      </c>
      <c r="P70" s="31" t="s">
        <v>104</v>
      </c>
      <c r="Q70" s="31" t="s">
        <v>105</v>
      </c>
      <c r="R70" s="31" t="s">
        <v>106</v>
      </c>
      <c r="S70" s="31" t="s">
        <v>107</v>
      </c>
      <c r="T70" s="35" t="s">
        <v>112</v>
      </c>
      <c r="U70" s="31" t="s">
        <v>103</v>
      </c>
      <c r="V70" s="31" t="s">
        <v>104</v>
      </c>
      <c r="W70" s="31" t="s">
        <v>105</v>
      </c>
      <c r="X70" s="35" t="s">
        <v>113</v>
      </c>
      <c r="Y70" s="35" t="s">
        <v>114</v>
      </c>
      <c r="Z70" s="35" t="s">
        <v>119</v>
      </c>
      <c r="AA70" s="50" t="s">
        <v>118</v>
      </c>
      <c r="AB70" s="50" t="s">
        <v>115</v>
      </c>
      <c r="AC70" s="50" t="s">
        <v>116</v>
      </c>
      <c r="AD70" s="50" t="s">
        <v>117</v>
      </c>
    </row>
    <row r="71" spans="1:33" x14ac:dyDescent="0.25">
      <c r="A71" s="2" t="s">
        <v>199</v>
      </c>
      <c r="B71" s="2">
        <v>-50</v>
      </c>
      <c r="C71" s="2">
        <v>4.9999999999999998E-8</v>
      </c>
      <c r="D71" s="2">
        <v>-0.18</v>
      </c>
      <c r="E71" s="2">
        <v>378.79</v>
      </c>
      <c r="F71" s="28">
        <v>18939.32</v>
      </c>
      <c r="G71" s="2">
        <v>0</v>
      </c>
      <c r="H71" s="2">
        <v>0</v>
      </c>
      <c r="I71" s="2">
        <v>0</v>
      </c>
      <c r="J71" s="2">
        <v>0</v>
      </c>
      <c r="K71" s="2">
        <v>-1</v>
      </c>
      <c r="L71" s="2">
        <v>2.0000000000000001E-4</v>
      </c>
      <c r="M71" s="2">
        <v>42</v>
      </c>
      <c r="N71" s="2">
        <v>0.25833221914723481</v>
      </c>
      <c r="O71" s="2">
        <v>-2.031110921968134E-2</v>
      </c>
      <c r="P71" s="2">
        <v>0</v>
      </c>
      <c r="Q71" s="33">
        <v>-7.8683637305086121E-4</v>
      </c>
      <c r="R71" s="2">
        <v>2.8645479812921106E-5</v>
      </c>
      <c r="S71" s="2">
        <v>1.5319</v>
      </c>
      <c r="T71" s="2">
        <v>5.8351507284606985</v>
      </c>
      <c r="U71" s="2">
        <f t="shared" ref="U71:U91" si="0">O71*B71</f>
        <v>1.0155554609840669</v>
      </c>
      <c r="V71" s="2">
        <v>1.5804</v>
      </c>
      <c r="W71" s="2">
        <f t="shared" ref="W71:W91" si="1">Q71*B71</f>
        <v>3.9341818652543062E-2</v>
      </c>
      <c r="X71">
        <f>IF(ISERR(T71),0,T71*B71)</f>
        <v>-291.75753642303494</v>
      </c>
      <c r="Y71">
        <f t="shared" ref="Y71:Y91" si="2">IF(X71 = 0,0,(W71*-10000)/X71)</f>
        <v>1.3484422419683186</v>
      </c>
      <c r="Z71" s="85">
        <f>midMarket(K71,L71) +AA71/10000</f>
        <v>1E-4</v>
      </c>
      <c r="AA71">
        <f>IF(rightFromSymbol(A71)="C",MAX(0,$N$27-strikeFromSymbol(A71)),MAX(0,strikeFromSymbol(A71)-$N$27))*10000</f>
        <v>0</v>
      </c>
      <c r="AB71" s="86">
        <f>MAX(0,Z71-AA71) * 10000</f>
        <v>1</v>
      </c>
      <c r="AC71" s="49">
        <f t="shared" ref="AC71:AC91" si="3">-AB71*B71</f>
        <v>50</v>
      </c>
      <c r="AD71" s="48">
        <f t="shared" ref="AD71:AD79" si="4">MAX(0,AC71*6.25)</f>
        <v>312.5</v>
      </c>
    </row>
    <row r="72" spans="1:33" x14ac:dyDescent="0.25">
      <c r="A72" s="2" t="s">
        <v>207</v>
      </c>
      <c r="B72" s="2">
        <v>-50</v>
      </c>
      <c r="C72" s="2">
        <v>2.5605000000000002E-4</v>
      </c>
      <c r="D72" s="2">
        <v>-800.18</v>
      </c>
      <c r="E72" s="2">
        <v>321.54000000000002</v>
      </c>
      <c r="F72" s="28">
        <v>15276.82</v>
      </c>
      <c r="G72" s="2">
        <v>0</v>
      </c>
      <c r="H72" s="2">
        <v>0</v>
      </c>
      <c r="I72" s="2">
        <v>0</v>
      </c>
      <c r="J72" s="2">
        <v>2</v>
      </c>
      <c r="K72" s="2">
        <v>2.0000000000000001E-4</v>
      </c>
      <c r="L72" s="2">
        <v>2.9999999999999997E-4</v>
      </c>
      <c r="M72" s="2">
        <v>42</v>
      </c>
      <c r="N72" s="2">
        <v>0.20061756763368521</v>
      </c>
      <c r="O72" s="2">
        <v>-5.0378332188548577E-2</v>
      </c>
      <c r="P72" s="2">
        <v>0</v>
      </c>
      <c r="Q72" s="33">
        <v>-1.2894645682662207E-3</v>
      </c>
      <c r="R72" s="2">
        <v>6.1206788924132412E-5</v>
      </c>
      <c r="S72" s="2">
        <v>1.5319</v>
      </c>
      <c r="T72" s="2">
        <v>13.104570824827332</v>
      </c>
      <c r="U72" s="2">
        <f t="shared" si="0"/>
        <v>2.5189166094274289</v>
      </c>
      <c r="V72" s="2">
        <v>1.5804</v>
      </c>
      <c r="W72" s="2">
        <f t="shared" si="1"/>
        <v>6.4473228413311032E-2</v>
      </c>
      <c r="X72">
        <f t="shared" ref="X72:X91" si="5">IF(ISERR(T72),0,T72*B72)</f>
        <v>-655.22854124136666</v>
      </c>
      <c r="Y72">
        <f t="shared" si="2"/>
        <v>0.9839807693841135</v>
      </c>
      <c r="Z72" s="85">
        <f>midMarket(K72,L72) +AA72/10000</f>
        <v>2.5000000000000001E-4</v>
      </c>
      <c r="AA72">
        <f>IF(rightFromSymbol(A72)="C",MAX(0,$N$27-strikeFromSymbol(A72)),MAX(0,strikeFromSymbol(A72)-$N$27))*10000</f>
        <v>0</v>
      </c>
      <c r="AB72" s="86">
        <f t="shared" ref="AB72:AB91" si="6">MAX(0,Z72-AA72) * 10000</f>
        <v>2.5</v>
      </c>
      <c r="AC72" s="49">
        <f t="shared" si="3"/>
        <v>125</v>
      </c>
      <c r="AD72" s="48">
        <f t="shared" si="4"/>
        <v>781.25</v>
      </c>
    </row>
    <row r="73" spans="1:33" x14ac:dyDescent="0.25">
      <c r="A73" s="2" t="s">
        <v>208</v>
      </c>
      <c r="B73" s="2">
        <v>-45</v>
      </c>
      <c r="C73" s="2">
        <v>1.2397999999999999E-2</v>
      </c>
      <c r="D73" s="2">
        <v>-34869.43</v>
      </c>
      <c r="E73" s="2">
        <v>221.54</v>
      </c>
      <c r="F73" s="28">
        <v>-24900.13</v>
      </c>
      <c r="G73" s="2">
        <v>0</v>
      </c>
      <c r="H73" s="2">
        <v>0</v>
      </c>
      <c r="I73" s="2">
        <v>0</v>
      </c>
      <c r="J73" s="2">
        <v>1</v>
      </c>
      <c r="K73" s="2">
        <v>1.5E-3</v>
      </c>
      <c r="L73" s="2">
        <v>-1</v>
      </c>
      <c r="M73" s="2">
        <v>0</v>
      </c>
      <c r="N73" s="2">
        <v>0.18097023575984394</v>
      </c>
      <c r="O73" s="2">
        <v>0.89895242378179074</v>
      </c>
      <c r="P73" s="2">
        <v>0</v>
      </c>
      <c r="Q73" s="33">
        <v>-1.9871494706675437E-3</v>
      </c>
      <c r="R73" s="2">
        <v>9.1961650899871974E-5</v>
      </c>
      <c r="S73" s="2">
        <v>1.5319</v>
      </c>
      <c r="T73" s="2">
        <v>20.076728451158033</v>
      </c>
      <c r="U73" s="2">
        <f t="shared" si="0"/>
        <v>-40.452859070180587</v>
      </c>
      <c r="V73" s="2">
        <v>1.5804</v>
      </c>
      <c r="W73" s="2">
        <f t="shared" si="1"/>
        <v>8.9421726180039462E-2</v>
      </c>
      <c r="X73">
        <f t="shared" si="5"/>
        <v>-903.45278030211148</v>
      </c>
      <c r="Y73">
        <f t="shared" si="2"/>
        <v>0.98977753048850159</v>
      </c>
      <c r="Z73" s="85">
        <f>midMarket(K73,L73) +AA73/10000</f>
        <v>1.3600000000000032E-2</v>
      </c>
      <c r="AA73">
        <f>IF(rightFromSymbol(A73)="C",MAX(0,$N$27-strikeFromSymbol(A73)),MAX(0,strikeFromSymbol(A73)-$N$27))*10000</f>
        <v>118.00000000000033</v>
      </c>
      <c r="AB73" s="86">
        <f t="shared" si="6"/>
        <v>0</v>
      </c>
      <c r="AC73" s="49">
        <f t="shared" si="3"/>
        <v>0</v>
      </c>
      <c r="AD73" s="48">
        <f t="shared" si="4"/>
        <v>0</v>
      </c>
    </row>
    <row r="74" spans="1:33" x14ac:dyDescent="0.25">
      <c r="A74" s="2" t="s">
        <v>209</v>
      </c>
      <c r="B74" s="2">
        <v>-228</v>
      </c>
      <c r="C74" s="2">
        <v>8.0397999999999997E-3</v>
      </c>
      <c r="D74" s="2">
        <v>-114567.11</v>
      </c>
      <c r="E74" s="2">
        <v>252.14526315000001</v>
      </c>
      <c r="F74" s="28">
        <v>-57077.99</v>
      </c>
      <c r="G74" s="2">
        <v>0</v>
      </c>
      <c r="H74" s="2">
        <v>0</v>
      </c>
      <c r="I74" s="2">
        <v>0</v>
      </c>
      <c r="J74" s="2">
        <v>5</v>
      </c>
      <c r="K74" s="2">
        <v>6.3E-3</v>
      </c>
      <c r="L74" s="2">
        <v>8.2000000000000007E-3</v>
      </c>
      <c r="M74" s="2">
        <v>5</v>
      </c>
      <c r="N74" s="2">
        <v>0.16746289980790152</v>
      </c>
      <c r="O74" s="2">
        <v>0.78834074972379298</v>
      </c>
      <c r="P74" s="2">
        <v>0</v>
      </c>
      <c r="Q74" s="33">
        <v>-3.0218902595692152E-3</v>
      </c>
      <c r="R74" s="2">
        <v>1.6189530471200954E-4</v>
      </c>
      <c r="S74" s="2">
        <v>1.5319</v>
      </c>
      <c r="T74" s="2">
        <v>28.687729088887608</v>
      </c>
      <c r="U74" s="2">
        <f t="shared" si="0"/>
        <v>-179.7416909370248</v>
      </c>
      <c r="V74" s="2">
        <v>1.5804</v>
      </c>
      <c r="W74" s="2">
        <f t="shared" si="1"/>
        <v>0.68899097918178109</v>
      </c>
      <c r="X74">
        <f t="shared" si="5"/>
        <v>-6540.8022322663746</v>
      </c>
      <c r="Y74">
        <f t="shared" si="2"/>
        <v>1.0533738136629873</v>
      </c>
      <c r="Z74" s="85">
        <f t="shared" ref="Z74:Z91" si="7">midMarket(K74,L74) +AA74/10000</f>
        <v>1.4050000000000139E-2</v>
      </c>
      <c r="AA74">
        <f>IF(rightFromSymbol(A74)="C",MAX(0,$N$27-strikeFromSymbol(A74)),MAX(0,strikeFromSymbol(A74)-$N$27))*10000</f>
        <v>68.000000000001393</v>
      </c>
      <c r="AB74" s="86">
        <f t="shared" si="6"/>
        <v>0</v>
      </c>
      <c r="AC74" s="49">
        <f t="shared" si="3"/>
        <v>0</v>
      </c>
      <c r="AD74" s="48">
        <f t="shared" si="4"/>
        <v>0</v>
      </c>
    </row>
    <row r="75" spans="1:33" x14ac:dyDescent="0.25">
      <c r="A75" s="2" t="s">
        <v>210</v>
      </c>
      <c r="B75" s="2">
        <v>-178</v>
      </c>
      <c r="C75" s="2">
        <v>6.1600000000000001E-4</v>
      </c>
      <c r="D75" s="2">
        <v>-6853</v>
      </c>
      <c r="E75" s="2">
        <v>218.84376349999999</v>
      </c>
      <c r="F75" s="28">
        <v>32101.19</v>
      </c>
      <c r="G75" s="2">
        <v>0</v>
      </c>
      <c r="H75" s="2">
        <v>4.0000000000000002E-4</v>
      </c>
      <c r="I75" s="2">
        <v>4</v>
      </c>
      <c r="J75" s="2">
        <v>10</v>
      </c>
      <c r="K75" s="2">
        <v>2.9999999999999997E-4</v>
      </c>
      <c r="L75" s="2">
        <v>5.0000000000000001E-4</v>
      </c>
      <c r="M75" s="2">
        <v>10</v>
      </c>
      <c r="N75" s="2">
        <v>0.18097023575984394</v>
      </c>
      <c r="O75" s="2">
        <v>-0.10132205801685561</v>
      </c>
      <c r="P75" s="34">
        <v>0</v>
      </c>
      <c r="Q75" s="33">
        <v>-1.9872361177282185E-3</v>
      </c>
      <c r="R75" s="2">
        <v>9.19616667535662E-5</v>
      </c>
      <c r="S75" s="2">
        <v>1.5319</v>
      </c>
      <c r="T75" s="2">
        <v>20.136997614569104</v>
      </c>
      <c r="U75" s="2">
        <f t="shared" si="0"/>
        <v>18.035326327000298</v>
      </c>
      <c r="V75" s="2">
        <v>1.5804</v>
      </c>
      <c r="W75" s="2">
        <f t="shared" si="1"/>
        <v>0.35372802895562289</v>
      </c>
      <c r="X75">
        <f t="shared" si="5"/>
        <v>-3584.3855753933003</v>
      </c>
      <c r="Y75">
        <f t="shared" si="2"/>
        <v>0.98685819791251039</v>
      </c>
      <c r="Z75" s="85">
        <f t="shared" si="7"/>
        <v>3.9999999999999996E-4</v>
      </c>
      <c r="AA75">
        <f>IF(rightFromSymbol(A75)="C",MAX(0,$N$27-strikeFromSymbol(A75)),MAX(0,strikeFromSymbol(A75)-$N$27))*10000</f>
        <v>0</v>
      </c>
      <c r="AB75" s="86">
        <f t="shared" si="6"/>
        <v>3.9999999999999996</v>
      </c>
      <c r="AC75" s="49">
        <f t="shared" si="3"/>
        <v>711.99999999999989</v>
      </c>
      <c r="AD75" s="48">
        <f t="shared" si="4"/>
        <v>4449.9999999999991</v>
      </c>
    </row>
    <row r="76" spans="1:33" x14ac:dyDescent="0.25">
      <c r="A76" s="2" t="s">
        <v>211</v>
      </c>
      <c r="B76" s="2">
        <v>-50</v>
      </c>
      <c r="C76" s="2">
        <v>4.5542999999999998E-3</v>
      </c>
      <c r="D76" s="2">
        <v>-14232.25</v>
      </c>
      <c r="E76" s="2">
        <v>155.47749999999999</v>
      </c>
      <c r="F76" s="28">
        <v>-6458.38</v>
      </c>
      <c r="G76" s="2">
        <v>0</v>
      </c>
      <c r="H76" s="2">
        <v>0</v>
      </c>
      <c r="I76" s="2">
        <v>0</v>
      </c>
      <c r="J76" s="2">
        <v>5</v>
      </c>
      <c r="K76" s="2">
        <v>4.1000000000000003E-3</v>
      </c>
      <c r="L76" s="2">
        <v>4.4999999999999997E-3</v>
      </c>
      <c r="M76" s="2">
        <v>42</v>
      </c>
      <c r="N76" s="2">
        <v>0.16009555977802847</v>
      </c>
      <c r="O76" s="2">
        <v>0.59189766670384703</v>
      </c>
      <c r="P76" s="2">
        <v>0</v>
      </c>
      <c r="Q76" s="33">
        <v>-3.8780652677158295E-3</v>
      </c>
      <c r="R76" s="2">
        <v>2.0622591684335903E-4</v>
      </c>
      <c r="S76" s="2">
        <v>1.5319</v>
      </c>
      <c r="T76" s="2">
        <v>41.860975482664642</v>
      </c>
      <c r="U76" s="2">
        <f t="shared" si="0"/>
        <v>-29.59488333519235</v>
      </c>
      <c r="V76" s="2">
        <v>1.5804</v>
      </c>
      <c r="W76" s="2">
        <f t="shared" si="1"/>
        <v>0.19390326338579147</v>
      </c>
      <c r="X76">
        <f t="shared" si="5"/>
        <v>-2093.0487741332322</v>
      </c>
      <c r="Y76">
        <f t="shared" si="2"/>
        <v>0.92641540790701438</v>
      </c>
      <c r="Z76" s="85">
        <f t="shared" si="7"/>
        <v>6.1000000000000238E-3</v>
      </c>
      <c r="AA76">
        <f>IF(rightFromSymbol(A76)="C",MAX(0,$N$27-strikeFromSymbol(A76)),MAX(0,strikeFromSymbol(A76)-$N$27))*10000</f>
        <v>18.000000000000238</v>
      </c>
      <c r="AB76" s="86">
        <f t="shared" si="6"/>
        <v>0</v>
      </c>
      <c r="AC76" s="49">
        <f t="shared" si="3"/>
        <v>0</v>
      </c>
      <c r="AD76" s="48">
        <f t="shared" si="4"/>
        <v>0</v>
      </c>
    </row>
    <row r="77" spans="1:33" x14ac:dyDescent="0.25">
      <c r="A77" s="2"/>
      <c r="B77" s="2"/>
      <c r="C77" s="2"/>
      <c r="D77" s="2"/>
      <c r="E77" s="2"/>
      <c r="F77" s="28"/>
      <c r="G77" s="2"/>
      <c r="H77" s="2"/>
      <c r="I77" s="2"/>
      <c r="J77" s="2"/>
      <c r="K77" s="2"/>
      <c r="L77" s="2"/>
      <c r="M77" s="2"/>
      <c r="N77" s="2"/>
      <c r="O77" s="2"/>
      <c r="P77" s="2"/>
      <c r="Q77" s="33"/>
      <c r="R77" s="2"/>
      <c r="S77" s="2"/>
      <c r="T77" s="2"/>
      <c r="U77" s="2">
        <f t="shared" si="0"/>
        <v>0</v>
      </c>
      <c r="V77" s="2">
        <v>1.5804</v>
      </c>
      <c r="W77" s="2">
        <f t="shared" si="1"/>
        <v>0</v>
      </c>
      <c r="X77">
        <f t="shared" si="5"/>
        <v>0</v>
      </c>
      <c r="Y77">
        <f t="shared" si="2"/>
        <v>0</v>
      </c>
      <c r="Z77" s="85">
        <f t="shared" si="7"/>
        <v>0</v>
      </c>
      <c r="AA77">
        <f>IF(rightFromSymbol(A77)="C",MAX(0,$N$27-strikeFromSymbol(A77)),MAX(0,strikeFromSymbol(A77)-$N$27))*10000</f>
        <v>0</v>
      </c>
      <c r="AB77" s="86">
        <f t="shared" si="6"/>
        <v>0</v>
      </c>
      <c r="AC77" s="49">
        <f t="shared" si="3"/>
        <v>0</v>
      </c>
      <c r="AD77" s="48">
        <f t="shared" si="4"/>
        <v>0</v>
      </c>
    </row>
    <row r="78" spans="1:33" x14ac:dyDescent="0.25">
      <c r="A78" s="2"/>
      <c r="B78" s="2"/>
      <c r="C78" s="2"/>
      <c r="D78" s="2"/>
      <c r="E78" s="2"/>
      <c r="F78" s="28"/>
      <c r="G78" s="2"/>
      <c r="H78" s="2"/>
      <c r="I78" s="2"/>
      <c r="J78" s="2"/>
      <c r="K78" s="2"/>
      <c r="L78" s="2"/>
      <c r="M78" s="2"/>
      <c r="N78" s="2"/>
      <c r="O78" s="2"/>
      <c r="P78" s="2"/>
      <c r="Q78" s="33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5">
        <f t="shared" si="7"/>
        <v>0</v>
      </c>
      <c r="AA78">
        <f>IF(rightFromSymbol(A78)="C",MAX(0,$N$27-strikeFromSymbol(A78)),MAX(0,strikeFromSymbol(A78)-$N$27))*10000</f>
        <v>0</v>
      </c>
      <c r="AB78" s="86">
        <f t="shared" si="6"/>
        <v>0</v>
      </c>
      <c r="AC78" s="49">
        <f t="shared" si="3"/>
        <v>0</v>
      </c>
      <c r="AD78" s="48">
        <f t="shared" si="4"/>
        <v>0</v>
      </c>
    </row>
    <row r="79" spans="1:33" x14ac:dyDescent="0.25">
      <c r="A79" s="2"/>
      <c r="B79" s="2"/>
      <c r="C79" s="2"/>
      <c r="D79" s="2"/>
      <c r="E79" s="2"/>
      <c r="F79" s="28"/>
      <c r="G79" s="2"/>
      <c r="H79" s="2"/>
      <c r="I79" s="2"/>
      <c r="J79" s="2"/>
      <c r="K79" s="2"/>
      <c r="L79" s="2"/>
      <c r="M79" s="2"/>
      <c r="N79" s="2"/>
      <c r="O79" s="2"/>
      <c r="P79" s="2"/>
      <c r="Q79" s="33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5">
        <f t="shared" si="7"/>
        <v>0</v>
      </c>
      <c r="AA79">
        <f>IF(rightFromSymbol(A79)="C",MAX(0,$N$27-strikeFromSymbol(A79)),MAX(0,strikeFromSymbol(A79)-$N$27))*10000</f>
        <v>0</v>
      </c>
      <c r="AB79" s="86">
        <f t="shared" si="6"/>
        <v>0</v>
      </c>
      <c r="AC79" s="49">
        <f t="shared" si="3"/>
        <v>0</v>
      </c>
      <c r="AD79" s="48">
        <f t="shared" si="4"/>
        <v>0</v>
      </c>
    </row>
    <row r="80" spans="1:33" x14ac:dyDescent="0.25">
      <c r="A80" s="2"/>
      <c r="B80" s="2"/>
      <c r="C80" s="2"/>
      <c r="D80" s="2"/>
      <c r="E80" s="2"/>
      <c r="F80" s="28"/>
      <c r="G80" s="2"/>
      <c r="H80" s="2"/>
      <c r="I80" s="2"/>
      <c r="J80" s="2"/>
      <c r="K80" s="2"/>
      <c r="L80" s="2"/>
      <c r="M80" s="2"/>
      <c r="N80" s="2"/>
      <c r="O80" s="2"/>
      <c r="P80" s="2"/>
      <c r="Q80" s="33"/>
      <c r="R80" s="2"/>
      <c r="S80" s="2"/>
      <c r="T80" s="2"/>
      <c r="U80" s="2">
        <f t="shared" si="0"/>
        <v>0</v>
      </c>
      <c r="V80" s="2">
        <v>1.5804</v>
      </c>
      <c r="W80" s="2">
        <f t="shared" si="1"/>
        <v>0</v>
      </c>
      <c r="X80">
        <f t="shared" si="5"/>
        <v>0</v>
      </c>
      <c r="Y80">
        <f t="shared" si="2"/>
        <v>0</v>
      </c>
      <c r="Z80" s="85">
        <f t="shared" si="7"/>
        <v>0</v>
      </c>
      <c r="AA80">
        <f>IF(rightFromSymbol(A80)="C",MAX(0,$N$27-strikeFromSymbol(A80)),MAX(0,strikeFromSymbol(A80)-$N$27))*10000</f>
        <v>0</v>
      </c>
      <c r="AB80" s="86">
        <f t="shared" si="6"/>
        <v>0</v>
      </c>
      <c r="AC80" s="49">
        <f t="shared" si="3"/>
        <v>0</v>
      </c>
      <c r="AD80" s="48">
        <f>MAX(0,AC80*6.25)</f>
        <v>0</v>
      </c>
    </row>
    <row r="81" spans="1:30" x14ac:dyDescent="0.25">
      <c r="A81" s="2"/>
      <c r="B81" s="2"/>
      <c r="C81" s="2"/>
      <c r="D81" s="2"/>
      <c r="E81" s="2"/>
      <c r="F81" s="28"/>
      <c r="G81" s="2"/>
      <c r="H81" s="2"/>
      <c r="I81" s="2"/>
      <c r="J81" s="2"/>
      <c r="K81" s="2"/>
      <c r="L81" s="2"/>
      <c r="M81" s="2"/>
      <c r="N81" s="2"/>
      <c r="O81" s="2"/>
      <c r="P81" s="2"/>
      <c r="Q81" s="33"/>
      <c r="R81" s="2"/>
      <c r="S81" s="2"/>
      <c r="T81" s="2"/>
      <c r="U81" s="2">
        <f t="shared" si="0"/>
        <v>0</v>
      </c>
      <c r="V81" s="2">
        <v>1.5804</v>
      </c>
      <c r="W81" s="2">
        <f t="shared" si="1"/>
        <v>0</v>
      </c>
      <c r="X81">
        <f t="shared" si="5"/>
        <v>0</v>
      </c>
      <c r="Y81">
        <f t="shared" si="2"/>
        <v>0</v>
      </c>
      <c r="Z81" s="85">
        <f t="shared" si="7"/>
        <v>0</v>
      </c>
      <c r="AA81">
        <f>IF(rightFromSymbol(A81)="C",MAX(0,$N$27-strikeFromSymbol(A81)),MAX(0,strikeFromSymbol(A81)-$N$27))*10000</f>
        <v>0</v>
      </c>
      <c r="AB81" s="86">
        <f t="shared" si="6"/>
        <v>0</v>
      </c>
      <c r="AC81" s="49">
        <f t="shared" si="3"/>
        <v>0</v>
      </c>
      <c r="AD81" s="48">
        <f t="shared" ref="AD81:AD91" si="8">MAX(0,AC81*6.25)</f>
        <v>0</v>
      </c>
    </row>
    <row r="82" spans="1:30" x14ac:dyDescent="0.25">
      <c r="A82" s="2"/>
      <c r="B82" s="2"/>
      <c r="C82" s="2"/>
      <c r="D82" s="2"/>
      <c r="E82" s="2"/>
      <c r="F82" s="28"/>
      <c r="G82" s="2"/>
      <c r="H82" s="2"/>
      <c r="I82" s="2"/>
      <c r="J82" s="2"/>
      <c r="K82" s="2"/>
      <c r="L82" s="2"/>
      <c r="M82" s="2"/>
      <c r="N82" s="2"/>
      <c r="O82" s="2"/>
      <c r="P82" s="2"/>
      <c r="Q82" s="33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5">
        <f t="shared" si="7"/>
        <v>0</v>
      </c>
      <c r="AA82">
        <f>IF(rightFromSymbol(A82)="C",MAX(0,$N$27-strikeFromSymbol(A82)),MAX(0,strikeFromSymbol(A82)-$N$27))*10000</f>
        <v>0</v>
      </c>
      <c r="AB82" s="86">
        <f t="shared" si="6"/>
        <v>0</v>
      </c>
      <c r="AC82" s="49">
        <f t="shared" si="3"/>
        <v>0</v>
      </c>
      <c r="AD82" s="48">
        <f t="shared" si="8"/>
        <v>0</v>
      </c>
    </row>
    <row r="83" spans="1:30" x14ac:dyDescent="0.25">
      <c r="A83" s="2"/>
      <c r="B83" s="2"/>
      <c r="C83" s="2"/>
      <c r="D83" s="2"/>
      <c r="E83" s="2"/>
      <c r="F83" s="28"/>
      <c r="G83" s="2"/>
      <c r="H83" s="2"/>
      <c r="I83" s="2"/>
      <c r="J83" s="2"/>
      <c r="K83" s="2"/>
      <c r="L83" s="2"/>
      <c r="M83" s="2"/>
      <c r="N83" s="2"/>
      <c r="O83" s="2"/>
      <c r="P83" s="2"/>
      <c r="Q83" s="33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5">
        <f t="shared" si="7"/>
        <v>0</v>
      </c>
      <c r="AA83">
        <f>IF(rightFromSymbol(A83)="C",MAX(0,$N$27-strikeFromSymbol(A83)),MAX(0,strikeFromSymbol(A83)-$N$27))*10000</f>
        <v>0</v>
      </c>
      <c r="AB83" s="86">
        <f t="shared" si="6"/>
        <v>0</v>
      </c>
      <c r="AC83" s="49">
        <f t="shared" si="3"/>
        <v>0</v>
      </c>
      <c r="AD83" s="48">
        <f t="shared" si="8"/>
        <v>0</v>
      </c>
    </row>
    <row r="84" spans="1:30" x14ac:dyDescent="0.25">
      <c r="A84" s="2"/>
      <c r="B84" s="2"/>
      <c r="C84" s="2"/>
      <c r="D84" s="2"/>
      <c r="E84" s="2"/>
      <c r="F84" s="28"/>
      <c r="G84" s="2"/>
      <c r="H84" s="2"/>
      <c r="I84" s="2"/>
      <c r="J84" s="2"/>
      <c r="K84" s="2"/>
      <c r="L84" s="2"/>
      <c r="M84" s="2"/>
      <c r="N84" s="2"/>
      <c r="O84" s="2"/>
      <c r="P84" s="2"/>
      <c r="Q84" s="33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5">
        <f t="shared" si="7"/>
        <v>0</v>
      </c>
      <c r="AA84">
        <f>IF(rightFromSymbol(A84)="C",MAX(0,$N$27-strikeFromSymbol(A84)),MAX(0,strikeFromSymbol(A84)-$N$27))*10000</f>
        <v>0</v>
      </c>
      <c r="AB84" s="86">
        <f t="shared" si="6"/>
        <v>0</v>
      </c>
      <c r="AC84" s="49">
        <f t="shared" si="3"/>
        <v>0</v>
      </c>
      <c r="AD84" s="48">
        <f t="shared" si="8"/>
        <v>0</v>
      </c>
    </row>
    <row r="85" spans="1:30" x14ac:dyDescent="0.25">
      <c r="A85" s="2"/>
      <c r="B85" s="2"/>
      <c r="C85" s="2"/>
      <c r="D85" s="2"/>
      <c r="E85" s="2"/>
      <c r="F85" s="28"/>
      <c r="G85" s="2"/>
      <c r="H85" s="2"/>
      <c r="I85" s="2"/>
      <c r="J85" s="2"/>
      <c r="K85" s="2"/>
      <c r="L85" s="2"/>
      <c r="M85" s="2"/>
      <c r="N85" s="2"/>
      <c r="O85" s="2"/>
      <c r="P85" s="2"/>
      <c r="Q85" s="33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5">
        <f t="shared" si="7"/>
        <v>0</v>
      </c>
      <c r="AA85">
        <f>IF(rightFromSymbol(A85)="C",MAX(0,$N$27-strikeFromSymbol(A85)),MAX(0,strikeFromSymbol(A85)-$N$27))*10000</f>
        <v>0</v>
      </c>
      <c r="AB85" s="86">
        <f t="shared" si="6"/>
        <v>0</v>
      </c>
      <c r="AC85" s="49">
        <f t="shared" si="3"/>
        <v>0</v>
      </c>
      <c r="AD85" s="48">
        <f t="shared" si="8"/>
        <v>0</v>
      </c>
    </row>
    <row r="86" spans="1:30" x14ac:dyDescent="0.25">
      <c r="A86" s="2"/>
      <c r="B86" s="2"/>
      <c r="C86" s="2"/>
      <c r="D86" s="2"/>
      <c r="E86" s="2"/>
      <c r="F86" s="28"/>
      <c r="G86" s="2"/>
      <c r="H86" s="2"/>
      <c r="I86" s="2"/>
      <c r="J86" s="2"/>
      <c r="K86" s="2"/>
      <c r="L86" s="2"/>
      <c r="M86" s="2"/>
      <c r="N86" s="2"/>
      <c r="O86" s="2"/>
      <c r="P86" s="2"/>
      <c r="Q86" s="33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5">
        <f t="shared" si="7"/>
        <v>0</v>
      </c>
      <c r="AA86">
        <f>IF(rightFromSymbol(A86)="C",MAX(0,$N$27-strikeFromSymbol(A86)),MAX(0,strikeFromSymbol(A86)-$N$27))*10000</f>
        <v>0</v>
      </c>
      <c r="AB86" s="86">
        <f t="shared" si="6"/>
        <v>0</v>
      </c>
      <c r="AC86" s="49">
        <f t="shared" si="3"/>
        <v>0</v>
      </c>
      <c r="AD86" s="48">
        <f t="shared" si="8"/>
        <v>0</v>
      </c>
    </row>
    <row r="87" spans="1:30" x14ac:dyDescent="0.25">
      <c r="A87" s="2"/>
      <c r="B87" s="2"/>
      <c r="C87" s="2"/>
      <c r="D87" s="2"/>
      <c r="E87" s="2"/>
      <c r="F87" s="28"/>
      <c r="G87" s="2"/>
      <c r="H87" s="2"/>
      <c r="I87" s="2"/>
      <c r="J87" s="2"/>
      <c r="K87" s="2"/>
      <c r="L87" s="2"/>
      <c r="M87" s="2"/>
      <c r="N87" s="2"/>
      <c r="O87" s="2"/>
      <c r="P87" s="2"/>
      <c r="Q87" s="33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5">
        <f t="shared" si="7"/>
        <v>0</v>
      </c>
      <c r="AA87">
        <f>IF(rightFromSymbol(A87)="C",MAX(0,$N$27-strikeFromSymbol(A87)),MAX(0,strikeFromSymbol(A87)-$N$27))*10000</f>
        <v>0</v>
      </c>
      <c r="AB87" s="86">
        <f t="shared" si="6"/>
        <v>0</v>
      </c>
      <c r="AC87" s="49">
        <f t="shared" si="3"/>
        <v>0</v>
      </c>
      <c r="AD87" s="48">
        <f t="shared" si="8"/>
        <v>0</v>
      </c>
    </row>
    <row r="88" spans="1:30" x14ac:dyDescent="0.25">
      <c r="A88" s="2"/>
      <c r="B88" s="2"/>
      <c r="C88" s="2"/>
      <c r="D88" s="2"/>
      <c r="E88" s="2"/>
      <c r="F88" s="28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5">
        <f t="shared" si="7"/>
        <v>0</v>
      </c>
      <c r="AA88">
        <f>IF(rightFromSymbol(A88)="C",MAX(0,$N$27-strikeFromSymbol(A88)),MAX(0,strikeFromSymbol(A88)-$N$27))*10000</f>
        <v>0</v>
      </c>
      <c r="AB88" s="86">
        <f t="shared" si="6"/>
        <v>0</v>
      </c>
      <c r="AC88" s="49">
        <f t="shared" si="3"/>
        <v>0</v>
      </c>
      <c r="AD88" s="48">
        <f t="shared" si="8"/>
        <v>0</v>
      </c>
    </row>
    <row r="89" spans="1:30" x14ac:dyDescent="0.25">
      <c r="A89" s="2"/>
      <c r="B89" s="2"/>
      <c r="C89" s="2"/>
      <c r="D89" s="2"/>
      <c r="E89" s="2"/>
      <c r="F89" s="28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5">
        <f t="shared" si="7"/>
        <v>0</v>
      </c>
      <c r="AA89">
        <f>IF(rightFromSymbol(A89)="C",MAX(0,$N$27-strikeFromSymbol(A89)),MAX(0,strikeFromSymbol(A89)-$N$27))*10000</f>
        <v>0</v>
      </c>
      <c r="AB89" s="86">
        <f t="shared" si="6"/>
        <v>0</v>
      </c>
      <c r="AC89" s="49">
        <f t="shared" si="3"/>
        <v>0</v>
      </c>
      <c r="AD89" s="48">
        <f t="shared" si="8"/>
        <v>0</v>
      </c>
    </row>
    <row r="90" spans="1:30" x14ac:dyDescent="0.25">
      <c r="A90" s="2"/>
      <c r="B90" s="2"/>
      <c r="C90" s="2"/>
      <c r="D90" s="2"/>
      <c r="E90" s="2"/>
      <c r="F90" s="28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>
        <f t="shared" si="0"/>
        <v>0</v>
      </c>
      <c r="V90" s="2"/>
      <c r="W90" s="2">
        <f t="shared" si="1"/>
        <v>0</v>
      </c>
      <c r="X90">
        <f t="shared" si="5"/>
        <v>0</v>
      </c>
      <c r="Y90">
        <f t="shared" si="2"/>
        <v>0</v>
      </c>
      <c r="Z90" s="85">
        <f t="shared" si="7"/>
        <v>0</v>
      </c>
      <c r="AA90">
        <f>IF(rightFromSymbol(A90)="C",MAX(0,$N$27-strikeFromSymbol(A90)),MAX(0,strikeFromSymbol(A90)-$N$27))*10000</f>
        <v>0</v>
      </c>
      <c r="AB90" s="86">
        <f t="shared" si="6"/>
        <v>0</v>
      </c>
      <c r="AC90" s="49">
        <f t="shared" si="3"/>
        <v>0</v>
      </c>
      <c r="AD90" s="48">
        <f t="shared" si="8"/>
        <v>0</v>
      </c>
    </row>
    <row r="91" spans="1:30" x14ac:dyDescent="0.25">
      <c r="A91" s="2"/>
      <c r="B91" s="2"/>
      <c r="C91" s="2"/>
      <c r="D91" s="2"/>
      <c r="E91" s="2"/>
      <c r="F91" s="28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>
        <f t="shared" si="0"/>
        <v>0</v>
      </c>
      <c r="V91" s="2"/>
      <c r="W91" s="2">
        <f t="shared" si="1"/>
        <v>0</v>
      </c>
      <c r="X91">
        <f t="shared" si="5"/>
        <v>0</v>
      </c>
      <c r="Y91">
        <f t="shared" si="2"/>
        <v>0</v>
      </c>
      <c r="Z91" s="85">
        <f t="shared" si="7"/>
        <v>0</v>
      </c>
      <c r="AA91">
        <f>IF(rightFromSymbol(A91)="C",MAX(0,$N$27-strikeFromSymbol(A91)),MAX(0,strikeFromSymbol(A91)-$N$27))*10000</f>
        <v>0</v>
      </c>
      <c r="AB91" s="86">
        <f t="shared" si="6"/>
        <v>0</v>
      </c>
      <c r="AC91" s="49">
        <f t="shared" si="3"/>
        <v>0</v>
      </c>
      <c r="AD91" s="48">
        <f t="shared" si="8"/>
        <v>0</v>
      </c>
    </row>
    <row r="97" spans="1:13" x14ac:dyDescent="0.25">
      <c r="A97" s="117" t="s">
        <v>174</v>
      </c>
      <c r="B97" s="118"/>
      <c r="C97" s="118"/>
      <c r="D97" s="118"/>
      <c r="E97" s="118"/>
      <c r="F97" s="118"/>
      <c r="G97" s="118"/>
      <c r="H97" s="118"/>
      <c r="I97" s="118"/>
      <c r="J97" s="118"/>
      <c r="K97" s="118"/>
      <c r="L97" s="118"/>
      <c r="M97" s="118"/>
    </row>
    <row r="98" spans="1:13" x14ac:dyDescent="0.25">
      <c r="A98" s="111" t="s">
        <v>41</v>
      </c>
      <c r="B98" s="112"/>
      <c r="C98" s="112"/>
      <c r="D98" s="112"/>
      <c r="E98" s="112"/>
      <c r="F98" s="112"/>
      <c r="G98" s="112"/>
      <c r="H98" s="112"/>
      <c r="I98" s="112"/>
      <c r="J98" s="112"/>
      <c r="K98" s="112"/>
      <c r="L98" s="112"/>
      <c r="M98" s="112"/>
    </row>
    <row r="99" spans="1:13" x14ac:dyDescent="0.25">
      <c r="A99" s="70" t="s">
        <v>9</v>
      </c>
      <c r="B99" s="69" t="s">
        <v>42</v>
      </c>
      <c r="C99" s="69" t="s">
        <v>43</v>
      </c>
      <c r="D99" s="69" t="s">
        <v>44</v>
      </c>
      <c r="E99" s="69" t="s">
        <v>45</v>
      </c>
      <c r="F99" s="69" t="s">
        <v>33</v>
      </c>
      <c r="G99" s="69" t="s">
        <v>46</v>
      </c>
      <c r="H99" s="69" t="s">
        <v>47</v>
      </c>
      <c r="I99" s="69" t="s">
        <v>48</v>
      </c>
      <c r="J99" s="69" t="s">
        <v>49</v>
      </c>
      <c r="K99" s="69" t="s">
        <v>50</v>
      </c>
      <c r="L99" s="69" t="s">
        <v>51</v>
      </c>
      <c r="M99" s="69" t="s">
        <v>52</v>
      </c>
    </row>
    <row r="100" spans="1:13" x14ac:dyDescent="0.25">
      <c r="A100" s="2"/>
      <c r="B100" s="16"/>
      <c r="C100" s="20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0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0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2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2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0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0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0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0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0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0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0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0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0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0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0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16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16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16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16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16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16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16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16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16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16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16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16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16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  <row r="1028" spans="1:13" x14ac:dyDescent="0.25">
      <c r="A1028" s="2"/>
      <c r="B1028" s="16"/>
      <c r="C1028" s="22"/>
      <c r="D1028" s="16"/>
      <c r="E1028" s="21"/>
      <c r="F1028" s="16"/>
      <c r="G1028" s="16"/>
      <c r="H1028" s="16"/>
      <c r="I1028" s="16"/>
      <c r="J1028" s="16"/>
      <c r="K1028" s="16"/>
      <c r="L1028" s="16"/>
      <c r="M1028" s="16"/>
    </row>
    <row r="1029" spans="1:13" x14ac:dyDescent="0.25">
      <c r="A1029" s="2"/>
      <c r="B1029" s="16"/>
      <c r="C1029" s="22"/>
      <c r="D1029" s="16"/>
      <c r="E1029" s="21"/>
      <c r="F1029" s="16"/>
      <c r="G1029" s="16"/>
      <c r="H1029" s="16"/>
      <c r="I1029" s="16"/>
      <c r="J1029" s="16"/>
      <c r="K1029" s="16"/>
      <c r="L1029" s="16"/>
      <c r="M1029" s="16"/>
    </row>
    <row r="1030" spans="1:13" x14ac:dyDescent="0.25">
      <c r="A1030" s="2"/>
      <c r="B1030" s="16"/>
      <c r="C1030" s="22"/>
      <c r="D1030" s="16"/>
      <c r="E1030" s="21"/>
      <c r="F1030" s="16"/>
      <c r="G1030" s="16"/>
      <c r="H1030" s="16"/>
      <c r="I1030" s="16"/>
      <c r="J1030" s="16"/>
      <c r="K1030" s="16"/>
      <c r="L1030" s="16"/>
      <c r="M1030" s="16"/>
    </row>
    <row r="1031" spans="1:13" x14ac:dyDescent="0.25">
      <c r="A1031" s="2"/>
      <c r="B1031" s="16"/>
      <c r="C1031" s="22"/>
      <c r="D1031" s="16"/>
      <c r="E1031" s="21"/>
      <c r="F1031" s="16"/>
      <c r="G1031" s="16"/>
      <c r="H1031" s="16"/>
      <c r="I1031" s="16"/>
      <c r="J1031" s="16"/>
      <c r="K1031" s="16"/>
      <c r="L1031" s="16"/>
      <c r="M1031" s="16"/>
    </row>
    <row r="1032" spans="1:13" x14ac:dyDescent="0.25">
      <c r="A1032" s="2"/>
      <c r="B1032" s="16"/>
      <c r="C1032" s="22"/>
      <c r="D1032" s="16"/>
      <c r="E1032" s="21"/>
      <c r="F1032" s="16"/>
      <c r="G1032" s="16"/>
      <c r="H1032" s="16"/>
      <c r="I1032" s="16"/>
      <c r="J1032" s="16"/>
      <c r="K1032" s="16"/>
      <c r="L1032" s="16"/>
      <c r="M1032" s="16"/>
    </row>
    <row r="1033" spans="1:13" x14ac:dyDescent="0.25">
      <c r="A1033" s="2"/>
      <c r="B1033" s="16"/>
      <c r="C1033" s="22"/>
      <c r="D1033" s="16"/>
      <c r="E1033" s="21"/>
      <c r="F1033" s="16"/>
      <c r="G1033" s="16"/>
      <c r="H1033" s="16"/>
      <c r="I1033" s="16"/>
      <c r="J1033" s="16"/>
      <c r="K1033" s="16"/>
      <c r="L1033" s="16"/>
      <c r="M1033" s="16"/>
    </row>
  </sheetData>
  <dataConsolidate/>
  <mergeCells count="66">
    <mergeCell ref="A34:I34"/>
    <mergeCell ref="Q32:R32"/>
    <mergeCell ref="Q34:W34"/>
    <mergeCell ref="S32:T32"/>
    <mergeCell ref="N69:S69"/>
    <mergeCell ref="T69:W69"/>
    <mergeCell ref="U32:V32"/>
    <mergeCell ref="M57:O57"/>
    <mergeCell ref="A56:O56"/>
    <mergeCell ref="Q40:S40"/>
    <mergeCell ref="T40:U40"/>
    <mergeCell ref="V40:W40"/>
    <mergeCell ref="A98:M98"/>
    <mergeCell ref="A69:M69"/>
    <mergeCell ref="O32:P32"/>
    <mergeCell ref="B57:E57"/>
    <mergeCell ref="G57:K57"/>
    <mergeCell ref="C32:D32"/>
    <mergeCell ref="E32:F32"/>
    <mergeCell ref="G32:H32"/>
    <mergeCell ref="I32:J32"/>
    <mergeCell ref="K32:L32"/>
    <mergeCell ref="M32:N32"/>
    <mergeCell ref="A97:M97"/>
    <mergeCell ref="I64:J64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19050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4" t="s">
        <v>123</v>
      </c>
      <c r="AF1" s="124"/>
      <c r="AG1" s="124"/>
      <c r="AH1" s="124"/>
      <c r="AI1" s="124"/>
      <c r="AJ1" s="124"/>
      <c r="AK1" s="124"/>
    </row>
    <row r="4" spans="2:37" x14ac:dyDescent="0.25">
      <c r="B4" s="96" t="s">
        <v>13</v>
      </c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96"/>
      <c r="R4" s="97"/>
      <c r="S4" s="97"/>
      <c r="T4" s="121" t="s">
        <v>101</v>
      </c>
      <c r="U4" s="121"/>
      <c r="V4" s="121"/>
      <c r="W4" s="121"/>
      <c r="X4" s="121"/>
      <c r="Y4" s="121"/>
      <c r="Z4" s="121"/>
      <c r="AA4" s="121"/>
      <c r="AB4" s="121" t="s">
        <v>108</v>
      </c>
      <c r="AC4" s="121"/>
      <c r="AD4" s="121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100</v>
      </c>
    </row>
    <row r="2" spans="1:2" x14ac:dyDescent="0.25">
      <c r="A2" t="s">
        <v>176</v>
      </c>
      <c r="B2">
        <v>1029</v>
      </c>
    </row>
    <row r="3" spans="1:2" x14ac:dyDescent="0.25">
      <c r="A3" t="s">
        <v>177</v>
      </c>
      <c r="B3">
        <v>71</v>
      </c>
    </row>
    <row r="4" spans="1:2" x14ac:dyDescent="0.25">
      <c r="A4" t="s">
        <v>178</v>
      </c>
      <c r="B4">
        <v>91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205</v>
      </c>
      <c r="B10">
        <v>64</v>
      </c>
    </row>
    <row r="11" spans="1:2" x14ac:dyDescent="0.25">
      <c r="A11" t="s">
        <v>206</v>
      </c>
      <c r="B11">
        <v>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8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225</v>
      </c>
    </row>
    <row r="2" spans="1:1" x14ac:dyDescent="0.25">
      <c r="A2" s="94" t="s">
        <v>226</v>
      </c>
    </row>
    <row r="3" spans="1:1" x14ac:dyDescent="0.25">
      <c r="A3" s="27" t="s">
        <v>227</v>
      </c>
    </row>
    <row r="4" spans="1:1" x14ac:dyDescent="0.25">
      <c r="A4" s="27" t="s">
        <v>228</v>
      </c>
    </row>
    <row r="5" spans="1:1" x14ac:dyDescent="0.25">
      <c r="A5" s="27" t="s">
        <v>229</v>
      </c>
    </row>
    <row r="6" spans="1:1" x14ac:dyDescent="0.25">
      <c r="A6" s="27" t="s">
        <v>230</v>
      </c>
    </row>
    <row r="7" spans="1:1" x14ac:dyDescent="0.25">
      <c r="A7" s="27" t="s">
        <v>231</v>
      </c>
    </row>
    <row r="8" spans="1:1" x14ac:dyDescent="0.25">
      <c r="A8" s="27" t="s">
        <v>232</v>
      </c>
    </row>
    <row r="9" spans="1:1" x14ac:dyDescent="0.25">
      <c r="A9" s="27" t="s">
        <v>233</v>
      </c>
    </row>
    <row r="10" spans="1:1" x14ac:dyDescent="0.25">
      <c r="A10" s="27" t="s">
        <v>234</v>
      </c>
    </row>
    <row r="11" spans="1:1" x14ac:dyDescent="0.25">
      <c r="A11" s="27" t="s">
        <v>235</v>
      </c>
    </row>
    <row r="12" spans="1:1" x14ac:dyDescent="0.25">
      <c r="A12" s="27" t="s">
        <v>236</v>
      </c>
    </row>
    <row r="13" spans="1:1" x14ac:dyDescent="0.25">
      <c r="A13" s="27" t="s">
        <v>237</v>
      </c>
    </row>
    <row r="14" spans="1:1" x14ac:dyDescent="0.25">
      <c r="A14" s="27" t="s">
        <v>238</v>
      </c>
    </row>
    <row r="15" spans="1:1" x14ac:dyDescent="0.25">
      <c r="A15" s="27" t="s">
        <v>239</v>
      </c>
    </row>
    <row r="16" spans="1:1" x14ac:dyDescent="0.25">
      <c r="A16" s="27" t="s">
        <v>240</v>
      </c>
    </row>
    <row r="17" spans="1:1" x14ac:dyDescent="0.25">
      <c r="A17" s="93" t="s">
        <v>241</v>
      </c>
    </row>
    <row r="18" spans="1:1" x14ac:dyDescent="0.25">
      <c r="A18" s="94" t="s">
        <v>242</v>
      </c>
    </row>
    <row r="19" spans="1:1" x14ac:dyDescent="0.25">
      <c r="A19" s="27" t="s">
        <v>243</v>
      </c>
    </row>
    <row r="20" spans="1:1" x14ac:dyDescent="0.25">
      <c r="A20" s="27" t="s">
        <v>244</v>
      </c>
    </row>
    <row r="21" spans="1:1" x14ac:dyDescent="0.25">
      <c r="A21" s="27" t="s">
        <v>245</v>
      </c>
    </row>
    <row r="22" spans="1:1" x14ac:dyDescent="0.25">
      <c r="A22" s="27" t="s">
        <v>246</v>
      </c>
    </row>
    <row r="23" spans="1:1" x14ac:dyDescent="0.25">
      <c r="A23" s="27" t="s">
        <v>247</v>
      </c>
    </row>
    <row r="24" spans="1:1" x14ac:dyDescent="0.25">
      <c r="A24" s="27" t="s">
        <v>248</v>
      </c>
    </row>
    <row r="25" spans="1:1" x14ac:dyDescent="0.25">
      <c r="A25" s="27" t="s">
        <v>249</v>
      </c>
    </row>
    <row r="26" spans="1:1" x14ac:dyDescent="0.25">
      <c r="A26" s="27" t="s">
        <v>250</v>
      </c>
    </row>
    <row r="27" spans="1:1" x14ac:dyDescent="0.25">
      <c r="A27" s="27" t="s">
        <v>251</v>
      </c>
    </row>
    <row r="28" spans="1:1" x14ac:dyDescent="0.25">
      <c r="A28" s="27" t="s">
        <v>252</v>
      </c>
    </row>
    <row r="29" spans="1:1" x14ac:dyDescent="0.25">
      <c r="A29" s="27" t="s">
        <v>253</v>
      </c>
    </row>
    <row r="30" spans="1:1" x14ac:dyDescent="0.25">
      <c r="A30" s="27" t="s">
        <v>254</v>
      </c>
    </row>
    <row r="31" spans="1:1" x14ac:dyDescent="0.25">
      <c r="A31" s="27" t="s">
        <v>255</v>
      </c>
    </row>
    <row r="32" spans="1:1" x14ac:dyDescent="0.25">
      <c r="A32" s="27" t="s">
        <v>256</v>
      </c>
    </row>
    <row r="33" spans="1:1" x14ac:dyDescent="0.25">
      <c r="A33" s="93" t="s">
        <v>257</v>
      </c>
    </row>
    <row r="34" spans="1:1" x14ac:dyDescent="0.25">
      <c r="A34" s="93" t="s">
        <v>258</v>
      </c>
    </row>
    <row r="35" spans="1:1" x14ac:dyDescent="0.25">
      <c r="A35" s="94" t="s">
        <v>259</v>
      </c>
    </row>
    <row r="36" spans="1:1" x14ac:dyDescent="0.25">
      <c r="A36" s="27" t="s">
        <v>260</v>
      </c>
    </row>
    <row r="37" spans="1:1" x14ac:dyDescent="0.25">
      <c r="A37" s="27" t="s">
        <v>261</v>
      </c>
    </row>
    <row r="38" spans="1:1" x14ac:dyDescent="0.25">
      <c r="A38" s="27" t="s">
        <v>262</v>
      </c>
    </row>
    <row r="39" spans="1:1" x14ac:dyDescent="0.25">
      <c r="A39" s="27" t="s">
        <v>263</v>
      </c>
    </row>
    <row r="40" spans="1:1" x14ac:dyDescent="0.25">
      <c r="A40" s="27" t="s">
        <v>264</v>
      </c>
    </row>
    <row r="41" spans="1:1" x14ac:dyDescent="0.25">
      <c r="A41" s="27" t="s">
        <v>265</v>
      </c>
    </row>
    <row r="42" spans="1:1" x14ac:dyDescent="0.25">
      <c r="A42" s="27" t="s">
        <v>266</v>
      </c>
    </row>
    <row r="43" spans="1:1" x14ac:dyDescent="0.25">
      <c r="A43" s="93" t="s">
        <v>267</v>
      </c>
    </row>
    <row r="44" spans="1:1" x14ac:dyDescent="0.25">
      <c r="A44" s="94" t="s">
        <v>268</v>
      </c>
    </row>
    <row r="45" spans="1:1" x14ac:dyDescent="0.25">
      <c r="A45" s="27" t="s">
        <v>269</v>
      </c>
    </row>
    <row r="46" spans="1:1" x14ac:dyDescent="0.25">
      <c r="A46" s="27" t="s">
        <v>270</v>
      </c>
    </row>
    <row r="47" spans="1:1" x14ac:dyDescent="0.25">
      <c r="A47" s="27" t="s">
        <v>271</v>
      </c>
    </row>
    <row r="48" spans="1:1" x14ac:dyDescent="0.25">
      <c r="A48" s="27" t="s">
        <v>272</v>
      </c>
    </row>
    <row r="49" spans="1:1" x14ac:dyDescent="0.25">
      <c r="A49" s="27" t="s">
        <v>273</v>
      </c>
    </row>
    <row r="50" spans="1:1" x14ac:dyDescent="0.25">
      <c r="A50" s="27" t="s">
        <v>274</v>
      </c>
    </row>
    <row r="51" spans="1:1" x14ac:dyDescent="0.25">
      <c r="A51" s="27" t="s">
        <v>275</v>
      </c>
    </row>
    <row r="52" spans="1:1" x14ac:dyDescent="0.25">
      <c r="A52" s="27" t="s">
        <v>276</v>
      </c>
    </row>
    <row r="53" spans="1:1" x14ac:dyDescent="0.25">
      <c r="A53" s="27" t="s">
        <v>277</v>
      </c>
    </row>
    <row r="54" spans="1:1" x14ac:dyDescent="0.25">
      <c r="A54" s="27" t="s">
        <v>278</v>
      </c>
    </row>
    <row r="55" spans="1:1" x14ac:dyDescent="0.25">
      <c r="A55" s="27" t="s">
        <v>279</v>
      </c>
    </row>
    <row r="56" spans="1:1" x14ac:dyDescent="0.25">
      <c r="A56" s="27" t="s">
        <v>280</v>
      </c>
    </row>
    <row r="57" spans="1:1" x14ac:dyDescent="0.25">
      <c r="A57" s="27" t="s">
        <v>281</v>
      </c>
    </row>
    <row r="58" spans="1:1" x14ac:dyDescent="0.25">
      <c r="A58" s="27" t="s">
        <v>282</v>
      </c>
    </row>
    <row r="59" spans="1:1" x14ac:dyDescent="0.25">
      <c r="A59" s="93" t="s">
        <v>283</v>
      </c>
    </row>
    <row r="60" spans="1:1" x14ac:dyDescent="0.25">
      <c r="A60" s="93" t="s">
        <v>284</v>
      </c>
    </row>
    <row r="61" spans="1:1" x14ac:dyDescent="0.25">
      <c r="A61" s="27" t="s">
        <v>285</v>
      </c>
    </row>
    <row r="62" spans="1:1" x14ac:dyDescent="0.25">
      <c r="A62" s="27" t="s">
        <v>286</v>
      </c>
    </row>
    <row r="63" spans="1:1" x14ac:dyDescent="0.25">
      <c r="A63" s="27" t="s">
        <v>287</v>
      </c>
    </row>
    <row r="64" spans="1:1" x14ac:dyDescent="0.25">
      <c r="A64" s="94" t="s">
        <v>288</v>
      </c>
    </row>
    <row r="65" spans="1:1" x14ac:dyDescent="0.25">
      <c r="A65" s="27" t="s">
        <v>289</v>
      </c>
    </row>
    <row r="66" spans="1:1" x14ac:dyDescent="0.25">
      <c r="A66" s="27" t="s">
        <v>290</v>
      </c>
    </row>
    <row r="67" spans="1:1" x14ac:dyDescent="0.25">
      <c r="A67" s="27" t="s">
        <v>291</v>
      </c>
    </row>
    <row r="68" spans="1:1" x14ac:dyDescent="0.25">
      <c r="A68" s="27" t="s">
        <v>292</v>
      </c>
    </row>
    <row r="69" spans="1:1" x14ac:dyDescent="0.25">
      <c r="A69" s="27" t="s">
        <v>293</v>
      </c>
    </row>
    <row r="70" spans="1:1" x14ac:dyDescent="0.25">
      <c r="A70" s="27" t="s">
        <v>294</v>
      </c>
    </row>
    <row r="71" spans="1:1" x14ac:dyDescent="0.25">
      <c r="A71" s="27" t="s">
        <v>295</v>
      </c>
    </row>
    <row r="72" spans="1:1" x14ac:dyDescent="0.25">
      <c r="A72" s="27" t="s">
        <v>296</v>
      </c>
    </row>
    <row r="73" spans="1:1" x14ac:dyDescent="0.25">
      <c r="A73" s="27" t="s">
        <v>297</v>
      </c>
    </row>
    <row r="74" spans="1:1" x14ac:dyDescent="0.25">
      <c r="A74" s="27" t="s">
        <v>298</v>
      </c>
    </row>
    <row r="75" spans="1:1" x14ac:dyDescent="0.25">
      <c r="A75" s="27" t="s">
        <v>299</v>
      </c>
    </row>
    <row r="76" spans="1:1" x14ac:dyDescent="0.25">
      <c r="A76" s="27" t="s">
        <v>300</v>
      </c>
    </row>
    <row r="77" spans="1:1" x14ac:dyDescent="0.25">
      <c r="A77" s="27" t="s">
        <v>301</v>
      </c>
    </row>
    <row r="78" spans="1:1" x14ac:dyDescent="0.25">
      <c r="A78" t="s">
        <v>302</v>
      </c>
    </row>
    <row r="79" spans="1:1" x14ac:dyDescent="0.25">
      <c r="A79" t="s">
        <v>303</v>
      </c>
    </row>
    <row r="80" spans="1:1" x14ac:dyDescent="0.25">
      <c r="A80" s="93" t="s">
        <v>304</v>
      </c>
    </row>
    <row r="81" spans="1:1" x14ac:dyDescent="0.25">
      <c r="A81" s="93" t="s">
        <v>305</v>
      </c>
    </row>
    <row r="82" spans="1:1" x14ac:dyDescent="0.25">
      <c r="A82" s="93" t="s">
        <v>306</v>
      </c>
    </row>
    <row r="83" spans="1:1" x14ac:dyDescent="0.25">
      <c r="A83" s="93" t="s">
        <v>307</v>
      </c>
    </row>
    <row r="84" spans="1:1" x14ac:dyDescent="0.25">
      <c r="A84" s="93" t="s">
        <v>308</v>
      </c>
    </row>
    <row r="85" spans="1:1" x14ac:dyDescent="0.25">
      <c r="A85" s="93" t="s">
        <v>309</v>
      </c>
    </row>
    <row r="86" spans="1:1" x14ac:dyDescent="0.25">
      <c r="A86" s="93" t="s">
        <v>310</v>
      </c>
    </row>
    <row r="87" spans="1:1" x14ac:dyDescent="0.25">
      <c r="A87" s="93" t="s">
        <v>311</v>
      </c>
    </row>
    <row r="88" spans="1:1" x14ac:dyDescent="0.25">
      <c r="A88" t="s">
        <v>312</v>
      </c>
    </row>
    <row r="89" spans="1:1" x14ac:dyDescent="0.25">
      <c r="A89" t="s">
        <v>313</v>
      </c>
    </row>
    <row r="90" spans="1:1" x14ac:dyDescent="0.25">
      <c r="A90" t="s">
        <v>314</v>
      </c>
    </row>
    <row r="91" spans="1:1" x14ac:dyDescent="0.25">
      <c r="A91" t="s">
        <v>315</v>
      </c>
    </row>
    <row r="92" spans="1:1" x14ac:dyDescent="0.25">
      <c r="A92" t="s">
        <v>316</v>
      </c>
    </row>
    <row r="93" spans="1:1" x14ac:dyDescent="0.25">
      <c r="A93" t="s">
        <v>317</v>
      </c>
    </row>
    <row r="94" spans="1:1" x14ac:dyDescent="0.25">
      <c r="A94" t="s">
        <v>318</v>
      </c>
    </row>
    <row r="95" spans="1:1" x14ac:dyDescent="0.25">
      <c r="A95" t="s">
        <v>319</v>
      </c>
    </row>
    <row r="96" spans="1:1" x14ac:dyDescent="0.25">
      <c r="A96" t="s">
        <v>320</v>
      </c>
    </row>
    <row r="97" spans="1:1" x14ac:dyDescent="0.25">
      <c r="A97" t="s">
        <v>321</v>
      </c>
    </row>
    <row r="98" spans="1:1" x14ac:dyDescent="0.25">
      <c r="A98" t="s">
        <v>322</v>
      </c>
    </row>
    <row r="99" spans="1:1" x14ac:dyDescent="0.25">
      <c r="A99" t="s">
        <v>323</v>
      </c>
    </row>
    <row r="100" spans="1:1" x14ac:dyDescent="0.25">
      <c r="A100" s="93" t="s">
        <v>324</v>
      </c>
    </row>
    <row r="101" spans="1:1" x14ac:dyDescent="0.25">
      <c r="A101" s="93" t="s">
        <v>325</v>
      </c>
    </row>
    <row r="102" spans="1:1" x14ac:dyDescent="0.25">
      <c r="A102" s="93" t="s">
        <v>326</v>
      </c>
    </row>
    <row r="103" spans="1:1" x14ac:dyDescent="0.25">
      <c r="A103" s="94" t="s">
        <v>327</v>
      </c>
    </row>
    <row r="104" spans="1:1" x14ac:dyDescent="0.25">
      <c r="A104" s="94" t="s">
        <v>328</v>
      </c>
    </row>
    <row r="105" spans="1:1" x14ac:dyDescent="0.25">
      <c r="A105" s="93" t="s">
        <v>329</v>
      </c>
    </row>
    <row r="106" spans="1:1" x14ac:dyDescent="0.25">
      <c r="A106" s="93" t="s">
        <v>330</v>
      </c>
    </row>
    <row r="107" spans="1:1" x14ac:dyDescent="0.25">
      <c r="A107" s="94" t="s">
        <v>331</v>
      </c>
    </row>
    <row r="108" spans="1:1" x14ac:dyDescent="0.25">
      <c r="A108" s="94" t="s">
        <v>332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4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6" t="s">
        <v>57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5" t="s">
        <v>26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6"/>
      <c r="M2" s="127" t="s">
        <v>27</v>
      </c>
      <c r="N2" s="127"/>
      <c r="O2" s="127"/>
      <c r="P2" s="127"/>
      <c r="Q2" s="127"/>
      <c r="R2" s="127" t="s">
        <v>28</v>
      </c>
      <c r="S2" s="127"/>
      <c r="T2" s="127"/>
      <c r="U2" s="127"/>
      <c r="V2" s="127"/>
      <c r="W2" s="127"/>
      <c r="X2" s="127"/>
      <c r="Y2" s="111" t="s">
        <v>41</v>
      </c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28"/>
      <c r="AM2" s="128"/>
      <c r="AN2" s="128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/>
      <c r="B4" s="2"/>
      <c r="C4" s="2"/>
      <c r="D4" s="15"/>
      <c r="E4" s="2"/>
      <c r="F4" s="2"/>
      <c r="G4" s="2"/>
      <c r="H4" s="2"/>
      <c r="I4" s="2"/>
      <c r="J4" s="2"/>
      <c r="K4" s="2"/>
      <c r="L4" s="2"/>
      <c r="M4" s="16"/>
      <c r="N4" s="16"/>
      <c r="O4" s="16"/>
      <c r="P4" s="16"/>
      <c r="Q4" s="16"/>
      <c r="R4" s="2">
        <v>8727</v>
      </c>
      <c r="S4" s="2"/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/>
      <c r="B5" s="2"/>
      <c r="C5" s="2"/>
      <c r="D5" s="15"/>
      <c r="E5" s="2"/>
      <c r="F5" s="2"/>
      <c r="G5" s="2"/>
      <c r="H5" s="2"/>
      <c r="I5" s="2"/>
      <c r="J5" s="2"/>
      <c r="K5" s="2"/>
      <c r="L5" s="2"/>
      <c r="M5" s="16"/>
      <c r="N5" s="16"/>
      <c r="O5" s="16"/>
      <c r="P5" s="21"/>
      <c r="Q5" s="16"/>
      <c r="R5" s="2">
        <v>8727</v>
      </c>
      <c r="S5" s="2" t="s">
        <v>192</v>
      </c>
      <c r="T5" s="2">
        <v>0</v>
      </c>
      <c r="U5" s="2">
        <v>37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/>
      <c r="B6" s="2"/>
      <c r="C6" s="2"/>
      <c r="D6" s="15"/>
      <c r="E6" s="2"/>
      <c r="F6" s="2"/>
      <c r="G6" s="2"/>
      <c r="H6" s="2"/>
      <c r="I6" s="2"/>
      <c r="J6" s="2"/>
      <c r="K6" s="2"/>
      <c r="L6" s="2"/>
      <c r="M6" s="16"/>
      <c r="N6" s="16"/>
      <c r="O6" s="16"/>
      <c r="P6" s="21"/>
      <c r="Q6" s="16"/>
      <c r="R6" s="2">
        <v>8727</v>
      </c>
      <c r="S6" s="2" t="s">
        <v>194</v>
      </c>
      <c r="T6" s="2">
        <v>0</v>
      </c>
      <c r="U6" s="2">
        <v>37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/>
      <c r="B7" s="2"/>
      <c r="C7" s="2"/>
      <c r="D7" s="15"/>
      <c r="E7" s="2"/>
      <c r="F7" s="2"/>
      <c r="G7" s="2"/>
      <c r="H7" s="2"/>
      <c r="I7" s="2"/>
      <c r="J7" s="2"/>
      <c r="K7" s="2"/>
      <c r="L7" s="2"/>
      <c r="M7" s="16"/>
      <c r="N7" s="16"/>
      <c r="O7" s="16"/>
      <c r="P7" s="21"/>
      <c r="Q7" s="16"/>
      <c r="R7" s="2">
        <v>8727</v>
      </c>
      <c r="S7" s="2" t="s">
        <v>214</v>
      </c>
      <c r="T7" s="2">
        <v>0</v>
      </c>
      <c r="U7" s="2">
        <v>37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/>
      <c r="B8" s="2"/>
      <c r="C8" s="2"/>
      <c r="D8" s="15"/>
      <c r="E8" s="2"/>
      <c r="F8" s="2"/>
      <c r="G8" s="2"/>
      <c r="H8" s="2"/>
      <c r="I8" s="2"/>
      <c r="J8" s="2"/>
      <c r="K8" s="2"/>
      <c r="L8" s="2"/>
      <c r="M8" s="16"/>
      <c r="N8" s="16"/>
      <c r="O8" s="16"/>
      <c r="P8" s="21"/>
      <c r="Q8" s="16"/>
      <c r="R8" s="2"/>
      <c r="S8" s="2"/>
      <c r="T8" s="2"/>
      <c r="U8" s="2"/>
      <c r="V8" s="2"/>
      <c r="W8" s="2"/>
      <c r="X8" s="2"/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/>
      <c r="B9" s="2"/>
      <c r="C9" s="2"/>
      <c r="D9" s="15"/>
      <c r="E9" s="2"/>
      <c r="F9" s="2"/>
      <c r="G9" s="2"/>
      <c r="H9" s="2"/>
      <c r="I9" s="2"/>
      <c r="J9" s="2"/>
      <c r="K9" s="2"/>
      <c r="L9" s="2"/>
      <c r="M9" s="16"/>
      <c r="N9" s="16"/>
      <c r="O9" s="16"/>
      <c r="P9" s="21"/>
      <c r="Q9" s="16"/>
      <c r="R9" s="2"/>
      <c r="S9" s="2"/>
      <c r="T9" s="2"/>
      <c r="U9" s="2"/>
      <c r="V9" s="2"/>
      <c r="W9" s="2"/>
      <c r="X9" s="2"/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/>
      <c r="B10" s="2"/>
      <c r="C10" s="2"/>
      <c r="D10" s="15"/>
      <c r="E10" s="2"/>
      <c r="F10" s="2"/>
      <c r="G10" s="2"/>
      <c r="H10" s="2"/>
      <c r="I10" s="2"/>
      <c r="J10" s="2"/>
      <c r="K10" s="2"/>
      <c r="L10" s="2"/>
      <c r="M10" s="16"/>
      <c r="N10" s="16"/>
      <c r="O10" s="16"/>
      <c r="P10" s="21"/>
      <c r="Q10" s="16"/>
      <c r="R10" s="2"/>
      <c r="S10" s="2"/>
      <c r="T10" s="2"/>
      <c r="U10" s="2"/>
      <c r="V10" s="2"/>
      <c r="W10" s="2"/>
      <c r="X10" s="2"/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/>
      <c r="B11" s="2"/>
      <c r="C11" s="2"/>
      <c r="D11" s="15"/>
      <c r="E11" s="2"/>
      <c r="F11" s="2"/>
      <c r="G11" s="2"/>
      <c r="H11" s="2"/>
      <c r="I11" s="2"/>
      <c r="J11" s="2"/>
      <c r="K11" s="2"/>
      <c r="L11" s="2"/>
      <c r="M11" s="16"/>
      <c r="N11" s="16"/>
      <c r="O11" s="16"/>
      <c r="P11" s="21"/>
      <c r="Q11" s="16"/>
      <c r="R11" s="2"/>
      <c r="S11" s="2"/>
      <c r="T11" s="2"/>
      <c r="U11" s="2"/>
      <c r="V11" s="2"/>
      <c r="W11" s="2"/>
      <c r="X11" s="2"/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/>
      <c r="B12" s="2"/>
      <c r="C12" s="2"/>
      <c r="D12" s="15"/>
      <c r="E12" s="2"/>
      <c r="F12" s="2"/>
      <c r="G12" s="2"/>
      <c r="H12" s="2"/>
      <c r="I12" s="2"/>
      <c r="J12" s="2"/>
      <c r="K12" s="2"/>
      <c r="L12" s="2"/>
      <c r="M12" s="16"/>
      <c r="N12" s="16"/>
      <c r="O12" s="16"/>
      <c r="P12" s="21"/>
      <c r="Q12" s="16"/>
      <c r="R12" s="2"/>
      <c r="S12" s="2"/>
      <c r="T12" s="2"/>
      <c r="U12" s="2"/>
      <c r="V12" s="2"/>
      <c r="W12" s="2"/>
      <c r="X12" s="2"/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/>
      <c r="B13" s="2"/>
      <c r="C13" s="2"/>
      <c r="D13" s="15"/>
      <c r="E13" s="2"/>
      <c r="F13" s="2"/>
      <c r="G13" s="2"/>
      <c r="H13" s="2"/>
      <c r="I13" s="2"/>
      <c r="J13" s="2"/>
      <c r="K13" s="2"/>
      <c r="L13" s="2"/>
      <c r="M13" s="16"/>
      <c r="N13" s="16"/>
      <c r="O13" s="16"/>
      <c r="P13" s="21"/>
      <c r="Q13" s="16"/>
      <c r="R13" s="2"/>
      <c r="S13" s="2"/>
      <c r="T13" s="2"/>
      <c r="U13" s="2"/>
      <c r="V13" s="2"/>
      <c r="W13" s="2"/>
      <c r="X13" s="2"/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/>
      <c r="B14" s="2"/>
      <c r="C14" s="2"/>
      <c r="D14" s="15"/>
      <c r="E14" s="2"/>
      <c r="F14" s="2"/>
      <c r="G14" s="2"/>
      <c r="H14" s="2"/>
      <c r="I14" s="2"/>
      <c r="J14" s="2"/>
      <c r="K14" s="2"/>
      <c r="L14" s="2"/>
      <c r="M14" s="16"/>
      <c r="N14" s="16"/>
      <c r="O14" s="16"/>
      <c r="P14" s="21"/>
      <c r="Q14" s="16"/>
      <c r="R14" s="2"/>
      <c r="S14" s="2"/>
      <c r="T14" s="2"/>
      <c r="U14" s="2"/>
      <c r="V14" s="2"/>
      <c r="W14" s="2"/>
      <c r="X14" s="2"/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/>
      <c r="B15" s="2"/>
      <c r="C15" s="2"/>
      <c r="D15" s="15"/>
      <c r="E15" s="2"/>
      <c r="F15" s="2"/>
      <c r="G15" s="2"/>
      <c r="H15" s="2"/>
      <c r="I15" s="2"/>
      <c r="J15" s="2"/>
      <c r="K15" s="2"/>
      <c r="L15" s="2"/>
      <c r="M15" s="16"/>
      <c r="N15" s="16"/>
      <c r="O15" s="16"/>
      <c r="P15" s="21"/>
      <c r="Q15" s="16"/>
      <c r="R15" s="2"/>
      <c r="S15" s="2"/>
      <c r="T15" s="2"/>
      <c r="U15" s="2"/>
      <c r="V15" s="2"/>
      <c r="W15" s="2"/>
      <c r="X15" s="2"/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/>
      <c r="B16" s="2"/>
      <c r="C16" s="2"/>
      <c r="D16" s="15"/>
      <c r="E16" s="2"/>
      <c r="F16" s="2"/>
      <c r="G16" s="2"/>
      <c r="H16" s="2"/>
      <c r="I16" s="2"/>
      <c r="J16" s="2"/>
      <c r="K16" s="2"/>
      <c r="L16" s="2"/>
      <c r="M16" s="16"/>
      <c r="N16" s="16"/>
      <c r="O16" s="16"/>
      <c r="P16" s="21"/>
      <c r="Q16" s="16"/>
      <c r="R16" s="2"/>
      <c r="S16" s="2"/>
      <c r="T16" s="2"/>
      <c r="U16" s="2"/>
      <c r="V16" s="2"/>
      <c r="W16" s="2"/>
      <c r="X16" s="2"/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/>
      <c r="B17" s="2"/>
      <c r="C17" s="2"/>
      <c r="D17" s="15"/>
      <c r="E17" s="2"/>
      <c r="F17" s="2"/>
      <c r="G17" s="2"/>
      <c r="H17" s="2"/>
      <c r="I17" s="2"/>
      <c r="J17" s="2"/>
      <c r="K17" s="2"/>
      <c r="L17" s="2"/>
      <c r="M17" s="16"/>
      <c r="N17" s="16"/>
      <c r="O17" s="16"/>
      <c r="P17" s="21"/>
      <c r="Q17" s="16"/>
      <c r="R17" s="2"/>
      <c r="S17" s="2"/>
      <c r="T17" s="2"/>
      <c r="U17" s="2"/>
      <c r="V17" s="2"/>
      <c r="W17" s="2"/>
      <c r="X17" s="2"/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/>
      <c r="B18" s="2"/>
      <c r="C18" s="2"/>
      <c r="D18" s="15"/>
      <c r="E18" s="2"/>
      <c r="F18" s="2"/>
      <c r="G18" s="2"/>
      <c r="H18" s="2"/>
      <c r="I18" s="2"/>
      <c r="J18" s="2"/>
      <c r="K18" s="2"/>
      <c r="L18" s="2"/>
      <c r="M18" s="16"/>
      <c r="N18" s="16"/>
      <c r="O18" s="16"/>
      <c r="P18" s="21"/>
      <c r="Q18" s="16"/>
      <c r="R18" s="2"/>
      <c r="S18" s="2"/>
      <c r="T18" s="2"/>
      <c r="U18" s="2"/>
      <c r="V18" s="2"/>
      <c r="W18" s="2"/>
      <c r="X18" s="2"/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/>
      <c r="B19" s="2"/>
      <c r="C19" s="2"/>
      <c r="D19" s="15"/>
      <c r="E19" s="2"/>
      <c r="F19" s="2"/>
      <c r="G19" s="2"/>
      <c r="H19" s="2"/>
      <c r="I19" s="2"/>
      <c r="J19" s="2"/>
      <c r="K19" s="2"/>
      <c r="L19" s="2"/>
      <c r="M19" s="16"/>
      <c r="N19" s="16"/>
      <c r="O19" s="16"/>
      <c r="P19" s="21"/>
      <c r="Q19" s="16"/>
      <c r="R19" s="2"/>
      <c r="S19" s="2"/>
      <c r="T19" s="2"/>
      <c r="U19" s="2"/>
      <c r="V19" s="2"/>
      <c r="W19" s="2"/>
      <c r="X19" s="2"/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/>
      <c r="B20" s="2"/>
      <c r="C20" s="2"/>
      <c r="D20" s="15"/>
      <c r="E20" s="2"/>
      <c r="F20" s="2"/>
      <c r="G20" s="2"/>
      <c r="H20" s="2"/>
      <c r="I20" s="2"/>
      <c r="J20" s="2"/>
      <c r="K20" s="2"/>
      <c r="L20" s="2"/>
      <c r="M20" s="16"/>
      <c r="N20" s="16"/>
      <c r="O20" s="16"/>
      <c r="P20" s="21"/>
      <c r="Q20" s="16"/>
      <c r="R20" s="2"/>
      <c r="S20" s="2"/>
      <c r="T20" s="2"/>
      <c r="U20" s="2"/>
      <c r="V20" s="2"/>
      <c r="W20" s="2"/>
      <c r="X20" s="2"/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/>
      <c r="B21" s="2"/>
      <c r="C21" s="2"/>
      <c r="D21" s="15"/>
      <c r="E21" s="2"/>
      <c r="F21" s="2"/>
      <c r="G21" s="2"/>
      <c r="H21" s="2"/>
      <c r="I21" s="2"/>
      <c r="J21" s="2"/>
      <c r="K21" s="2"/>
      <c r="L21" s="2"/>
      <c r="M21" s="16"/>
      <c r="N21" s="16"/>
      <c r="O21" s="16"/>
      <c r="P21" s="21"/>
      <c r="Q21" s="16"/>
      <c r="R21" s="2"/>
      <c r="S21" s="2"/>
      <c r="T21" s="2"/>
      <c r="U21" s="2"/>
      <c r="V21" s="2"/>
      <c r="W21" s="2"/>
      <c r="X21" s="2"/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/>
      <c r="B22" s="2"/>
      <c r="C22" s="2"/>
      <c r="D22" s="15"/>
      <c r="E22" s="2"/>
      <c r="F22" s="2"/>
      <c r="G22" s="2"/>
      <c r="H22" s="2"/>
      <c r="I22" s="2"/>
      <c r="J22" s="2"/>
      <c r="K22" s="2"/>
      <c r="L22" s="2"/>
      <c r="M22" s="16"/>
      <c r="N22" s="16"/>
      <c r="O22" s="16"/>
      <c r="P22" s="21"/>
      <c r="Q22" s="16"/>
      <c r="R22" s="2"/>
      <c r="S22" s="2"/>
      <c r="T22" s="2"/>
      <c r="U22" s="2"/>
      <c r="V22" s="2"/>
      <c r="W22" s="2"/>
      <c r="X22" s="2"/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/>
      <c r="B23" s="2"/>
      <c r="C23" s="2"/>
      <c r="D23" s="15"/>
      <c r="E23" s="2"/>
      <c r="F23" s="2"/>
      <c r="G23" s="2"/>
      <c r="H23" s="2"/>
      <c r="I23" s="2"/>
      <c r="J23" s="2"/>
      <c r="K23" s="2"/>
      <c r="L23" s="2"/>
      <c r="M23" s="16"/>
      <c r="N23" s="16"/>
      <c r="O23" s="16"/>
      <c r="P23" s="21"/>
      <c r="Q23" s="16"/>
      <c r="R23" s="2"/>
      <c r="S23" s="2"/>
      <c r="T23" s="2"/>
      <c r="U23" s="2"/>
      <c r="V23" s="2"/>
      <c r="W23" s="2"/>
      <c r="X23" s="2"/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/>
      <c r="B24" s="2"/>
      <c r="C24" s="2"/>
      <c r="D24" s="15"/>
      <c r="E24" s="2"/>
      <c r="F24" s="2"/>
      <c r="G24" s="2"/>
      <c r="H24" s="2"/>
      <c r="I24" s="2"/>
      <c r="J24" s="2"/>
      <c r="K24" s="2"/>
      <c r="L24" s="2"/>
      <c r="M24" s="16"/>
      <c r="N24" s="16"/>
      <c r="O24" s="16"/>
      <c r="P24" s="21"/>
      <c r="Q24" s="16"/>
      <c r="R24" s="2"/>
      <c r="S24" s="2"/>
      <c r="T24" s="2"/>
      <c r="U24" s="2"/>
      <c r="V24" s="2"/>
      <c r="W24" s="2"/>
      <c r="X24" s="2"/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/>
      <c r="B25" s="2"/>
      <c r="C25" s="2"/>
      <c r="D25" s="15"/>
      <c r="E25" s="2"/>
      <c r="F25" s="2"/>
      <c r="G25" s="2"/>
      <c r="H25" s="2"/>
      <c r="I25" s="2"/>
      <c r="J25" s="2"/>
      <c r="K25" s="2"/>
      <c r="L25" s="2"/>
      <c r="M25" s="16"/>
      <c r="N25" s="16"/>
      <c r="O25" s="16"/>
      <c r="P25" s="21"/>
      <c r="Q25" s="16"/>
      <c r="R25" s="2"/>
      <c r="S25" s="2"/>
      <c r="T25" s="2"/>
      <c r="U25" s="2"/>
      <c r="V25" s="2"/>
      <c r="W25" s="2"/>
      <c r="X25" s="2"/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/>
      <c r="B26" s="2"/>
      <c r="C26" s="2"/>
      <c r="D26" s="15"/>
      <c r="E26" s="2"/>
      <c r="F26" s="2"/>
      <c r="G26" s="2"/>
      <c r="H26" s="2"/>
      <c r="I26" s="2"/>
      <c r="J26" s="2"/>
      <c r="K26" s="2"/>
      <c r="L26" s="2"/>
      <c r="M26" s="16"/>
      <c r="N26" s="16"/>
      <c r="O26" s="16"/>
      <c r="P26" s="21"/>
      <c r="Q26" s="16"/>
      <c r="R26" s="2"/>
      <c r="S26" s="2"/>
      <c r="T26" s="2"/>
      <c r="U26" s="2"/>
      <c r="V26" s="2"/>
      <c r="W26" s="2"/>
      <c r="X26" s="2"/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/>
      <c r="B27" s="2"/>
      <c r="C27" s="2"/>
      <c r="D27" s="15"/>
      <c r="E27" s="2"/>
      <c r="F27" s="2"/>
      <c r="G27" s="2"/>
      <c r="H27" s="2"/>
      <c r="I27" s="2"/>
      <c r="J27" s="2"/>
      <c r="K27" s="2"/>
      <c r="L27" s="2"/>
      <c r="M27" s="16"/>
      <c r="N27" s="16"/>
      <c r="O27" s="16"/>
      <c r="P27" s="21"/>
      <c r="Q27" s="16"/>
      <c r="R27" s="2"/>
      <c r="S27" s="2"/>
      <c r="T27" s="2"/>
      <c r="U27" s="2"/>
      <c r="V27" s="2"/>
      <c r="W27" s="2"/>
      <c r="X27" s="2"/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/>
      <c r="B28" s="2"/>
      <c r="C28" s="2"/>
      <c r="D28" s="15"/>
      <c r="E28" s="2"/>
      <c r="F28" s="2"/>
      <c r="G28" s="2"/>
      <c r="H28" s="2"/>
      <c r="I28" s="2"/>
      <c r="J28" s="2"/>
      <c r="K28" s="2"/>
      <c r="L28" s="2"/>
      <c r="M28" s="16"/>
      <c r="N28" s="16"/>
      <c r="O28" s="16"/>
      <c r="P28" s="21"/>
      <c r="Q28" s="16"/>
      <c r="R28" s="2"/>
      <c r="S28" s="2"/>
      <c r="T28" s="2"/>
      <c r="U28" s="2"/>
      <c r="V28" s="2"/>
      <c r="W28" s="2"/>
      <c r="X28" s="2"/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/>
      <c r="B29" s="2"/>
      <c r="C29" s="2"/>
      <c r="D29" s="15"/>
      <c r="E29" s="2"/>
      <c r="F29" s="2"/>
      <c r="G29" s="2"/>
      <c r="H29" s="2"/>
      <c r="I29" s="2"/>
      <c r="J29" s="2"/>
      <c r="K29" s="2"/>
      <c r="L29" s="2"/>
      <c r="M29" s="16"/>
      <c r="N29" s="16"/>
      <c r="O29" s="16"/>
      <c r="P29" s="21"/>
      <c r="Q29" s="16"/>
      <c r="R29" s="2"/>
      <c r="S29" s="2"/>
      <c r="T29" s="2"/>
      <c r="U29" s="2"/>
      <c r="V29" s="2"/>
      <c r="W29" s="2"/>
      <c r="X29" s="2"/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/>
      <c r="B30" s="2"/>
      <c r="C30" s="2"/>
      <c r="D30" s="15"/>
      <c r="E30" s="2"/>
      <c r="F30" s="2"/>
      <c r="G30" s="2"/>
      <c r="H30" s="2"/>
      <c r="I30" s="2"/>
      <c r="J30" s="2"/>
      <c r="K30" s="2"/>
      <c r="L30" s="2"/>
      <c r="M30" s="16"/>
      <c r="N30" s="16"/>
      <c r="O30" s="16"/>
      <c r="P30" s="21"/>
      <c r="Q30" s="16"/>
      <c r="R30" s="2"/>
      <c r="S30" s="2"/>
      <c r="T30" s="2"/>
      <c r="U30" s="2"/>
      <c r="V30" s="2"/>
      <c r="W30" s="2"/>
      <c r="X30" s="2"/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/>
      <c r="B31" s="2"/>
      <c r="C31" s="2"/>
      <c r="D31" s="15"/>
      <c r="E31" s="2"/>
      <c r="F31" s="2"/>
      <c r="G31" s="2"/>
      <c r="H31" s="2"/>
      <c r="I31" s="2"/>
      <c r="J31" s="2"/>
      <c r="K31" s="2"/>
      <c r="L31" s="2"/>
      <c r="M31" s="16"/>
      <c r="N31" s="16"/>
      <c r="O31" s="16"/>
      <c r="P31" s="21"/>
      <c r="Q31" s="16"/>
      <c r="R31" s="2"/>
      <c r="S31" s="2"/>
      <c r="T31" s="2"/>
      <c r="U31" s="2"/>
      <c r="V31" s="2"/>
      <c r="W31" s="2"/>
      <c r="X31" s="2"/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/>
      <c r="B32" s="2"/>
      <c r="C32" s="2"/>
      <c r="D32" s="15"/>
      <c r="E32" s="2"/>
      <c r="F32" s="2"/>
      <c r="G32" s="2"/>
      <c r="H32" s="2"/>
      <c r="I32" s="2"/>
      <c r="J32" s="2"/>
      <c r="K32" s="2"/>
      <c r="L32" s="2"/>
      <c r="M32" s="16"/>
      <c r="N32" s="16"/>
      <c r="O32" s="16"/>
      <c r="P32" s="21"/>
      <c r="Q32" s="16"/>
      <c r="R32" s="2"/>
      <c r="S32" s="2"/>
      <c r="T32" s="2"/>
      <c r="U32" s="2"/>
      <c r="V32" s="2"/>
      <c r="W32" s="2"/>
      <c r="X32" s="2"/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/>
      <c r="B33" s="2"/>
      <c r="C33" s="2"/>
      <c r="D33" s="15"/>
      <c r="E33" s="2"/>
      <c r="F33" s="2"/>
      <c r="G33" s="2"/>
      <c r="H33" s="2"/>
      <c r="I33" s="2"/>
      <c r="J33" s="2"/>
      <c r="K33" s="2"/>
      <c r="L33" s="2"/>
      <c r="M33" s="16"/>
      <c r="N33" s="16"/>
      <c r="O33" s="16"/>
      <c r="P33" s="21"/>
      <c r="Q33" s="16"/>
      <c r="R33" s="2"/>
      <c r="S33" s="2"/>
      <c r="T33" s="2"/>
      <c r="U33" s="2"/>
      <c r="V33" s="2"/>
      <c r="W33" s="2"/>
      <c r="X33" s="2"/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/>
      <c r="B34" s="2"/>
      <c r="C34" s="2"/>
      <c r="D34" s="15"/>
      <c r="E34" s="2"/>
      <c r="F34" s="2"/>
      <c r="G34" s="2"/>
      <c r="H34" s="2"/>
      <c r="I34" s="2"/>
      <c r="J34" s="2"/>
      <c r="K34" s="2"/>
      <c r="L34" s="2"/>
      <c r="M34" s="16"/>
      <c r="N34" s="16"/>
      <c r="O34" s="16"/>
      <c r="P34" s="21"/>
      <c r="Q34" s="16"/>
      <c r="R34" s="2"/>
      <c r="S34" s="2"/>
      <c r="T34" s="2"/>
      <c r="U34" s="2"/>
      <c r="V34" s="2"/>
      <c r="W34" s="2"/>
      <c r="X34" s="2"/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/>
      <c r="B35" s="2"/>
      <c r="C35" s="2"/>
      <c r="D35" s="15"/>
      <c r="E35" s="2"/>
      <c r="F35" s="2"/>
      <c r="G35" s="2"/>
      <c r="H35" s="2"/>
      <c r="I35" s="2"/>
      <c r="J35" s="2"/>
      <c r="K35" s="2"/>
      <c r="L35" s="2"/>
      <c r="M35" s="16"/>
      <c r="N35" s="16"/>
      <c r="O35" s="16"/>
      <c r="P35" s="21"/>
      <c r="Q35" s="16"/>
      <c r="R35" s="2"/>
      <c r="S35" s="2"/>
      <c r="T35" s="2"/>
      <c r="U35" s="2"/>
      <c r="V35" s="2"/>
      <c r="W35" s="2"/>
      <c r="X35" s="2"/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/>
      <c r="B36" s="2"/>
      <c r="C36" s="2"/>
      <c r="D36" s="15"/>
      <c r="E36" s="2"/>
      <c r="F36" s="2"/>
      <c r="G36" s="2"/>
      <c r="H36" s="2"/>
      <c r="I36" s="2"/>
      <c r="J36" s="2"/>
      <c r="K36" s="2"/>
      <c r="L36" s="2"/>
      <c r="M36" s="16"/>
      <c r="N36" s="16"/>
      <c r="O36" s="16"/>
      <c r="P36" s="21"/>
      <c r="Q36" s="16"/>
      <c r="R36" s="2"/>
      <c r="S36" s="2"/>
      <c r="T36" s="2"/>
      <c r="U36" s="2"/>
      <c r="V36" s="2"/>
      <c r="W36" s="2"/>
      <c r="X36" s="2"/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/>
      <c r="B37" s="2"/>
      <c r="C37" s="2"/>
      <c r="D37" s="15"/>
      <c r="E37" s="2"/>
      <c r="F37" s="2"/>
      <c r="G37" s="2"/>
      <c r="H37" s="2"/>
      <c r="I37" s="2"/>
      <c r="J37" s="2"/>
      <c r="K37" s="2"/>
      <c r="L37" s="2"/>
      <c r="M37" s="16"/>
      <c r="N37" s="16"/>
      <c r="O37" s="16"/>
      <c r="P37" s="21"/>
      <c r="Q37" s="16"/>
      <c r="R37" s="2"/>
      <c r="S37" s="2"/>
      <c r="T37" s="2"/>
      <c r="U37" s="2"/>
      <c r="V37" s="2"/>
      <c r="W37" s="2"/>
      <c r="X37" s="2"/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/>
      <c r="B38" s="2"/>
      <c r="C38" s="2"/>
      <c r="D38" s="15"/>
      <c r="E38" s="2"/>
      <c r="F38" s="2"/>
      <c r="G38" s="2"/>
      <c r="H38" s="2"/>
      <c r="I38" s="2"/>
      <c r="J38" s="2"/>
      <c r="K38" s="2"/>
      <c r="L38" s="2"/>
      <c r="M38" s="16"/>
      <c r="N38" s="16"/>
      <c r="O38" s="16"/>
      <c r="P38" s="21"/>
      <c r="Q38" s="16"/>
      <c r="R38" s="2"/>
      <c r="S38" s="2"/>
      <c r="T38" s="2"/>
      <c r="U38" s="2"/>
      <c r="V38" s="2"/>
      <c r="W38" s="2"/>
      <c r="X38" s="2"/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/>
      <c r="B39" s="2"/>
      <c r="C39" s="2"/>
      <c r="D39" s="15"/>
      <c r="E39" s="2"/>
      <c r="F39" s="2"/>
      <c r="G39" s="2"/>
      <c r="H39" s="2"/>
      <c r="I39" s="2"/>
      <c r="J39" s="2"/>
      <c r="K39" s="2"/>
      <c r="L39" s="2"/>
      <c r="M39" s="16"/>
      <c r="N39" s="16"/>
      <c r="O39" s="16"/>
      <c r="P39" s="21"/>
      <c r="Q39" s="16"/>
      <c r="R39" s="2"/>
      <c r="S39" s="2"/>
      <c r="T39" s="2"/>
      <c r="U39" s="2"/>
      <c r="V39" s="2"/>
      <c r="W39" s="2"/>
      <c r="X39" s="2"/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/>
      <c r="B40" s="2"/>
      <c r="C40" s="2"/>
      <c r="D40" s="15"/>
      <c r="E40" s="2"/>
      <c r="F40" s="2"/>
      <c r="G40" s="2"/>
      <c r="H40" s="2"/>
      <c r="I40" s="2"/>
      <c r="J40" s="2"/>
      <c r="K40" s="2"/>
      <c r="L40" s="2"/>
      <c r="M40" s="16"/>
      <c r="N40" s="16"/>
      <c r="O40" s="16"/>
      <c r="P40" s="21"/>
      <c r="Q40" s="16"/>
      <c r="R40" s="2"/>
      <c r="S40" s="2"/>
      <c r="T40" s="2"/>
      <c r="U40" s="2"/>
      <c r="V40" s="2"/>
      <c r="W40" s="2"/>
      <c r="X40" s="2"/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/>
      <c r="B41" s="2"/>
      <c r="C41" s="2"/>
      <c r="D41" s="15"/>
      <c r="E41" s="2"/>
      <c r="F41" s="2"/>
      <c r="G41" s="2"/>
      <c r="H41" s="2"/>
      <c r="I41" s="2"/>
      <c r="J41" s="2"/>
      <c r="K41" s="2"/>
      <c r="L41" s="2"/>
      <c r="M41" s="16"/>
      <c r="N41" s="16"/>
      <c r="O41" s="16"/>
      <c r="P41" s="21"/>
      <c r="Q41" s="16"/>
      <c r="R41" s="2"/>
      <c r="S41" s="2"/>
      <c r="T41" s="2"/>
      <c r="U41" s="2"/>
      <c r="V41" s="2"/>
      <c r="W41" s="2"/>
      <c r="X41" s="2"/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/>
      <c r="B42" s="2"/>
      <c r="C42" s="2"/>
      <c r="D42" s="15"/>
      <c r="E42" s="2"/>
      <c r="F42" s="2"/>
      <c r="G42" s="2"/>
      <c r="H42" s="2"/>
      <c r="I42" s="2"/>
      <c r="J42" s="2"/>
      <c r="K42" s="2"/>
      <c r="L42" s="2"/>
      <c r="M42" s="16"/>
      <c r="N42" s="16"/>
      <c r="O42" s="16"/>
      <c r="P42" s="21"/>
      <c r="Q42" s="16"/>
      <c r="R42" s="2"/>
      <c r="S42" s="2"/>
      <c r="T42" s="2"/>
      <c r="U42" s="2"/>
      <c r="V42" s="2"/>
      <c r="W42" s="2"/>
      <c r="X42" s="2"/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/>
      <c r="B43" s="2"/>
      <c r="C43" s="2"/>
      <c r="D43" s="15"/>
      <c r="E43" s="2"/>
      <c r="F43" s="2"/>
      <c r="G43" s="2"/>
      <c r="H43" s="2"/>
      <c r="I43" s="2"/>
      <c r="J43" s="2"/>
      <c r="K43" s="2"/>
      <c r="L43" s="2"/>
      <c r="M43" s="16"/>
      <c r="N43" s="16"/>
      <c r="O43" s="16"/>
      <c r="P43" s="21"/>
      <c r="Q43" s="16"/>
      <c r="R43" s="2"/>
      <c r="S43" s="2"/>
      <c r="T43" s="2"/>
      <c r="U43" s="2"/>
      <c r="V43" s="2"/>
      <c r="W43" s="2"/>
      <c r="X43" s="2"/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/>
      <c r="B44" s="2"/>
      <c r="C44" s="2"/>
      <c r="D44" s="15"/>
      <c r="E44" s="2"/>
      <c r="F44" s="2"/>
      <c r="G44" s="2"/>
      <c r="H44" s="2"/>
      <c r="I44" s="2"/>
      <c r="J44" s="2"/>
      <c r="K44" s="2"/>
      <c r="L44" s="2"/>
      <c r="M44" s="16"/>
      <c r="N44" s="16"/>
      <c r="O44" s="16"/>
      <c r="P44" s="21"/>
      <c r="Q44" s="16"/>
      <c r="R44" s="2"/>
      <c r="S44" s="2"/>
      <c r="T44" s="2"/>
      <c r="U44" s="2"/>
      <c r="V44" s="2"/>
      <c r="W44" s="2"/>
      <c r="X44" s="2"/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/>
      <c r="B45" s="2"/>
      <c r="C45" s="2"/>
      <c r="D45" s="15"/>
      <c r="E45" s="2"/>
      <c r="F45" s="2"/>
      <c r="G45" s="2"/>
      <c r="H45" s="2"/>
      <c r="I45" s="2"/>
      <c r="J45" s="2"/>
      <c r="K45" s="2"/>
      <c r="L45" s="2"/>
      <c r="M45" s="16"/>
      <c r="N45" s="16"/>
      <c r="O45" s="16"/>
      <c r="P45" s="21"/>
      <c r="Q45" s="16"/>
      <c r="R45" s="2"/>
      <c r="S45" s="2"/>
      <c r="T45" s="2"/>
      <c r="U45" s="2"/>
      <c r="V45" s="2"/>
      <c r="W45" s="2"/>
      <c r="X45" s="2"/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/>
      <c r="B46" s="2"/>
      <c r="C46" s="2"/>
      <c r="D46" s="15"/>
      <c r="E46" s="2"/>
      <c r="F46" s="2"/>
      <c r="G46" s="2"/>
      <c r="H46" s="2"/>
      <c r="I46" s="2"/>
      <c r="J46" s="2"/>
      <c r="K46" s="2"/>
      <c r="L46" s="2"/>
      <c r="M46" s="16"/>
      <c r="N46" s="16"/>
      <c r="O46" s="16"/>
      <c r="P46" s="21"/>
      <c r="Q46" s="16"/>
      <c r="R46" s="2"/>
      <c r="S46" s="2"/>
      <c r="T46" s="2"/>
      <c r="U46" s="2"/>
      <c r="V46" s="2"/>
      <c r="W46" s="2"/>
      <c r="X46" s="2"/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/>
      <c r="B47" s="2"/>
      <c r="C47" s="2"/>
      <c r="D47" s="15"/>
      <c r="E47" s="2"/>
      <c r="F47" s="2"/>
      <c r="G47" s="2"/>
      <c r="H47" s="2"/>
      <c r="I47" s="2"/>
      <c r="J47" s="2"/>
      <c r="K47" s="2"/>
      <c r="L47" s="2"/>
      <c r="M47" s="16"/>
      <c r="N47" s="16"/>
      <c r="O47" s="16"/>
      <c r="P47" s="21"/>
      <c r="Q47" s="16"/>
      <c r="R47" s="2"/>
      <c r="S47" s="2"/>
      <c r="T47" s="2"/>
      <c r="U47" s="2"/>
      <c r="V47" s="2"/>
      <c r="W47" s="2"/>
      <c r="X47" s="2"/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/>
      <c r="B48" s="2"/>
      <c r="C48" s="2"/>
      <c r="D48" s="15"/>
      <c r="E48" s="2"/>
      <c r="F48" s="2"/>
      <c r="G48" s="2"/>
      <c r="H48" s="2"/>
      <c r="I48" s="2"/>
      <c r="J48" s="2"/>
      <c r="K48" s="2"/>
      <c r="L48" s="2"/>
      <c r="M48" s="16"/>
      <c r="N48" s="16"/>
      <c r="O48" s="16"/>
      <c r="P48" s="21"/>
      <c r="Q48" s="16"/>
      <c r="R48" s="2"/>
      <c r="S48" s="2"/>
      <c r="T48" s="2"/>
      <c r="U48" s="2"/>
      <c r="V48" s="2"/>
      <c r="W48" s="2"/>
      <c r="X48" s="2"/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/>
      <c r="B49" s="2"/>
      <c r="C49" s="2"/>
      <c r="D49" s="15"/>
      <c r="E49" s="2"/>
      <c r="F49" s="2"/>
      <c r="G49" s="2"/>
      <c r="H49" s="2"/>
      <c r="I49" s="2"/>
      <c r="J49" s="2"/>
      <c r="K49" s="2"/>
      <c r="L49" s="2"/>
      <c r="M49" s="16"/>
      <c r="N49" s="16"/>
      <c r="O49" s="16"/>
      <c r="P49" s="21"/>
      <c r="Q49" s="16"/>
      <c r="R49" s="2"/>
      <c r="S49" s="2"/>
      <c r="T49" s="2"/>
      <c r="U49" s="2"/>
      <c r="V49" s="2"/>
      <c r="W49" s="2"/>
      <c r="X49" s="2"/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/>
      <c r="B50" s="2"/>
      <c r="C50" s="2"/>
      <c r="D50" s="15"/>
      <c r="E50" s="2"/>
      <c r="F50" s="2"/>
      <c r="G50" s="2"/>
      <c r="H50" s="2"/>
      <c r="I50" s="2"/>
      <c r="J50" s="2"/>
      <c r="K50" s="2"/>
      <c r="L50" s="2"/>
      <c r="M50" s="16"/>
      <c r="N50" s="16"/>
      <c r="O50" s="16"/>
      <c r="P50" s="21"/>
      <c r="Q50" s="16"/>
      <c r="R50" s="2"/>
      <c r="S50" s="2"/>
      <c r="T50" s="2"/>
      <c r="U50" s="2"/>
      <c r="V50" s="2"/>
      <c r="W50" s="2"/>
      <c r="X50" s="2"/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/>
      <c r="B51" s="2"/>
      <c r="C51" s="2"/>
      <c r="D51" s="15"/>
      <c r="E51" s="2"/>
      <c r="F51" s="2"/>
      <c r="G51" s="2"/>
      <c r="H51" s="2"/>
      <c r="I51" s="2"/>
      <c r="J51" s="2"/>
      <c r="K51" s="2"/>
      <c r="L51" s="2"/>
      <c r="M51" s="16"/>
      <c r="N51" s="16"/>
      <c r="O51" s="16"/>
      <c r="P51" s="21"/>
      <c r="Q51" s="16"/>
      <c r="R51" s="2"/>
      <c r="S51" s="2"/>
      <c r="T51" s="2"/>
      <c r="U51" s="2"/>
      <c r="V51" s="2"/>
      <c r="W51" s="2"/>
      <c r="X51" s="2"/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/>
      <c r="B52" s="2"/>
      <c r="C52" s="2"/>
      <c r="D52" s="15"/>
      <c r="E52" s="2"/>
      <c r="F52" s="2"/>
      <c r="G52" s="2"/>
      <c r="H52" s="2"/>
      <c r="I52" s="2"/>
      <c r="J52" s="2"/>
      <c r="K52" s="2"/>
      <c r="L52" s="2"/>
      <c r="M52" s="16"/>
      <c r="N52" s="16"/>
      <c r="O52" s="16"/>
      <c r="P52" s="21"/>
      <c r="Q52" s="16"/>
      <c r="R52" s="2"/>
      <c r="S52" s="2"/>
      <c r="T52" s="2"/>
      <c r="U52" s="2"/>
      <c r="V52" s="2"/>
      <c r="W52" s="2"/>
      <c r="X52" s="2"/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/>
      <c r="B53" s="2"/>
      <c r="C53" s="2"/>
      <c r="D53" s="15"/>
      <c r="E53" s="2"/>
      <c r="F53" s="2"/>
      <c r="G53" s="2"/>
      <c r="H53" s="2"/>
      <c r="I53" s="2"/>
      <c r="J53" s="2"/>
      <c r="K53" s="2"/>
      <c r="L53" s="2"/>
      <c r="M53" s="16"/>
      <c r="N53" s="16"/>
      <c r="O53" s="16"/>
      <c r="P53" s="21"/>
      <c r="Q53" s="16"/>
      <c r="R53" s="2"/>
      <c r="S53" s="2"/>
      <c r="T53" s="2"/>
      <c r="U53" s="2"/>
      <c r="V53" s="2"/>
      <c r="W53" s="2"/>
      <c r="X53" s="2"/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/>
      <c r="B54" s="2"/>
      <c r="C54" s="2"/>
      <c r="D54" s="15"/>
      <c r="E54" s="2"/>
      <c r="F54" s="2"/>
      <c r="G54" s="2"/>
      <c r="H54" s="2"/>
      <c r="I54" s="2"/>
      <c r="J54" s="2"/>
      <c r="K54" s="2"/>
      <c r="L54" s="2"/>
      <c r="M54" s="16"/>
      <c r="N54" s="16"/>
      <c r="O54" s="16"/>
      <c r="P54" s="21"/>
      <c r="Q54" s="16"/>
      <c r="R54" s="2"/>
      <c r="S54" s="2"/>
      <c r="T54" s="2"/>
      <c r="U54" s="2"/>
      <c r="V54" s="2"/>
      <c r="W54" s="2"/>
      <c r="X54" s="2"/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/>
      <c r="B55" s="2"/>
      <c r="C55" s="2"/>
      <c r="D55" s="15"/>
      <c r="E55" s="2"/>
      <c r="F55" s="2"/>
      <c r="G55" s="2"/>
      <c r="H55" s="2"/>
      <c r="I55" s="2"/>
      <c r="J55" s="2"/>
      <c r="K55" s="2"/>
      <c r="L55" s="2"/>
      <c r="M55" s="16"/>
      <c r="N55" s="16"/>
      <c r="O55" s="16"/>
      <c r="P55" s="21"/>
      <c r="Q55" s="16"/>
      <c r="R55" s="2"/>
      <c r="S55" s="2"/>
      <c r="T55" s="2"/>
      <c r="U55" s="2"/>
      <c r="V55" s="2"/>
      <c r="W55" s="2"/>
      <c r="X55" s="2"/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/>
      <c r="B56" s="2"/>
      <c r="C56" s="2"/>
      <c r="D56" s="15"/>
      <c r="E56" s="2"/>
      <c r="F56" s="2"/>
      <c r="G56" s="2"/>
      <c r="H56" s="2"/>
      <c r="I56" s="2"/>
      <c r="J56" s="2"/>
      <c r="K56" s="2"/>
      <c r="L56" s="2"/>
      <c r="M56" s="16"/>
      <c r="N56" s="16"/>
      <c r="O56" s="16"/>
      <c r="P56" s="21"/>
      <c r="Q56" s="16"/>
      <c r="R56" s="2"/>
      <c r="S56" s="2"/>
      <c r="T56" s="2"/>
      <c r="U56" s="2"/>
      <c r="V56" s="2"/>
      <c r="W56" s="2"/>
      <c r="X56" s="2"/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/>
      <c r="B57" s="2"/>
      <c r="C57" s="2"/>
      <c r="D57" s="15"/>
      <c r="E57" s="2"/>
      <c r="F57" s="2"/>
      <c r="G57" s="2"/>
      <c r="H57" s="2"/>
      <c r="I57" s="2"/>
      <c r="J57" s="2"/>
      <c r="K57" s="2"/>
      <c r="L57" s="2"/>
      <c r="M57" s="16"/>
      <c r="N57" s="16"/>
      <c r="O57" s="16"/>
      <c r="P57" s="21"/>
      <c r="Q57" s="16"/>
      <c r="R57" s="2"/>
      <c r="S57" s="2"/>
      <c r="T57" s="2"/>
      <c r="U57" s="2"/>
      <c r="V57" s="2"/>
      <c r="W57" s="2"/>
      <c r="X57" s="2"/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/>
      <c r="B58" s="2"/>
      <c r="C58" s="2"/>
      <c r="D58" s="15"/>
      <c r="E58" s="2"/>
      <c r="F58" s="2"/>
      <c r="G58" s="2"/>
      <c r="H58" s="2"/>
      <c r="I58" s="2"/>
      <c r="J58" s="2"/>
      <c r="K58" s="2"/>
      <c r="L58" s="2"/>
      <c r="M58" s="16"/>
      <c r="N58" s="16"/>
      <c r="O58" s="16"/>
      <c r="P58" s="21"/>
      <c r="Q58" s="16"/>
      <c r="R58" s="2"/>
      <c r="S58" s="2"/>
      <c r="T58" s="2"/>
      <c r="U58" s="2"/>
      <c r="V58" s="2"/>
      <c r="W58" s="2"/>
      <c r="X58" s="2"/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/>
      <c r="B59" s="2"/>
      <c r="C59" s="2"/>
      <c r="D59" s="15"/>
      <c r="E59" s="2"/>
      <c r="F59" s="2"/>
      <c r="G59" s="2"/>
      <c r="H59" s="2"/>
      <c r="I59" s="2"/>
      <c r="J59" s="2"/>
      <c r="K59" s="2"/>
      <c r="L59" s="2"/>
      <c r="M59" s="16"/>
      <c r="N59" s="16"/>
      <c r="O59" s="16"/>
      <c r="P59" s="21"/>
      <c r="Q59" s="16"/>
      <c r="R59" s="2"/>
      <c r="S59" s="2"/>
      <c r="T59" s="2"/>
      <c r="U59" s="2"/>
      <c r="V59" s="2"/>
      <c r="W59" s="2"/>
      <c r="X59" s="2"/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/>
      <c r="B60" s="2"/>
      <c r="C60" s="2"/>
      <c r="D60" s="15"/>
      <c r="E60" s="2"/>
      <c r="F60" s="2"/>
      <c r="G60" s="2"/>
      <c r="H60" s="2"/>
      <c r="I60" s="2"/>
      <c r="J60" s="2"/>
      <c r="K60" s="2"/>
      <c r="L60" s="2"/>
      <c r="M60" s="16"/>
      <c r="N60" s="16"/>
      <c r="O60" s="16"/>
      <c r="P60" s="21"/>
      <c r="Q60" s="16"/>
      <c r="R60" s="2"/>
      <c r="S60" s="2"/>
      <c r="T60" s="2"/>
      <c r="U60" s="2"/>
      <c r="V60" s="2"/>
      <c r="W60" s="2"/>
      <c r="X60" s="2"/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/>
      <c r="B61" s="2"/>
      <c r="C61" s="2"/>
      <c r="D61" s="15"/>
      <c r="E61" s="2"/>
      <c r="F61" s="2"/>
      <c r="G61" s="2"/>
      <c r="H61" s="2"/>
      <c r="I61" s="2"/>
      <c r="J61" s="2"/>
      <c r="K61" s="2"/>
      <c r="L61" s="2"/>
      <c r="M61" s="16"/>
      <c r="N61" s="16"/>
      <c r="O61" s="16"/>
      <c r="P61" s="21"/>
      <c r="Q61" s="16"/>
      <c r="R61" s="2"/>
      <c r="S61" s="2"/>
      <c r="T61" s="2"/>
      <c r="U61" s="2"/>
      <c r="V61" s="2"/>
      <c r="W61" s="2"/>
      <c r="X61" s="2"/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/>
      <c r="B62" s="2"/>
      <c r="C62" s="2"/>
      <c r="D62" s="15"/>
      <c r="E62" s="2"/>
      <c r="F62" s="2"/>
      <c r="G62" s="2"/>
      <c r="H62" s="2"/>
      <c r="I62" s="2"/>
      <c r="J62" s="2"/>
      <c r="K62" s="2"/>
      <c r="L62" s="2"/>
      <c r="M62" s="16"/>
      <c r="N62" s="16"/>
      <c r="O62" s="16"/>
      <c r="P62" s="21"/>
      <c r="Q62" s="16"/>
      <c r="R62" s="2"/>
      <c r="S62" s="2"/>
      <c r="T62" s="2"/>
      <c r="U62" s="2"/>
      <c r="V62" s="2"/>
      <c r="W62" s="2"/>
      <c r="X62" s="2"/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/>
      <c r="B63" s="2"/>
      <c r="C63" s="2"/>
      <c r="D63" s="15"/>
      <c r="E63" s="2"/>
      <c r="F63" s="2"/>
      <c r="G63" s="2"/>
      <c r="H63" s="2"/>
      <c r="I63" s="2"/>
      <c r="J63" s="2"/>
      <c r="K63" s="2"/>
      <c r="L63" s="2"/>
      <c r="M63" s="16"/>
      <c r="N63" s="16"/>
      <c r="O63" s="16"/>
      <c r="P63" s="21"/>
      <c r="Q63" s="16"/>
      <c r="R63" s="2"/>
      <c r="S63" s="2"/>
      <c r="T63" s="2"/>
      <c r="U63" s="2"/>
      <c r="V63" s="2"/>
      <c r="W63" s="2"/>
      <c r="X63" s="2"/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/>
      <c r="B64" s="2"/>
      <c r="C64" s="2"/>
      <c r="D64" s="15"/>
      <c r="E64" s="2"/>
      <c r="F64" s="2"/>
      <c r="G64" s="2"/>
      <c r="H64" s="2"/>
      <c r="I64" s="2"/>
      <c r="J64" s="2"/>
      <c r="K64" s="2"/>
      <c r="L64" s="2"/>
      <c r="M64" s="16"/>
      <c r="N64" s="16"/>
      <c r="O64" s="16"/>
      <c r="P64" s="21"/>
      <c r="Q64" s="16"/>
      <c r="R64" s="2"/>
      <c r="S64" s="2"/>
      <c r="T64" s="2"/>
      <c r="U64" s="2"/>
      <c r="V64" s="2"/>
      <c r="W64" s="2"/>
      <c r="X64" s="2"/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/>
      <c r="B65" s="2"/>
      <c r="C65" s="2"/>
      <c r="D65" s="15"/>
      <c r="E65" s="2"/>
      <c r="F65" s="2"/>
      <c r="G65" s="2"/>
      <c r="H65" s="2"/>
      <c r="I65" s="2"/>
      <c r="J65" s="2"/>
      <c r="K65" s="2"/>
      <c r="L65" s="2"/>
      <c r="M65" s="16"/>
      <c r="N65" s="16"/>
      <c r="O65" s="16"/>
      <c r="P65" s="21"/>
      <c r="Q65" s="16"/>
      <c r="R65" s="2"/>
      <c r="S65" s="2"/>
      <c r="T65" s="2"/>
      <c r="U65" s="2"/>
      <c r="V65" s="2"/>
      <c r="W65" s="2"/>
      <c r="X65" s="2"/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/>
      <c r="B66" s="2"/>
      <c r="C66" s="2"/>
      <c r="D66" s="15"/>
      <c r="E66" s="2"/>
      <c r="F66" s="2"/>
      <c r="G66" s="2"/>
      <c r="H66" s="2"/>
      <c r="I66" s="2"/>
      <c r="J66" s="2"/>
      <c r="K66" s="2"/>
      <c r="L66" s="2"/>
      <c r="M66" s="16"/>
      <c r="N66" s="16"/>
      <c r="O66" s="16"/>
      <c r="P66" s="21"/>
      <c r="Q66" s="16"/>
      <c r="R66" s="2"/>
      <c r="S66" s="2"/>
      <c r="T66" s="2"/>
      <c r="U66" s="2"/>
      <c r="V66" s="2"/>
      <c r="W66" s="2"/>
      <c r="X66" s="2"/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/>
      <c r="B67" s="2"/>
      <c r="C67" s="2"/>
      <c r="D67" s="15"/>
      <c r="E67" s="2"/>
      <c r="F67" s="2"/>
      <c r="G67" s="2"/>
      <c r="H67" s="2"/>
      <c r="I67" s="2"/>
      <c r="J67" s="2"/>
      <c r="K67" s="2"/>
      <c r="L67" s="2"/>
      <c r="M67" s="16"/>
      <c r="N67" s="16"/>
      <c r="O67" s="16"/>
      <c r="P67" s="21"/>
      <c r="Q67" s="16"/>
      <c r="R67" s="2"/>
      <c r="S67" s="2"/>
      <c r="T67" s="2"/>
      <c r="U67" s="2"/>
      <c r="V67" s="2"/>
      <c r="W67" s="2"/>
      <c r="X67" s="2"/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/>
      <c r="B68" s="2"/>
      <c r="C68" s="2"/>
      <c r="D68" s="15"/>
      <c r="E68" s="2"/>
      <c r="F68" s="2"/>
      <c r="G68" s="2"/>
      <c r="H68" s="2"/>
      <c r="I68" s="2"/>
      <c r="J68" s="2"/>
      <c r="K68" s="2"/>
      <c r="L68" s="2"/>
      <c r="M68" s="16"/>
      <c r="N68" s="16"/>
      <c r="O68" s="16"/>
      <c r="P68" s="21"/>
      <c r="Q68" s="16"/>
      <c r="R68" s="2"/>
      <c r="S68" s="2"/>
      <c r="T68" s="2"/>
      <c r="U68" s="2"/>
      <c r="V68" s="2"/>
      <c r="W68" s="2"/>
      <c r="X68" s="2"/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/>
      <c r="B69" s="2"/>
      <c r="C69" s="2"/>
      <c r="D69" s="15"/>
      <c r="E69" s="2"/>
      <c r="F69" s="2"/>
      <c r="G69" s="2"/>
      <c r="H69" s="2"/>
      <c r="I69" s="2"/>
      <c r="J69" s="2"/>
      <c r="K69" s="2"/>
      <c r="L69" s="2"/>
      <c r="M69" s="16"/>
      <c r="N69" s="16"/>
      <c r="O69" s="16"/>
      <c r="P69" s="21"/>
      <c r="Q69" s="16"/>
      <c r="R69" s="2"/>
      <c r="S69" s="2"/>
      <c r="T69" s="2"/>
      <c r="U69" s="2"/>
      <c r="V69" s="2"/>
      <c r="W69" s="2"/>
      <c r="X69" s="2"/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/>
      <c r="B70" s="2"/>
      <c r="C70" s="2"/>
      <c r="D70" s="15"/>
      <c r="E70" s="2"/>
      <c r="F70" s="2"/>
      <c r="G70" s="2"/>
      <c r="H70" s="2"/>
      <c r="I70" s="2"/>
      <c r="J70" s="2"/>
      <c r="K70" s="2"/>
      <c r="L70" s="2"/>
      <c r="M70" s="16"/>
      <c r="N70" s="16"/>
      <c r="O70" s="16"/>
      <c r="P70" s="21"/>
      <c r="Q70" s="16"/>
      <c r="R70" s="2"/>
      <c r="S70" s="2"/>
      <c r="T70" s="2"/>
      <c r="U70" s="2"/>
      <c r="V70" s="2"/>
      <c r="W70" s="2"/>
      <c r="X70" s="2"/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/>
      <c r="B71" s="2"/>
      <c r="C71" s="2"/>
      <c r="D71" s="15"/>
      <c r="E71" s="2"/>
      <c r="F71" s="2"/>
      <c r="G71" s="2"/>
      <c r="H71" s="2"/>
      <c r="I71" s="2"/>
      <c r="J71" s="2"/>
      <c r="K71" s="2"/>
      <c r="L71" s="2"/>
      <c r="M71" s="16"/>
      <c r="N71" s="16"/>
      <c r="O71" s="16"/>
      <c r="P71" s="21"/>
      <c r="Q71" s="16"/>
      <c r="R71" s="2"/>
      <c r="S71" s="2"/>
      <c r="T71" s="2"/>
      <c r="U71" s="2"/>
      <c r="V71" s="2"/>
      <c r="W71" s="2"/>
      <c r="X71" s="2"/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/>
      <c r="B72" s="2"/>
      <c r="C72" s="2"/>
      <c r="D72" s="15"/>
      <c r="E72" s="2"/>
      <c r="F72" s="2"/>
      <c r="G72" s="2"/>
      <c r="H72" s="2"/>
      <c r="I72" s="2"/>
      <c r="J72" s="2"/>
      <c r="K72" s="2"/>
      <c r="L72" s="2"/>
      <c r="M72" s="16"/>
      <c r="N72" s="16"/>
      <c r="O72" s="16"/>
      <c r="P72" s="21"/>
      <c r="Q72" s="16"/>
      <c r="R72" s="2"/>
      <c r="S72" s="2"/>
      <c r="T72" s="2"/>
      <c r="U72" s="2"/>
      <c r="V72" s="2"/>
      <c r="W72" s="2"/>
      <c r="X72" s="2"/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/>
      <c r="B73" s="2"/>
      <c r="C73" s="2"/>
      <c r="D73" s="15"/>
      <c r="E73" s="2"/>
      <c r="F73" s="2"/>
      <c r="G73" s="2"/>
      <c r="H73" s="2"/>
      <c r="I73" s="2"/>
      <c r="J73" s="2"/>
      <c r="K73" s="2"/>
      <c r="L73" s="2"/>
      <c r="M73" s="16"/>
      <c r="N73" s="16"/>
      <c r="O73" s="16"/>
      <c r="P73" s="21"/>
      <c r="Q73" s="16"/>
      <c r="R73" s="2"/>
      <c r="S73" s="2"/>
      <c r="T73" s="2"/>
      <c r="U73" s="2"/>
      <c r="V73" s="2"/>
      <c r="W73" s="2"/>
      <c r="X73" s="2"/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/>
      <c r="B74" s="2"/>
      <c r="C74" s="2"/>
      <c r="D74" s="15"/>
      <c r="E74" s="2"/>
      <c r="F74" s="2"/>
      <c r="G74" s="2"/>
      <c r="H74" s="2"/>
      <c r="I74" s="2"/>
      <c r="J74" s="2"/>
      <c r="K74" s="2"/>
      <c r="L74" s="2"/>
      <c r="M74" s="16"/>
      <c r="N74" s="16"/>
      <c r="O74" s="16"/>
      <c r="P74" s="21"/>
      <c r="Q74" s="16"/>
      <c r="R74" s="2"/>
      <c r="S74" s="2"/>
      <c r="T74" s="2"/>
      <c r="U74" s="2"/>
      <c r="V74" s="2"/>
      <c r="W74" s="2"/>
      <c r="X74" s="2"/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/>
      <c r="B75" s="2"/>
      <c r="C75" s="2"/>
      <c r="D75" s="15"/>
      <c r="E75" s="2"/>
      <c r="F75" s="2"/>
      <c r="G75" s="2"/>
      <c r="H75" s="2"/>
      <c r="I75" s="2"/>
      <c r="J75" s="2"/>
      <c r="K75" s="2"/>
      <c r="L75" s="2"/>
      <c r="M75" s="16"/>
      <c r="N75" s="16"/>
      <c r="O75" s="16"/>
      <c r="P75" s="21"/>
      <c r="Q75" s="16"/>
      <c r="R75" s="2"/>
      <c r="S75" s="2"/>
      <c r="T75" s="2"/>
      <c r="U75" s="2"/>
      <c r="V75" s="2"/>
      <c r="W75" s="2"/>
      <c r="X75" s="2"/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/>
      <c r="B76" s="2"/>
      <c r="C76" s="2"/>
      <c r="D76" s="15"/>
      <c r="E76" s="2"/>
      <c r="F76" s="2"/>
      <c r="G76" s="2"/>
      <c r="H76" s="2"/>
      <c r="I76" s="2"/>
      <c r="J76" s="2"/>
      <c r="K76" s="2"/>
      <c r="L76" s="2"/>
      <c r="M76" s="16"/>
      <c r="N76" s="16"/>
      <c r="O76" s="16"/>
      <c r="P76" s="21"/>
      <c r="Q76" s="16"/>
      <c r="R76" s="2"/>
      <c r="S76" s="2"/>
      <c r="T76" s="2"/>
      <c r="U76" s="2"/>
      <c r="V76" s="2"/>
      <c r="W76" s="2"/>
      <c r="X76" s="2"/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/>
      <c r="B77" s="2"/>
      <c r="C77" s="2"/>
      <c r="D77" s="15"/>
      <c r="E77" s="2"/>
      <c r="F77" s="2"/>
      <c r="G77" s="2"/>
      <c r="H77" s="2"/>
      <c r="I77" s="2"/>
      <c r="J77" s="2"/>
      <c r="K77" s="2"/>
      <c r="L77" s="2"/>
      <c r="M77" s="16"/>
      <c r="N77" s="16"/>
      <c r="O77" s="16"/>
      <c r="P77" s="21"/>
      <c r="Q77" s="16"/>
      <c r="R77" s="2"/>
      <c r="S77" s="2"/>
      <c r="T77" s="2"/>
      <c r="U77" s="2"/>
      <c r="V77" s="2"/>
      <c r="W77" s="2"/>
      <c r="X77" s="2"/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/>
      <c r="B78" s="2"/>
      <c r="C78" s="2"/>
      <c r="D78" s="15"/>
      <c r="E78" s="2"/>
      <c r="F78" s="2"/>
      <c r="G78" s="2"/>
      <c r="H78" s="2"/>
      <c r="I78" s="2"/>
      <c r="J78" s="2"/>
      <c r="K78" s="2"/>
      <c r="L78" s="2"/>
      <c r="M78" s="16"/>
      <c r="N78" s="16"/>
      <c r="O78" s="16"/>
      <c r="P78" s="21"/>
      <c r="Q78" s="16"/>
      <c r="R78" s="2"/>
      <c r="S78" s="2"/>
      <c r="T78" s="2"/>
      <c r="U78" s="2"/>
      <c r="V78" s="2"/>
      <c r="W78" s="2"/>
      <c r="X78" s="2"/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/>
      <c r="B79" s="2"/>
      <c r="C79" s="2"/>
      <c r="D79" s="15"/>
      <c r="E79" s="2"/>
      <c r="F79" s="2"/>
      <c r="G79" s="2"/>
      <c r="H79" s="2"/>
      <c r="I79" s="2"/>
      <c r="J79" s="2"/>
      <c r="K79" s="2"/>
      <c r="L79" s="2"/>
      <c r="M79" s="16"/>
      <c r="N79" s="16"/>
      <c r="O79" s="16"/>
      <c r="P79" s="21"/>
      <c r="Q79" s="16"/>
      <c r="R79" s="2"/>
      <c r="S79" s="2"/>
      <c r="T79" s="2"/>
      <c r="U79" s="2"/>
      <c r="V79" s="2"/>
      <c r="W79" s="2"/>
      <c r="X79" s="2"/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/>
      <c r="B80" s="2"/>
      <c r="C80" s="2"/>
      <c r="D80" s="15"/>
      <c r="E80" s="2"/>
      <c r="F80" s="2"/>
      <c r="G80" s="2"/>
      <c r="H80" s="2"/>
      <c r="I80" s="2"/>
      <c r="J80" s="2"/>
      <c r="K80" s="2"/>
      <c r="L80" s="2"/>
      <c r="M80" s="16"/>
      <c r="N80" s="16"/>
      <c r="O80" s="16"/>
      <c r="P80" s="21"/>
      <c r="Q80" s="16"/>
      <c r="R80" s="2"/>
      <c r="S80" s="2"/>
      <c r="T80" s="2"/>
      <c r="U80" s="2"/>
      <c r="V80" s="2"/>
      <c r="W80" s="2"/>
      <c r="X80" s="2"/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/>
      <c r="B81" s="2"/>
      <c r="C81" s="2"/>
      <c r="D81" s="15"/>
      <c r="E81" s="2"/>
      <c r="F81" s="2"/>
      <c r="G81" s="2"/>
      <c r="H81" s="2"/>
      <c r="I81" s="2"/>
      <c r="J81" s="2"/>
      <c r="K81" s="2"/>
      <c r="L81" s="2"/>
      <c r="M81" s="16"/>
      <c r="N81" s="16"/>
      <c r="O81" s="16"/>
      <c r="P81" s="21"/>
      <c r="Q81" s="16"/>
      <c r="R81" s="2"/>
      <c r="S81" s="2"/>
      <c r="T81" s="2"/>
      <c r="U81" s="2"/>
      <c r="V81" s="2"/>
      <c r="W81" s="2"/>
      <c r="X81" s="2"/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/>
      <c r="B82" s="2"/>
      <c r="C82" s="2"/>
      <c r="D82" s="15"/>
      <c r="E82" s="2"/>
      <c r="F82" s="2"/>
      <c r="G82" s="2"/>
      <c r="H82" s="2"/>
      <c r="I82" s="2"/>
      <c r="J82" s="2"/>
      <c r="K82" s="2"/>
      <c r="L82" s="2"/>
      <c r="M82" s="16"/>
      <c r="N82" s="16"/>
      <c r="O82" s="16"/>
      <c r="P82" s="21"/>
      <c r="Q82" s="16"/>
      <c r="R82" s="2"/>
      <c r="S82" s="2"/>
      <c r="T82" s="2"/>
      <c r="U82" s="2"/>
      <c r="V82" s="2"/>
      <c r="W82" s="2"/>
      <c r="X82" s="2"/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/>
      <c r="B83" s="2"/>
      <c r="C83" s="2"/>
      <c r="D83" s="15"/>
      <c r="E83" s="2"/>
      <c r="F83" s="2"/>
      <c r="G83" s="2"/>
      <c r="H83" s="2"/>
      <c r="I83" s="2"/>
      <c r="J83" s="2"/>
      <c r="K83" s="2"/>
      <c r="L83" s="2"/>
      <c r="M83" s="16"/>
      <c r="N83" s="16"/>
      <c r="O83" s="16"/>
      <c r="P83" s="21"/>
      <c r="Q83" s="16"/>
      <c r="R83" s="2"/>
      <c r="S83" s="2"/>
      <c r="T83" s="2"/>
      <c r="U83" s="2"/>
      <c r="V83" s="2"/>
      <c r="W83" s="2"/>
      <c r="X83" s="2"/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/>
      <c r="B84" s="2"/>
      <c r="C84" s="2"/>
      <c r="D84" s="15"/>
      <c r="E84" s="2"/>
      <c r="F84" s="2"/>
      <c r="G84" s="2"/>
      <c r="H84" s="2"/>
      <c r="I84" s="2"/>
      <c r="J84" s="2"/>
      <c r="K84" s="2"/>
      <c r="L84" s="2"/>
      <c r="M84" s="16"/>
      <c r="N84" s="16"/>
      <c r="O84" s="16"/>
      <c r="P84" s="21"/>
      <c r="Q84" s="16"/>
      <c r="R84" s="2"/>
      <c r="S84" s="2"/>
      <c r="T84" s="2"/>
      <c r="U84" s="2"/>
      <c r="V84" s="2"/>
      <c r="W84" s="2"/>
      <c r="X84" s="2"/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/>
      <c r="B85" s="2"/>
      <c r="C85" s="2"/>
      <c r="D85" s="15"/>
      <c r="E85" s="2"/>
      <c r="F85" s="2"/>
      <c r="G85" s="2"/>
      <c r="H85" s="2"/>
      <c r="I85" s="2"/>
      <c r="J85" s="2"/>
      <c r="K85" s="2"/>
      <c r="L85" s="2"/>
      <c r="M85" s="16"/>
      <c r="N85" s="16"/>
      <c r="O85" s="16"/>
      <c r="P85" s="21"/>
      <c r="Q85" s="16"/>
      <c r="R85" s="2"/>
      <c r="S85" s="2"/>
      <c r="T85" s="2"/>
      <c r="U85" s="2"/>
      <c r="V85" s="2"/>
      <c r="W85" s="2"/>
      <c r="X85" s="2"/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/>
      <c r="B86" s="2"/>
      <c r="C86" s="2"/>
      <c r="D86" s="15"/>
      <c r="E86" s="2"/>
      <c r="F86" s="2"/>
      <c r="G86" s="2"/>
      <c r="H86" s="2"/>
      <c r="I86" s="2"/>
      <c r="J86" s="2"/>
      <c r="K86" s="2"/>
      <c r="L86" s="2"/>
      <c r="M86" s="16"/>
      <c r="N86" s="16"/>
      <c r="O86" s="16"/>
      <c r="P86" s="21"/>
      <c r="Q86" s="16"/>
      <c r="R86" s="2"/>
      <c r="S86" s="2"/>
      <c r="T86" s="2"/>
      <c r="U86" s="2"/>
      <c r="V86" s="2"/>
      <c r="W86" s="2"/>
      <c r="X86" s="2"/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/>
      <c r="B87" s="2"/>
      <c r="C87" s="2"/>
      <c r="D87" s="15"/>
      <c r="E87" s="2"/>
      <c r="F87" s="2"/>
      <c r="G87" s="2"/>
      <c r="H87" s="2"/>
      <c r="I87" s="2"/>
      <c r="J87" s="2"/>
      <c r="K87" s="2"/>
      <c r="L87" s="2"/>
      <c r="M87" s="16"/>
      <c r="N87" s="16"/>
      <c r="O87" s="16"/>
      <c r="P87" s="21"/>
      <c r="Q87" s="16"/>
      <c r="R87" s="2"/>
      <c r="S87" s="2"/>
      <c r="T87" s="2"/>
      <c r="U87" s="2"/>
      <c r="V87" s="2"/>
      <c r="W87" s="2"/>
      <c r="X87" s="2"/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/>
      <c r="B88" s="2"/>
      <c r="C88" s="2"/>
      <c r="D88" s="15"/>
      <c r="E88" s="2"/>
      <c r="F88" s="2"/>
      <c r="G88" s="2"/>
      <c r="H88" s="2"/>
      <c r="I88" s="2"/>
      <c r="J88" s="2"/>
      <c r="K88" s="2"/>
      <c r="L88" s="2"/>
      <c r="M88" s="16"/>
      <c r="N88" s="16"/>
      <c r="O88" s="16"/>
      <c r="P88" s="21"/>
      <c r="Q88" s="16"/>
      <c r="R88" s="2"/>
      <c r="S88" s="2"/>
      <c r="T88" s="2"/>
      <c r="U88" s="2"/>
      <c r="V88" s="2"/>
      <c r="W88" s="2"/>
      <c r="X88" s="2"/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/>
      <c r="B89" s="2"/>
      <c r="C89" s="2"/>
      <c r="D89" s="15"/>
      <c r="E89" s="2"/>
      <c r="F89" s="2"/>
      <c r="G89" s="2"/>
      <c r="H89" s="2"/>
      <c r="I89" s="2"/>
      <c r="J89" s="2"/>
      <c r="K89" s="2"/>
      <c r="L89" s="2"/>
      <c r="M89" s="16"/>
      <c r="N89" s="16"/>
      <c r="O89" s="16"/>
      <c r="P89" s="21"/>
      <c r="Q89" s="16"/>
      <c r="R89" s="2"/>
      <c r="S89" s="2"/>
      <c r="T89" s="2"/>
      <c r="U89" s="2"/>
      <c r="V89" s="2"/>
      <c r="W89" s="2"/>
      <c r="X89" s="2"/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/>
      <c r="B90" s="2"/>
      <c r="C90" s="2"/>
      <c r="D90" s="15"/>
      <c r="E90" s="2"/>
      <c r="F90" s="2"/>
      <c r="G90" s="2"/>
      <c r="H90" s="2"/>
      <c r="I90" s="2"/>
      <c r="J90" s="2"/>
      <c r="K90" s="2"/>
      <c r="L90" s="2"/>
      <c r="M90" s="16"/>
      <c r="N90" s="16"/>
      <c r="O90" s="16"/>
      <c r="P90" s="21"/>
      <c r="Q90" s="16"/>
      <c r="R90" s="2"/>
      <c r="S90" s="2"/>
      <c r="T90" s="2"/>
      <c r="U90" s="2"/>
      <c r="V90" s="2"/>
      <c r="W90" s="2"/>
      <c r="X90" s="2"/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/>
      <c r="B91" s="2"/>
      <c r="C91" s="2"/>
      <c r="D91" s="15"/>
      <c r="E91" s="2"/>
      <c r="F91" s="2"/>
      <c r="G91" s="2"/>
      <c r="H91" s="2"/>
      <c r="I91" s="2"/>
      <c r="J91" s="2"/>
      <c r="K91" s="2"/>
      <c r="L91" s="2"/>
      <c r="M91" s="16"/>
      <c r="N91" s="16"/>
      <c r="O91" s="16"/>
      <c r="P91" s="21"/>
      <c r="Q91" s="16"/>
      <c r="R91" s="2"/>
      <c r="S91" s="2"/>
      <c r="T91" s="2"/>
      <c r="U91" s="2"/>
      <c r="V91" s="2"/>
      <c r="W91" s="2"/>
      <c r="X91" s="2"/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/>
      <c r="B92" s="2"/>
      <c r="C92" s="2"/>
      <c r="D92" s="15"/>
      <c r="E92" s="2"/>
      <c r="F92" s="2"/>
      <c r="G92" s="2"/>
      <c r="H92" s="2"/>
      <c r="I92" s="2"/>
      <c r="J92" s="2"/>
      <c r="K92" s="2"/>
      <c r="L92" s="2"/>
      <c r="M92" s="16"/>
      <c r="N92" s="16"/>
      <c r="O92" s="16"/>
      <c r="P92" s="21"/>
      <c r="Q92" s="16"/>
      <c r="R92" s="2"/>
      <c r="S92" s="2"/>
      <c r="T92" s="2"/>
      <c r="U92" s="2"/>
      <c r="V92" s="2"/>
      <c r="W92" s="2"/>
      <c r="X92" s="2"/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/>
      <c r="B93" s="2"/>
      <c r="C93" s="2"/>
      <c r="D93" s="15"/>
      <c r="E93" s="2"/>
      <c r="F93" s="2"/>
      <c r="G93" s="2"/>
      <c r="H93" s="2"/>
      <c r="I93" s="2"/>
      <c r="J93" s="2"/>
      <c r="K93" s="2"/>
      <c r="L93" s="2"/>
      <c r="M93" s="16"/>
      <c r="N93" s="16"/>
      <c r="O93" s="16"/>
      <c r="P93" s="21"/>
      <c r="Q93" s="16"/>
      <c r="R93" s="2"/>
      <c r="S93" s="2"/>
      <c r="T93" s="2"/>
      <c r="U93" s="2"/>
      <c r="V93" s="2"/>
      <c r="W93" s="2"/>
      <c r="X93" s="2"/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/>
      <c r="B94" s="2"/>
      <c r="C94" s="2"/>
      <c r="D94" s="15"/>
      <c r="E94" s="2"/>
      <c r="F94" s="2"/>
      <c r="G94" s="2"/>
      <c r="H94" s="2"/>
      <c r="I94" s="2"/>
      <c r="J94" s="2"/>
      <c r="K94" s="2"/>
      <c r="L94" s="2"/>
      <c r="M94" s="16"/>
      <c r="N94" s="16"/>
      <c r="O94" s="16"/>
      <c r="P94" s="21"/>
      <c r="Q94" s="16"/>
      <c r="R94" s="2"/>
      <c r="S94" s="2"/>
      <c r="T94" s="2"/>
      <c r="U94" s="2"/>
      <c r="V94" s="2"/>
      <c r="W94" s="2"/>
      <c r="X94" s="2"/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2015-02-06T09:56:04Z</dcterms:modified>
</cp:coreProperties>
</file>