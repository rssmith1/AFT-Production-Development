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47" i="15" l="1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90" i="13"/>
  <c r="AE121" i="13"/>
  <c r="AE122" i="13"/>
  <c r="AE35" i="13"/>
  <c r="AE92" i="13"/>
  <c r="AE15" i="13"/>
  <c r="AE58" i="13"/>
  <c r="AE100" i="13"/>
  <c r="AE62" i="13"/>
  <c r="AE16" i="13"/>
  <c r="AE125" i="13"/>
  <c r="AE54" i="13"/>
  <c r="AE11" i="13"/>
  <c r="AE30" i="13"/>
  <c r="AE24" i="13"/>
  <c r="AE67" i="13"/>
  <c r="AE109" i="13"/>
  <c r="AE120" i="13"/>
  <c r="AE63" i="13"/>
  <c r="AE110" i="13"/>
  <c r="AE46" i="13"/>
  <c r="AE116" i="13"/>
  <c r="AE45" i="13"/>
  <c r="AE115" i="13"/>
  <c r="AE85" i="13"/>
  <c r="AE14" i="13"/>
  <c r="AE39" i="13"/>
  <c r="AE21" i="13"/>
  <c r="AE40" i="13"/>
  <c r="AE38" i="13"/>
  <c r="AE69" i="13"/>
  <c r="AE25" i="13"/>
  <c r="AE82" i="13"/>
  <c r="AE117" i="13"/>
  <c r="AE113" i="13"/>
  <c r="AE44" i="13"/>
  <c r="AE33" i="13"/>
  <c r="AE20" i="13"/>
  <c r="AE118" i="13"/>
  <c r="AE22" i="13"/>
  <c r="AE8" i="13"/>
  <c r="AE55" i="13"/>
  <c r="AE76" i="13"/>
  <c r="AE53" i="13"/>
  <c r="AE87" i="13"/>
  <c r="AE84" i="13"/>
  <c r="AE74" i="13"/>
  <c r="AE95" i="13"/>
  <c r="AE28" i="13"/>
  <c r="AE112" i="13"/>
  <c r="AE98" i="13"/>
  <c r="AE32" i="13"/>
  <c r="AE99" i="13"/>
  <c r="AE47" i="13"/>
  <c r="AE43" i="13"/>
  <c r="AE26" i="13"/>
  <c r="AE94" i="13"/>
  <c r="AE52" i="13"/>
  <c r="AE13" i="13"/>
  <c r="AE36" i="13"/>
  <c r="AE9" i="13"/>
  <c r="AE12" i="13"/>
  <c r="AE41" i="13"/>
  <c r="AE27" i="13"/>
  <c r="AE104" i="13"/>
  <c r="AE103" i="13"/>
  <c r="AE60" i="13"/>
  <c r="AE114" i="13"/>
  <c r="AE10" i="13"/>
  <c r="AE65" i="13"/>
  <c r="AE78" i="13"/>
  <c r="AE71" i="13"/>
  <c r="AE6" i="13"/>
  <c r="AE108" i="13"/>
  <c r="AE79" i="13"/>
  <c r="AE75" i="13"/>
  <c r="AE72" i="13"/>
  <c r="AE66" i="13"/>
  <c r="AE56" i="13"/>
  <c r="AE37" i="13"/>
  <c r="AE83" i="13"/>
  <c r="AE123" i="13"/>
  <c r="AE70" i="13"/>
  <c r="AE68" i="13"/>
  <c r="AE106" i="13"/>
  <c r="AE17" i="13"/>
  <c r="AE80" i="13"/>
  <c r="AE119" i="13"/>
  <c r="AE77" i="13"/>
  <c r="AE34" i="13"/>
  <c r="AE19" i="13"/>
  <c r="AE50" i="13"/>
  <c r="AE18" i="13"/>
  <c r="AE91" i="13"/>
  <c r="AE86" i="13"/>
  <c r="AE88" i="13"/>
  <c r="AE73" i="13"/>
  <c r="AE59" i="13"/>
  <c r="AE89" i="13"/>
  <c r="AE61" i="13"/>
  <c r="AE124" i="13"/>
  <c r="AE97" i="13"/>
  <c r="AE111" i="13"/>
  <c r="AE57" i="13"/>
  <c r="AE42" i="13"/>
  <c r="AE105" i="13"/>
  <c r="AE31" i="13"/>
  <c r="AE51" i="13"/>
  <c r="AE93" i="13"/>
  <c r="AE48" i="13"/>
  <c r="AE23" i="13"/>
  <c r="AE29" i="13"/>
  <c r="AE7" i="13"/>
  <c r="AE64" i="13"/>
  <c r="AE96" i="13"/>
  <c r="AE49" i="13"/>
  <c r="AE107" i="13"/>
  <c r="AE102" i="13"/>
  <c r="AE101" i="13"/>
  <c r="AE81" i="13"/>
  <c r="B42" i="15"/>
  <c r="H42" i="15"/>
  <c r="D42" i="15"/>
  <c r="F42" i="15"/>
  <c r="AA63" i="15"/>
  <c r="AA55" i="15"/>
  <c r="AA59" i="15"/>
  <c r="AA53" i="15"/>
  <c r="AA60" i="15"/>
  <c r="AA64" i="15"/>
  <c r="AA67" i="15"/>
  <c r="AA61" i="15"/>
  <c r="AA57" i="15"/>
  <c r="AA49" i="15"/>
  <c r="AA62" i="15"/>
  <c r="AA48" i="15"/>
  <c r="AA65" i="15"/>
  <c r="AA56" i="15"/>
  <c r="AA47" i="15"/>
  <c r="AA51" i="15"/>
  <c r="AA66" i="15"/>
  <c r="AA58" i="15"/>
  <c r="AA50" i="15"/>
  <c r="AA54" i="15"/>
  <c r="AA52" i="15"/>
  <c r="Q36" i="15" l="1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R36" i="15"/>
  <c r="Z51" i="15"/>
  <c r="Z66" i="15"/>
  <c r="Z62" i="15"/>
  <c r="Z55" i="15"/>
  <c r="Z50" i="15"/>
  <c r="Z53" i="15"/>
  <c r="Z65" i="15"/>
  <c r="Z58" i="15"/>
  <c r="Z52" i="15"/>
  <c r="Z49" i="15"/>
  <c r="Z54" i="15"/>
  <c r="Z47" i="15"/>
  <c r="Z63" i="15"/>
  <c r="Z56" i="15"/>
  <c r="Z67" i="15"/>
  <c r="Z60" i="15"/>
  <c r="Z59" i="15"/>
  <c r="Z57" i="15"/>
  <c r="Z48" i="15"/>
  <c r="Z64" i="15"/>
  <c r="Z61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S37" i="15"/>
  <c r="R37" i="15"/>
  <c r="R38" i="15" l="1"/>
  <c r="S40" i="15" s="1"/>
  <c r="S38" i="15"/>
  <c r="S41" i="15" s="1"/>
  <c r="R40" i="15"/>
  <c r="R41" i="15"/>
</calcChain>
</file>

<file path=xl/sharedStrings.xml><?xml version="1.0" encoding="utf-8"?>
<sst xmlns="http://schemas.openxmlformats.org/spreadsheetml/2006/main" count="2075" uniqueCount="938">
  <si>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</si>
  <si>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</si>
  <si>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</si>
  <si>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</si>
  <si>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</si>
  <si>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</si>
  <si>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</si>
  <si>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</si>
  <si>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</si>
  <si>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</si>
  <si>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</si>
  <si>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</si>
  <si>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</si>
  <si>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</si>
  <si>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</si>
  <si>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</si>
  <si>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</si>
  <si>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</si>
  <si>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</si>
  <si>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</si>
  <si>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</si>
  <si>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</si>
  <si>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</si>
  <si>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</si>
  <si>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</si>
  <si>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</si>
  <si>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</si>
  <si>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</si>
  <si>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</si>
  <si>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</si>
  <si>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</si>
  <si>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</si>
  <si>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</si>
  <si>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</si>
  <si>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</si>
  <si>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</si>
  <si>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</si>
  <si>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</si>
  <si>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</si>
  <si>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</si>
  <si>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</si>
  <si>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</si>
  <si>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</si>
  <si>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</si>
  <si>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</si>
  <si>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</si>
  <si>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</si>
  <si>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</si>
  <si>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</si>
  <si>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</si>
  <si>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</si>
  <si>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</si>
  <si>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</si>
  <si>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</si>
  <si>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</si>
  <si>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</si>
  <si>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</si>
  <si>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</si>
  <si>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</si>
  <si>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</si>
  <si>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</si>
  <si>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</si>
  <si>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</si>
  <si>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</si>
  <si>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</si>
  <si>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</si>
  <si>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</si>
  <si>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</si>
  <si>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</si>
  <si>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</si>
  <si>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</si>
  <si>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</si>
  <si>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</si>
  <si>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</si>
  <si>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</si>
  <si>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</si>
  <si>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</si>
  <si>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</si>
  <si>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</si>
  <si>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</si>
  <si>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</si>
  <si>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</si>
  <si>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</si>
  <si>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</si>
  <si>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</si>
  <si>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</si>
  <si>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</si>
  <si>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</si>
  <si>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</si>
  <si>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</si>
  <si>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</si>
  <si>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</si>
  <si>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</si>
  <si>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</si>
  <si>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</si>
  <si>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</si>
  <si>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</si>
  <si>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</si>
  <si>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</si>
  <si>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</si>
  <si>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</si>
  <si>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</si>
  <si>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</si>
  <si>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</si>
  <si>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</si>
  <si>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</si>
  <si>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</si>
  <si>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</si>
  <si>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</si>
  <si>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</si>
  <si>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</si>
  <si>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</si>
  <si>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</si>
  <si>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</si>
  <si>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</si>
  <si>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</si>
  <si>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</si>
  <si>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</si>
  <si>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</si>
  <si>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</si>
  <si>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</si>
  <si>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</si>
  <si>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</si>
  <si>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</si>
  <si>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</si>
  <si>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</si>
  <si>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</si>
  <si>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</si>
  <si>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</si>
  <si>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</si>
  <si>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</si>
  <si>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</si>
  <si>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</si>
  <si>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</si>
  <si>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</si>
  <si>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</si>
  <si>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</si>
  <si>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</si>
  <si>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</si>
  <si>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</si>
  <si>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</si>
  <si>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</si>
  <si>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</si>
  <si>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</si>
  <si>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</si>
  <si>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</si>
  <si>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</si>
  <si>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</si>
  <si>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</si>
  <si>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</si>
  <si>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</si>
  <si>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</si>
  <si>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</si>
  <si>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</si>
  <si>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</si>
  <si>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</si>
  <si>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</si>
  <si>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</si>
  <si>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</si>
  <si>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</si>
  <si>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</si>
  <si>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</si>
  <si>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</si>
  <si>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</si>
  <si>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</si>
  <si>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</si>
  <si>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</si>
  <si>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</si>
  <si>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</si>
  <si>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</si>
  <si>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</si>
  <si>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</si>
  <si>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</si>
  <si>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</si>
  <si>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</si>
  <si>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</si>
  <si>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</si>
  <si>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</si>
  <si>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</si>
  <si>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</si>
  <si>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</si>
  <si>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</si>
  <si>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</si>
  <si>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</si>
  <si>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</si>
  <si>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</si>
  <si>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</si>
  <si>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</si>
  <si>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</si>
  <si>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</si>
  <si>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</si>
  <si>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</si>
  <si>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</si>
  <si>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</si>
  <si>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</si>
  <si>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</si>
  <si>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</si>
  <si>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</si>
  <si>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</si>
  <si>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</si>
  <si>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</si>
  <si>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</si>
  <si>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</si>
  <si>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</si>
  <si>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</si>
  <si>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54.171.93.132</t>
  </si>
  <si>
    <t>Subscribed</t>
  </si>
  <si>
    <t>6B3G5 C1530</t>
  </si>
  <si>
    <t>STP LMT</t>
  </si>
  <si>
    <t>In-Flight</t>
  </si>
  <si>
    <t>Canceled</t>
  </si>
  <si>
    <t>6B3G5 P1530</t>
  </si>
  <si>
    <t>2015-2-18 16:35:20.548: Main - Initialize - initializing...</t>
  </si>
  <si>
    <t>2015-2-18 16:35:27.527: openOrderEx - I am here</t>
  </si>
  <si>
    <t xml:space="preserve">2015-2-18 16:35:27.528: OrderManagerView - UpdateMainSheetOpenOrder - entering UpdateMainSheetOpenOrder order.status is </t>
  </si>
  <si>
    <t>2015-2-18 16:35:27.529: OrderManagerView - updateMainSheetOrderHistory - An Error occurred Object variable or With block variable not set</t>
  </si>
  <si>
    <t>2015-2-18 16:35:27.532: OrderManagerView - updateOrderHistory - An Error occurred Object variable or With block variable not set</t>
  </si>
  <si>
    <t>2015-2-18 16:35:27.533: OrderManagerView - updateOrderHistory - An Error occurred Object variable or With block variable not set</t>
  </si>
  <si>
    <t>2015-2-18 16:35:27.534: OrderManagerView - updateOrderHistory - An Error occurred Object variable or With block variable not set</t>
  </si>
  <si>
    <t>2015-2-18 16:35:27.535: OrderManagerView - updateOrderHistory - An Error occurred Object variable or With block variable not set</t>
  </si>
  <si>
    <t>2015-2-18 16:35:27.536: OrderManagerView - updateOrderHistory - An Error occurred Object variable or With block variable not set</t>
  </si>
  <si>
    <t>2015-2-18 16:35:27.538: RTWSControl - orderStatus -  entering orderStatus id is 10082 status is PreSubmitted</t>
  </si>
  <si>
    <t>2015-2-18 16:35:27.538: OrderManager - UpdateOrderStatus - id 10082 Setting status to PreSubmitted workingOrderCount is now 0 workingQty 0</t>
  </si>
  <si>
    <t>2015-2-18 16:35:27.538: OrderManagerView - UpdateMainSheetOpenOrder - entering UpdateMainSheetOpenOrder order.status is PreSubmitted</t>
  </si>
  <si>
    <t>2015-2-18 16:35:27.538: OrderManagerView - updateMainSheetOrderHistory - An Error occurred Object variable or With block variable not set</t>
  </si>
  <si>
    <t>2015-2-18 16:35:27.540: OrderManagerView - updateOrderHistory - An Error occurred Object variable or With block variable not set</t>
  </si>
  <si>
    <t>2015-2-18 16:35:27.541: OrderManagerView - updateOrderHistory - An Error occurred Object variable or With block variable not set</t>
  </si>
  <si>
    <t>2015-2-18 16:35:27.542: OrderManagerView - updateOrderHistory - An Error occurred Object variable or With block variable not set</t>
  </si>
  <si>
    <t>2015-2-18 16:35:27.543: OrderManagerView - updateOrderHistory - An Error occurred Object variable or With block variable not set</t>
  </si>
  <si>
    <t>2015-2-18 16:35:27.544: OrderManagerView - updateOrderHistory - An Error occurred Object variable or With block variable not set</t>
  </si>
  <si>
    <t>2015-2-18 16:35:27.544: RTWSControl - OrderStatus - Got OrderStatus Message id:10082 status: PreSubmitted filled: 0</t>
  </si>
  <si>
    <t>2015-2-18 16:35:27.544: RTWSControl - OrderStatus - exiting orderStatus</t>
  </si>
  <si>
    <t>2015-2-18 16:35:27.548: openOrderEx - I am here</t>
  </si>
  <si>
    <t xml:space="preserve">2015-2-18 16:35:27.548: OrderManagerView - UpdateMainSheetOpenOrder - entering UpdateMainSheetOpenOrder order.status is </t>
  </si>
  <si>
    <t>2015-2-18 16:35:27.549: OrderManagerView - updateMainSheetOrderHistory - An Error occurred Object variable or With block variable not set</t>
  </si>
  <si>
    <t>2015-2-18 16:35:27.550: OrderManagerView - updateOrderHistory - An Error occurred Object variable or With block variable not set</t>
  </si>
  <si>
    <t>2015-2-18 16:35:27.551: OrderManagerView - updateOrderHistory - An Error occurred Object variable or With block variable not set</t>
  </si>
  <si>
    <t>2015-2-18 16:35:27.552: OrderManagerView - updateOrderHistory - An Error occurred Object variable or With block variable not set</t>
  </si>
  <si>
    <t>2015-2-18 16:35:27.553: OrderManagerView - updateOrderHistory - An Error occurred Object variable or With block variable not set</t>
  </si>
  <si>
    <t>2015-2-18 16:35:27.554: OrderManagerView - updateOrderHistory - An Error occurred Object variable or With block variable not set</t>
  </si>
  <si>
    <t>2015-2-18 16:35:27.556: RTWSControl - orderStatus -  entering orderStatus id is 10079 status is PreSubmitted</t>
  </si>
  <si>
    <t>2015-2-18 16:35:27.556: OrderManager - UpdateOrderStatus - id 10079 Setting status to PreSubmitted workingOrderCount is now 0 workingQty 0</t>
  </si>
  <si>
    <t>2015-2-18 16:35:27.556: OrderManagerView - UpdateMainSheetOpenOrder - entering UpdateMainSheetOpenOrder order.status is PreSubmitted</t>
  </si>
  <si>
    <t>2015-2-18 16:35:27.557: OrderManagerView - updateMainSheetOrderHistory - An Error occurred Object variable or With block variable not set</t>
  </si>
  <si>
    <t>2015-2-18 16:35:27.558: OrderManagerView - updateOrderHistory - An Error occurred Object variable or With block variable not set</t>
  </si>
  <si>
    <t>2015-2-18 16:35:27.559: OrderManagerView - updateOrderHistory - An Error occurred Object variable or With block variable not set</t>
  </si>
  <si>
    <t>2015-2-18 16:35:27.560: OrderManagerView - updateOrderHistory - An Error occurred Object variable or With block variable not set</t>
  </si>
  <si>
    <t>2015-2-18 16:35:27.561: OrderManagerView - updateOrderHistory - An Error occurred Object variable or With block variable not set</t>
  </si>
  <si>
    <t>2015-2-18 16:35:27.562: OrderManagerView - updateOrderHistory - An Error occurred Object variable or With block variable not set</t>
  </si>
  <si>
    <t>2015-2-18 16:35:27.562: RTWSControl - OrderStatus - Got OrderStatus Message id:10079 status: PreSubmitted filled: 0</t>
  </si>
  <si>
    <t>2015-2-18 16:35:27.562: RTWSControl - OrderStatus - exiting orderStatus</t>
  </si>
  <si>
    <t>2015-2-18 16:35:27.723: openOrderEnd - I am here</t>
  </si>
  <si>
    <t>TWS Connected OK</t>
  </si>
  <si>
    <t>2015-2-18 16:35:27.727: RTWSControl - nextValidId - entering nextValidId id is 10083</t>
  </si>
  <si>
    <t>2015-2-18 16:35:27.751: WatchlistView - initialize - an error occurredSelect method of Range class failed</t>
  </si>
  <si>
    <t>2015-2-18 16:35:27.797: RTWSControl - errMsg - got error message 2104:Market data farm connection is OK:usfuturewith id -1</t>
  </si>
  <si>
    <t>2015-2-18 16:35:27.804: RTWSControl - errMsg - got error message 2104:Market data farm connection is OK:usfuture.uswith id -1</t>
  </si>
  <si>
    <t>2015-2-18 16:35:27.839: RTWSControl - errMsg - got error message 2104:Market data farm connection is OK:cashfarmwith id -1</t>
  </si>
  <si>
    <t>2015-2-18 16:35:27.844: RTWSControl - errMsg - got error message 2104:Market data farm connection is OK:usfarmwith id -1</t>
  </si>
  <si>
    <t>2015-2-18 16:35:27.848: RTWSControl - errMsg - got error message 2106:HMDS data farm connection is OK:ilhmdswith id -1</t>
  </si>
  <si>
    <t>2015-2-18 16:35:27.893: RTWSControl - contractDetailsEx - got contractDetails id 0 British pound 6BH5</t>
  </si>
  <si>
    <t>2015-2-18 16:35:27.898: RTWSControl - contractDetailsEnd - Got contract details end event</t>
  </si>
  <si>
    <t>2015-2-18 16:35:28.107: RTWSControl - orderStatus -  entering orderStatus id is 10082 status is Cancelled</t>
  </si>
  <si>
    <t>2015-2-18 16:35:28.107: OrderManager - UpdateOrderStatus - id 10082 Setting status to Cancelled workingOrderCount is now 0 workingQty 0</t>
  </si>
  <si>
    <t>2015-2-18 16:35:28.107: OrderManagerView - UpdateMainSheetOpenOrder - entering UpdateMainSheetOpenOrder order.status is Cancelled</t>
  </si>
  <si>
    <t>2015-2-18 16:35:28.108: OrderManagerView - updateMainSheetOrderHistory - An Error occurred Object variable or With block variable not set</t>
  </si>
  <si>
    <t>2015-2-18 16:35:28.112: OrderManagerView - updateOrderHistory - An Error occurred Object variable or With block variable not set</t>
  </si>
  <si>
    <t>2015-2-18 16:35:28.113: OrderManagerView - updateOrderHistory - An Error occurred Object variable or With block variable not set</t>
  </si>
  <si>
    <t>2015-2-18 16:35:28.114: OrderManagerView - updateOrderHistory - An Error occurred Object variable or With block variable not set</t>
  </si>
  <si>
    <t>2015-2-18 16:35:28.115: OrderManagerView - updateOrderHistory - An Error occurred Object variable or With block variable not set</t>
  </si>
  <si>
    <t>2015-2-18 16:35:28.116: OrderManagerView - updateOrderHistory - An Error occurred Object variable or With block variable not set</t>
  </si>
  <si>
    <t>2015-2-18 16:35:28.118: OrderManagerView - updateOrderHistory - An Error occurred Object variable or With block variable not set</t>
  </si>
  <si>
    <t>2015-2-18 16:35:28.119: OrderManagerView - updateOrderHistory - An Error occurred Object variable or With block variable not set</t>
  </si>
  <si>
    <t>2015-2-18 16:35:28.120: OrderManagerView - updateOrderHistory - An Error occurred Object variable or With block variable not set</t>
  </si>
  <si>
    <t>2015-2-18 16:35:28.121: OrderManagerView - updateOrderHistory - An Error occurred Object variable or With block variable not set</t>
  </si>
  <si>
    <t>2015-2-18 16:35:28.122: OrderManagerView - updateOrderHistory - An Error occurred Object variable or With block variable not set</t>
  </si>
  <si>
    <t>2015-2-18 16:35:28.123: OrderManagerView - updateOrderHistory - An Error occurred Object variable or With block variable not set</t>
  </si>
  <si>
    <t>2015-2-18 16:35:28.124: OrderManagerView - updateOrderHistory - An Error occurred Object variable or With block variable not set</t>
  </si>
  <si>
    <t>2015-2-18 16:35:28.125: OrderManagerView - updateOrderHistory - An Error occurred Object variable or With block variable not set</t>
  </si>
  <si>
    <t>2015-2-18 16:35:28.126: RTWSControl - OrderStatus - Got OrderStatus Message id:10082 status: Cancelled filled: 0</t>
  </si>
  <si>
    <t>2015-2-18 16:35:28.126: RTWSControl - OrderStatus - exiting orderStatus</t>
  </si>
  <si>
    <t>2015-2-18 16:35:28.152: RTWSControl - errMsg - got error message 202:Order Canceled - reason:with id 10082</t>
  </si>
  <si>
    <t>2015-2-18 16:35:28.152: OrderManager - canceledOrder - cleaning up after canceled order 10082BEWARE UNACCOUNTED FOR EXECUTIONS!!!</t>
  </si>
  <si>
    <t>2015-2-18 16:35:28.153: OrderManager - terminateOrder - cleaning up after Canceled 10082  order was supposed to SELL 2 1.5343 STP LMT workingQty/OrderCount now -2/-1</t>
  </si>
  <si>
    <t>2015-2-18 16:35:28.153: OrderManager - terminateOrder - terminating order who had no caller</t>
  </si>
  <si>
    <t>2015-2-18 16:35:28.153: OrderManagerView - UpdateMainSheetOpenOrder - entering UpdateMainSheetOpenOrder order.status is Canceled</t>
  </si>
  <si>
    <t>2015-2-18 16:35:28.153: OrderManagerView - updateOrderHistory - An Error occurred Object variable or With block variable not set</t>
  </si>
  <si>
    <t>2015-2-18 16:35:28.154: OrderManagerView - updateOrderHistory - An Error occurred Object variable or With block variable not set</t>
  </si>
  <si>
    <t>2015-2-18 16:35:28.155: OrderManagerView - updateOrderHistory - An Error occurred Object variable or With block variable not set</t>
  </si>
  <si>
    <t>2015-2-18 16:35:28.156: OrderManagerView - updateOrderHistory - An Error occurred Object variable or With block variable not set</t>
  </si>
  <si>
    <t>2015-2-18 16:35:28.157: OrderManagerView - updateOrderHistory - An Error occurred Object variable or With block variable not set</t>
  </si>
  <si>
    <t>2015-2-18 16:35:28.158: OrderManagerView - updateOrderHistory - An Error occurred Object variable or With block variable not set</t>
  </si>
  <si>
    <t>2015-2-18 16:35:28.159: OrderManagerView - updateOrderHistory - An Error occurred Object variable or With block variable not set</t>
  </si>
  <si>
    <t>2015-2-18 16:35:28.164: RTWSControl - orderStatus -  entering orderStatus id is 10079 status is Cancelled</t>
  </si>
  <si>
    <t>2015-2-18 16:35:28.165: OrderManager - UpdateOrderStatus - id 10079 Setting status to Cancelled workingOrderCount is now -1 workingQty -2</t>
  </si>
  <si>
    <t>2015-2-18 16:35:28.165: OrderManagerView - UpdateMainSheetOpenOrder - entering UpdateMainSheetOpenOrder order.status is Cancelled</t>
  </si>
  <si>
    <t>2015-2-18 16:35:28.165: OrderManagerView - updateMainSheetOrderHistory - An Error occurred Object variable or With block variable not set</t>
  </si>
  <si>
    <t>2015-2-18 16:35:28.167: OrderManagerView - updateOrderHistory - An Error occurred Object variable or With block variable not set</t>
  </si>
  <si>
    <t>2015-2-18 16:35:28.168: OrderManagerView - updateOrderHistory - An Error occurred Object variable or With block variable not set</t>
  </si>
  <si>
    <t>2015-2-18 16:35:28.169: OrderManagerView - updateOrderHistory - An Error occurred Object variable or With block variable not set</t>
  </si>
  <si>
    <t>2015-2-18 16:35:28.170: OrderManagerView - updateOrderHistory - An Error occurred Object variable or With block variable not set</t>
  </si>
  <si>
    <t>2015-2-18 16:35:28.171: OrderManagerView - updateOrderHistory - An Error occurred Object variable or With block variable not set</t>
  </si>
  <si>
    <t>2015-2-18 16:35:28.172: OrderManagerView - updateOrderHistory - An Error occurred Object variable or With block variable not set</t>
  </si>
  <si>
    <t>2015-2-18 16:35:28.172: RTWSControl - OrderStatus - Got OrderStatus Message id:10079 status: Cancelled filled: 0</t>
  </si>
  <si>
    <t>2015-2-18 16:35:28.173: RTWSControl - OrderStatus - exiting orderStatus</t>
  </si>
  <si>
    <t>2015-2-18 16:35:28.179: RTWSControl - errMsg - got error message 202:Order Canceled - reason:with id 10079</t>
  </si>
  <si>
    <t>2015-2-18 16:35:28.179: OrderManager - canceledOrder - cleaning up after canceled order 10079BEWARE UNACCOUNTED FOR EXECUTIONS!!!</t>
  </si>
  <si>
    <t>2015-2-18 16:35:28.179: OrderManager - terminateOrder - cleaning up after Canceled 10079  order was supposed to BUY 2 1.5459 STP LMT workingQty/OrderCount now -4/-2</t>
  </si>
  <si>
    <t>2015-2-18 16:35:28.179: OrderManager - terminateOrder - terminating order who had no caller</t>
  </si>
  <si>
    <t>2015-2-18 16:35:28.179: OrderManagerView - UpdateMainSheetOpenOrder - entering UpdateMainSheetOpenOrder order.status is Canceled</t>
  </si>
  <si>
    <t>2015-2-18 16:35:28.180: OrderManagerView - updateOrderHistory - An Error occurred Object variable or With block variable not set</t>
  </si>
  <si>
    <t>2015-2-18 16:35:28.181: OrderManagerView - updateOrderHistory - An Error occurred Object variable or With block variable not set</t>
  </si>
  <si>
    <t>2015-2-18 16:35:28.182: OrderManagerView - updateOrderHistory - An Error occurred Object variable or With block variable not set</t>
  </si>
  <si>
    <t>2015-2-18 16:35:28.183: OrderManagerView - updateOrderHistory - An Error occurred Object variable or With block variable not set</t>
  </si>
  <si>
    <t>2015-2-18 16:35:28.184: OrderManagerView - updateOrderHistory - An Error occurred Object variable or With block variable not set</t>
  </si>
  <si>
    <t>2015-2-18 16:35:28.185: OrderManagerView - updateOrderHistory - An Error occurred Object variable or With block variable not set</t>
  </si>
  <si>
    <t>2015-2-18 16:35:28.186: OrderManagerView - updateOrderHistory - An Error occurred Object variable or With block variable not set</t>
  </si>
  <si>
    <t>2015-2-18 16:35:33.0: OrderManagerView - UpdateMainSheetOpenOrder - entering UpdateMainSheetOpenOrder order.status is Canceled</t>
  </si>
  <si>
    <t>2015-2-18 16:35:33.259: Algorithm - updatePortfolio - haveAllDetails is False</t>
  </si>
  <si>
    <t>2015-2-18 16:35:33.299: Algorithm - updatePortfolio - haveAllDetails is False</t>
  </si>
  <si>
    <t>2015-2-18 16:35:33.319: Algorithm - updatePortfolio - haveAllDetails is False</t>
  </si>
  <si>
    <t>2015-2-18 16:35:33.359: Algorithm - updatePortfolio - haveAllDetails is False</t>
  </si>
  <si>
    <t>2015-2-18 16:35:33.390: RTWSControl - contractDetailsEx - got contractDetails id 0 British pound 6B3G5 C1530</t>
  </si>
  <si>
    <t>2015-2-18 16:35:33.416: RTWSControl - contractDetailsEnd - Got contract details end event</t>
  </si>
  <si>
    <t>2015-2-18 16:35:33.562: RTWSControl - contractDetailsEx - got contractDetails id 0 British pound 6B3G5 P1530</t>
  </si>
  <si>
    <t>2015-2-18 16:35:33.575: RTWSControl - contractDetailsEnd - Got contract details end event</t>
  </si>
  <si>
    <t>2015-2-18 16:35:36.871: Algorithm - FindNextStrikes - price is 1.54345 nextStrikeUp/Down 9999/1.53</t>
  </si>
  <si>
    <t>2015-2-18 16:35:36.871: Algorithm - getPortfolioForwardDelta - required deltas is 10 currentHedgePosition is 7</t>
  </si>
  <si>
    <t>2015-2-18 16:35:36.872: Algorithm - getHedgeShortfall - required deltas is 10 price is 1.54345 currentHedgePositionDeltas is 7</t>
  </si>
  <si>
    <t>2015-2-18 16:35:36.872: Algorithm - processTransitionPoint - nextUpper/LowerStrikes are 9999/1.53 requiredDeltas/currentPosition/currentHedgeShortfall/direction/transitionPrice are 10/7/3/0/1.54345</t>
  </si>
  <si>
    <t>2015-2-18 16:35:36.872: TransitionLogger - processTransitionpoint - checking transition - currentHedgeShortfall is 3</t>
  </si>
  <si>
    <t>2015-2-18 16:35:36.877: Algorithm - updatePortfolio - haveAllDetails is True</t>
  </si>
  <si>
    <t>2015-2-18 16:35:37.356: MarketData - Let Delta - discarding new delta value - outside tolerance - old/new/tolerance 0.945913653177611/0.825730056475611//0.01</t>
  </si>
  <si>
    <t>2015-2-18 16:35:37.677: MarketData - Let Delta - discarding new delta value - outside tolerance - old/new/tolerance -0.119609288666284/-0.137788333078841//0.01</t>
  </si>
  <si>
    <t>2015-2-18 16:35:38.67: MarketData - Let Delta - discarding new delta value - outside tolerance - old/new/tolerance 0.945913653177611/0.868738882478264//0.01</t>
  </si>
  <si>
    <t>2015-2-18 16:35:38.284: MarketData - Let Delta - discarding new delta value - outside tolerance - old/new/tolerance -0.119609288666284/-0.13144832866615//0.01</t>
  </si>
  <si>
    <t>2015-2-18 16:35:42.207: MarketData - Let Delta - discarding new delta value - outside tolerance - old/new/tolerance 0.945913653177611/0.869155975101015//0.01</t>
  </si>
  <si>
    <t>2015-2-18 16:35:42.281: MarketData - Let Delta - discarding new delta value - outside tolerance - old/new/tolerance -0.119609288666284/-0.131031235536441//0.01</t>
  </si>
  <si>
    <t>2015-2-18 16:35:43.304: MarketData - Let Delta - discarding new delta value - outside tolerance - old/new/tolerance 0.945913653177611/0.865220470266634//0.01</t>
  </si>
  <si>
    <t>2015-2-18 16:35:43.499: MarketData - Let Delta - discarding new delta value - outside tolerance - old/new/tolerance -0.119609288666284/-0.13496674516306//0.01</t>
  </si>
  <si>
    <t>2015-2-18 16:35:44.389: MarketData - Let Delta - discarding new delta value - outside tolerance - old/new/tolerance 0.945913653177611/0.869155975101015//0.01</t>
  </si>
  <si>
    <t>2015-2-18 16:35:44.412: MarketData - Let Delta - discarding new delta value - outside tolerance - old/new/tolerance -0.119609288666284/-0.131031235536441//0.01</t>
  </si>
  <si>
    <t>2015-2-18 16:35:46.204: MarketData - Let Delta - discarding new delta value - outside tolerance - old/new/tolerance 0.945913653177611/0.869593435236959//0.01</t>
  </si>
  <si>
    <t>2015-2-18 16:35:46.434: MarketData - Let Delta - discarding new delta value - outside tolerance - old/new/tolerance -0.119609288666284/-0.130593774868759//0.01</t>
  </si>
  <si>
    <t>2015-2-18 16:35:54.761: MarketData - Let Delta - discarding new delta value - outside tolerance - old/new/tolerance 0.94615417406286/0.82028562733533//0.01</t>
  </si>
  <si>
    <t>2015-2-18 16:35:55.100: MarketData - Let Delta - discarding new delta value - outside tolerance - old/new/tolerance -0.119609288666284/-0.119158300518856//0.01</t>
  </si>
  <si>
    <t>2015-2-18 16:35:55.138: MarketData - Let Delta - discarding new delta value - outside tolerance - old/new/tolerance -0.119609288666284/-0.137249432216605//0.01</t>
  </si>
  <si>
    <t>2015-2-18 16:35:55.263: MarketData - Let Delta - discarding new delta value - outside tolerance - old/new/tolerance 0.94615417406286/0.870399568464975//0.01</t>
  </si>
  <si>
    <t>2015-2-18 16:35:55.426: MarketData - Let Delta - discarding new delta value - outside tolerance - old/new/tolerance -0.119609288666284/-0.1297876406566//0.01</t>
  </si>
  <si>
    <t>2015-2-18 16:35:56.354: MarketData - Let Delta - discarding new delta value - outside tolerance - old/new/tolerance 0.94615417406286/0.870443522773496//0.01</t>
  </si>
  <si>
    <t>2015-2-18 16:35:56.375: MarketData - Let Delta - discarding new delta value - outside tolerance - old/new/tolerance -0.119609288666284/-0.129743686103036//0.01</t>
  </si>
  <si>
    <t>2015-2-18 16:35:58.94: MarketData - Let Delta - discarding new delta value - outside tolerance - old/new/tolerance 0.94615417406286/0.870451730430301//0.01</t>
  </si>
  <si>
    <t>2015-2-18 16:35:58.307: MarketData - Let Delta - discarding new delta value - outside tolerance - old/new/tolerance -0.119609288666284/-0.129735478436265//0.01</t>
  </si>
  <si>
    <t>2015-2-18 16:35:59.712: OrderManager - PlaceOrder - id 10083 workingQty -3</t>
  </si>
  <si>
    <t>2015-2-18 16:35:59.713: OrderManagerView - UpdateMainSheetOpenOrder - entering UpdateMainSheetOpenOrder order.status is In-Flight</t>
  </si>
  <si>
    <t>2015-2-18 16:35:59.721: OrderManager - sendOrder - exiting place order id 10083 BUY 1 1.5452  - workingQty -3 currentPosition is 7 workingOrderCount is -1</t>
  </si>
  <si>
    <t>2015-2-18 16:35:59.721: OrderManager - createOrder - exiting without creating order - did not have validID</t>
  </si>
  <si>
    <t>2015-2-18 16:35:59.817: RTWSControl - nextValidId - entering nextValidId id is 10084</t>
  </si>
  <si>
    <t>2015-2-18 16:36:0.48: openOrderEx - I am here</t>
  </si>
  <si>
    <t>2015-2-18 16:36:0.48: OrderManagerView - UpdateMainSheetOpenOrder - entering UpdateMainSheetOpenOrder order.status is In-Flight</t>
  </si>
  <si>
    <t>2015-2-18 16:36:0.71: RTWSControl - orderStatus -  entering orderStatus id is 10083 status is PreSubmitted</t>
  </si>
  <si>
    <t>2015-2-18 16:36:0.72: OrderManager - UpdateOrderStatus - id 10083 Setting status to PreSubmitted workingOrderCount is now -1 workingQty -3</t>
  </si>
  <si>
    <t>2015-2-18 16:36:0.72: OrderManagerView - UpdateMainSheetOpenOrder - entering UpdateMainSheetOpenOrder order.status is PreSubmitted</t>
  </si>
  <si>
    <t>2015-2-18 16:36:0.76: RTWSControl - OrderStatus - Got OrderStatus Message id:10083 status: PreSubmitted filled: 0</t>
  </si>
  <si>
    <t>2015-2-18 16:36:0.77: RTWSControl - OrderStatus - exiting orderStatus</t>
  </si>
  <si>
    <t>2015-2-18 16:36:3.93: MarketData - Let Delta - discarding new delta value - outside tolerance - old/new/tolerance 0.94615417406286/0.87089186342034//0.01</t>
  </si>
  <si>
    <t>2015-2-18 16:36:3.299: MarketData - Let Delta - discarding new delta value - outside tolerance - old/new/tolerance -0.119609288666284/-0.129295344911392//0.01</t>
  </si>
  <si>
    <t>2015-2-18 16:36:6.355: MarketData - Let Delta - discarding new delta value - outside tolerance - old/new/tolerance 0.94615417406286/0.871095763389009//0.01</t>
  </si>
  <si>
    <t>2015-2-18 16:36:6.399: MarketData - Let Delta - discarding new delta value - outside tolerance - old/new/tolerance -0.119609288666284/-0.129091444694895//0.01</t>
  </si>
  <si>
    <t>2015-2-18 16:36:8.323: OrderManager - PlaceOrder - id 10084 workingQty -4</t>
  </si>
  <si>
    <t>2015-2-18 16:36:8.324: OrderManagerView - UpdateMainSheetOpenOrder - entering UpdateMainSheetOpenOrder order.status is In-Flight</t>
  </si>
  <si>
    <t>2015-2-18 16:36:8.330: OrderManager - sendOrder - exiting place order id 10084 SELL 1 1.5348  - workingQty -4 currentPosition is 7 workingOrderCount is 0</t>
  </si>
  <si>
    <t>2015-2-18 16:36:8.423: RTWSControl - nextValidId - entering nextValidId id is 10085</t>
  </si>
  <si>
    <t>2015-2-18 16:36:8.660: openOrderEx - I am here</t>
  </si>
  <si>
    <t>2015-2-18 16:36:8.660: OrderManagerView - UpdateMainSheetOpenOrder - entering UpdateMainSheetOpenOrder order.status is In-Flight</t>
  </si>
  <si>
    <t>2015-2-18 16:36:8.697: RTWSControl - orderStatus -  entering orderStatus id is 10084 status is PreSubmitted</t>
  </si>
  <si>
    <t>2015-2-18 16:36:8.697: OrderManager - UpdateOrderStatus - id 10084 Setting status to PreSubmitted workingOrderCount is now 0 workingQty -4</t>
  </si>
  <si>
    <t>2015-2-18 16:36:8.697: OrderManagerView - UpdateMainSheetOpenOrder - entering UpdateMainSheetOpenOrder order.status is PreSubmitted</t>
  </si>
  <si>
    <t>2015-2-18 16:36:8.701: RTWSControl - OrderStatus - Got OrderStatus Message id:10084 status: PreSubmitted filled: 0</t>
  </si>
  <si>
    <t>2015-2-18 16:36:8.701: RTWSControl - OrderStatus - exiting orderStatus</t>
  </si>
  <si>
    <t>2015-2-18 16:36:9.273: MarketData - Let Delta - discarding new delta value - outside tolerance - old/new/tolerance 0.94615417406286/0.869128592167494//0.01</t>
  </si>
  <si>
    <t>2015-2-18 16:36:9.318: MarketData - Let Delta - discarding new delta value - outside tolerance - old/new/tolerance -0.119609288666284/-0.131058618311051//0.01</t>
  </si>
  <si>
    <t>2015-2-18 16:36:10.298: MarketData - Let Delta - discarding new delta value - outside tolerance - old/new/tolerance 0.94615417406286/0.868965053915672//0.01</t>
  </si>
  <si>
    <t>2015-2-18 16:36:10.367: MarketData - Let Delta - discarding new delta value - outside tolerance - old/new/tolerance -0.119609288666284/-0.131222156761655//0.01</t>
  </si>
  <si>
    <t>2015-2-18 16:36:10.520: MarketData - Let Delta - discarding new delta value - outside tolerance - old/new/tolerance 0.94615417406286/0.929044669455583//0.01</t>
  </si>
  <si>
    <t>2015-2-18 16:36:10.590: MarketData - Let Delta - discarding new delta value - outside tolerance - old/new/tolerance 0.94615417406286/0.813885300763966//0.01</t>
  </si>
  <si>
    <t>2015-2-18 16:36:10.632: MarketData - Let Delta - discarding new delta value - outside tolerance - old/new/tolerance -0.119609288666284/-0.119575993228181//0.01</t>
  </si>
  <si>
    <t>2015-2-18 16:36:10.658: MarketData - Let Delta - discarding new delta value - outside tolerance - old/new/tolerance -0.119609288666284/-0.137745695621514//0.01</t>
  </si>
  <si>
    <t>2015-2-18 16:36:11.286: MarketData - Let Delta - discarding new delta value - outside tolerance - old/new/tolerance 0.94615417406286/0.870931037779534//0.01</t>
  </si>
  <si>
    <t>2015-2-18 16:36:11.500: MarketData - Let Delta - discarding new delta value - outside tolerance - old/new/tolerance -0.119609288666284/-0.129256170504585//0.01</t>
  </si>
  <si>
    <t>2015-2-18 16:36:12.275: MarketData - Let Delta - discarding new delta value - outside tolerance - old/new/tolerance 0.946184708608508/0.820321409310609//0.01</t>
  </si>
  <si>
    <t>2015-2-18 16:36:12.307: MarketData - Let Delta - discarding new delta value - outside tolerance - old/new/tolerance -0.119609288666284/-0.11912493426186//0.01</t>
  </si>
  <si>
    <t>2015-2-18 16:36:12.325: MarketData - Let Delta - discarding new delta value - outside tolerance - old/new/tolerance -0.119609288666284/-0.137206710366647//0.01</t>
  </si>
  <si>
    <t>2015-2-18 16:36:14.292: MarketData - Let Delta - discarding new delta value - outside tolerance - old/new/tolerance 0.946184708608508/0.870451730430301//0.01</t>
  </si>
  <si>
    <t>2015-2-18 16:36:14.334: MarketData - Let Delta - discarding new delta value - outside tolerance - old/new/tolerance -0.119609288666284/-0.129735478436265//0.01</t>
  </si>
  <si>
    <t>2015-2-18 16:36:16.99: MarketData - Let Delta - discarding new delta value - outside tolerance - old/new/tolerance 0.946184708608508/0.868489201488472//0.01</t>
  </si>
  <si>
    <t>2015-2-18 16:36:16.171: MarketData - Let Delta - discarding new delta value - outside tolerance - old/new/tolerance 0.946184708608508/0.929044669455583//0.01</t>
  </si>
  <si>
    <t>2015-2-18 16:36:16.197: MarketData - Let Delta - discarding new delta value - outside tolerance - old/new/tolerance 0.946184708608508/0.813885300763966//0.01</t>
  </si>
  <si>
    <t>2015-2-18 16:36:16.311: MarketData - Let Delta - discarding new delta value - outside tolerance - old/new/tolerance -0.119609288666284/-0.131698009767076//0.01</t>
  </si>
  <si>
    <t>2015-2-18 16:36:16.350: MarketData - Let Delta - discarding new delta value - outside tolerance - old/new/tolerance -0.119609288666284/-0.119575993228181//0.01</t>
  </si>
  <si>
    <t>2015-2-18 16:36:16.389: MarketData - Let Delta - discarding new delta value - outside tolerance - old/new/tolerance -0.119609288666284/-0.137745695621514//0.01</t>
  </si>
  <si>
    <t>2015-2-18 16:36:17.517: Algorithm - FindNextStrikes - price is 1.5438 nextStrikeUp/Down 9999/1.53</t>
  </si>
  <si>
    <t>2015-2-18 16:36:17.517: Algorithm - getPortfolioForwardDelta - required deltas is 10 currentHedgePosition is 7</t>
  </si>
  <si>
    <t>2015-2-18 16:36:17.517: Algorithm - getHedgeShortfall - required deltas is 10 price is 1.5439 currentHedgePositionDeltas is 7</t>
  </si>
  <si>
    <t>2015-2-18 16:36:17.517: Algorithm - processTransitionPoint - nextUpper/LowerStrikes are 9999/1.53 requiredDeltas/currentPosition/currentHedgeShortfall/direction/transitionPrice are 10/7/3/1/1.5439</t>
  </si>
  <si>
    <t>2015-2-18 16:36:17.517: TransitionLogger - processTransitionpoint - checking transition - currentHedgeShortfall is 3</t>
  </si>
  <si>
    <t>2015-2-18 16:36:17.518: Algorithm - updatePortfolio - haveAllDetails is True</t>
  </si>
  <si>
    <t>2015-2-18 16:36:17.557: Algorithm - FindNextStrikes - price is 1.5438 nextStrikeUp/Down 9999/1.53</t>
  </si>
  <si>
    <t>2015-2-18 16:36:17.557: Algorithm - getPortfolioForwardDelta - required deltas is 10 currentHedgePosition is 7</t>
  </si>
  <si>
    <t>2015-2-18 16:36:17.557: Algorithm - getHedgeShortfall - required deltas is 10 price is 1.5439 currentHedgePositionDeltas is 7</t>
  </si>
  <si>
    <t>2015-2-18 16:36:17.557: Algorithm - processTransitionPoint - nextUpper/LowerStrikes are 9999/1.53 requiredDeltas/currentPosition/currentHedgeShortfall/direction/transitionPrice are 10/7/3/1/1.5439</t>
  </si>
  <si>
    <t>2015-2-18 16:36:17.557: TransitionLogger - processTransitionpoint - checking transition - currentHedgeShortfall is 3</t>
  </si>
  <si>
    <t>2015-2-18 16:36:17.558: Algorithm - updatePortfolio - haveAllDetails is True</t>
  </si>
  <si>
    <t>2015-2-18 16:36:17.601: Algorithm - FindNextStrikes - price is 1.5438 nextStrikeUp/Down 9999/1.53</t>
  </si>
  <si>
    <t>2015-2-18 16:36:17.601: Algorithm - getPortfolioForwardDelta - required deltas is 10 currentHedgePosition is 7</t>
  </si>
  <si>
    <t>2015-2-18 16:36:17.601: Algorithm - getHedgeShortfall - required deltas is 10 price is 1.5439 currentHedgePositionDeltas is 7</t>
  </si>
  <si>
    <t>2015-2-18 16:36:17.601: Algorithm - processTransitionPoint - nextUpper/LowerStrikes are 9999/1.53 requiredDeltas/currentPosition/currentHedgeShortfall/direction/transitionPrice are 10/7/3/1/1.5439</t>
  </si>
  <si>
    <t>2015-2-18 16:36:17.601: TransitionLogger - processTransitionpoint - checking transition - currentHedgeShortfall is 3</t>
  </si>
  <si>
    <t>2015-2-18 16:36:17.602: Algorithm - updatePortfolio - haveAllDetails is True</t>
  </si>
  <si>
    <t>2015-2-18 16:36:17.642: Algorithm - FindNextStrikes - price is 1.5438 nextStrikeUp/Down 9999/1.53</t>
  </si>
  <si>
    <t>2015-2-18 16:36:17.642: Algorithm - getPortfolioForwardDelta - required deltas is 10 currentHedgePosition is 7</t>
  </si>
  <si>
    <t>2015-2-18 16:36:17.642: Algorithm - getHedgeShortfall - required deltas is 10 price is 1.5439 currentHedgePositionDeltas is 7</t>
  </si>
  <si>
    <t>2015-2-18 16:36:17.642: Algorithm - processTransitionPoint - nextUpper/LowerStrikes are 9999/1.53 requiredDeltas/currentPosition/currentHedgeShortfall/direction/transitionPrice are 10/7/3/1/1.5439</t>
  </si>
  <si>
    <t>2015-2-18 16:36:17.643: TransitionLogger - processTransitionpoint - checking transition - currentHedgeShortfall is 3</t>
  </si>
  <si>
    <t>2015-2-18 16:36:17.643: Algorithm - updatePortfolio - haveAllDetails is True</t>
  </si>
  <si>
    <t>2015-2-18 16:36:19.71: MarketData - Let Delta - discarding new delta value - outside tolerance - old/new/tolerance 0.946184708608508/0.868965053915672//0.01</t>
  </si>
  <si>
    <t>2015-2-18 16:36:19.284: MarketData - Let Delta - discarding new delta value - outside tolerance - old/new/tolerance -0.119609288666284/-0.131222156761655//0.01</t>
  </si>
  <si>
    <t>2015-2-18 16:36:26.272: MarketData - Let Delta - discarding new delta value - outside tolerance - old/new/tolerance 0.946184708608508/0.868723340371164//0.01</t>
  </si>
  <si>
    <t>2015-2-18 16:36:26.290: MarketData - Let Delta - discarding new delta value - outside tolerance - old/new/tolerance -0.119609288666284/-0.131463870599903//0.01</t>
  </si>
  <si>
    <t>2015-2-18 16:36:34.333: MarketData - Let Delta - discarding new delta value - outside tolerance - old/new/tolerance 0.946184708608508/0.8696735989349//0.01</t>
  </si>
  <si>
    <t>2015-2-18 16:36:34.401: MarketData - Let Delta - discarding new delta value - outside tolerance - old/new/tolerance 0.946184708608508/0.820321409310609//0.01</t>
  </si>
  <si>
    <t>2015-2-18 16:36:34.546: MarketData - Let Delta - discarding new delta value - outside tolerance - old/new/tolerance -0.119609288666284/-0.130513610877181//0.01</t>
  </si>
  <si>
    <t>2015-2-18 16:36:34.593: MarketData - Let Delta - discarding new delta value - outside tolerance - old/new/tolerance -0.119609288666284/-0.11912493426186//0.01</t>
  </si>
  <si>
    <t>2015-2-18 16:36:34.613: MarketData - Let Delta - discarding new delta value - outside tolerance - old/new/tolerance -0.119609288666284/-0.137206710366647//0.01</t>
  </si>
  <si>
    <t>2015-2-18 16:36:38.106: MarketData - Let Delta - discarding new delta value - outside tolerance - old/new/tolerance 0.946184708608508/0.869365368761985//0.01</t>
  </si>
  <si>
    <t>2015-2-18 16:36:38.320: MarketData - Let Delta - discarding new delta value - outside tolerance - old/new/tolerance -0.119609288666284/-0.130821841424675//0.01</t>
  </si>
  <si>
    <t>2015-2-18 16:36:46.279: MarketData - Let Delta - discarding new delta value - outside tolerance - old/new/tolerance 0.946184708608508/0.929044669455583//0.01</t>
  </si>
  <si>
    <t>2015-2-18 16:36:46.317: MarketData - Let Delta - discarding new delta value - outside tolerance - old/new/tolerance 0.946184708608508/0.813885300763966//0.01</t>
  </si>
  <si>
    <t>2015-2-18 16:36:46.502: MarketData - Let Delta - discarding new delta value - outside tolerance - old/new/tolerance 0.946184708608508/0.869679019053696//0.01</t>
  </si>
  <si>
    <t>2015-2-18 16:36:46.542: MarketData - Let Delta - discarding new delta value - outside tolerance - old/new/tolerance -0.119609288666284/-0.130508190756031//0.01</t>
  </si>
  <si>
    <t>2015-2-18 16:36:46.565: MarketData - Let Delta - discarding new delta value - outside tolerance - old/new/tolerance -0.119609288666284/-0.119575993228181//0.01</t>
  </si>
  <si>
    <t>2015-2-18 16:36:46.610: MarketData - Let Delta - discarding new delta value - outside tolerance - old/new/tolerance -0.119609288666284/-0.137745695621514//0.01</t>
  </si>
  <si>
    <t>2015-2-18 16:36:50.491: MarketData - Let Delta - discarding new delta value - outside tolerance - old/new/tolerance 0.946184708608508/0.869890086256368//0.01</t>
  </si>
  <si>
    <t>2015-2-18 16:36:50.547: MarketData - Let Delta - discarding new delta value - outside tolerance - old/new/tolerance -0.119609288666284/-0.130297123296829//0.01</t>
  </si>
  <si>
    <t>2015-2-18 16:36:54.74: MarketData - Let Delta - discarding new delta value - outside tolerance - old/new/tolerance 0.946184708608508/0.869660625863321//0.01</t>
  </si>
  <si>
    <t>2015-2-18 16:36:54.127: MarketData - Let Delta - discarding new delta value - outside tolerance - old/new/tolerance -0.119609288666284/-0.130526583968752//0.01</t>
  </si>
  <si>
    <t>2015-2-18 16:36:58.77: MarketData - Let Delta - discarding new delta value - outside tolerance - old/new/tolerance 0.946184708608508/0.869730011895123//0.01</t>
  </si>
  <si>
    <t>2015-2-18 16:36:58.289: MarketData - Let Delta - discarding new delta value - outside tolerance - old/new/tolerance -0.119609288666284/-0.130457197660669//0.01</t>
  </si>
  <si>
    <t>2015-2-18 16:37:6.367: MarketData - Let Delta - discarding new delta value - outside tolerance - old/new/tolerance 0.946184708608508/0.869904514790096//0.01</t>
  </si>
  <si>
    <t>2015-2-18 16:37:6.403: MarketData - Let Delta - discarding new delta value - outside tolerance - old/new/tolerance 0.946184708608508/0.813857004480597//0.01</t>
  </si>
  <si>
    <t>2015-2-18 16:37:6.424: MarketData - Let Delta - discarding new delta value - outside tolerance - old/new/tolerance -0.119609288666284/-0.130282694553675//0.01</t>
  </si>
  <si>
    <t>2015-2-18 16:37:6.442: MarketData - Let Delta - discarding new delta value - outside tolerance - old/new/tolerance -0.119609288666284/-0.119649093632787//0.01</t>
  </si>
  <si>
    <t>2015-2-18 16:37:6.457: MarketData - Let Delta - discarding new delta value - outside tolerance - old/new/tolerance -0.119609288666284/-0.137820104634819//0.01</t>
  </si>
  <si>
    <t>2015-2-18 16:37:8.136: MarketData - Let Delta - discarding new delta value - outside tolerance - old/new/tolerance 0.946184708608508/0.871877319470809//0.01</t>
  </si>
  <si>
    <t>2015-2-18 16:37:8.219: MarketData - Let Delta - discarding new delta value - outside tolerance - old/new/tolerance 0.946215258024648/0.820290698256448//0.01</t>
  </si>
  <si>
    <t>2015-2-18 16:37:8.349: MarketData - Let Delta - discarding new delta value - outside tolerance - old/new/tolerance -0.119609288666284/-0.128309887472267//0.01</t>
  </si>
  <si>
    <t>2015-2-18 16:37:8.388: MarketData - Let Delta - discarding new delta value - outside tolerance - old/new/tolerance -0.119609288666284/-0.11909155173551//0.01</t>
  </si>
  <si>
    <t>2015-2-18 16:37:8.431: MarketData - Let Delta - discarding new delta value - outside tolerance - old/new/tolerance -0.119609288666284/-0.137258500770877//0.01</t>
  </si>
  <si>
    <t>2015-2-18 16:37:9.306: MarketData - Let Delta - discarding new delta value - outside tolerance - old/new/tolerance 0.946215258024648/0.869904514790096//0.01</t>
  </si>
  <si>
    <t>2015-2-18 16:37:9.520: MarketData - Let Delta - discarding new delta value - outside tolerance - old/new/tolerance -0.119609288666284/-0.130282694553675//0.01</t>
  </si>
  <si>
    <t>2015-2-18 16:37:10.304: MarketData - Let Delta - discarding new delta value - outside tolerance - old/new/tolerance 0.946215258024648/0.929072430267396//0.01</t>
  </si>
  <si>
    <t>2015-2-18 16:37:10.376: MarketData - Let Delta - discarding new delta value - outside tolerance - old/new/tolerance 0.946215258024648/0.813857004480597//0.01</t>
  </si>
  <si>
    <t>2015-2-18 16:37:10.517: MarketData - Let Delta - discarding new delta value - outside tolerance - old/new/tolerance 0.946215258024648/0.869845825106454//0.01</t>
  </si>
  <si>
    <t>2015-2-18 16:37:10.584: MarketData - Let Delta - discarding new delta value - outside tolerance - old/new/tolerance -0.119609288666284/-0.119649093632787//0.01</t>
  </si>
  <si>
    <t>2015-2-18 16:37:10.611: MarketData - Let Delta - discarding new delta value - outside tolerance - old/new/tolerance -0.119609288666284/-0.137820104634819//0.01</t>
  </si>
  <si>
    <t>2015-2-18 16:37:10.661: MarketData - Let Delta - discarding new delta value - outside tolerance - old/new/tolerance -0.119609288666284/-0.130341384308675//0.01</t>
  </si>
  <si>
    <t>2015-2-18 16:37:14.214: MarketData - Let Delta - discarding new delta value - outside tolerance - old/new/tolerance 0.946215258024648/0.869904514790096//0.01</t>
  </si>
  <si>
    <t>2015-2-18 16:37:14.284: MarketData - Let Delta - discarding new delta value - outside tolerance - old/new/tolerance -0.119609288666284/-0.130341384308675//0.01</t>
  </si>
  <si>
    <t>2015-2-18 16:37:14.311: MarketData - Let Delta - discarding new delta value - outside tolerance - old/new/tolerance -0.119609288666284/-0.130282694553675//0.01</t>
  </si>
  <si>
    <t>2015-2-18 16:37:18.319: MarketData - Let Delta - discarding new delta value - outside tolerance - old/new/tolerance 0.946215258024648/0.869191816329398//0.01</t>
  </si>
  <si>
    <t>2015-2-18 16:37:18.386: MarketData - Let Delta - discarding new delta value - outside tolerance - old/new/tolerance -0.119609288666284/-0.130995393880215//0.01</t>
  </si>
  <si>
    <t>2015-2-18 16:37:30.289: MarketData - Let Delta - discarding new delta value - outside tolerance - old/new/tolerance 0.946215258024648/0.820290698256448//0.01</t>
  </si>
  <si>
    <t>2015-2-18 16:37:30.449: MarketData - Let Delta - discarding new delta value - outside tolerance - old/new/tolerance 0.946215258024648/0.870366322261479//0.01</t>
  </si>
  <si>
    <t>2015-2-18 16:37:30.496: MarketData - Let Delta - discarding new delta value - outside tolerance - old/new/tolerance -0.119609288666284/-0.11909155173551//0.01</t>
  </si>
  <si>
    <t>2015-2-18 16:37:30.512: MarketData - Let Delta - discarding new delta value - outside tolerance - old/new/tolerance -0.119609288666284/-0.137258500770877//0.01</t>
  </si>
  <si>
    <t>2015-2-18 16:37:30.530: MarketData - Let Delta - discarding new delta value - outside tolerance - old/new/tolerance -0.119609288666284/-0.129820886517178//0.01</t>
  </si>
  <si>
    <t>2015-2-18 16:37:38.347: MarketData - Let Delta - discarding new delta value - outside tolerance - old/new/tolerance 0.946215258024648/0.870227833474148//0.01</t>
  </si>
  <si>
    <t>2015-2-18 16:37:38.366: MarketData - Let Delta - discarding new delta value - outside tolerance - old/new/tolerance -0.119609288666284/-0.129959375472691//0.01</t>
  </si>
  <si>
    <t>2015-2-18 16:37:42.413: MarketData - Let Delta - discarding new delta value - outside tolerance - old/new/tolerance 0.946215258024648/0.870410942758964//0.01</t>
  </si>
  <si>
    <t>2015-2-18 16:37:42.469: MarketData - Let Delta - discarding new delta value - outside tolerance - old/new/tolerance -0.119609288666284/-0.129776265965486//0.01</t>
  </si>
  <si>
    <t>2015-2-18 16:38:5.275: MarketData - Let Delta - discarding new delta value - outside tolerance - old/new/tolerance 0.946215258024648/0.870454927447392//0.01</t>
  </si>
  <si>
    <t>2015-2-18 16:38:5.291: MarketData - Let Delta - discarding new delta value - outside tolerance - old/new/tolerance -0.119609288666284/-0.129732281031964//0.01</t>
  </si>
  <si>
    <t>2015-2-18 16:38:6.342: MarketData - Let Delta - discarding new delta value - outside tolerance - old/new/tolerance 0.946005189205277/0.825735703208577//0.01</t>
  </si>
  <si>
    <t>2015-2-18 16:38:6.366: MarketData - Let Delta - discarding new delta value - outside tolerance - old/new/tolerance 0.946005189205277/0.869401193960868//0.01</t>
  </si>
  <si>
    <t>2015-2-18 16:38:6.402: MarketData - Let Delta - discarding new delta value - outside tolerance - old/new/tolerance -0.119609288666284/-0.119615783088949//0.01</t>
  </si>
  <si>
    <t>2015-2-18 16:38:6.417: MarketData - Let Delta - discarding new delta value - outside tolerance - old/new/tolerance -0.119609288666284/-0.137777444703413//0.01</t>
  </si>
  <si>
    <t>2015-2-18 16:38:6.445: MarketData - Let Delta - discarding new delta value - outside tolerance - old/new/tolerance -0.119609288666284/-0.130786015802227//0.01</t>
  </si>
  <si>
    <t>2015-2-18 16:38:6.752: RTWSControl - errMsg - got error message 2106:HMDS data farm connection is OK:ushmds.uswith id -1</t>
  </si>
  <si>
    <t>2015-2-18 16:38:10.78: MarketData - Let Delta - discarding new delta value - outside tolerance - old/new/tolerance 0.946005189205277/0.8698412658634//0.01</t>
  </si>
  <si>
    <t>2015-2-18 16:38:10.290: MarketData - Let Delta - discarding new delta value - outside tolerance - old/new/tolerance -0.119609288666284/-0.130345943365291//0.01</t>
  </si>
  <si>
    <t>2015-2-18 16:38:14.446: MarketData - Let Delta - discarding new delta value - outside tolerance - old/new/tolerance 0.946005189205277/0.870224011983977//0.01</t>
  </si>
  <si>
    <t>2015-2-18 16:38:14.507: MarketData - Let Delta - discarding new delta value - outside tolerance - old/new/tolerance -0.119609288666284/-0.129963196779943//0.01</t>
  </si>
  <si>
    <t>2015-2-18 16:38:18.78: MarketData - Let Delta - discarding new delta value - outside tolerance - old/new/tolerance 0.946005189205277/0.869612682773531//0.01</t>
  </si>
  <si>
    <t>2015-2-18 16:38:18.290: MarketData - Let Delta - discarding new delta value - outside tolerance - old/new/tolerance -0.119609288666284/-0.130574526732779//0.01</t>
  </si>
  <si>
    <t>2015-2-18 16:38:22.72: MarketData - Let Delta - discarding new delta value - outside tolerance - old/new/tolerance 0.946005189205277/0.869738944814429//0.01</t>
  </si>
  <si>
    <t>2015-2-18 16:38:22.284: MarketData - Let Delta - discarding new delta value - outside tolerance - old/new/tolerance -0.119609288666284/-0.130448264538528//0.01</t>
  </si>
  <si>
    <t>2015-2-18 16:38:26.305: MarketData - Let Delta - discarding new delta value - outside tolerance - old/new/tolerance 0.946005189205277/0.869787761570125//0.01</t>
  </si>
  <si>
    <t>2015-2-18 16:38:26.385: MarketData - Let Delta - discarding new delta value - outside tolerance - old/new/tolerance -0.119609288666284/-0.130399447723553//0.01</t>
  </si>
  <si>
    <t>2015-2-18 16:38:38.223: MarketData - Let Delta - discarding new delta value - outside tolerance - old/new/tolerance 0.946005189205277/0.870072613672396//0.01</t>
  </si>
  <si>
    <t>2015-2-18 16:38:38.281: MarketData - Let Delta - discarding new delta value - outside tolerance - old/new/tolerance -0.119609288666284/-0.130114595275439//0.01</t>
  </si>
  <si>
    <t>2015-2-18 16:38:42.133: MarketData - Let Delta - discarding new delta value - outside tolerance - old/new/tolerance 0.946005189205277/0.870407531170452//0.01</t>
  </si>
  <si>
    <t>2015-2-18 16:38:42.183: MarketData - Let Delta - discarding new delta value - outside tolerance - old/new/tolerance -0.119609288666284/-0.129779677370567//0.01</t>
  </si>
  <si>
    <t>2015-2-18 16:38:43.301: MarketData - Let Delta - discarding new delta value - outside tolerance - old/new/tolerance 0.946005189205277/0.868430818400039//0.01</t>
  </si>
  <si>
    <t>2015-2-18 16:38:43.515: MarketData - Let Delta - discarding new delta value - outside tolerance - old/new/tolerance -0.119609288666284/-0.131756392545633//0.01</t>
  </si>
  <si>
    <t>2015-2-18 16:38:44.321: MarketData - Let Delta - discarding new delta value - outside tolerance - old/new/tolerance 0.946005189205277/0.966525409041824//0.01</t>
  </si>
  <si>
    <t>2015-2-18 16:38:44.385: MarketData - Let Delta - discarding new delta value - outside tolerance - old/new/tolerance 0.946005189205277/0.825077462912721//0.01</t>
  </si>
  <si>
    <t>2015-2-18 16:38:44.413: MarketData - Let Delta - discarding new delta value - outside tolerance - old/new/tolerance -0.119609288666284/-0.120093245001147//0.01</t>
  </si>
  <si>
    <t>2015-2-18 16:38:44.461: MarketData - Let Delta - discarding new delta value - outside tolerance - old/new/tolerance -0.119609288666284/-0.138386289516473//0.01</t>
  </si>
  <si>
    <t>2015-2-18 16:38:46.386: MarketData - Let Delta - discarding new delta value - outside tolerance - old/new/tolerance 0.946005189205277/0.868836207642712//0.01</t>
  </si>
  <si>
    <t>2015-2-18 16:38:46.413: MarketData - Let Delta - discarding new delta value - outside tolerance - old/new/tolerance -0.119609288666284/-0.131351002810694//0.01</t>
  </si>
  <si>
    <t>2015-2-18 16:38:47.457: MarketData - Let Delta - discarding new delta value - outside tolerance - old/new/tolerance 0.946005189205277/0.866856273267457//0.01</t>
  </si>
  <si>
    <t>2015-2-18 16:38:47.505: MarketData - Let Delta - discarding new delta value - outside tolerance - old/new/tolerance -0.119609288666284/-0.13333093959453//0.01</t>
  </si>
  <si>
    <t>2015-2-18 16:38:48.296: MarketData - Let Delta - discarding new delta value - outside tolerance - old/new/tolerance 0.945331174898796/0.818299273186688//0.01</t>
  </si>
  <si>
    <t>2015-2-18 16:38:48.464: MarketData - Let Delta - discarding new delta value - outside tolerance - old/new/tolerance -0.119609288666284/-0.120671940658415//0.01</t>
  </si>
  <si>
    <t>2015-2-18 16:38:48.513: MarketData - Let Delta - discarding new delta value - outside tolerance - old/new/tolerance -0.119609288666284/-0.138894547721205//0.01</t>
  </si>
  <si>
    <t>2015-2-18 16:38:50.183: MarketData - Let Delta - discarding new delta value - outside tolerance - old/new/tolerance 0.945331174898796/0.867116361800464//0.01</t>
  </si>
  <si>
    <t>2015-2-18 16:38:50.253: MarketData - Let Delta - discarding new delta value - outside tolerance - old/new/tolerance -0.119609288666284/-0.133070850745649//0.01</t>
  </si>
  <si>
    <t>2015-2-18 16:38:51.433: MarketData - Let Delta - discarding new delta value - outside tolerance - old/new/tolerance 0.945331174898796/0.869098212757393//0.01</t>
  </si>
  <si>
    <t>2015-2-18 16:38:51.447: MarketData - Let Delta - discarding new delta value - outside tolerance - old/new/tolerance -0.119609288666284/-0.131088997377814//0.01</t>
  </si>
  <si>
    <t>2015-2-18 16:38:52.207: MarketData - Let Delta - discarding new delta value - outside tolerance - old/new/tolerance 0.945608813566819/0.818981713367377//0.01</t>
  </si>
  <si>
    <t>2015-2-18 16:38:52.374: MarketData - Let Delta - discarding new delta value - outside tolerance - old/new/tolerance -0.119609288666284/-0.120093245001147//0.01</t>
  </si>
  <si>
    <t>2015-2-18 16:38:52.413: MarketData - Let Delta - discarding new delta value - outside tolerance - old/new/tolerance -0.119609288666284/-0.138386289516473//0.01</t>
  </si>
  <si>
    <t>2015-2-18 16:38:54.334: MarketData - Let Delta - discarding new delta value - outside tolerance - old/new/tolerance 0.945608813566819/0.86632103604963//0.01</t>
  </si>
  <si>
    <t>2015-2-18 16:38:54.366: MarketData - Let Delta - discarding new delta value - outside tolerance - old/new/tolerance -0.119609288666284/-0.133866177458229//0.01</t>
  </si>
  <si>
    <t>2015-2-18 16:38:58.268: MarketData - Let Delta - discarding new delta value - outside tolerance - old/new/tolerance 0.945608813566819/0.865516309532407//0.01</t>
  </si>
  <si>
    <t>2015-2-18 16:38:58.328: MarketData - Let Delta - discarding new delta value - outside tolerance - old/new/tolerance -0.119609288666284/-0.134670904759037//0.01</t>
  </si>
  <si>
    <t>2015-2-18 16:39:2.82: MarketData - Let Delta - discarding new delta value - outside tolerance - old/new/tolerance 0.945608813566819/0.866384266177496//0.01</t>
  </si>
  <si>
    <t>2015-2-18 16:39:2.128: MarketData - Let Delta - discarding new delta value - outside tolerance - old/new/tolerance -0.119609288666284/-0.133802947060245//0.01</t>
  </si>
  <si>
    <t>2015-2-18 16:39:2.159: MarketData - Let Delta - discarding new delta value - outside tolerance - old/new/tolerance -0.119609288666284/-0.120160032437277//0.01</t>
  </si>
  <si>
    <t>2015-2-18 16:39:6.248: MarketData - Let Delta - discarding new delta value - outside tolerance - old/new/tolerance 0.945608813566819/0.866379976694739//0.01</t>
  </si>
  <si>
    <t>2015-2-18 16:39:6.477: MarketData - Let Delta - discarding new delta value - outside tolerance - old/new/tolerance -0.119609288666284/-0.133807236548265//0.01</t>
  </si>
  <si>
    <t>2015-2-18 16:39:10.523: MarketData - Let Delta - discarding new delta value - outside tolerance - old/new/tolerance 0.945608813566819/0.86637398947345//0.01</t>
  </si>
  <si>
    <t>2015-2-18 16:39:10.579: MarketData - Let Delta - discarding new delta value - outside tolerance - old/new/tolerance -0.119609288666284/-0.133813223776749//0.01</t>
  </si>
  <si>
    <t>2015-2-18 16:39:12.273: MarketData - Let Delta - discarding new delta value - outside tolerance - old/new/tolerance 0.945608813566819/0.868335657739222//0.01</t>
  </si>
  <si>
    <t>2015-2-18 16:39:12.322: MarketData - Let Delta - discarding new delta value - outside tolerance - old/new/tolerance 0.945608813566819/0.966757760296869//0.01</t>
  </si>
  <si>
    <t>2015-2-18 16:39:12.380: MarketData - Let Delta - discarding new delta value - outside tolerance - old/new/tolerance 0.945608813566819/0.825736045216873//0.01</t>
  </si>
  <si>
    <t>2015-2-18 16:39:12.494: MarketData - Let Delta - discarding new delta value - outside tolerance - old/new/tolerance -0.119609288666284/-0.131851553125336//0.01</t>
  </si>
  <si>
    <t>2015-2-18 16:39:12.511: MarketData - Let Delta - discarding new delta value - outside tolerance - old/new/tolerance -0.119609288666284/-0.119589758877888//0.01</t>
  </si>
  <si>
    <t>2015-2-18 16:39:12.525: MarketData - Let Delta - discarding new delta value - outside tolerance - old/new/tolerance -0.119609288666284/-0.137755308160319//0.01</t>
  </si>
  <si>
    <t>2015-2-18 16:39:15.67: MarketData - Let Delta - discarding new delta value - outside tolerance - old/new/tolerance 0.945608813566819/0.867725015511363//0.01</t>
  </si>
  <si>
    <t>2015-2-18 16:39:15.280: MarketData - Let Delta - discarding new delta value - outside tolerance - old/new/tolerance -0.119609288666284/-0.132462196094599//0.01</t>
  </si>
  <si>
    <t>2015-2-18 16:39:17.530: Algorithm - FindNextStrikes - price is 1.5436 nextStrikeUp/Down 9999/1.53</t>
  </si>
  <si>
    <t>2015-2-18 16:39:17.530: Algorithm - getPortfolioForwardDelta - required deltas is 10 currentHedgePosition is 7</t>
  </si>
  <si>
    <t>2015-2-18 16:39:17.530: Algorithm - getHedgeShortfall - required deltas is 10 price is 1.5435 currentHedgePositionDeltas is 7</t>
  </si>
  <si>
    <t>2015-2-18 16:39:17.530: Algorithm - processTransitionPoint - nextUpper/LowerStrikes are 9999/1.53 requiredDeltas/currentPosition/currentHedgeShortfall/direction/transitionPrice are 10/7/3/-1/1.5435</t>
  </si>
  <si>
    <t>2015-2-18 16:39:17.530: TransitionLogger - processTransitionpoint - checking transition - currentHedgeShortfall is 3</t>
  </si>
  <si>
    <t>2015-2-18 16:39:17.531: Algorithm - updatePortfolio - haveAllDetails is True</t>
  </si>
  <si>
    <t>2015-2-18 16:39:17.569: Algorithm - FindNextStrikes - price is 1.5436 nextStrikeUp/Down 9999/1.53</t>
  </si>
  <si>
    <t>2015-2-18 16:39:17.569: Algorithm - getPortfolioForwardDelta - required deltas is 10 currentHedgePosition is 7</t>
  </si>
  <si>
    <t>2015-2-18 16:39:17.569: Algorithm - getHedgeShortfall - required deltas is 10 price is 1.5435 currentHedgePositionDeltas is 7</t>
  </si>
  <si>
    <t>2015-2-18 16:39:17.569: Algorithm - processTransitionPoint - nextUpper/LowerStrikes are 9999/1.53 requiredDeltas/currentPosition/currentHedgeShortfall/direction/transitionPrice are 10/7/3/-1/1.5435</t>
  </si>
  <si>
    <t>2015-2-18 16:39:17.569: TransitionLogger - processTransitionpoint - checking transition - currentHedgeShortfall is 3</t>
  </si>
  <si>
    <t>2015-2-18 16:39:17.570: Algorithm - updatePortfolio - haveAllDetails is True</t>
  </si>
  <si>
    <t>2015-2-18 16:39:17.612: Algorithm - FindNextStrikes - price is 1.5436 nextStrikeUp/Down 9999/1.53</t>
  </si>
  <si>
    <t>2015-2-18 16:39:17.612: Algorithm - getPortfolioForwardDelta - required deltas is 10 currentHedgePosition is 7</t>
  </si>
  <si>
    <t>2015-2-18 16:39:17.612: Algorithm - getHedgeShortfall - required deltas is 10 price is 1.5435 currentHedgePositionDeltas is 7</t>
  </si>
  <si>
    <t>2015-2-18 16:39:17.612: Algorithm - processTransitionPoint - nextUpper/LowerStrikes are 9999/1.53 requiredDeltas/currentPosition/currentHedgeShortfall/direction/transitionPrice are 10/7/3/-1/1.5435</t>
  </si>
  <si>
    <t>2015-2-18 16:39:17.612: TransitionLogger - processTransitionpoint - checking transition - currentHedgeShortfall is 3</t>
  </si>
  <si>
    <t>2015-2-18 16:39:17.613: Algorithm - updatePortfolio - haveAllDetails is True</t>
  </si>
  <si>
    <t>2015-2-18 16:39:17.653: Algorithm - FindNextStrikes - price is 1.5436 nextStrikeUp/Down 9999/1.53</t>
  </si>
  <si>
    <t>2015-2-18 16:39:17.653: Algorithm - getPortfolioForwardDelta - required deltas is 10 currentHedgePosition is 7</t>
  </si>
  <si>
    <t>2015-2-18 16:39:17.654: Algorithm - getHedgeShortfall - required deltas is 10 price is 1.5435 currentHedgePositionDeltas is 7</t>
  </si>
  <si>
    <t>2015-2-18 16:39:17.654: Algorithm - processTransitionPoint - nextUpper/LowerStrikes are 9999/1.53 requiredDeltas/currentPosition/currentHedgeShortfall/direction/transitionPrice are 10/7/3/-1/1.5435</t>
  </si>
  <si>
    <t>2015-2-18 16:39:17.654: TransitionLogger - processTransitionpoint - checking transition - currentHedgeShortfall is 3</t>
  </si>
  <si>
    <t>2015-2-18 16:39:17.654: Algorithm - updatePortfolio - haveAllDetails is True</t>
  </si>
  <si>
    <t>2015-2-18 16:39:22.241: MarketData - Let Delta - discarding new delta value - outside tolerance - old/new/tolerance 0.945608813566819/0.867741662524862//0.01</t>
  </si>
  <si>
    <t>2015-2-18 16:39:22.279: MarketData - Let Delta - discarding new delta value - outside tolerance - old/new/tolerance -0.119609288666284/-0.132445549060888//0.01</t>
  </si>
  <si>
    <t>2015-2-18 16:39:26.523: MarketData - Let Delta - discarding new delta value - outside tolerance - old/new/tolerance 0.9456393006347/0.81901733400038//0.01</t>
  </si>
  <si>
    <t>2015-2-18 16:39:26.573: MarketData - Let Delta - discarding new delta value - outside tolerance - old/new/tolerance 0.9456393006347/0.866849109619251//0.01</t>
  </si>
  <si>
    <t>2015-2-18 16:39:26.595: MarketData - Let Delta - discarding new delta value - outside tolerance - old/new/tolerance -0.119609288666284/-0.120160032437277//0.01</t>
  </si>
  <si>
    <t>2015-2-18 16:39:26.623: MarketData - Let Delta - discarding new delta value - outside tolerance - old/new/tolerance -0.119609288666284/-0.138343693309356//0.01</t>
  </si>
  <si>
    <t>2015-2-18 16:39:26.644: MarketData - Let Delta - discarding new delta value - outside tolerance - old/new/tolerance -0.119609288666284/-0.13333810305414//0.01</t>
  </si>
  <si>
    <t>2015-2-18 16:39:28.85: MarketData - Let Delta - discarding new delta value - outside tolerance - old/new/tolerance 0.9456393006347/0.966546752645092//0.01</t>
  </si>
  <si>
    <t>2015-2-18 16:39:28.132: MarketData - Let Delta - discarding new delta value - outside tolerance - old/new/tolerance 0.9456393006347/0.825114083531833//0.01</t>
  </si>
  <si>
    <t>2015-2-18 16:39:30.435: MarketData - Let Delta - discarding new delta value - outside tolerance - old/new/tolerance 0.945361618485476/0.818334785969023//0.01</t>
  </si>
  <si>
    <t>2015-2-18 16:39:30.481: MarketData - Let Delta - discarding new delta value - outside tolerance - old/new/tolerance 0.945361618485476/0.864096908930712//0.01</t>
  </si>
  <si>
    <t>2015-2-18 16:39:30.495: MarketData - Let Delta - discarding new delta value - outside tolerance - old/new/tolerance -0.119609288666284/-0.136090307088089//0.01</t>
  </si>
  <si>
    <t>2015-2-18 16:39:30.523: MarketData - Let Delta - discarding new delta value - outside tolerance - old/new/tolerance -0.119609288666284/-0.120638771961879//0.01</t>
  </si>
  <si>
    <t>2015-2-18 16:39:30.536: MarketData - Let Delta - discarding new delta value - outside tolerance - old/new/tolerance -0.119609288666284/-0.13895529276801//0.01</t>
  </si>
  <si>
    <t>2015-2-18 16:39:31.264: MarketData - Let Delta - discarding new delta value - outside tolerance - old/new/tolerance 0.945361618485476/0.866056508818255//0.01</t>
  </si>
  <si>
    <t>2015-2-18 16:39:31.278: MarketData - Let Delta - discarding new delta value - outside tolerance - old/new/tolerance -0.119609288666284/-0.134130704817425//0.01</t>
  </si>
  <si>
    <t>2015-2-18 16:39:32.166: MarketData - Let Delta - discarding new delta value - outside tolerance - old/new/tolerance 0.945361618485476/0.966546752645092//0.01</t>
  </si>
  <si>
    <t>2015-2-18 16:39:32.208: MarketData - Let Delta - discarding new delta value - outside tolerance - old/new/tolerance 0.945361618485476/0.825114083531833//0.01</t>
  </si>
  <si>
    <t>2015-2-18 16:39:32.239: MarketData - Let Delta - discarding new delta value - outside tolerance - old/new/tolerance -0.119609288666284/-0.120160032437277//0.01</t>
  </si>
  <si>
    <t>2015-2-18 16:39:32.253: MarketData - Let Delta - discarding new delta value - outside tolerance - old/new/tolerance -0.119609288666284/-0.138343693309356//0.01</t>
  </si>
  <si>
    <t>2015-2-18 16:39:34.82: MarketData - Let Delta - discarding new delta value - outside tolerance - old/new/tolerance 0.945361618485476/0.866307120491627//0.01</t>
  </si>
  <si>
    <t>2015-2-18 16:39:34.288: MarketData - Let Delta - discarding new delta value - outside tolerance - old/new/tolerance -0.119609288666284/-0.133880092839774//0.01</t>
  </si>
  <si>
    <t>2015-2-18 16:39:42.231: MarketData - Let Delta - discarding new delta value - outside tolerance - old/new/tolerance 0.945361618485476/0.866339905587043//0.01</t>
  </si>
  <si>
    <t>2015-2-18 16:39:42.454: MarketData - Let Delta - discarding new delta value - outside tolerance - old/new/tolerance -0.119609288666284/-0.133847307704528//0.01</t>
  </si>
  <si>
    <t>2015-2-18 16:39:46.281: MarketData - Let Delta - discarding new delta value - outside tolerance - old/new/tolerance 0.945361618485476/0.866427705176106//0.01</t>
  </si>
  <si>
    <t>2015-2-18 16:39:46.351: MarketData - Let Delta - discarding new delta value - outside tolerance - old/new/tolerance -0.119609288666284/-0.133759508008851//0.01</t>
  </si>
  <si>
    <t>2015-2-18 16:39:50.459: MarketData - Let Delta - discarding new delta value - outside tolerance - old/new/tolerance 0.945361618485476/0.866456601471334//0.01</t>
  </si>
  <si>
    <t>2015-2-18 16:39:50.501: MarketData - Let Delta - discarding new delta value - outside tolerance - old/new/tolerance -0.119609288666284/-0.133730611678588//0.01</t>
  </si>
  <si>
    <t>2015-2-18 16:39:51.206: MarketData - Let Delta - discarding new delta value - outside tolerance - old/new/tolerance 0.945361618485476/0.864494074667829//0.01</t>
  </si>
  <si>
    <t>2015-2-18 16:39:51.428: MarketData - Let Delta - discarding new delta value - outside tolerance - old/new/tolerance -0.119609288666284/-0.13569314086875//0.01</t>
  </si>
  <si>
    <t>2015-2-18 16:39:52.171: MarketData - Let Delta - discarding new delta value - outside tolerance - old/new/tolerance 0.945361618485476/0.818334785969023//0.01</t>
  </si>
  <si>
    <t>2015-2-18 16:39:52.211: MarketData - Let Delta - discarding new delta value - outside tolerance - old/new/tolerance -0.119609288666284/-0.120638771961879//0.01</t>
  </si>
  <si>
    <t>2015-2-18 16:39:52.230: MarketData - Let Delta - discarding new delta value - outside tolerance - old/new/tolerance -0.119609288666284/-0.13895529276801//0.01</t>
  </si>
  <si>
    <t>2015-2-18 16:39:55.71: MarketData - Let Delta - discarding new delta value - outside tolerance - old/new/tolerance 0.945361618485476/0.865944967297958//0.01</t>
  </si>
  <si>
    <t>2015-2-18 16:39:55.266: MarketData - Let Delta - discarding new delta value - outside tolerance - old/new/tolerance -0.119609288666284/-0.134242246477261//0.01</t>
  </si>
  <si>
    <t>2015-2-18 16:39:56.256: MarketData - Let Delta - discarding new delta value - outside tolerance - old/new/tolerance 0.945361618485476/0.818304785269176//0.01</t>
  </si>
  <si>
    <t>2015-2-18 16:39:56.293: MarketData - Let Delta - discarding new delta value - outside tolerance - old/new/tolerance 0.945361618485476/0.865988261107244//0.01</t>
  </si>
  <si>
    <t>2015-2-18 16:39:56.459: MarketData - Let Delta - discarding new delta value - outside tolerance - old/new/tolerance -0.119609288666284/-0.134198952421989//0.01</t>
  </si>
  <si>
    <t>2015-2-18 16:39:58.655: MarketData - Let Delta - discarding new delta value - outside tolerance - old/new/tolerance 0.945361618485476/0.865794083607834//0.01</t>
  </si>
  <si>
    <t>2015-2-18 16:39:58.860: MarketData - Let Delta - discarding new delta value - outside tolerance - old/new/tolerance -0.119609288666284/-0.134393130157077//0.01</t>
  </si>
  <si>
    <t>2015-2-18 16:40:2.189: MarketData - Let Delta - discarding new delta value - outside tolerance - old/new/tolerance 0.945361618485476/0.865687621237236//0.01</t>
  </si>
  <si>
    <t>2015-2-18 16:40:2.260: MarketData - Let Delta - discarding new delta value - outside tolerance - old/new/tolerance -0.119609288666284/-0.134499592656873//0.01</t>
  </si>
  <si>
    <t>2015-2-18 16:40:6.304: MarketData - Let Delta - discarding new delta value - outside tolerance - old/new/tolerance 0.945361618485476/0.865994390422439//0.01</t>
  </si>
  <si>
    <t>2015-2-18 16:40:6.356: MarketData - Let Delta - discarding new delta value - outside tolerance - old/new/tolerance -0.119609288666284/-0.134192823099385//0.01</t>
  </si>
  <si>
    <t>2015-2-18 16:40:10.312: MarketData - Let Delta - discarding new delta value - outside tolerance - old/new/tolerance 0.945361618485476/0.865106125825112//0.01</t>
  </si>
  <si>
    <t>2015-2-18 16:40:10.355: MarketData - Let Delta - discarding new delta value - outside tolerance - old/new/tolerance -0.119609288666284/-0.135081088774734//0.01</t>
  </si>
  <si>
    <t>2015-2-18 16:40:22.133: MarketData - Let Delta - discarding new delta value - outside tolerance - old/new/tolerance 0.945361618485476/0.864885212041667//0.01</t>
  </si>
  <si>
    <t>2015-2-18 16:40:22.340: MarketData - Let Delta - discarding new delta value - outside tolerance - old/new/tolerance -0.119609288666284/-0.135302002826304//0.01</t>
  </si>
  <si>
    <t>2015-2-18 16:40:24.429: MarketData - Let Delta - discarding new delta value - outside tolerance - old/new/tolerance 0.945361618485476/0.966568100957906//0.01</t>
  </si>
  <si>
    <t>2015-2-18 16:40:24.483: MarketData - Let Delta - discarding new delta value - outside tolerance - old/new/tolerance 0.945361618485476/0.825081401765664//0.01</t>
  </si>
  <si>
    <t>2015-2-18 16:40:24.518: MarketData - Let Delta - discarding new delta value - outside tolerance - old/new/tolerance 0.945361618485476/0.866850621303665//0.01</t>
  </si>
  <si>
    <t>2015-2-18 16:40:24.535: MarketData - Let Delta - discarding new delta value - outside tolerance - old/new/tolerance -0.119609288666284/-0.120126780962438//0.01</t>
  </si>
  <si>
    <t>2015-2-18 16:40:24.578: MarketData - Let Delta - discarding new delta value - outside tolerance - old/new/tolerance -0.119609288666284/-0.138301087663923//0.01</t>
  </si>
  <si>
    <t>2015-2-18 16:40:24.605: MarketData - Let Delta - discarding new delta value - outside tolerance - old/new/tolerance -0.119609288666284/-0.133336591174909//0.01</t>
  </si>
  <si>
    <t>2015-2-18 16:40:26.193: MarketData - Let Delta - discarding new delta value - outside tolerance - old/new/tolerance 0.945361618485476/0.86602991794536//0.01</t>
  </si>
  <si>
    <t>2015-2-18 16:40:26.397: MarketData - Let Delta - discarding new delta value - outside tolerance - old/new/tolerance -0.119609288666284/-0.134157295529123//0.01</t>
  </si>
  <si>
    <t>2015-2-18 16:40:27.107: MarketData - Let Delta - discarding new delta value - outside tolerance - old/new/tolerance 0.945361618485476/0.864070512586562//0.01</t>
  </si>
  <si>
    <t>2015-2-18 16:40:27.311: MarketData - Let Delta - discarding new delta value - outside tolerance - old/new/tolerance -0.119609288666284/-0.136116703270037//0.01</t>
  </si>
  <si>
    <t>2015-2-18 16:40:28.319: MarketData - Let Delta - discarding new delta value - outside tolerance - old/new/tolerance 0.945392068794439/0.818304785269176//0.01</t>
  </si>
  <si>
    <t>2015-2-18 16:40:28.482: MarketData - Let Delta - discarding new delta value - outside tolerance - old/new/tolerance -0.119609288666284/-0.120605595921767//0.01</t>
  </si>
  <si>
    <t>2015-2-18 16:40:28.526: MarketData - Let Delta - discarding new delta value - outside tolerance - old/new/tolerance -0.119609288666284/-0.138912783501064//0.01</t>
  </si>
  <si>
    <t>2015-2-18 16:40:31.61: MarketData - Let Delta - discarding new delta value - outside tolerance - old/new/tolerance 0.945392068794439/0.864552840015978//0.01</t>
  </si>
  <si>
    <t>2015-2-18 16:40:31.274: MarketData - Let Delta - discarding new delta value - outside tolerance - old/new/tolerance -0.119609288666284/-0.135634375255311//0.01</t>
  </si>
  <si>
    <t>2015-2-18 16:40:34.67: MarketData - Let Delta - discarding new delta value - outside tolerance - old/new/tolerance 0.945392068794439/0.864535120729124//0.01</t>
  </si>
  <si>
    <t>2015-2-18 16:40:34.279: MarketData - Let Delta - discarding new delta value - outside tolerance - old/new/tolerance -0.119609288666284/-0.13565209456368//0.01</t>
  </si>
  <si>
    <t>2015-2-18 16:40:38.241: MarketData - Let Delta - discarding new delta value - outside tolerance - old/new/tolerance 0.945392068794439/0.864552839354304//0.01</t>
  </si>
  <si>
    <t>2015-2-18 16:40:38.471: MarketData - Let Delta - discarding new delta value - outside tolerance - old/new/tolerance -0.119609288666284/-0.135634375916953//0.01</t>
  </si>
  <si>
    <t>2015-2-18 16:40:46.66: MarketData - Let Delta - discarding new delta value - outside tolerance - old/new/tolerance 0.945392068794439/0.864535120041876//0.01</t>
  </si>
  <si>
    <t>2015-2-18 16:40:46.279: MarketData - Let Delta - discarding new delta value - outside tolerance - old/new/tolerance -0.119609288666284/-0.135652095250851//0.01</t>
  </si>
  <si>
    <t>2015-2-18 16:40:50.458: MarketData - Let Delta - discarding new delta value - outside tolerance - old/new/tolerance 0.945392068794439/0.86562951303946//0.01</t>
  </si>
  <si>
    <t>2015-2-18 16:40:50.481: MarketData - Let Delta - discarding new delta value - outside tolerance - old/new/tolerance -0.119609288666284/-0.134557700925201//0.01</t>
  </si>
  <si>
    <t>2015-2-18 16:40:54.301: MarketData - Let Delta - discarding new delta value - outside tolerance - old/new/tolerance 0.945392068794439/0.865345359579937//0.01</t>
  </si>
  <si>
    <t>2015-2-18 16:40:54.345: MarketData - Let Delta - discarding new delta value - outside tolerance - old/new/tolerance -0.119609288666284/-0.134841854729481//0.01</t>
  </si>
  <si>
    <t>2015-2-18 16:40:58.62: MarketData - Let Delta - discarding new delta value - outside tolerance - old/new/tolerance 0.945392068794439/0.865634491142759//0.01</t>
  </si>
  <si>
    <t>2015-2-18 16:40:58.278: MarketData - Let Delta - discarding new delta value - outside tolerance - old/new/tolerance -0.119609288666284/-0.13455272262219//0.01</t>
  </si>
  <si>
    <t>2015-2-18 16:40:59.439: MarketData - Let Delta - discarding new delta value - outside tolerance - old/new/tolerance 0.945392068794439/0.863663304809811//0.01</t>
  </si>
  <si>
    <t>2015-2-18 16:40:59.476: MarketData - Let Delta - discarding new delta value - outside tolerance - old/new/tolerance -0.119609288666284/-0.136523911350759//0.01</t>
  </si>
  <si>
    <t>2015-2-18 16:41:0.186: MarketData - Let Delta - discarding new delta value - outside tolerance - old/new/tolerance 0.945089378306927/0.823754426864022//0.01</t>
  </si>
  <si>
    <t>2015-2-18 16:41:0.233: MarketData - Let Delta - discarding new delta value - outside tolerance - old/new/tolerance -0.119609288666284/-0.121210218119808//0.01</t>
  </si>
  <si>
    <t>2015-2-18 16:41:0.248: MarketData - Let Delta - discarding new delta value - outside tolerance - old/new/tolerance -0.119609288666284/-0.13952352762143//0.01</t>
  </si>
  <si>
    <t>2015-2-18 16:41:3.216: MarketData - Let Delta - discarding new delta value - outside tolerance - old/new/tolerance 0.945089378306927/0.866526509542309//0.01</t>
  </si>
  <si>
    <t>2015-2-18 16:41:3.429: MarketData - Let Delta - discarding new delta value - outside tolerance - old/new/tolerance -0.119609288666284/-0.133660703144638//0.01</t>
  </si>
  <si>
    <t>2015-2-18 16:41:7.268: MarketData - Let Delta - discarding new delta value - outside tolerance - old/new/tolerance 0.945089378306927/0.866806443711969//0.01</t>
  </si>
  <si>
    <t>2015-2-18 16:41:7.312: MarketData - Let Delta - discarding new delta value - outside tolerance - old/new/tolerance -0.119609288666284/-0.133380768635301//0.01</t>
  </si>
  <si>
    <t>2015-2-18 16:41:10.647: MarketData - Let Delta - discarding new delta value - outside tolerance - old/new/tolerance 0.945089378306927/0.867898233875862//0.01</t>
  </si>
  <si>
    <t>2015-2-18 16:41:10.661: MarketData - Let Delta - discarding new delta value - outside tolerance - old/new/tolerance 0.945089378306927/0.966344563139942//0.01</t>
  </si>
  <si>
    <t>2015-2-18 16:41:10.695: MarketData - Let Delta - discarding new delta value - outside tolerance - old/new/tolerance 0.945089378306927/0.830940523532221//0.01</t>
  </si>
  <si>
    <t>2015-2-18 16:41:10.713: MarketData - Let Delta - discarding new delta value - outside tolerance - old/new/tolerance -0.119609288666284/-0.132288977142688//0.01</t>
  </si>
  <si>
    <t>2015-2-18 16:41:10.747: MarketData - Let Delta - discarding new delta value - outside tolerance - old/new/tolerance -0.119609288666284/-0.120674754573217//0.01</t>
  </si>
  <si>
    <t>2015-2-18 16:41:10.762: MarketData - Let Delta - discarding new delta value - outside tolerance - old/new/tolerance -0.119609288666284/-0.138870242128842//0.01</t>
  </si>
  <si>
    <t>2015-2-18 16:41:12.62: MarketData - Let Delta - discarding new delta value - outside tolerance - old/new/tolerance 0.945089378306927/0.824463239106852//0.01</t>
  </si>
  <si>
    <t>2015-2-18 16:41:14.276: MarketData - Let Delta - discarding new delta value - outside tolerance - old/new/tolerance 0.945089378306927/0.867882778826272//0.01</t>
  </si>
  <si>
    <t>2015-2-18 16:41:14.331: MarketData - Let Delta - discarding new delta value - outside tolerance - old/new/tolerance -0.119609288666284/-0.132304432211011//0.01</t>
  </si>
  <si>
    <t>2015-2-18 16:41:21.121: MarketData - Let Delta - discarding new delta value - outside tolerance - old/new/tolerance 0.945089378306927/0.865895022703119//0.01</t>
  </si>
  <si>
    <t>2015-2-18 16:41:21.340: MarketData - Let Delta - discarding new delta value - outside tolerance - old/new/tolerance -0.119609288666284/-0.13429219074991//0.01</t>
  </si>
  <si>
    <t>2015-2-18 16:41:22.232: MarketData - Let Delta - discarding new delta value - outside tolerance - old/new/tolerance 0.945089378306927/0.866149939565089//0.01</t>
  </si>
  <si>
    <t>2015-2-18 16:41:22.314: MarketData - Let Delta - discarding new delta value - outside tolerance - old/new/tolerance 0.945089378306927/0.81762550750733//0.01</t>
  </si>
  <si>
    <t>2015-2-18 16:41:22.459: MarketData - Let Delta - discarding new delta value - outside tolerance - old/new/tolerance -0.119609288666284/-0.134037273578675//0.01</t>
  </si>
  <si>
    <t>2015-2-18 16:41:22.518: MarketData - Let Delta - discarding new delta value - outside tolerance - old/new/tolerance -0.119609288666284/-0.121210218119808//0.01</t>
  </si>
  <si>
    <t>2015-2-18 16:41:22.540: MarketData - Let Delta - discarding new delta value - outside tolerance - old/new/tolerance -0.119609288666284/-0.13952352762143//0.01</t>
  </si>
  <si>
    <t>2015-2-18 16:41:30.294: MarketData - Let Delta - discarding new delta value - outside tolerance - old/new/tolerance 0.945089378306927/0.866446160447205//0.01</t>
  </si>
  <si>
    <t>2015-2-18 16:41:30.519: MarketData - Let Delta - discarding new delta value - outside tolerance - old/new/tolerance -0.119609288666284/-0.133741052337262//0.01</t>
  </si>
  <si>
    <t>2015-2-18 16:41:34.71: MarketData - Let Delta - discarding new delta value - outside tolerance - old/new/tolerance 0.945089378306927/0.866149939565089//0.01</t>
  </si>
  <si>
    <t>2015-2-18 16:41:34.293: MarketData - Let Delta - discarding new delta value - outside tolerance - old/new/tolerance -0.119609288666284/-0.134037273578675//0.01</t>
  </si>
  <si>
    <t>2015-2-18 16:41:54.73: MarketData - Let Delta - discarding new delta value - outside tolerance - old/new/tolerance 0.945089378306927/0.866446160447205//0.01</t>
  </si>
  <si>
    <t>2015-2-18 16:41:54.293: MarketData - Let Delta - discarding new delta value - outside tolerance - old/new/tolerance -0.119609288666284/-0.133741052337262//0.01</t>
  </si>
  <si>
    <t>2015-2-18 16:41:57.75: MarketData - Let Delta - discarding new delta value - outside tolerance - old/new/tolerance 0.945089378306927/0.866489578871207//0.01</t>
  </si>
  <si>
    <t>2015-2-18 16:41:57.287: MarketData - Let Delta - discarding new delta value - outside tolerance - old/new/tolerance -0.119609288666284/-0.133697633667223//0.01</t>
  </si>
  <si>
    <t>2015-2-18 16:41:58.291: MarketData - Let Delta - discarding new delta value - outside tolerance - old/new/tolerance 0.945089378306927/0.866505327247227//0.01</t>
  </si>
  <si>
    <t>2015-2-18 16:41:58.358: MarketData - Let Delta - discarding new delta value - outside tolerance - old/new/tolerance -0.119609288666284/-0.133681885272102//0.01</t>
  </si>
  <si>
    <t>2015-2-18 16:41:59.471: MarketData - Let Delta - discarding new delta value - outside tolerance - old/new/tolerance 0.945089378306927/0.864512781800017//0.01</t>
  </si>
  <si>
    <t>2015-2-18 16:41:59.495: MarketData - Let Delta - discarding new delta value - outside tolerance - old/new/tolerance -0.119609288666284/-0.135674433140062//0.01</t>
  </si>
  <si>
    <t>2015-2-18 16:42:0.236: MarketData - Let Delta - discarding new delta value - outside tolerance - old/new/tolerance 0.945089378306927/0.927630948183285//0.01</t>
  </si>
  <si>
    <t>2015-2-18 16:42:0.273: MarketData - Let Delta - discarding new delta value - outside tolerance - old/new/tolerance 0.945089378306927/0.811137359374583//0.01</t>
  </si>
  <si>
    <t>2015-2-18 16:42:0.455: MarketData - Let Delta - discarding new delta value - outside tolerance - old/new/tolerance -0.119609288666284/-0.131184888876616//0.01</t>
  </si>
  <si>
    <t>2015-2-18 16:42:0.505: MarketData - Let Delta - discarding new delta value - outside tolerance - old/new/tolerance -0.119609288666284/-0.140107078276123//0.01</t>
  </si>
  <si>
    <t>2015-2-18 16:42:2.73: MarketData - Let Delta - discarding new delta value - outside tolerance - old/new/tolerance 0.945089378306927/0.865290193263633//0.01</t>
  </si>
  <si>
    <t>2015-2-18 16:42:2.292: MarketData - Let Delta - discarding new delta value - outside tolerance - old/new/tolerance -0.119609288666284/-0.134897020733681//0.01</t>
  </si>
  <si>
    <t>2015-2-18 16:42:2.330: MarketData - Let Delta - discarding new delta value - outside tolerance - old/new/tolerance -0.119609288666284/-0.121674881163874//0.01</t>
  </si>
  <si>
    <t>2015-2-18 16:42:4.107: MarketData - Let Delta - discarding new delta value - outside tolerance - old/new/tolerance 0.944765977711096/0.823083890421198//0.01</t>
  </si>
  <si>
    <t>2015-2-18 16:42:6.195: MarketData - Let Delta - discarding new delta value - outside tolerance - old/new/tolerance 0.944765977711096/0.865491792291591//0.01</t>
  </si>
  <si>
    <t>2015-2-18 16:42:6.267: MarketData - Let Delta - discarding new delta value - outside tolerance - old/new/tolerance -0.119609288666284/-0.134695421461146//0.01</t>
  </si>
  <si>
    <t>2015-2-18 16:42:10.95: MarketData - Let Delta - discarding new delta value - outside tolerance - old/new/tolerance 0.944765977711096/0.865678601048119//0.01</t>
  </si>
  <si>
    <t>2015-2-18 16:42:10.313: MarketData - Let Delta - discarding new delta value - outside tolerance - old/new/tolerance -0.119609288666284/-0.134508612478075//0.01</t>
  </si>
  <si>
    <t>2015-2-18 16:42:14.185: MarketData - Let Delta - discarding new delta value - outside tolerance - old/new/tolerance 0.944765977711096/0.865559323621436//0.01</t>
  </si>
  <si>
    <t>2015-2-18 16:42:14.406: MarketData - Let Delta - discarding new delta value - outside tolerance - old/new/tolerance -0.119609288666284/-0.13462789004937//0.01</t>
  </si>
  <si>
    <t>2015-2-18 16:42:17.540: Algorithm - FindNextStrikes - price is 1.5433 nextStrikeUp/Down 9999/1.53</t>
  </si>
  <si>
    <t>2015-2-18 16:42:17.540: Algorithm - getPortfolioForwardDelta - required deltas is 10 currentHedgePosition is 7</t>
  </si>
  <si>
    <t>2015-2-18 16:42:17.540: Algorithm - getHedgeShortfall - required deltas is 10 price is 1.5432 currentHedgePositionDeltas is 7</t>
  </si>
  <si>
    <t>2015-2-18 16:42:17.540: Algorithm - processTransitionPoint - nextUpper/LowerStrikes are 9999/1.53 requiredDeltas/currentPosition/currentHedgeShortfall/direction/transitionPrice are 10/7/3/-1/1.5432</t>
  </si>
  <si>
    <t>2015-2-18 16:42:17.541: TransitionLogger - processTransitionpoint - checking transition - currentHedgeShortfall is 3</t>
  </si>
  <si>
    <t>2015-2-18 16:42:17.542: Algorithm - updatePortfolio - haveAllDetails is True</t>
  </si>
  <si>
    <t>2015-2-18 16:42:17.580: Algorithm - FindNextStrikes - price is 1.5433 nextStrikeUp/Down 9999/1.53</t>
  </si>
  <si>
    <t>2015-2-18 16:42:17.580: Algorithm - getPortfolioForwardDelta - required deltas is 10 currentHedgePosition is 7</t>
  </si>
  <si>
    <t>2015-2-18 16:42:17.580: Algorithm - getHedgeShortfall - required deltas is 10 price is 1.5432 currentHedgePositionDeltas is 7</t>
  </si>
  <si>
    <t>2015-2-18 16:42:17.580: Algorithm - processTransitionPoint - nextUpper/LowerStrikes are 9999/1.53 requiredDeltas/currentPosition/currentHedgeShortfall/direction/transitionPrice are 10/7/3/-1/1.5432</t>
  </si>
  <si>
    <t>2015-2-18 16:42:17.580: TransitionLogger - processTransitionpoint - checking transition - currentHedgeShortfall is 3</t>
  </si>
  <si>
    <t>2015-2-18 16:42:17.581: Algorithm - updatePortfolio - haveAllDetails is True</t>
  </si>
  <si>
    <t>2015-2-18 16:42:17.623: Algorithm - FindNextStrikes - price is 1.5433 nextStrikeUp/Down 9999/1.53</t>
  </si>
  <si>
    <t>2015-2-18 16:42:17.624: Algorithm - getPortfolioForwardDelta - required deltas is 10 currentHedgePosition is 7</t>
  </si>
  <si>
    <t>2015-2-18 16:42:17.624: Algorithm - getHedgeShortfall - required deltas is 10 price is 1.5432 currentHedgePositionDeltas is 7</t>
  </si>
  <si>
    <t>2015-2-18 16:42:17.624: Algorithm - processTransitionPoint - nextUpper/LowerStrikes are 9999/1.53 requiredDeltas/currentPosition/currentHedgeShortfall/direction/transitionPrice are 10/7/3/-1/1.5432</t>
  </si>
  <si>
    <t>2015-2-18 16:42:17.624: TransitionLogger - processTransitionpoint - checking transition - currentHedgeShortfall is 3</t>
  </si>
  <si>
    <t>2015-2-18 16:42:17.625: Algorithm - updatePortfolio - haveAllDetails is True</t>
  </si>
  <si>
    <t>2015-2-18 16:42:17.665: Algorithm - FindNextStrikes - price is 1.5433 nextStrikeUp/Down 9999/1.53</t>
  </si>
  <si>
    <t>2015-2-18 16:42:17.665: Algorithm - getPortfolioForwardDelta - required deltas is 10 currentHedgePosition is 7</t>
  </si>
  <si>
    <t>2015-2-18 16:42:17.665: Algorithm - getHedgeShortfall - required deltas is 10 price is 1.5432 currentHedgePositionDeltas is 7</t>
  </si>
  <si>
    <t>2015-2-18 16:42:17.665: Algorithm - processTransitionPoint - nextUpper/LowerStrikes are 9999/1.53 requiredDeltas/currentPosition/currentHedgeShortfall/direction/transitionPrice are 10/7/3/-1/1.5432</t>
  </si>
  <si>
    <t>2015-2-18 16:42:17.665: TransitionLogger - processTransitionpoint - checking transition - currentHedgeShortfall is 3</t>
  </si>
  <si>
    <t>2015-2-18 16:42:17.666: Algorithm - updatePortfolio - haveAllDetails is True</t>
  </si>
  <si>
    <t>2015-2-18 16:42:19.234: MarketData - Let Delta - discarding new delta value - outside tolerance - old/new/tolerance 0.944765977711096/0.865491792291591//0.01</t>
  </si>
  <si>
    <t>2015-2-18 16:42:19.446: MarketData - Let Delta - discarding new delta value - outside tolerance - old/new/tolerance -0.119609288666284/-0.134695421461146//0.01</t>
  </si>
  <si>
    <t>2015-2-18 16:42:25.456: MarketData - Let Delta - discarding new delta value - outside tolerance - old/new/tolerance 0.944765977711096/0.863491663940869//0.01</t>
  </si>
  <si>
    <t>2015-2-18 16:42:25.491: MarketData - Let Delta - discarding new delta value - outside tolerance - old/new/tolerance -0.119609288666284/-0.136695552241824//0.01</t>
  </si>
  <si>
    <t>2015-2-18 16:42:26.203: MarketData - Let Delta - discarding new delta value - outside tolerance - old/new/tolerance 0.944765977711096/0.865771267807267//0.01</t>
  </si>
  <si>
    <t>2015-2-18 16:42:26.232: MarketData - Let Delta - discarding new delta value - outside tolerance - old/new/tolerance 0.944765977711096/0.927274898719674//0.01</t>
  </si>
  <si>
    <t>2015-2-18 16:42:26.280: MarketData - Let Delta - discarding new delta value - outside tolerance - old/new/tolerance 0.944765977711096/0.816259993848833//0.01</t>
  </si>
  <si>
    <t>2015-2-18 16:42:26.310: MarketData - Let Delta - discarding new delta value - outside tolerance - old/new/tolerance -0.119609288666284/-0.134415945610688//0.01</t>
  </si>
  <si>
    <t>2015-2-18 16:42:26.342: MarketData - Let Delta - discarding new delta value - outside tolerance - old/new/tolerance -0.119609288666284/-0.131741173090907//0.01</t>
  </si>
  <si>
    <t>2015-2-18 16:42:26.357: MarketData - Let Delta - discarding new delta value - outside tolerance - old/new/tolerance -0.119609288666284/-0.14901742799051//0.01</t>
  </si>
  <si>
    <t>2015-2-18 16:42:30.135: MarketData - Let Delta - discarding new delta value - outside tolerance - old/new/tolerance 0.944765977711096/0.863593240514326//0.01</t>
  </si>
  <si>
    <t>2015-2-18 16:42:30.355: MarketData - Let Delta - discarding new delta value - outside tolerance - old/new/tolerance -0.119609288666284/-0.136593975545135//0.01</t>
  </si>
  <si>
    <t>2015-2-18 16:42:36.227: MarketData - Let Delta - discarding new delta value - outside tolerance - old/new/tolerance -0.119609288666284/-0.140696834204905//0.01</t>
  </si>
  <si>
    <t>2015-2-18 16:42:37.258: MarketData - Let Delta - discarding new delta value - outside tolerance - old/new/tolerance 0.944765977711096/0.861592087146008//0.01</t>
  </si>
  <si>
    <t>2015-2-18 16:42:37.473: MarketData - Let Delta - discarding new delta value - outside tolerance - old/new/tolerance -0.119609288666284/-0.138595131344641//0.01</t>
  </si>
  <si>
    <t>2015-2-18 16:42:38.314: MarketData - Let Delta - discarding new delta value - outside tolerance - old/new/tolerance 0.944765977711096/0.863887332303093//0.01</t>
  </si>
  <si>
    <t>2015-2-18 16:42:38.370: MarketData - Let Delta - discarding new delta value - outside tolerance - old/new/tolerance 0.944187162591036/0.821724418063913//0.01</t>
  </si>
  <si>
    <t>2015-2-18 16:42:38.405: MarketData - Let Delta - discarding new delta value - outside tolerance - old/new/tolerance -0.119609288666284/-0.136299883403801//0.01</t>
  </si>
  <si>
    <t>2015-2-18 16:42:38.418: MarketData - Let Delta - discarding new delta value - outside tolerance - old/new/tolerance -0.119609288666284/-0.132372118684056//0.01</t>
  </si>
  <si>
    <t>2015-2-18 16:42:38.451: MarketData - Let Delta - discarding new delta value - outside tolerance - old/new/tolerance -0.119609288666284/-0.149638002268086//0.01</t>
  </si>
  <si>
    <t>2015-2-18 16:42:46.68: MarketData - Let Delta - discarding new delta value - outside tolerance - old/new/tolerance 0.944187162591036/0.864764255735092//0.01</t>
  </si>
  <si>
    <t>2015-2-18 16:42:46.281: MarketData - Let Delta - discarding new delta value - outside tolerance - old/new/tolerance -0.119609288666284/-0.141292889487173//0.01</t>
  </si>
  <si>
    <t>2015-2-18 16:42:46.344: MarketData - Let Delta - discarding new delta value - outside tolerance - old/new/tolerance -0.119609288666284/-0.135422958908298//0.01</t>
  </si>
  <si>
    <t>2015-2-18 16:42:48.65: MarketData - Let Delta - discarding new delta value - outside tolerance - old/new/tolerance 0.944187162591036/0.926551114917831//0.01</t>
  </si>
  <si>
    <t>2015-2-18 16:42:48.112: MarketData - Let Delta - discarding new delta value - outside tolerance - old/new/tolerance 0.944187162591036/0.814870075273465//0.01</t>
  </si>
  <si>
    <t>2015-2-18 16:42:48.137: MarketData - Let Delta - discarding new delta value - outside tolerance - old/new/tolerance 0.944187162591036/0.86273874441505//0.01</t>
  </si>
  <si>
    <t>2015-2-18 16:42:48.277: MarketData - Let Delta - discarding new delta value - outside tolerance - old/new/tolerance -0.119609288666284/-0.137448472689067//0.01</t>
  </si>
  <si>
    <t>2015-2-18 16:42:48.321: MarketData - Let Delta - discarding new delta value - outside tolerance - old/new/tolerance -0.119609288666284/-0.132945109068159//0.01</t>
  </si>
  <si>
    <t>2015-2-18 16:42:48.360: MarketData - Let Delta - discarding new delta value - outside tolerance - old/new/tolerance -0.119609288666284/-0.141895346353207//0.01</t>
  </si>
  <si>
    <t>2015-2-18 16:42:50.422: MarketData - Let Delta - discarding new delta value - outside tolerance - old/new/tolerance 0.944187162591036/0.821724418063913//0.01</t>
  </si>
  <si>
    <t>2015-2-18 16:42:50.461: MarketData - Let Delta - discarding new delta value - outside tolerance - old/new/tolerance 0.944187162591036/0.864927166190383//0.01</t>
  </si>
  <si>
    <t>2015-2-18 16:42:50.489: MarketData - Let Delta - discarding new delta value - outside tolerance - old/new/tolerance -0.119609288666284/-0.132372118684056//0.01</t>
  </si>
  <si>
    <t>2015-2-18 16:42:50.503: MarketData - Let Delta - discarding new delta value - outside tolerance - old/new/tolerance -0.119609288666284/-0.141292889487173//0.01</t>
  </si>
  <si>
    <t>2015-2-18 16:42:50.540: MarketData - Let Delta - discarding new delta value - outside tolerance - old/new/tolerance -0.119609288666284/-0.135260048255506//0.01</t>
  </si>
  <si>
    <t>2015-2-18 16:42:55.275: MarketData - Let Delta - discarding new delta value - outside tolerance - old/new/tolerance 0.944187162591036/0.865331717307683//0.01</t>
  </si>
  <si>
    <t>2015-2-18 16:42:55.489: MarketData - Let Delta - discarding new delta value - outside tolerance - old/new/tolerance -0.119609288666284/-0.134855496647478//0.01</t>
  </si>
  <si>
    <t>2015-2-18 16:42:57.307: MarketData - Let Delta - discarding new delta value - outside tolerance - old/new/tolerance 0.944187162591036/0.865374967478923//0.01</t>
  </si>
  <si>
    <t>2015-2-18 16:42:57.359: MarketData - Let Delta - discarding new delta value - outside tolerance - old/new/tolerance -0.119609288666284/-0.134812246230176//0.01</t>
  </si>
  <si>
    <t>2015-2-18 16:42:58.369: MarketData - Let Delta - discarding new delta value - outside tolerance - old/new/tolerance 0.944187162591036/0.864967191286184//0.01</t>
  </si>
  <si>
    <t>2015-2-18 16:42:58.401: MarketData - Let Delta - discarding new delta value - outside tolerance - old/new/tolerance -0.119609288666284/-0.135220022917324//0.01</t>
  </si>
  <si>
    <t>2015-2-18 16:43:2.56: MarketData - Let Delta - discarding new delta value - outside tolerance - old/new/tolerance 0.944187162591036/0.865372061324416//0.01</t>
  </si>
  <si>
    <t>2015-2-18 16:43:2.268: MarketData - Let Delta - discarding new delta value - outside tolerance - old/new/tolerance -0.119609288666284/-0.134815152388145//0.01</t>
  </si>
  <si>
    <t>2015-2-18 16:43:10.108: MarketData - Let Delta - discarding new delta value - outside tolerance - old/new/tolerance 0.944187162591036/0.864967191286184//0.01</t>
  </si>
  <si>
    <t>2015-2-18 16:43:10.138: MarketData - Let Delta - discarding new delta value - outside tolerance - old/new/tolerance -0.119609288666284/-0.135220022917324//0.01</t>
  </si>
  <si>
    <t>2015-2-18 16:43:12.459: MarketData - Let Delta - discarding new delta value - outside tolerance - old/new/tolerance 0.944187162591036/0.926578535766145//0.01</t>
  </si>
  <si>
    <t>2015-2-18 16:43:12.484: MarketData - Let Delta - discarding new delta value - outside tolerance - old/new/tolerance 0.944187162591036/0.814905082297996//0.01</t>
  </si>
  <si>
    <t>2015-2-18 16:43:12.547: MarketData - Let Delta - discarding new delta value - outside tolerance - old/new/tolerance 0.944187162591036/0.862940138361046//0.01</t>
  </si>
  <si>
    <t>2015-2-18 16:43:12.579: MarketData - Let Delta - discarding new delta value - outside tolerance - old/new/tolerance -0.119609288666284/-0.137247078304248//0.01</t>
  </si>
  <si>
    <t>2015-2-18 16:43:12.594: MarketData - Let Delta - discarding new delta value - outside tolerance - old/new/tolerance -0.119609288666284/-0.132901556409163//0.01</t>
  </si>
  <si>
    <t>2015-2-18 16:43:12.621: MarketData - Let Delta - discarding new delta value - outside tolerance - old/new/tolerance -0.119609288666284/-0.150265029339196//0.01</t>
  </si>
  <si>
    <t>2015-2-18 16:43:15.73: MarketData - Let Delta - discarding new delta value - outside tolerance - old/new/tolerance 0.944187162591036/0.863724533192925//0.01</t>
  </si>
  <si>
    <t>2015-2-18 16:43:15.119: MarketData - Let Delta - discarding new delta value - outside tolerance - old/new/tolerance -0.119609288666284/-0.136462682521281//0.01</t>
  </si>
  <si>
    <t>2015-2-18 16:43:19.68: MarketData - Let Delta - discarding new delta value - outside tolerance - old/new/tolerance 0.944187162591036/0.862395362007182//0.01</t>
  </si>
  <si>
    <t>2015-2-18 16:43:19.284: MarketData - Let Delta - discarding new delta value - outside tolerance - old/new/tolerance -0.119609288666284/-0.137791855318566//0.01</t>
  </si>
  <si>
    <t>2015-2-18 16:43:22.96: MarketData - Let Delta - discarding new delta value - outside tolerance - old/new/tolerance 0.944187162591036/0.861324547454177//0.01</t>
  </si>
  <si>
    <t>2015-2-18 16:43:22.310: MarketData - Let Delta - discarding new delta value - outside tolerance - old/new/tolerance -0.119609288666284/-0.138862671169937//0.01</t>
  </si>
  <si>
    <t>2015-2-18 16:43:22.382: MarketData - Let Delta - discarding new delta value - outside tolerance - old/new/tolerance 0.944187162591036/0.965406474867859//0.01</t>
  </si>
  <si>
    <t>2015-2-18 16:43:23.401: MarketData - Let Delta - discarding new delta value - outside tolerance - old/new/tolerance 0.944187162591036/0.859309600433583//0.01</t>
  </si>
  <si>
    <t>2015-2-18 16:43:23.434: MarketData - Let Delta - discarding new delta value - outside tolerance - old/new/tolerance -0.119609288666284/-0.140877620637645//0.01</t>
  </si>
  <si>
    <t>2015-2-18 16:43:23.455: Cancel-Replacing active sell stop because of priceTolerance - required price/current price/tickTolerance is 1.5346/1.5358/10</t>
  </si>
  <si>
    <t>2015-2-18 16:43:23.456: OrderManager - cancelOrder - cancelling order id 10084</t>
  </si>
  <si>
    <t>2015-2-18 16:43:23.456: OrderManager - PlaceOrder - id 10085 workingQty -5</t>
  </si>
  <si>
    <t>2015-2-18 16:43:23.456: OrderManagerView - UpdateMainSheetOpenOrder - entering UpdateMainSheetOpenOrder order.status is In-Flight</t>
  </si>
  <si>
    <t>2015-2-18 16:43:23.457: OrderManager - sendOrder - exiting place order id 10085 SELL 1 1.5336  - workingQty -5 currentPosition is 7 workingOrderCount is 1</t>
  </si>
  <si>
    <t>2015-2-18 16:43:23.600: RTWSControl - nextValidId - entering nextValidId id is 10086</t>
  </si>
  <si>
    <t>2015-2-18 16:43:23.819: RTWSControl - orderStatus -  entering orderStatus id is 10084 status is Cancelled</t>
  </si>
  <si>
    <t>2015-2-18 16:43:23.820: OrderManager - UpdateOrderStatus - id 10084 Setting status to Cancelled workingOrderCount is now 1 workingQty -5</t>
  </si>
  <si>
    <t>2015-2-18 16:43:23.820: OrderManagerView - UpdateMainSheetOpenOrder - entering UpdateMainSheetOpenOrder order.status is Cancelled</t>
  </si>
  <si>
    <t>2015-2-18 16:43:23.826: RTWSControl - OrderStatus - Got OrderStatus Message id:10084 status: Cancelled filled: 0</t>
  </si>
  <si>
    <t>2015-2-18 16:43:23.827: RTWSControl - OrderStatus - exiting orderStatus</t>
  </si>
  <si>
    <t>2015-2-18 16:43:23.847: RTWSControl - errMsg - got error message 202:Order Canceled - reason:with id 10084</t>
  </si>
  <si>
    <t>2015-2-18 16:43:23.847: OrderManager - canceledOrder - cleaning up after canceled order 10084BEWARE UNACCOUNTED FOR EXECUTIONS!!!</t>
  </si>
  <si>
    <t>2015-2-18 16:43:23.848: OrderManager - terminateOrder - cleaning up after Canceled 10084  order was supposed to SELL 1 1.5348 STP LMT workingQty/OrderCount now -6/0</t>
  </si>
  <si>
    <t>2015-2-18 16:43:23.849: OrderManagerView - UpdateMainSheetOpenOrder - entering UpdateMainSheetOpenOrder order.status is Canceled</t>
  </si>
  <si>
    <t>2015-2-18 16:43:23.867: openOrderEx - I am here</t>
  </si>
  <si>
    <t>2015-2-18 16:43:23.867: OrderManagerView - UpdateMainSheetOpenOrder - entering UpdateMainSheetOpenOrder order.status is In-Flight</t>
  </si>
  <si>
    <t>2015-2-18 16:43:23.874: RTWSControl - orderStatus -  entering orderStatus id is 10085 status is PreSubmitted</t>
  </si>
  <si>
    <t>2015-2-18 16:43:23.874: OrderManager - UpdateOrderStatus - id 10085 Setting status to PreSubmitted workingOrderCount is now 0 workingQty -6</t>
  </si>
  <si>
    <t>2015-2-18 16:43:23.875: OrderManagerView - UpdateMainSheetOpenOrder - entering UpdateMainSheetOpenOrder order.status is PreSubmitted</t>
  </si>
  <si>
    <t>2015-2-18 16:43:23.876: RTWSControl - OrderStatus - Got OrderStatus Message id:10085 status: PreSubmitted filled: 0</t>
  </si>
  <si>
    <t>2015-2-18 16:43:23.876: RTWSControl - OrderStatus - exiting orderStatus</t>
  </si>
  <si>
    <t>2015-2-18 16:43:24.297: MarketData - Let Delta - discarding new delta value - outside tolerance - old/new/tolerance 0.943593957783728/0.808329139829226//0.01</t>
  </si>
  <si>
    <t>2015-2-18 16:43:24.333: MarketData - Let Delta - discarding new delta value - outside tolerance - old/new/tolerance -0.119609288666284/-0.133524503815067//0.01</t>
  </si>
  <si>
    <t>2015-2-18 16:43:24.348: MarketData - Let Delta - discarding new delta value - outside tolerance - old/new/tolerance -0.119609288666284/-0.150939720644821//0.01</t>
  </si>
  <si>
    <t>2015-2-18 16:43:25.201: Cancel-Replacing active sell stop because of priceTolerance - required price/current price/tickTolerance is 1.5355/1.5345/10</t>
  </si>
  <si>
    <t>2015-2-18 16:43:25.202: OrderManager - cancelOrder - cancelling order id 10085</t>
  </si>
  <si>
    <t>2015-2-18 16:43:25.202: OrderManager - PlaceOrder - id 10086 workingQty -7</t>
  </si>
  <si>
    <t>2015-2-18 16:43:25.203: OrderManagerView - UpdateMainSheetOpenOrder - entering UpdateMainSheetOpenOrder order.status is In-Flight</t>
  </si>
  <si>
    <t>2015-2-18 16:43:25.207: OrderManager - sendOrder - exiting place order id 10086 SELL 1 1.5345  - workingQty -7 currentPosition is 7 workingOrderCount is 1</t>
  </si>
  <si>
    <t>2015-2-18 16:43:25.332: RTWSControl - nextValidId - entering nextValidId id is 10087</t>
  </si>
  <si>
    <t>2015-2-18 16:43:25.345: RTWSControl - orderStatus -  entering orderStatus id is 10085 status is Cancelled</t>
  </si>
  <si>
    <t>2015-2-18 16:43:25.345: OrderManager - UpdateOrderStatus - id 10085 Setting status to Cancelled workingOrderCount is now 1 workingQty -7</t>
  </si>
  <si>
    <t>2015-2-18 16:43:25.345: OrderManagerView - UpdateMainSheetOpenOrder - entering UpdateMainSheetOpenOrder order.status is Cancelled</t>
  </si>
  <si>
    <t>2015-2-18 16:43:25.347: RTWSControl - OrderStatus - Got OrderStatus Message id:10085 status: Cancelled filled: 0</t>
  </si>
  <si>
    <t>2015-2-18 16:43:25.347: RTWSControl - OrderStatus - exiting orderStatus</t>
  </si>
  <si>
    <t>2015-2-18 16:43:25.353: RTWSControl - errMsg - got error message 202:Order Canceled - reason:with id 10085</t>
  </si>
  <si>
    <t>2015-2-18 16:43:25.353: OrderManager - canceledOrder - cleaning up after canceled order 10085BEWARE UNACCOUNTED FOR EXECUTIONS!!!</t>
  </si>
  <si>
    <t>2015-2-18 16:43:25.353: OrderManager - terminateOrder - cleaning up after Canceled 10085  order was supposed to SELL 1 1.5336 STP LMT workingQty/OrderCount now -8/0</t>
  </si>
  <si>
    <t>2015-2-18 16:43:25.354: OrderManagerView - UpdateMainSheetOpenOrder - entering UpdateMainSheetOpenOrder order.status is Canceled</t>
  </si>
  <si>
    <t>2015-2-18 16:43:25.567: openOrderEx - I am here</t>
  </si>
  <si>
    <t>2015-2-18 16:43:25.568: OrderManagerView - UpdateMainSheetOpenOrder - entering UpdateMainSheetOpenOrder order.status is In-Flight</t>
  </si>
  <si>
    <t>2015-2-18 16:43:25.598: RTWSControl - orderStatus -  entering orderStatus id is 10086 status is PreSubmitted</t>
  </si>
  <si>
    <t>2015-2-18 16:43:25.598: OrderManager - UpdateOrderStatus - id 10086 Setting status to PreSubmitted workingOrderCount is now 0 workingQty -8</t>
  </si>
  <si>
    <t>2015-2-18 16:43:25.599: OrderManagerView - UpdateMainSheetOpenOrder - entering UpdateMainSheetOpenOrder order.status is PreSubmitted</t>
  </si>
  <si>
    <t>2015-2-18 16:43:25.601: RTWSControl - OrderStatus - Got OrderStatus Message id:10086 status: PreSubmitted filled: 0</t>
  </si>
  <si>
    <t>2015-2-18 16:43:25.602: RTWSControl - OrderStatus - exiting orderStatus</t>
  </si>
  <si>
    <t>2015-2-18 16:43:26.302: MarketData - Let Delta - discarding new delta value - outside tolerance - old/new/tolerance 0.943593957783728/0.86153960236749//0.01</t>
  </si>
  <si>
    <t>2015-2-18 16:43:26.524: MarketData - Let Delta - discarding new delta value - outside tolerance - old/new/tolerance -0.119609288666284/-0.138647615999918//0.01</t>
  </si>
  <si>
    <t>2015-2-18 16:43:28.5: OrderManagerView - UpdateMainSheetOpenOrder - entering UpdateMainSheetOpenOrder order.status is PreSubmitted</t>
  </si>
  <si>
    <t>2015-2-18 16:43:28.7: OrderManagerView - UpdateMainSheetOpenOrder - entering UpdateMainSheetOpenOrder order.status is Canceled</t>
  </si>
  <si>
    <t>2015-2-18 16:43:28.8: OrderManagerView - UpdateMainSheetOpenOrder - entering UpdateMainSheetOpenOrder order.status is PreSubmitted</t>
  </si>
  <si>
    <t>2015-2-18 16:43:28.10: OrderManagerView - UpdateMainSheetOpenOrder - entering UpdateMainSheetOpenOrder order.status is PreSubmitted</t>
  </si>
  <si>
    <t>2015-2-18 16:43:28.318: MarketData - Let Delta - discarding new delta value - outside tolerance - old/new/tolerance 0.943593957783728/0.911519154678865//0.01</t>
  </si>
  <si>
    <t>2015-2-18 16:43:30.6: OrderManagerView - UpdateMainSheetOpenOrder - entering UpdateMainSheetOpenOrder order.status is PreSubmitted</t>
  </si>
  <si>
    <t>2015-2-18 16:43:30.8: OrderManagerView - UpdateMainSheetOpenOrder - entering UpdateMainSheetOpenOrder order.status is PreSubmitted</t>
  </si>
  <si>
    <t>2015-2-18 16:43:30.323: MarketData - Let Delta - discarding new delta value - outside tolerance - old/new/tolerance 0.943593957783728/0.862581787794485//0.01</t>
  </si>
  <si>
    <t>2015-2-18 16:43:30.353: MarketData - Let Delta - discarding new delta value - outside tolerance - old/new/tolerance -0.119609288666284/-0.137605429309322//0.01</t>
  </si>
  <si>
    <t>2015-2-18 16:43:33.82: OrderManagerView - UpdateMainSheetOpenOrder - entering UpdateMainSheetOpenOrder order.status is PreSubmitted</t>
  </si>
  <si>
    <t>2015-2-18 16:43:33.86: OrderManagerView - UpdateMainSheetOpenOrder - entering UpdateMainSheetOpenOrder order.status is PreSubmitted</t>
  </si>
  <si>
    <t>2015-2-18 16:43:34.68: MarketData - Let Delta - discarding new delta value - outside tolerance - old/new/tolerance 0.943593957783728/0.862429323436599//0.01</t>
  </si>
  <si>
    <t>2015-2-18 16:43:34.280: MarketData - Let Delta - discarding new delta value - outside tolerance - old/new/tolerance -0.119609288666284/-0.137757893852082//0.01</t>
  </si>
  <si>
    <t>2015-2-18 16:43:38.78: MarketData - Let Delta - discarding new delta value - outside tolerance - old/new/tolerance 0.943593957783728/0.862041359436798//0.01</t>
  </si>
  <si>
    <t>2015-2-18 16:43:38.301: MarketData - Let Delta - discarding new delta value - outside tolerance - old/new/tolerance -0.119609288666284/-0.13814585832228//0.01</t>
  </si>
  <si>
    <t>2015-2-18 16:43:50.132: MarketData - Let Delta - discarding new delta value - outside tolerance - old/new/tolerance 0.943593957783728/0.862429323436599//0.01</t>
  </si>
  <si>
    <t>2015-2-18 16:43:50.352: MarketData - Let Delta - discarding new delta value - outside tolerance - old/new/tolerance -0.119609288666284/-0.137757893852082//0.01</t>
  </si>
  <si>
    <t>2015-2-18 16:43:56.205: MarketData - Let Delta - discarding new delta value - outside tolerance - old/new/tolerance 0.943593957783728/0.862472119819701//0.01</t>
  </si>
  <si>
    <t>2015-2-18 16:43:56.400: MarketData - Let Delta - discarding new delta value - outside tolerance - old/new/tolerance -0.119609288666284/-0.137715097222251//0.01</t>
  </si>
  <si>
    <t>2015-2-18 16:43:58.67: MarketData - Let Delta - discarding new delta value - outside tolerance - old/new/tolerance 0.943593957783728/0.862454102761295//0.01</t>
  </si>
  <si>
    <t>2015-2-18 16:43:58.116: MarketData - Let Delta - discarding new delta value - outside tolerance - old/new/tolerance -0.119609288666284/-0.137733114302578//0.01</t>
  </si>
  <si>
    <t>2015-2-18 16:44:8.431: MarketData - Let Delta - discarding new delta value - outside tolerance - old/new/tolerance 0.944247768358463/0.821729157507943//0.01</t>
  </si>
  <si>
    <t>2015-2-18 16:44:8.469: MarketData - Let Delta - discarding new delta value - outside tolerance - old/new/tolerance 0.944247768358463/0.866532250361591//0.01</t>
  </si>
  <si>
    <t>2015-2-18 16:44:8.496: MarketData - Let Delta - discarding new delta value - outside tolerance - old/new/tolerance -0.119609288666284/-0.133654961751165//0.01</t>
  </si>
  <si>
    <t>2015-2-18 16:44:8.524: MarketData - Let Delta - discarding new delta value - outside tolerance - old/new/tolerance -0.119609288666284/-0.132284811740398//0.01</t>
  </si>
  <si>
    <t>2015-2-18 16:44:8.539: MarketData - Let Delta - discarding new delta value - outside tolerance - old/new/tolerance -0.119609288666284/-0.149641943871246//0.01</t>
  </si>
  <si>
    <t>2015-2-18 16:44:10.287: MarketData - Let Delta - discarding new delta value - outside tolerance - old/new/tolerance 0.944247768358463/0.864536957538456//0.01</t>
  </si>
  <si>
    <t>2015-2-18 16:44:10.332: MarketData - Let Delta - discarding new delta value - outside tolerance - old/new/tolerance -0.119609288666284/-0.135650256992609//0.01</t>
  </si>
  <si>
    <t>2015-2-18 16:44:18.276: MarketData - Let Delta - discarding new delta value - outside tolerance - old/new/tolerance 0.944247768358463/0.864806745020615//0.01</t>
  </si>
  <si>
    <t>2015-2-18 16:44:18.326: MarketData - Let Delta - discarding new delta value - outside tolerance - old/new/tolerance -0.119609288666284/-0.135380469183549//0.01</t>
  </si>
  <si>
    <t>2015-2-18 16:44:22.284: MarketData - Let Delta - discarding new delta value - outside tolerance - old/new/tolerance 0.944247768358463/0.926605970001542//0.01</t>
  </si>
  <si>
    <t>2015-2-18 16:44:22.328: MarketData - Let Delta - discarding new delta value - outside tolerance - old/new/tolerance 0.944247768358463/0.814876308660128//0.01</t>
  </si>
  <si>
    <t>2015-2-18 16:44:22.375: MarketData - Let Delta - discarding new delta value - outside tolerance - old/new/tolerance 0.944247768358463/0.862881617583785//0.01</t>
  </si>
  <si>
    <t>2015-2-18 16:44:22.387: MarketData - Let Delta - discarding new delta value - outside tolerance - old/new/tolerance -0.119609288666284/-0.137305598957765//0.01</t>
  </si>
  <si>
    <t>2015-2-18 16:44:22.419: MarketData - Let Delta - discarding new delta value - outside tolerance - old/new/tolerance -0.119609288666284/-0.132857982463073//0.01</t>
  </si>
  <si>
    <t>2015-2-18 16:44:22.432: MarketData - Let Delta - discarding new delta value - outside tolerance - old/new/tolerance -0.119609288666284/-0.150224298856018//0.01</t>
  </si>
  <si>
    <t>2015-2-18 16:44:26.250: MarketData - Let Delta - discarding new delta value - outside tolerance - old/new/tolerance 0.944247768358463/0.862602016211986//0.01</t>
  </si>
  <si>
    <t>2015-2-18 16:44:26.326: MarketData - Let Delta - discarding new delta value - outside tolerance - old/new/tolerance -0.119609288666284/-0.137585200668502//0.01</t>
  </si>
  <si>
    <t>2015-2-18 16:44:30.317: MarketData - Let Delta - discarding new delta value - outside tolerance - old/new/tolerance 0.944247768358463/0.861634696621986//0.01</t>
  </si>
  <si>
    <t>2015-2-18 16:44:30.350: MarketData - Let Delta - discarding new delta value - outside tolerance - old/new/tolerance -0.119609288666284/-0.138552521430904//0.01</t>
  </si>
  <si>
    <t>2015-2-18 16:44:34.203: MarketData - Let Delta - discarding new delta value - outside tolerance - old/new/tolerance 0.944247768358463/0.862602016211986//0.01</t>
  </si>
  <si>
    <t>2015-2-18 16:44:34.448: MarketData - Let Delta - discarding new delta value - outside tolerance - old/new/tolerance -0.119609288666284/-0.137585200668502//0.01</t>
  </si>
  <si>
    <t>2015-2-18 16:44:51.52: MarketData - Let Delta - discarding new delta value - outside tolerance - old/new/tolerance 0.944247768358463/0.862886987707056//0.01</t>
  </si>
  <si>
    <t>2015-2-18 16:44:51.263: MarketData - Let Delta - discarding new delta value - outside tolerance - old/new/tolerance -0.119609288666284/-0.137300228828024//0.01</t>
  </si>
  <si>
    <t>2015-2-18 16:44:54.258: MarketData - Let Delta - discarding new delta value - outside tolerance - old/new/tolerance 0.944247768358463/0.862404045453365//0.01</t>
  </si>
  <si>
    <t>2015-2-18 16:44:54.467: MarketData - Let Delta - discarding new delta value - outside tolerance - old/new/tolerance -0.119609288666284/-0.137783171667046//0.01</t>
  </si>
  <si>
    <t>2015-2-18 16:44:58.287: MarketData - Let Delta - discarding new delta value - outside tolerance - old/new/tolerance 0.944247768358463/0.862446847952426//0.01</t>
  </si>
  <si>
    <t>2015-2-18 16:44:58.512: MarketData - Let Delta - discarding new delta value - outside tolerance - old/new/tolerance -0.119609288666284/-0.137740368921275//0.01</t>
  </si>
  <si>
    <t>2015-2-18 16:45:6.271: MarketData - Let Delta - discarding new delta value - outside tolerance - old/new/tolerance 0.944247768358463/0.862615190412474//0.01</t>
  </si>
  <si>
    <t>2015-2-18 16:45:6.462: MarketData - Let Delta - discarding new delta value - outside tolerance - old/new/tolerance -0.119609288666284/-0.137572026257279//0.01</t>
  </si>
  <si>
    <t>2015-2-18 16:45:6.520: MarketData - Let Delta - discarding new delta value - outside tolerance - old/new/tolerance -0.119609288666284/-0.132961862853593//0.01</t>
  </si>
  <si>
    <t>2015-2-18 16:45:6.543: MarketData - Let Delta - discarding new delta value - outside tolerance - old/new/tolerance -0.119609288666284/-0.150268738433516//0.01</t>
  </si>
  <si>
    <t>2015-2-18 16:45:8.288: MarketData - Let Delta - discarding new delta value - outside tolerance - old/new/tolerance 0.944247768358463/0.911873700659373//0.01</t>
  </si>
  <si>
    <t>2015-2-18 16:45:8.330: MarketData - Let Delta - discarding new delta value - outside tolerance - old/new/tolerance 0.944247768358463/0.803478580224072//0.01</t>
  </si>
  <si>
    <t>2015-2-18 16:45:8.383: MarketData - Let Delta - discarding new delta value - outside tolerance - old/new/tolerance -0.119609288666284/-0.141905968410982//0.01</t>
  </si>
  <si>
    <t>2015-2-18 16:45:10.157: MarketData - Let Delta - discarding new delta value - outside tolerance - old/new/tolerance 0.944247768358463/0.926915180828578//0.01</t>
  </si>
  <si>
    <t>2015-2-18 16:45:10.200: MarketData - Let Delta - discarding new delta value - outside tolerance - old/new/tolerance 0.944247768358463/0.809743071812692//0.01</t>
  </si>
  <si>
    <t>2015-2-18 16:45:10.370: MarketData - Let Delta - discarding new delta value - outside tolerance - old/new/tolerance 0.944247768358463/0.863966295224117//0.01</t>
  </si>
  <si>
    <t>2015-2-18 16:45:10.418: MarketData - Let Delta - discarding new delta value - outside tolerance - old/new/tolerance -0.119609288666284/-0.136220919804388//0.01</t>
  </si>
  <si>
    <t>2015-2-18 16:45:10.443: MarketData - Let Delta - discarding new delta value - outside tolerance - old/new/tolerance -0.119609288666284/-0.132389287253028//0.01</t>
  </si>
  <si>
    <t>2015-2-18 16:45:10.473: MarketData - Let Delta - discarding new delta value - outside tolerance - old/new/tolerance -0.119609288666284/-0.141303891438112//0.01</t>
  </si>
  <si>
    <t>2015-2-18 16:45:11.254: MarketData - Let Delta - discarding new delta value - outside tolerance - old/new/tolerance 0.944247768358463/0.868004409135296//0.01</t>
  </si>
  <si>
    <t>2015-2-18 16:45:11.464: MarketData - Let Delta - discarding new delta value - outside tolerance - old/new/tolerance -0.119609288666284/-0.132182800992198//0.01</t>
  </si>
  <si>
    <t>2015-2-18 16:45:12.214: MarketData - Let Delta - discarding new delta value - outside tolerance - old/new/tolerance 0.944247768358463/0.965976401809945//0.01</t>
  </si>
  <si>
    <t>2015-2-18 16:45:12.246: MarketData - Let Delta - discarding new delta value - outside tolerance - old/new/tolerance 0.944247768358463/0.823083919014225//0.01</t>
  </si>
  <si>
    <t>2015-2-18 16:45:12.420: MarketData - Let Delta - discarding new delta value - outside tolerance - old/new/tolerance -0.119609288666284/-0.131244930293419//0.01</t>
  </si>
  <si>
    <t>2015-2-18 16:45:12.484: MarketData - Let Delta - discarding new delta value - outside tolerance - old/new/tolerance -0.119609288666284/-0.140107079131394//0.01</t>
  </si>
  <si>
    <t>2015-2-18 16:45:14.315: MarketData - Let Delta - discarding new delta value - outside tolerance - old/new/tolerance 0.944247768358463/0.866327510210578//0.01</t>
  </si>
  <si>
    <t>2015-2-18 16:45:14.370: MarketData - Let Delta - discarding new delta value - outside tolerance - old/new/tolerance -0.119609288666284/-0.133859701948824//0.01</t>
  </si>
  <si>
    <t>2015-2-18 16:45:17.249: Algorithm - FindNextStrikes - price is 1.54325 nextStrikeUp/Down 9999/1.53</t>
  </si>
  <si>
    <t>2015-2-18 16:45:17.250: Algorithm - getPortfolioForwardDelta - required deltas is 10 currentHedgePosition is 7</t>
  </si>
  <si>
    <t>2015-2-18 16:45:17.250: Algorithm - getHedgeShortfall - required deltas is 10 price is 1.54335 currentHedgePositionDeltas is 7</t>
  </si>
  <si>
    <t>2015-2-18 16:45:17.250: Algorithm - processTransitionPoint - nextUpper/LowerStrikes are 9999/1.53 requiredDeltas/currentPosition/currentHedgeShortfall/direction/transitionPrice are 10/7/3/1/1.54335</t>
  </si>
  <si>
    <t>2015-2-18 16:45:17.250: TransitionLogger - processTransitionpoint - checking transition - currentHedgeShortfall is 3</t>
  </si>
  <si>
    <t>2015-2-18 16:45:17.251: Algorithm - updatePortfolio - haveAllDetails is True</t>
  </si>
  <si>
    <t>2015-2-18 16:45:17.269: Algorithm - FindNextStrikes - price is 1.54325 nextStrikeUp/Down 9999/1.53</t>
  </si>
  <si>
    <t>2015-2-18 16:45:17.270: Algorithm - getPortfolioForwardDelta - required deltas is 10 currentHedgePosition is 7</t>
  </si>
  <si>
    <t>2015-2-18 16:45:17.270: Algorithm - getHedgeShortfall - required deltas is 10 price is 1.54335 currentHedgePositionDeltas is 7</t>
  </si>
  <si>
    <t>2015-2-18 16:45:17.270: Algorithm - processTransitionPoint - nextUpper/LowerStrikes are 9999/1.53 requiredDeltas/currentPosition/currentHedgeShortfall/direction/transitionPrice are 10/7/3/1/1.54335</t>
  </si>
  <si>
    <t>2015-2-18 16:45:17.270: TransitionLogger - processTransitionpoint - checking transition - currentHedgeShortfall is 3</t>
  </si>
  <si>
    <t>2015-2-18 16:45:17.271: Algorithm - updatePortfolio - haveAllDetails is True</t>
  </si>
  <si>
    <t>2015-2-18 16:45:17.313: Algorithm - FindNextStrikes - price is 1.54325 nextStrikeUp/Down 9999/1.53</t>
  </si>
  <si>
    <t>2015-2-18 16:45:17.313: Algorithm - getPortfolioForwardDelta - required deltas is 10 currentHedgePosition is 7</t>
  </si>
  <si>
    <t>2015-2-18 16:45:17.313: Algorithm - getHedgeShortfall - required deltas is 10 price is 1.54335 currentHedgePositionDeltas is 7</t>
  </si>
  <si>
    <t>2015-2-18 16:45:17.313: Algorithm - processTransitionPoint - nextUpper/LowerStrikes are 9999/1.53 requiredDeltas/currentPosition/currentHedgeShortfall/direction/transitionPrice are 10/7/3/1/1.54335</t>
  </si>
  <si>
    <t>2015-2-18 16:45:17.313: TransitionLogger - processTransitionpoint - checking transition - currentHedgeShortfall is 3</t>
  </si>
  <si>
    <t>2015-2-18 16:45:17.314: Algorithm - updatePortfolio - haveAllDetails is True</t>
  </si>
  <si>
    <t>2015-2-18 16:45:17.548: MarketData - Let Delta - discarding new delta value - outside tolerance - old/new/tolerance 0.944247768358463/0.864321129418227//0.01</t>
  </si>
  <si>
    <t>2015-2-18 16:45:17.561: MarketData - Let Delta - discarding new delta value - outside tolerance - old/new/tolerance -0.119609288666284/-0.13586608517632//0.01</t>
  </si>
  <si>
    <t>2015-2-18 16:45:18.205: MarketData - Let Delta - discarding new delta value - outside tolerance - old/new/tolerance 0.944247768358463/0.864283260597953//0.01</t>
  </si>
  <si>
    <t>2015-2-18 16:45:18.300: MarketData - Let Delta - discarding new delta value - outside tolerance - old/new/tolerance 0.944310514562117/0.816260025391422//0.01</t>
  </si>
  <si>
    <t>2015-2-18 16:45:18.327: MarketData - Let Delta - discarding new delta value - outside tolerance - old/new/tolerance -0.119609288666284/-0.135903954042435//0.01</t>
  </si>
  <si>
    <t>2015-2-18 16:45:18.350: MarketData - Let Delta - discarding new delta value - outside tolerance - old/new/tolerance -0.119609288666284/-0.131813918323191//0.01</t>
  </si>
  <si>
    <t>2015-2-18 16:45:18.365: MarketData - Let Delta - discarding new delta value - outside tolerance - old/new/tolerance -0.119609288666284/-0.149017441530937//0.01</t>
  </si>
  <si>
    <t>2015-2-18 16:45:22.152: MarketData - Let Delta - discarding new delta value - outside tolerance - old/new/tolerance 0.944310514562117/0.864507901194802//0.01</t>
  </si>
  <si>
    <t>2015-2-18 16:45:22.196: MarketData - Let Delta - discarding new delta value - outside tolerance - old/new/tolerance -0.119609288666284/-0.135679313173331//0.01</t>
  </si>
  <si>
    <t>2015-2-18 16:45:28.52: MarketData - Let Delta - discarding new delta value - outside tolerance - old/new/tolerance -0.119609288666284/-0.140702272754793//0.01</t>
  </si>
  <si>
    <t>2015-2-18 16:45:30.138: MarketData - Let Delta - discarding new delta value - outside tolerance - old/new/tolerance 0.944310514562117/0.864791554377768//0.01</t>
  </si>
  <si>
    <t>2015-2-18 16:45:30.369: MarketData - Let Delta - discarding new delta value - outside tolerance - old/new/tolerance -0.119609288666284/-0.13539565964675//0.01</t>
  </si>
  <si>
    <t>2015-2-18 16:45:34.496: MarketData - Let Delta - discarding new delta value - outside tolerance - old/new/tolerance 0.944310514562117/0.865001340522269//0.01</t>
  </si>
  <si>
    <t>2015-2-18 16:45:34.572: MarketData - Let Delta - discarding new delta value - outside tolerance - old/new/tolerance -0.119609288666284/-0.135185873248001//0.01</t>
  </si>
  <si>
    <t>2015-2-18 16:45:43.55: MarketData - Let Delta - discarding new delta value - outside tolerance - old/new/tolerance 0.944310514562117/0.864791554377768//0.01</t>
  </si>
  <si>
    <t>2015-2-18 16:45:43.264: MarketData - Let Delta - discarding new delta value - outside tolerance - old/new/tolerance -0.119609288666284/-0.13539565964675//0.01</t>
  </si>
  <si>
    <t>2015-2-18 16:45:46.51: MarketData - Let Delta - discarding new delta value - outside tolerance - old/new/tolerance 0.944310514562117/0.865001340522269//0.01</t>
  </si>
  <si>
    <t>2015-2-18 16:45:46.262: MarketData - Let Delta - discarding new delta value - outside tolerance - old/new/tolerance -0.119609288666284/-0.135185873248001//0.01</t>
  </si>
  <si>
    <t>2015-2-18 16:45:55.52: MarketData - Let Delta - discarding new delta value - outside tolerance - old/new/tolerance 0.944310514562117/0.864791554377768//0.01</t>
  </si>
  <si>
    <t>2015-2-18 16:45:55.263: MarketData - Let Delta - discarding new delta value - outside tolerance - old/new/tolerance -0.119609288666284/-0.13539565964675//0.01</t>
  </si>
  <si>
    <t>2015-2-18 16:45:58.57: MarketData - Let Delta - discarding new delta value - outside tolerance - old/new/tolerance -0.119609288666284/-0.148976487549998//0.01</t>
  </si>
  <si>
    <t>2015-2-18 16:45:58.272: MarketData - Let Delta - discarding new delta value - outside tolerance - old/new/tolerance -0.119609288666284/-0.135352459148012//0.01</t>
  </si>
  <si>
    <t>2015-2-18 16:45:59.239: MarketData - Let Delta - discarding new delta value - outside tolerance - old/new/tolerance 0.944310514562117/0.864834754630292//0.01</t>
  </si>
  <si>
    <t>2015-2-18 16:46:3.55: MarketData - Let Delta - discarding new delta value - outside tolerance - old/new/tolerance 0.944310514562117/0.86428590736917//0.01</t>
  </si>
  <si>
    <t>2015-2-18 16:46:3.268: MarketData - Let Delta - discarding new delta value - outside tolerance - old/new/tolerance -0.119609288666284/-0.135901307073912//0.01</t>
  </si>
  <si>
    <t>2015-2-18 16:46:8.50: MarketData - Let Delta - discarding new delta value - outside tolerance - old/new/tolerance -0.119609288666284/-0.140659955771677//0.01</t>
  </si>
  <si>
    <t>2015-2-18 16:46:10.56: MarketData - Let Delta - discarding new delta value - outside tolerance - old/new/tolerance 0.944310514562117/0.864828038131233//0.01</t>
  </si>
  <si>
    <t>2015-2-18 16:46:10.270: MarketData - Let Delta - discarding new delta value - outside tolerance - old/new/tolerance -0.119609288666284/-0.13535917565517//0.01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</si>
</sst>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19" fillId="0" borderId="0" xfId="0" applyFont="1"/>
    <xf numFmtId="0" fontId="20" fillId="0" borderId="0" xfId="0" applyFo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abSelected="1" zoomScale="65" zoomScaleNormal="65" workbookViewId="0">
      <selection activeCell="C16" sqref="C16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112" t="s">
        <v>124</v>
      </c>
      <c r="B6" s="112"/>
      <c r="C6" s="112"/>
      <c r="D6" s="112"/>
      <c r="E6" s="112" t="s">
        <v>125</v>
      </c>
      <c r="F6" s="112"/>
      <c r="G6" s="112" t="s">
        <v>126</v>
      </c>
      <c r="H6" s="112"/>
      <c r="I6" s="112" t="s">
        <v>127</v>
      </c>
      <c r="J6" s="112"/>
      <c r="K6" s="112" t="s">
        <v>128</v>
      </c>
      <c r="L6" s="112"/>
      <c r="M6" s="112" t="s">
        <v>129</v>
      </c>
      <c r="N6" s="112"/>
      <c r="O6" s="112"/>
      <c r="P6" s="112"/>
      <c r="Q6" s="112"/>
      <c r="R6" s="112"/>
      <c r="S6" s="112"/>
      <c r="T6" s="112"/>
      <c r="U6" s="61"/>
      <c r="V6" s="61"/>
      <c r="W6" s="61"/>
      <c r="AF6" s="36"/>
    </row>
    <row r="7" spans="1:32" x14ac:dyDescent="0.25">
      <c r="A7" s="113" t="s">
        <v>205</v>
      </c>
      <c r="B7" s="113"/>
      <c r="C7" s="113">
        <v>7497</v>
      </c>
      <c r="D7" s="113"/>
      <c r="E7" s="113">
        <v>7</v>
      </c>
      <c r="F7" s="113"/>
      <c r="G7" s="113">
        <v>5</v>
      </c>
      <c r="H7" s="113"/>
      <c r="I7" s="114">
        <v>0.96388888888888891</v>
      </c>
      <c r="J7" s="115"/>
      <c r="K7" s="110" t="s">
        <v>252</v>
      </c>
      <c r="L7" s="111"/>
      <c r="M7" s="116"/>
      <c r="N7" s="117"/>
      <c r="O7" s="116"/>
      <c r="P7" s="117"/>
      <c r="Q7" s="116"/>
      <c r="R7" s="117"/>
      <c r="S7" s="116"/>
      <c r="T7" s="117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21" t="s">
        <v>134</v>
      </c>
      <c r="B12" s="121"/>
      <c r="C12" s="121" t="s">
        <v>135</v>
      </c>
      <c r="D12" s="121"/>
      <c r="E12" s="65" t="s">
        <v>136</v>
      </c>
      <c r="F12" s="65"/>
      <c r="G12" s="121" t="s">
        <v>137</v>
      </c>
      <c r="H12" s="121"/>
      <c r="I12" s="121" t="s">
        <v>138</v>
      </c>
      <c r="J12" s="121"/>
      <c r="K12" s="112" t="s">
        <v>139</v>
      </c>
      <c r="L12" s="112"/>
      <c r="M12" s="112" t="s">
        <v>140</v>
      </c>
      <c r="N12" s="112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1023405.19</v>
      </c>
      <c r="B13" s="3"/>
      <c r="C13" s="5">
        <v>43962.89</v>
      </c>
      <c r="D13" s="3"/>
      <c r="E13" s="5">
        <v>35176.31</v>
      </c>
      <c r="F13" s="5"/>
      <c r="G13" s="5">
        <v>979442.3</v>
      </c>
      <c r="H13" s="5"/>
      <c r="I13" s="5">
        <v>-2287</v>
      </c>
      <c r="J13" s="5"/>
      <c r="K13" s="6">
        <v>0</v>
      </c>
      <c r="L13" s="4"/>
      <c r="M13" s="62" t="s">
        <v>206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18">
        <v>5</v>
      </c>
      <c r="F21" s="118"/>
      <c r="G21" s="81">
        <v>5</v>
      </c>
      <c r="H21" s="81">
        <v>10</v>
      </c>
      <c r="I21" s="81">
        <v>0.2</v>
      </c>
      <c r="J21" s="81"/>
      <c r="K21" s="119">
        <v>8</v>
      </c>
      <c r="L21" s="120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>
        <v>7</v>
      </c>
      <c r="K27" s="64">
        <v>1.5431999999999999</v>
      </c>
      <c r="L27" s="64"/>
      <c r="M27" s="64">
        <v>29</v>
      </c>
      <c r="N27" s="64">
        <v>1.5430999999999999</v>
      </c>
      <c r="O27" s="64">
        <v>1.5431999999999999</v>
      </c>
      <c r="P27" s="64">
        <v>4</v>
      </c>
      <c r="Q27" s="64"/>
      <c r="R27" s="64">
        <v>1.5432499500000001</v>
      </c>
      <c r="S27" s="64">
        <v>675171.86</v>
      </c>
      <c r="T27" s="64">
        <v>96427.46</v>
      </c>
      <c r="U27" s="64">
        <v>179.64</v>
      </c>
      <c r="V27" s="64">
        <v>0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8" t="s">
        <v>160</v>
      </c>
      <c r="D29" s="109"/>
      <c r="E29" s="12">
        <v>1.53</v>
      </c>
      <c r="F29" s="12"/>
      <c r="G29" s="109" t="s">
        <v>161</v>
      </c>
      <c r="H29" s="109"/>
      <c r="I29" s="12">
        <v>9999</v>
      </c>
      <c r="J29" s="12"/>
      <c r="K29" s="109" t="s">
        <v>162</v>
      </c>
      <c r="L29" s="109"/>
      <c r="M29" s="12">
        <v>10</v>
      </c>
      <c r="N29" s="13"/>
      <c r="O29" s="109" t="s">
        <v>163</v>
      </c>
      <c r="P29" s="109"/>
      <c r="Q29" s="30">
        <v>1.5431803988483788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8"/>
      <c r="D30" s="109"/>
      <c r="E30" s="12">
        <v>132</v>
      </c>
      <c r="F30" s="12"/>
      <c r="G30" s="109" t="s">
        <v>194</v>
      </c>
      <c r="H30" s="109"/>
      <c r="I30" s="12">
        <v>99974568</v>
      </c>
      <c r="J30" s="12"/>
      <c r="K30" s="109" t="s">
        <v>195</v>
      </c>
      <c r="L30" s="109"/>
      <c r="M30" s="12">
        <v>7</v>
      </c>
      <c r="N30" s="13"/>
      <c r="O30" s="109" t="s">
        <v>164</v>
      </c>
      <c r="P30" s="109"/>
      <c r="Q30" s="30">
        <v>1.5431789364852158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8"/>
      <c r="D31" s="109"/>
      <c r="E31" s="12">
        <v>131</v>
      </c>
      <c r="F31" s="12"/>
      <c r="G31" s="109" t="s">
        <v>192</v>
      </c>
      <c r="H31" s="109"/>
      <c r="I31" s="12">
        <v>99974567</v>
      </c>
      <c r="J31" s="12"/>
      <c r="K31" s="109" t="s">
        <v>196</v>
      </c>
      <c r="L31" s="109"/>
      <c r="M31" s="12">
        <v>3</v>
      </c>
      <c r="N31" s="13"/>
      <c r="O31" s="109" t="s">
        <v>99</v>
      </c>
      <c r="P31" s="109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04">
        <v>73</v>
      </c>
      <c r="D32" s="94"/>
      <c r="E32" s="94">
        <v>1.5037</v>
      </c>
      <c r="F32" s="94"/>
      <c r="G32" s="94" t="s">
        <v>192</v>
      </c>
      <c r="H32" s="94"/>
      <c r="I32" s="94">
        <v>73</v>
      </c>
      <c r="J32" s="94"/>
      <c r="K32" s="94">
        <v>0</v>
      </c>
      <c r="L32" s="94"/>
      <c r="M32" s="94"/>
      <c r="N32" s="95"/>
      <c r="O32" s="94"/>
      <c r="P32" s="94"/>
      <c r="Q32" s="94"/>
      <c r="R32" s="95"/>
      <c r="S32" s="94"/>
      <c r="T32" s="95"/>
      <c r="U32" s="94"/>
      <c r="V32" s="95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100" t="s">
        <v>165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Q34" s="96" t="s">
        <v>185</v>
      </c>
      <c r="R34" s="96"/>
      <c r="S34" s="96"/>
      <c r="T34" s="96"/>
      <c r="U34" s="96"/>
      <c r="V34" s="96"/>
      <c r="W34" s="96"/>
    </row>
    <row r="35" spans="1:33" s="11" customFormat="1" ht="39" customHeight="1" x14ac:dyDescent="0.3">
      <c r="A35" s="87" t="s">
        <v>26</v>
      </c>
      <c r="B35" s="98" t="s">
        <v>27</v>
      </c>
      <c r="C35" s="98"/>
      <c r="D35" s="98"/>
      <c r="E35" s="98"/>
      <c r="F35" s="88"/>
      <c r="G35" s="98" t="s">
        <v>28</v>
      </c>
      <c r="H35" s="98"/>
      <c r="I35" s="98"/>
      <c r="J35" s="98"/>
      <c r="K35" s="98"/>
      <c r="L35" s="88"/>
      <c r="M35" s="98" t="s">
        <v>166</v>
      </c>
      <c r="N35" s="98"/>
      <c r="O35" s="99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-1.2470122589583266</v>
      </c>
      <c r="R36" s="76">
        <f>SUM(X47:X67)</f>
        <v>-360.58430855174294</v>
      </c>
      <c r="S36" s="74">
        <f>SUM(W47:W67)</f>
        <v>1.2464596921799E-2</v>
      </c>
      <c r="T36" s="76">
        <f>S36*62500</f>
        <v>779.03730761243753</v>
      </c>
      <c r="U36" s="73">
        <v>0.1</v>
      </c>
      <c r="V36" s="77">
        <f>-1*U36*W36</f>
        <v>-53.125</v>
      </c>
      <c r="W36" s="77">
        <f>AG45</f>
        <v>531.25</v>
      </c>
      <c r="X36" s="46"/>
      <c r="Y36" s="46"/>
      <c r="AC36" s="38"/>
    </row>
    <row r="37" spans="1:33" ht="18.75" x14ac:dyDescent="0.3">
      <c r="A37" s="2" t="s">
        <v>179</v>
      </c>
      <c r="B37" s="16" t="s">
        <v>183</v>
      </c>
      <c r="C37" s="16">
        <v>1</v>
      </c>
      <c r="D37" s="16" t="s">
        <v>208</v>
      </c>
      <c r="E37" s="16">
        <v>1.5443</v>
      </c>
      <c r="F37" s="2">
        <v>10083</v>
      </c>
      <c r="G37" s="18" t="s">
        <v>192</v>
      </c>
      <c r="H37" s="2">
        <v>0</v>
      </c>
      <c r="I37" s="2">
        <v>1</v>
      </c>
      <c r="J37" s="2">
        <v>0</v>
      </c>
      <c r="K37" s="2">
        <v>0</v>
      </c>
      <c r="L37" s="2"/>
      <c r="M37" s="2"/>
      <c r="N37" s="2"/>
      <c r="O37" s="2"/>
      <c r="Q37" s="71" t="s">
        <v>130</v>
      </c>
      <c r="R37" s="76">
        <f>ticksUpToLoss(V36,Q36,R36)</f>
        <v>6.2512952681529041</v>
      </c>
      <c r="S37" s="76">
        <f>ticksDownToLoss(V36,Q36,R36)</f>
        <v>-75.417491876477229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179</v>
      </c>
      <c r="B38" s="16" t="s">
        <v>193</v>
      </c>
      <c r="C38" s="16">
        <v>1</v>
      </c>
      <c r="D38" s="16" t="s">
        <v>208</v>
      </c>
      <c r="E38" s="16">
        <v>1.5355000000000001</v>
      </c>
      <c r="F38" s="2">
        <v>10086</v>
      </c>
      <c r="G38" s="18" t="s">
        <v>192</v>
      </c>
      <c r="H38" s="2">
        <v>0</v>
      </c>
      <c r="I38" s="2">
        <v>1</v>
      </c>
      <c r="J38" s="2">
        <v>0</v>
      </c>
      <c r="K38" s="2">
        <v>0</v>
      </c>
      <c r="L38" s="2"/>
      <c r="M38" s="2"/>
      <c r="N38" s="2"/>
      <c r="O38" s="2"/>
      <c r="Q38" s="71" t="s">
        <v>131</v>
      </c>
      <c r="R38" s="76">
        <f>Q36+R36*(R37*0.0001)</f>
        <v>-1.4724241571402963</v>
      </c>
      <c r="S38" s="76">
        <f>Q36+R36*(S37*0.0001)</f>
        <v>1.4724241571402965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96" t="s">
        <v>132</v>
      </c>
      <c r="R39" s="96"/>
      <c r="S39" s="96"/>
      <c r="T39" s="96" t="s">
        <v>188</v>
      </c>
      <c r="U39" s="96"/>
      <c r="V39" s="96" t="s">
        <v>189</v>
      </c>
      <c r="W39" s="96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1.5437751295268152</v>
      </c>
      <c r="S40" s="76">
        <f>ROUND(-R38,0)</f>
        <v>1</v>
      </c>
      <c r="T40" s="72" t="s">
        <v>186</v>
      </c>
      <c r="U40" s="78">
        <v>10</v>
      </c>
      <c r="V40" s="84">
        <v>1.5443</v>
      </c>
      <c r="W40" s="76">
        <v>1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1.5356082508123521</v>
      </c>
      <c r="S41" s="76">
        <f>ROUND(-S38,0)</f>
        <v>-1</v>
      </c>
      <c r="T41" s="72" t="s">
        <v>187</v>
      </c>
      <c r="U41" s="78">
        <v>1</v>
      </c>
      <c r="V41" s="84">
        <v>1.5355000000000001</v>
      </c>
      <c r="W41" s="76">
        <v>1</v>
      </c>
      <c r="X41" s="37"/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07" t="s">
        <v>202</v>
      </c>
      <c r="J42" s="107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101" t="s">
        <v>13</v>
      </c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97" t="s">
        <v>101</v>
      </c>
      <c r="O45" s="97"/>
      <c r="P45" s="97"/>
      <c r="Q45" s="97"/>
      <c r="R45" s="97"/>
      <c r="S45" s="97"/>
      <c r="T45" s="97" t="s">
        <v>108</v>
      </c>
      <c r="U45" s="97"/>
      <c r="V45" s="97"/>
      <c r="W45" s="97"/>
      <c r="AG45" s="48">
        <f>SUM(AD47:AD67)</f>
        <v>531.25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207</v>
      </c>
      <c r="B47" s="2">
        <v>-10</v>
      </c>
      <c r="C47" s="2">
        <v>1.42621E-2</v>
      </c>
      <c r="D47" s="2">
        <v>-8913.81</v>
      </c>
      <c r="E47" s="2">
        <v>478.79</v>
      </c>
      <c r="F47" s="28">
        <v>-4125.91</v>
      </c>
      <c r="G47" s="2">
        <v>0</v>
      </c>
      <c r="H47" s="2">
        <v>0</v>
      </c>
      <c r="I47" s="2">
        <v>0</v>
      </c>
      <c r="J47" s="2">
        <v>15</v>
      </c>
      <c r="K47" s="2">
        <v>1.34E-2</v>
      </c>
      <c r="L47" s="2">
        <v>1.47E-2</v>
      </c>
      <c r="M47" s="2">
        <v>15</v>
      </c>
      <c r="N47" s="2">
        <v>0.10290401288121132</v>
      </c>
      <c r="O47" s="2">
        <v>0.9443105145621169</v>
      </c>
      <c r="P47" s="2">
        <v>0</v>
      </c>
      <c r="Q47" s="33">
        <v>-6.2317776202684791E-4</v>
      </c>
      <c r="R47" s="2">
        <v>2.8818604856902311E-4</v>
      </c>
      <c r="S47" s="2">
        <v>1.5431999999999999</v>
      </c>
      <c r="T47" s="2">
        <v>18.029215427587147</v>
      </c>
      <c r="U47" s="2">
        <f>O47*B47</f>
        <v>-9.4431051456211694</v>
      </c>
      <c r="V47" s="2">
        <v>1.5804</v>
      </c>
      <c r="W47" s="2">
        <f t="shared" ref="W47:W67" si="0">Q47*B47</f>
        <v>6.2317776202684789E-3</v>
      </c>
      <c r="X47">
        <f>IF(ISERR(T47),0,T47*B47)</f>
        <v>-180.29215427587147</v>
      </c>
      <c r="Y47">
        <f t="shared" ref="Y47:Y67" si="1">IF(X47 = 0,0,(W47*-10000)/X47)</f>
        <v>0.34564885229187586</v>
      </c>
      <c r="Z47" s="85">
        <f>midMarket(K47,L47) +AA47/10000</f>
        <v>2.7149999999999889E-2</v>
      </c>
      <c r="AA47">
        <f>IF(rightFromSymbol(A47)="C",MAX(0,$N$27-strikeFromSymbol(A47)),MAX(0,strikeFromSymbol(A47)-$N$27))*10000</f>
        <v>130.99999999999889</v>
      </c>
      <c r="AB47" s="86">
        <f>MAX(0,Z47-AA47) * 10000</f>
        <v>0</v>
      </c>
      <c r="AC47" s="49">
        <f t="shared" ref="AC47:AC67" si="2">-AB47*B47</f>
        <v>0</v>
      </c>
      <c r="AD47" s="48">
        <f t="shared" ref="AD47:AD55" si="3">MAX(0,AC47*6.25)</f>
        <v>0</v>
      </c>
    </row>
    <row r="48" spans="1:33" x14ac:dyDescent="0.25">
      <c r="A48" s="2" t="s">
        <v>211</v>
      </c>
      <c r="B48" s="2">
        <v>-10</v>
      </c>
      <c r="C48" s="2">
        <v>9.0534999999999997E-4</v>
      </c>
      <c r="D48" s="2">
        <v>-565.83000000000004</v>
      </c>
      <c r="E48" s="2">
        <v>222.54</v>
      </c>
      <c r="F48" s="28">
        <v>1659.57</v>
      </c>
      <c r="G48" s="2">
        <v>0</v>
      </c>
      <c r="H48" s="2">
        <v>8.0000000000000004E-4</v>
      </c>
      <c r="I48" s="2">
        <v>52</v>
      </c>
      <c r="J48" s="2">
        <v>52</v>
      </c>
      <c r="K48" s="2">
        <v>8.0000000000000004E-4</v>
      </c>
      <c r="L48" s="2">
        <v>8.9999999999999998E-4</v>
      </c>
      <c r="M48" s="2">
        <v>30</v>
      </c>
      <c r="N48" s="2">
        <v>0.10290401288121132</v>
      </c>
      <c r="O48" s="2">
        <v>-0.11960928866628427</v>
      </c>
      <c r="P48" s="2">
        <v>0</v>
      </c>
      <c r="Q48" s="33">
        <v>-6.2328193015305218E-4</v>
      </c>
      <c r="R48" s="2">
        <v>2.8818637288958798E-4</v>
      </c>
      <c r="S48" s="2">
        <v>1.5431999999999999</v>
      </c>
      <c r="T48" s="2">
        <v>18.029215427587147</v>
      </c>
      <c r="U48" s="2">
        <f t="shared" ref="U48:U67" si="4">O48*B48</f>
        <v>1.1960928866628426</v>
      </c>
      <c r="V48" s="2">
        <v>1.5804</v>
      </c>
      <c r="W48" s="2">
        <f t="shared" si="0"/>
        <v>6.2328193015305216E-3</v>
      </c>
      <c r="X48">
        <f t="shared" ref="X48:X67" si="5">IF(ISERR(T48),0,T48*B48)</f>
        <v>-180.29215427587147</v>
      </c>
      <c r="Y48">
        <f t="shared" si="1"/>
        <v>0.34570662969579152</v>
      </c>
      <c r="Z48" s="85">
        <f>midMarket(K48,L48) +AA48/10000</f>
        <v>8.5000000000000006E-4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8.5</v>
      </c>
      <c r="AC48" s="49">
        <f t="shared" si="2"/>
        <v>85</v>
      </c>
      <c r="AD48" s="48">
        <f t="shared" si="3"/>
        <v>531.25</v>
      </c>
    </row>
    <row r="49" spans="1:30" x14ac:dyDescent="0.25">
      <c r="A49" s="2"/>
      <c r="B49" s="2"/>
      <c r="C49" s="2"/>
      <c r="D49" s="2"/>
      <c r="E49" s="2"/>
      <c r="F49" s="28"/>
      <c r="G49" s="2"/>
      <c r="H49" s="2"/>
      <c r="I49" s="2"/>
      <c r="J49" s="2"/>
      <c r="K49" s="2"/>
      <c r="L49" s="2"/>
      <c r="M49" s="2"/>
      <c r="N49" s="2"/>
      <c r="O49" s="2"/>
      <c r="P49" s="2"/>
      <c r="Q49" s="33"/>
      <c r="R49" s="2"/>
      <c r="S49" s="2"/>
      <c r="T49" s="2"/>
      <c r="U49" s="2">
        <f t="shared" si="4"/>
        <v>0</v>
      </c>
      <c r="V49" s="2">
        <v>1.5804</v>
      </c>
      <c r="W49" s="2">
        <f t="shared" si="0"/>
        <v>0</v>
      </c>
      <c r="X49">
        <f t="shared" si="5"/>
        <v>0</v>
      </c>
      <c r="Y49">
        <f t="shared" si="1"/>
        <v>0</v>
      </c>
      <c r="Z49" s="85">
        <f>midMarket(K49,L49) +AA49/10000</f>
        <v>0</v>
      </c>
      <c r="AA49">
        <f>IF(rightFromSymbol(A49)="C",MAX(0,$N$27-strikeFromSymbol(A49)),MAX(0,strikeFromSymbol(A49)-$N$27))*10000</f>
        <v>0</v>
      </c>
      <c r="AB49" s="86">
        <f t="shared" si="6"/>
        <v>0</v>
      </c>
      <c r="AC49" s="49">
        <f t="shared" si="2"/>
        <v>0</v>
      </c>
      <c r="AD49" s="48">
        <f t="shared" si="3"/>
        <v>0</v>
      </c>
    </row>
    <row r="50" spans="1:30" x14ac:dyDescent="0.25">
      <c r="A50" s="2"/>
      <c r="B50" s="2"/>
      <c r="C50" s="2"/>
      <c r="D50" s="2"/>
      <c r="E50" s="2"/>
      <c r="F50" s="28"/>
      <c r="G50" s="2"/>
      <c r="H50" s="2"/>
      <c r="I50" s="2"/>
      <c r="J50" s="2"/>
      <c r="K50" s="2"/>
      <c r="L50" s="2"/>
      <c r="M50" s="2"/>
      <c r="N50" s="2"/>
      <c r="O50" s="2"/>
      <c r="P50" s="2"/>
      <c r="Q50" s="33"/>
      <c r="R50" s="2"/>
      <c r="S50" s="2"/>
      <c r="T50" s="2"/>
      <c r="U50" s="2">
        <f t="shared" si="4"/>
        <v>0</v>
      </c>
      <c r="V50" s="2">
        <v>1.5804</v>
      </c>
      <c r="W50" s="2">
        <f t="shared" si="0"/>
        <v>0</v>
      </c>
      <c r="X50">
        <f t="shared" si="5"/>
        <v>0</v>
      </c>
      <c r="Y50">
        <f t="shared" si="1"/>
        <v>0</v>
      </c>
      <c r="Z50" s="85">
        <f t="shared" ref="Z50:Z67" si="7">midMarket(K50,L50) +AA50/10000</f>
        <v>0</v>
      </c>
      <c r="AA50">
        <f>IF(rightFromSymbol(A50)="C",MAX(0,$N$27-strikeFromSymbol(A50)),MAX(0,strikeFromSymbol(A50)-$N$27))*10000</f>
        <v>0</v>
      </c>
      <c r="AB50" s="86">
        <f t="shared" si="6"/>
        <v>0</v>
      </c>
      <c r="AC50" s="49">
        <f t="shared" si="2"/>
        <v>0</v>
      </c>
      <c r="AD50" s="48">
        <f t="shared" si="3"/>
        <v>0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4"/>
        <v>0</v>
      </c>
      <c r="V51" s="2">
        <v>1.5804</v>
      </c>
      <c r="W51" s="2">
        <f t="shared" si="0"/>
        <v>0</v>
      </c>
      <c r="X51">
        <f t="shared" si="5"/>
        <v>0</v>
      </c>
      <c r="Y51">
        <f t="shared" si="1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2"/>
        <v>0</v>
      </c>
      <c r="AD51" s="48">
        <f t="shared" si="3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4"/>
        <v>0</v>
      </c>
      <c r="V52" s="2">
        <v>1.5804</v>
      </c>
      <c r="W52" s="2">
        <f t="shared" si="0"/>
        <v>0</v>
      </c>
      <c r="X52">
        <f t="shared" si="5"/>
        <v>0</v>
      </c>
      <c r="Y52">
        <f t="shared" si="1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2"/>
        <v>0</v>
      </c>
      <c r="AD52" s="48">
        <f t="shared" si="3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4"/>
        <v>0</v>
      </c>
      <c r="V53" s="2">
        <v>1.5804</v>
      </c>
      <c r="W53" s="2">
        <f t="shared" si="0"/>
        <v>0</v>
      </c>
      <c r="X53">
        <f t="shared" si="5"/>
        <v>0</v>
      </c>
      <c r="Y53">
        <f t="shared" si="1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2"/>
        <v>0</v>
      </c>
      <c r="AD53" s="48">
        <f t="shared" si="3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4"/>
        <v>0</v>
      </c>
      <c r="V54" s="2">
        <v>1.5804</v>
      </c>
      <c r="W54" s="2">
        <f t="shared" si="0"/>
        <v>0</v>
      </c>
      <c r="X54">
        <f t="shared" si="5"/>
        <v>0</v>
      </c>
      <c r="Y54">
        <f t="shared" si="1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2"/>
        <v>0</v>
      </c>
      <c r="AD54" s="48">
        <f t="shared" si="3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4"/>
        <v>0</v>
      </c>
      <c r="V55" s="2">
        <v>1.5804</v>
      </c>
      <c r="W55" s="2">
        <f t="shared" si="0"/>
        <v>0</v>
      </c>
      <c r="X55">
        <f t="shared" si="5"/>
        <v>0</v>
      </c>
      <c r="Y55">
        <f t="shared" si="1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2"/>
        <v>0</v>
      </c>
      <c r="AD55" s="48">
        <f t="shared" si="3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4"/>
        <v>0</v>
      </c>
      <c r="V56" s="2">
        <v>1.5804</v>
      </c>
      <c r="W56" s="2">
        <f t="shared" si="0"/>
        <v>0</v>
      </c>
      <c r="X56">
        <f t="shared" si="5"/>
        <v>0</v>
      </c>
      <c r="Y56">
        <f t="shared" si="1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4"/>
        <v>0</v>
      </c>
      <c r="V57" s="2">
        <v>1.5804</v>
      </c>
      <c r="W57" s="2">
        <f t="shared" si="0"/>
        <v>0</v>
      </c>
      <c r="X57">
        <f t="shared" si="5"/>
        <v>0</v>
      </c>
      <c r="Y57">
        <f t="shared" si="1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2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4"/>
        <v>0</v>
      </c>
      <c r="V58" s="2"/>
      <c r="W58" s="2">
        <f t="shared" si="0"/>
        <v>0</v>
      </c>
      <c r="X58">
        <f t="shared" si="5"/>
        <v>0</v>
      </c>
      <c r="Y58">
        <f t="shared" si="1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2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4"/>
        <v>0</v>
      </c>
      <c r="V59" s="2"/>
      <c r="W59" s="2">
        <f t="shared" si="0"/>
        <v>0</v>
      </c>
      <c r="X59">
        <f t="shared" si="5"/>
        <v>0</v>
      </c>
      <c r="Y59">
        <f t="shared" si="1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2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4"/>
        <v>0</v>
      </c>
      <c r="V60" s="2"/>
      <c r="W60" s="2">
        <f t="shared" si="0"/>
        <v>0</v>
      </c>
      <c r="X60">
        <f t="shared" si="5"/>
        <v>0</v>
      </c>
      <c r="Y60">
        <f t="shared" si="1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2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4"/>
        <v>0</v>
      </c>
      <c r="V61" s="2"/>
      <c r="W61" s="2">
        <f t="shared" si="0"/>
        <v>0</v>
      </c>
      <c r="X61">
        <f t="shared" si="5"/>
        <v>0</v>
      </c>
      <c r="Y61">
        <f t="shared" si="1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2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4"/>
        <v>0</v>
      </c>
      <c r="V62" s="2"/>
      <c r="W62" s="2">
        <f t="shared" si="0"/>
        <v>0</v>
      </c>
      <c r="X62">
        <f t="shared" si="5"/>
        <v>0</v>
      </c>
      <c r="Y62">
        <f t="shared" si="1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2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4"/>
        <v>0</v>
      </c>
      <c r="V63" s="2"/>
      <c r="W63" s="2">
        <f t="shared" si="0"/>
        <v>0</v>
      </c>
      <c r="X63">
        <f t="shared" si="5"/>
        <v>0</v>
      </c>
      <c r="Y63">
        <f t="shared" si="1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2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4"/>
        <v>0</v>
      </c>
      <c r="V64" s="2"/>
      <c r="W64" s="2">
        <f t="shared" si="0"/>
        <v>0</v>
      </c>
      <c r="X64">
        <f t="shared" si="5"/>
        <v>0</v>
      </c>
      <c r="Y64">
        <f t="shared" si="1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2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4"/>
        <v>0</v>
      </c>
      <c r="V65" s="2"/>
      <c r="W65" s="2">
        <f t="shared" si="0"/>
        <v>0</v>
      </c>
      <c r="X65">
        <f t="shared" si="5"/>
        <v>0</v>
      </c>
      <c r="Y65">
        <f t="shared" si="1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2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4"/>
        <v>0</v>
      </c>
      <c r="V66" s="2"/>
      <c r="W66" s="2">
        <f t="shared" si="0"/>
        <v>0</v>
      </c>
      <c r="X66">
        <f t="shared" si="5"/>
        <v>0</v>
      </c>
      <c r="Y66">
        <f t="shared" si="1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2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4"/>
        <v>0</v>
      </c>
      <c r="V67" s="2"/>
      <c r="W67" s="2">
        <f t="shared" si="0"/>
        <v>0</v>
      </c>
      <c r="X67">
        <f t="shared" si="5"/>
        <v>0</v>
      </c>
      <c r="Y67">
        <f t="shared" si="1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2"/>
        <v>0</v>
      </c>
      <c r="AD67" s="48">
        <f t="shared" si="8"/>
        <v>0</v>
      </c>
    </row>
    <row r="73" spans="1:30" x14ac:dyDescent="0.25">
      <c r="A73" s="105" t="s">
        <v>173</v>
      </c>
      <c r="B73" s="106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</row>
    <row r="74" spans="1:30" x14ac:dyDescent="0.25">
      <c r="A74" s="102" t="s">
        <v>41</v>
      </c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3" t="s">
        <v>123</v>
      </c>
      <c r="AF1" s="123"/>
      <c r="AG1" s="123"/>
      <c r="AH1" s="123"/>
      <c r="AI1" s="123"/>
      <c r="AJ1" s="123"/>
      <c r="AK1" s="123"/>
    </row>
    <row r="4" spans="2:37" x14ac:dyDescent="0.25">
      <c r="B4" s="100" t="s">
        <v>13</v>
      </c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00"/>
      <c r="R4" s="101"/>
      <c r="S4" s="101"/>
      <c r="T4" s="97" t="s">
        <v>101</v>
      </c>
      <c r="U4" s="97"/>
      <c r="V4" s="97"/>
      <c r="W4" s="97"/>
      <c r="X4" s="97"/>
      <c r="Y4" s="97"/>
      <c r="Z4" s="97"/>
      <c r="AA4" s="97"/>
      <c r="AB4" s="97" t="s">
        <v>108</v>
      </c>
      <c r="AC4" s="97"/>
      <c r="AD4" s="97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42</v>
      </c>
    </row>
    <row r="11" spans="1:2" x14ac:dyDescent="0.25">
      <c r="A11" t="s">
        <v>204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35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212</v>
      </c>
    </row>
    <row r="2" spans="1:1" x14ac:dyDescent="0.25">
      <c r="A2" s="93" t="s">
        <v>213</v>
      </c>
    </row>
    <row r="3" spans="1:1" x14ac:dyDescent="0.25">
      <c r="A3" t="s">
        <v>214</v>
      </c>
    </row>
    <row r="4" spans="1:1" x14ac:dyDescent="0.25">
      <c r="A4" s="27" t="s">
        <v>215</v>
      </c>
    </row>
    <row r="5" spans="1:1" x14ac:dyDescent="0.25">
      <c r="A5" s="27" t="s">
        <v>216</v>
      </c>
    </row>
    <row r="6" spans="1:1" x14ac:dyDescent="0.25">
      <c r="A6" s="27" t="s">
        <v>216</v>
      </c>
    </row>
    <row r="7" spans="1:1" x14ac:dyDescent="0.25">
      <c r="A7" s="27" t="s">
        <v>216</v>
      </c>
    </row>
    <row r="8" spans="1:1" x14ac:dyDescent="0.25">
      <c r="A8" s="27" t="s">
        <v>217</v>
      </c>
    </row>
    <row r="9" spans="1:1" x14ac:dyDescent="0.25">
      <c r="A9" s="27" t="s">
        <v>217</v>
      </c>
    </row>
    <row r="10" spans="1:1" x14ac:dyDescent="0.25">
      <c r="A10" s="27" t="s">
        <v>217</v>
      </c>
    </row>
    <row r="11" spans="1:1" x14ac:dyDescent="0.25">
      <c r="A11" s="27" t="s">
        <v>218</v>
      </c>
    </row>
    <row r="12" spans="1:1" x14ac:dyDescent="0.25">
      <c r="A12" s="27" t="s">
        <v>218</v>
      </c>
    </row>
    <row r="13" spans="1:1" x14ac:dyDescent="0.25">
      <c r="A13" s="27" t="s">
        <v>218</v>
      </c>
    </row>
    <row r="14" spans="1:1" x14ac:dyDescent="0.25">
      <c r="A14" s="27" t="s">
        <v>219</v>
      </c>
    </row>
    <row r="15" spans="1:1" x14ac:dyDescent="0.25">
      <c r="A15" s="27" t="s">
        <v>219</v>
      </c>
    </row>
    <row r="16" spans="1:1" x14ac:dyDescent="0.25">
      <c r="A16" s="27" t="s">
        <v>219</v>
      </c>
    </row>
    <row r="17" spans="1:1" x14ac:dyDescent="0.25">
      <c r="A17" s="27" t="s">
        <v>220</v>
      </c>
    </row>
    <row r="18" spans="1:1" x14ac:dyDescent="0.25">
      <c r="A18" s="92" t="s">
        <v>221</v>
      </c>
    </row>
    <row r="19" spans="1:1" x14ac:dyDescent="0.25">
      <c r="A19" s="93" t="s">
        <v>222</v>
      </c>
    </row>
    <row r="20" spans="1:1" x14ac:dyDescent="0.25">
      <c r="A20" t="s">
        <v>223</v>
      </c>
    </row>
    <row r="21" spans="1:1" x14ac:dyDescent="0.25">
      <c r="A21" s="27" t="s">
        <v>224</v>
      </c>
    </row>
    <row r="22" spans="1:1" x14ac:dyDescent="0.25">
      <c r="A22" s="27" t="s">
        <v>225</v>
      </c>
    </row>
    <row r="23" spans="1:1" x14ac:dyDescent="0.25">
      <c r="A23" s="27" t="s">
        <v>225</v>
      </c>
    </row>
    <row r="24" spans="1:1" x14ac:dyDescent="0.25">
      <c r="A24" s="27" t="s">
        <v>225</v>
      </c>
    </row>
    <row r="25" spans="1:1" x14ac:dyDescent="0.25">
      <c r="A25" s="27" t="s">
        <v>226</v>
      </c>
    </row>
    <row r="26" spans="1:1" x14ac:dyDescent="0.25">
      <c r="A26" s="27" t="s">
        <v>226</v>
      </c>
    </row>
    <row r="27" spans="1:1" x14ac:dyDescent="0.25">
      <c r="A27" s="27" t="s">
        <v>226</v>
      </c>
    </row>
    <row r="28" spans="1:1" x14ac:dyDescent="0.25">
      <c r="A28" s="27" t="s">
        <v>227</v>
      </c>
    </row>
    <row r="29" spans="1:1" x14ac:dyDescent="0.25">
      <c r="A29" s="27" t="s">
        <v>227</v>
      </c>
    </row>
    <row r="30" spans="1:1" x14ac:dyDescent="0.25">
      <c r="A30" s="27" t="s">
        <v>227</v>
      </c>
    </row>
    <row r="31" spans="1:1" x14ac:dyDescent="0.25">
      <c r="A31" s="27" t="s">
        <v>228</v>
      </c>
    </row>
    <row r="32" spans="1:1" x14ac:dyDescent="0.25">
      <c r="A32" s="27" t="s">
        <v>228</v>
      </c>
    </row>
    <row r="33" spans="1:1" x14ac:dyDescent="0.25">
      <c r="A33" s="27" t="s">
        <v>228</v>
      </c>
    </row>
    <row r="34" spans="1:1" x14ac:dyDescent="0.25">
      <c r="A34" s="27" t="s">
        <v>229</v>
      </c>
    </row>
    <row r="35" spans="1:1" x14ac:dyDescent="0.25">
      <c r="A35" s="92" t="s">
        <v>230</v>
      </c>
    </row>
    <row r="36" spans="1:1" x14ac:dyDescent="0.25">
      <c r="A36" s="92" t="s">
        <v>231</v>
      </c>
    </row>
    <row r="37" spans="1:1" x14ac:dyDescent="0.25">
      <c r="A37" s="93" t="s">
        <v>232</v>
      </c>
    </row>
    <row r="38" spans="1:1" x14ac:dyDescent="0.25">
      <c r="A38" t="s">
        <v>233</v>
      </c>
    </row>
    <row r="39" spans="1:1" x14ac:dyDescent="0.25">
      <c r="A39" s="27" t="s">
        <v>234</v>
      </c>
    </row>
    <row r="40" spans="1:1" x14ac:dyDescent="0.25">
      <c r="A40" s="27" t="s">
        <v>235</v>
      </c>
    </row>
    <row r="41" spans="1:1" x14ac:dyDescent="0.25">
      <c r="A41" s="27" t="s">
        <v>236</v>
      </c>
    </row>
    <row r="42" spans="1:1" x14ac:dyDescent="0.25">
      <c r="A42" s="27" t="s">
        <v>236</v>
      </c>
    </row>
    <row r="43" spans="1:1" x14ac:dyDescent="0.25">
      <c r="A43" s="27" t="s">
        <v>236</v>
      </c>
    </row>
    <row r="44" spans="1:1" x14ac:dyDescent="0.25">
      <c r="A44" s="27" t="s">
        <v>237</v>
      </c>
    </row>
    <row r="45" spans="1:1" x14ac:dyDescent="0.25">
      <c r="A45" s="27" t="s">
        <v>237</v>
      </c>
    </row>
    <row r="46" spans="1:1" x14ac:dyDescent="0.25">
      <c r="A46" s="27" t="s">
        <v>237</v>
      </c>
    </row>
    <row r="47" spans="1:1" x14ac:dyDescent="0.25">
      <c r="A47" s="27" t="s">
        <v>238</v>
      </c>
    </row>
    <row r="48" spans="1:1" x14ac:dyDescent="0.25">
      <c r="A48" s="27" t="s">
        <v>238</v>
      </c>
    </row>
    <row r="49" spans="1:1" x14ac:dyDescent="0.25">
      <c r="A49" s="27" t="s">
        <v>238</v>
      </c>
    </row>
    <row r="50" spans="1:1" x14ac:dyDescent="0.25">
      <c r="A50" s="27" t="s">
        <v>239</v>
      </c>
    </row>
    <row r="51" spans="1:1" x14ac:dyDescent="0.25">
      <c r="A51" s="27" t="s">
        <v>239</v>
      </c>
    </row>
    <row r="52" spans="1:1" x14ac:dyDescent="0.25">
      <c r="A52" s="27" t="s">
        <v>239</v>
      </c>
    </row>
    <row r="53" spans="1:1" x14ac:dyDescent="0.25">
      <c r="A53" s="92" t="s">
        <v>240</v>
      </c>
    </row>
    <row r="54" spans="1:1" x14ac:dyDescent="0.25">
      <c r="A54" s="93" t="s">
        <v>241</v>
      </c>
    </row>
    <row r="55" spans="1:1" x14ac:dyDescent="0.25">
      <c r="A55" t="s">
        <v>242</v>
      </c>
    </row>
    <row r="56" spans="1:1" x14ac:dyDescent="0.25">
      <c r="A56" s="27" t="s">
        <v>243</v>
      </c>
    </row>
    <row r="57" spans="1:1" x14ac:dyDescent="0.25">
      <c r="A57" s="27" t="s">
        <v>244</v>
      </c>
    </row>
    <row r="58" spans="1:1" x14ac:dyDescent="0.25">
      <c r="A58" s="27" t="s">
        <v>244</v>
      </c>
    </row>
    <row r="59" spans="1:1" x14ac:dyDescent="0.25">
      <c r="A59" s="27" t="s">
        <v>244</v>
      </c>
    </row>
    <row r="60" spans="1:1" x14ac:dyDescent="0.25">
      <c r="A60" s="27" t="s">
        <v>245</v>
      </c>
    </row>
    <row r="61" spans="1:1" x14ac:dyDescent="0.25">
      <c r="A61" s="27" t="s">
        <v>245</v>
      </c>
    </row>
    <row r="62" spans="1:1" x14ac:dyDescent="0.25">
      <c r="A62" s="27" t="s">
        <v>245</v>
      </c>
    </row>
    <row r="63" spans="1:1" x14ac:dyDescent="0.25">
      <c r="A63" s="27" t="s">
        <v>246</v>
      </c>
    </row>
    <row r="64" spans="1:1" x14ac:dyDescent="0.25">
      <c r="A64" s="27" t="s">
        <v>246</v>
      </c>
    </row>
    <row r="65" spans="1:1" x14ac:dyDescent="0.25">
      <c r="A65" s="27" t="s">
        <v>246</v>
      </c>
    </row>
    <row r="66" spans="1:1" x14ac:dyDescent="0.25">
      <c r="A66" s="27" t="s">
        <v>247</v>
      </c>
    </row>
    <row r="67" spans="1:1" x14ac:dyDescent="0.25">
      <c r="A67" s="27" t="s">
        <v>247</v>
      </c>
    </row>
    <row r="68" spans="1:1" x14ac:dyDescent="0.25">
      <c r="A68" s="27" t="s">
        <v>247</v>
      </c>
    </row>
    <row r="69" spans="1:1" x14ac:dyDescent="0.25">
      <c r="A69" s="27" t="s">
        <v>248</v>
      </c>
    </row>
    <row r="70" spans="1:1" x14ac:dyDescent="0.25">
      <c r="A70" s="92" t="s">
        <v>249</v>
      </c>
    </row>
    <row r="71" spans="1:1" x14ac:dyDescent="0.25">
      <c r="A71" s="92" t="s">
        <v>250</v>
      </c>
    </row>
    <row r="72" spans="1:1" x14ac:dyDescent="0.25">
      <c r="A72" s="93" t="s">
        <v>251</v>
      </c>
    </row>
    <row r="73" spans="1:1" x14ac:dyDescent="0.25">
      <c r="A73" s="27" t="s">
        <v>253</v>
      </c>
    </row>
    <row r="74" spans="1:1" x14ac:dyDescent="0.25">
      <c r="A74" s="27" t="s">
        <v>254</v>
      </c>
    </row>
    <row r="75" spans="1:1" x14ac:dyDescent="0.25">
      <c r="A75" s="27" t="s">
        <v>255</v>
      </c>
    </row>
    <row r="76" spans="1:1" x14ac:dyDescent="0.25">
      <c r="A76" s="27" t="s">
        <v>256</v>
      </c>
    </row>
    <row r="77" spans="1:1" x14ac:dyDescent="0.25">
      <c r="A77" s="27" t="s">
        <v>257</v>
      </c>
    </row>
    <row r="78" spans="1:1" x14ac:dyDescent="0.25">
      <c r="A78" s="27" t="s">
        <v>258</v>
      </c>
    </row>
    <row r="79" spans="1:1" x14ac:dyDescent="0.25">
      <c r="A79" s="27" t="s">
        <v>259</v>
      </c>
    </row>
    <row r="80" spans="1:1" x14ac:dyDescent="0.25">
      <c r="A80" t="s">
        <v>260</v>
      </c>
    </row>
    <row r="81" spans="1:1" x14ac:dyDescent="0.25">
      <c r="A81" t="s">
        <v>261</v>
      </c>
    </row>
    <row r="82" spans="1:1" x14ac:dyDescent="0.25">
      <c r="A82" s="92" t="s">
        <v>262</v>
      </c>
    </row>
    <row r="83" spans="1:1" x14ac:dyDescent="0.25">
      <c r="A83" s="93" t="s">
        <v>263</v>
      </c>
    </row>
    <row r="84" spans="1:1" x14ac:dyDescent="0.25">
      <c r="A84" t="s">
        <v>264</v>
      </c>
    </row>
    <row r="85" spans="1:1" x14ac:dyDescent="0.25">
      <c r="A85" s="27" t="s">
        <v>265</v>
      </c>
    </row>
    <row r="86" spans="1:1" x14ac:dyDescent="0.25">
      <c r="A86" s="27" t="s">
        <v>266</v>
      </c>
    </row>
    <row r="87" spans="1:1" x14ac:dyDescent="0.25">
      <c r="A87" s="27" t="s">
        <v>267</v>
      </c>
    </row>
    <row r="88" spans="1:1" x14ac:dyDescent="0.25">
      <c r="A88" s="27" t="s">
        <v>268</v>
      </c>
    </row>
    <row r="89" spans="1:1" x14ac:dyDescent="0.25">
      <c r="A89" s="27" t="s">
        <v>269</v>
      </c>
    </row>
    <row r="90" spans="1:1" x14ac:dyDescent="0.25">
      <c r="A90" s="27" t="s">
        <v>270</v>
      </c>
    </row>
    <row r="91" spans="1:1" x14ac:dyDescent="0.25">
      <c r="A91" s="27" t="s">
        <v>271</v>
      </c>
    </row>
    <row r="92" spans="1:1" x14ac:dyDescent="0.25">
      <c r="A92" s="27" t="s">
        <v>272</v>
      </c>
    </row>
    <row r="93" spans="1:1" x14ac:dyDescent="0.25">
      <c r="A93" s="27" t="s">
        <v>273</v>
      </c>
    </row>
    <row r="94" spans="1:1" x14ac:dyDescent="0.25">
      <c r="A94" s="27" t="s">
        <v>274</v>
      </c>
    </row>
    <row r="95" spans="1:1" x14ac:dyDescent="0.25">
      <c r="A95" s="27" t="s">
        <v>275</v>
      </c>
    </row>
    <row r="96" spans="1:1" x14ac:dyDescent="0.25">
      <c r="A96" s="27" t="s">
        <v>276</v>
      </c>
    </row>
    <row r="97" spans="1:1" x14ac:dyDescent="0.25">
      <c r="A97" s="27" t="s">
        <v>277</v>
      </c>
    </row>
    <row r="98" spans="1:1" x14ac:dyDescent="0.25">
      <c r="A98" s="27" t="s">
        <v>278</v>
      </c>
    </row>
    <row r="99" spans="1:1" x14ac:dyDescent="0.25">
      <c r="A99" s="92" t="s">
        <v>279</v>
      </c>
    </row>
    <row r="100" spans="1:1" x14ac:dyDescent="0.25">
      <c r="A100" s="92" t="s">
        <v>280</v>
      </c>
    </row>
    <row r="101" spans="1:1" x14ac:dyDescent="0.25">
      <c r="A101" s="27" t="s">
        <v>281</v>
      </c>
    </row>
    <row r="102" spans="1:1" x14ac:dyDescent="0.25">
      <c r="A102" s="27" t="s">
        <v>282</v>
      </c>
    </row>
    <row r="103" spans="1:1" x14ac:dyDescent="0.25">
      <c r="A103" s="27" t="s">
        <v>283</v>
      </c>
    </row>
    <row r="104" spans="1:1" x14ac:dyDescent="0.25">
      <c r="A104" s="93" t="s">
        <v>284</v>
      </c>
    </row>
    <row r="105" spans="1:1" x14ac:dyDescent="0.25">
      <c r="A105" t="s">
        <v>285</v>
      </c>
    </row>
    <row r="106" spans="1:1" x14ac:dyDescent="0.25">
      <c r="A106" s="27" t="s">
        <v>286</v>
      </c>
    </row>
    <row r="107" spans="1:1" x14ac:dyDescent="0.25">
      <c r="A107" s="27" t="s">
        <v>287</v>
      </c>
    </row>
    <row r="108" spans="1:1" x14ac:dyDescent="0.25">
      <c r="A108" s="27" t="s">
        <v>287</v>
      </c>
    </row>
    <row r="109" spans="1:1" x14ac:dyDescent="0.25">
      <c r="A109" s="27" t="s">
        <v>288</v>
      </c>
    </row>
    <row r="110" spans="1:1" x14ac:dyDescent="0.25">
      <c r="A110" s="27" t="s">
        <v>288</v>
      </c>
    </row>
    <row r="111" spans="1:1" x14ac:dyDescent="0.25">
      <c r="A111" s="27" t="s">
        <v>289</v>
      </c>
    </row>
    <row r="112" spans="1:1" x14ac:dyDescent="0.25">
      <c r="A112" s="27" t="s">
        <v>289</v>
      </c>
    </row>
    <row r="113" spans="1:1" x14ac:dyDescent="0.25">
      <c r="A113" s="27" t="s">
        <v>289</v>
      </c>
    </row>
    <row r="114" spans="1:1" x14ac:dyDescent="0.25">
      <c r="A114" s="27" t="s">
        <v>290</v>
      </c>
    </row>
    <row r="115" spans="1:1" x14ac:dyDescent="0.25">
      <c r="A115" s="27" t="s">
        <v>290</v>
      </c>
    </row>
    <row r="116" spans="1:1" x14ac:dyDescent="0.25">
      <c r="A116" s="27" t="s">
        <v>291</v>
      </c>
    </row>
    <row r="117" spans="1:1" x14ac:dyDescent="0.25">
      <c r="A117" s="27" t="s">
        <v>291</v>
      </c>
    </row>
    <row r="118" spans="1:1" x14ac:dyDescent="0.25">
      <c r="A118" s="27" t="s">
        <v>292</v>
      </c>
    </row>
    <row r="119" spans="1:1" x14ac:dyDescent="0.25">
      <c r="A119" s="92" t="s">
        <v>293</v>
      </c>
    </row>
    <row r="120" spans="1:1" x14ac:dyDescent="0.25">
      <c r="A120" s="93" t="s">
        <v>294</v>
      </c>
    </row>
    <row r="121" spans="1:1" x14ac:dyDescent="0.25">
      <c r="A121" t="s">
        <v>295</v>
      </c>
    </row>
    <row r="122" spans="1:1" x14ac:dyDescent="0.25">
      <c r="A122" s="27" t="s">
        <v>296</v>
      </c>
    </row>
    <row r="123" spans="1:1" x14ac:dyDescent="0.25">
      <c r="A123" s="27" t="s">
        <v>297</v>
      </c>
    </row>
    <row r="124" spans="1:1" x14ac:dyDescent="0.25">
      <c r="A124" s="27" t="s">
        <v>297</v>
      </c>
    </row>
    <row r="125" spans="1:1" x14ac:dyDescent="0.25">
      <c r="A125" s="27" t="s">
        <v>298</v>
      </c>
    </row>
    <row r="126" spans="1:1" x14ac:dyDescent="0.25">
      <c r="A126" s="27" t="s">
        <v>298</v>
      </c>
    </row>
    <row r="127" spans="1:1" x14ac:dyDescent="0.25">
      <c r="A127" s="27" t="s">
        <v>299</v>
      </c>
    </row>
    <row r="128" spans="1:1" x14ac:dyDescent="0.25">
      <c r="A128" s="27" t="s">
        <v>299</v>
      </c>
    </row>
    <row r="129" spans="1:1" x14ac:dyDescent="0.25">
      <c r="A129" s="27" t="s">
        <v>300</v>
      </c>
    </row>
    <row r="130" spans="1:1" x14ac:dyDescent="0.25">
      <c r="A130" s="27" t="s">
        <v>300</v>
      </c>
    </row>
    <row r="131" spans="1:1" x14ac:dyDescent="0.25">
      <c r="A131" s="27" t="s">
        <v>300</v>
      </c>
    </row>
    <row r="132" spans="1:1" x14ac:dyDescent="0.25">
      <c r="A132" s="27" t="s">
        <v>301</v>
      </c>
    </row>
    <row r="133" spans="1:1" x14ac:dyDescent="0.25">
      <c r="A133" s="27" t="s">
        <v>301</v>
      </c>
    </row>
    <row r="134" spans="1:1" x14ac:dyDescent="0.25">
      <c r="A134" s="27" t="s">
        <v>302</v>
      </c>
    </row>
    <row r="135" spans="1:1" x14ac:dyDescent="0.25">
      <c r="A135" s="27" t="s">
        <v>302</v>
      </c>
    </row>
    <row r="136" spans="1:1" x14ac:dyDescent="0.25">
      <c r="A136" s="92" t="s">
        <v>303</v>
      </c>
    </row>
    <row r="137" spans="1:1" x14ac:dyDescent="0.25">
      <c r="A137" s="92" t="s">
        <v>304</v>
      </c>
    </row>
    <row r="138" spans="1:1" x14ac:dyDescent="0.25">
      <c r="A138" s="27" t="s">
        <v>305</v>
      </c>
    </row>
    <row r="139" spans="1:1" x14ac:dyDescent="0.25">
      <c r="A139" s="27" t="s">
        <v>306</v>
      </c>
    </row>
    <row r="140" spans="1:1" x14ac:dyDescent="0.25">
      <c r="A140" s="27" t="s">
        <v>307</v>
      </c>
    </row>
    <row r="141" spans="1:1" x14ac:dyDescent="0.25">
      <c r="A141" s="93" t="s">
        <v>308</v>
      </c>
    </row>
    <row r="142" spans="1:1" x14ac:dyDescent="0.25">
      <c r="A142" t="s">
        <v>309</v>
      </c>
    </row>
    <row r="143" spans="1:1" x14ac:dyDescent="0.25">
      <c r="A143" s="27" t="s">
        <v>310</v>
      </c>
    </row>
    <row r="144" spans="1:1" x14ac:dyDescent="0.25">
      <c r="A144" s="27" t="s">
        <v>310</v>
      </c>
    </row>
    <row r="145" spans="1:1" x14ac:dyDescent="0.25">
      <c r="A145" s="27" t="s">
        <v>311</v>
      </c>
    </row>
    <row r="146" spans="1:1" x14ac:dyDescent="0.25">
      <c r="A146" s="27" t="s">
        <v>311</v>
      </c>
    </row>
    <row r="147" spans="1:1" x14ac:dyDescent="0.25">
      <c r="A147" s="27" t="s">
        <v>312</v>
      </c>
    </row>
    <row r="148" spans="1:1" x14ac:dyDescent="0.25">
      <c r="A148" s="27" t="s">
        <v>312</v>
      </c>
    </row>
    <row r="149" spans="1:1" x14ac:dyDescent="0.25">
      <c r="A149" s="27" t="s">
        <v>313</v>
      </c>
    </row>
    <row r="150" spans="1:1" x14ac:dyDescent="0.25">
      <c r="A150" s="27" t="s">
        <v>313</v>
      </c>
    </row>
    <row r="151" spans="1:1" x14ac:dyDescent="0.25">
      <c r="A151" s="27" t="s">
        <v>314</v>
      </c>
    </row>
    <row r="152" spans="1:1" x14ac:dyDescent="0.25">
      <c r="A152" s="27" t="s">
        <v>314</v>
      </c>
    </row>
    <row r="153" spans="1:1" x14ac:dyDescent="0.25">
      <c r="A153" s="27" t="s">
        <v>315</v>
      </c>
    </row>
    <row r="154" spans="1:1" x14ac:dyDescent="0.25">
      <c r="A154" s="27" t="s">
        <v>315</v>
      </c>
    </row>
    <row r="155" spans="1:1" x14ac:dyDescent="0.25">
      <c r="A155" s="27" t="s">
        <v>316</v>
      </c>
    </row>
    <row r="156" spans="1:1" x14ac:dyDescent="0.25">
      <c r="A156" t="s">
        <v>317</v>
      </c>
    </row>
    <row r="157" spans="1:1" x14ac:dyDescent="0.25">
      <c r="A157" s="92" t="s">
        <v>318</v>
      </c>
    </row>
    <row r="158" spans="1:1" x14ac:dyDescent="0.25">
      <c r="A158" s="92" t="s">
        <v>319</v>
      </c>
    </row>
    <row r="159" spans="1:1" x14ac:dyDescent="0.25">
      <c r="A159" s="92" t="s">
        <v>320</v>
      </c>
    </row>
    <row r="160" spans="1:1" x14ac:dyDescent="0.25">
      <c r="A160" s="92" t="s">
        <v>321</v>
      </c>
    </row>
    <row r="161" spans="1:1" x14ac:dyDescent="0.25">
      <c r="A161" t="s">
        <v>322</v>
      </c>
    </row>
    <row r="162" spans="1:1" x14ac:dyDescent="0.25">
      <c r="A162" t="s">
        <v>323</v>
      </c>
    </row>
    <row r="163" spans="1:1" x14ac:dyDescent="0.25">
      <c r="A163" t="s">
        <v>324</v>
      </c>
    </row>
    <row r="164" spans="1:1" x14ac:dyDescent="0.25">
      <c r="A164" t="s">
        <v>325</v>
      </c>
    </row>
    <row r="165" spans="1:1" x14ac:dyDescent="0.25">
      <c r="A165" s="92" t="s">
        <v>326</v>
      </c>
    </row>
    <row r="166" spans="1:1" x14ac:dyDescent="0.25">
      <c r="A166" s="92" t="s">
        <v>327</v>
      </c>
    </row>
    <row r="167" spans="1:1" x14ac:dyDescent="0.25">
      <c r="A167" s="92" t="s">
        <v>328</v>
      </c>
    </row>
    <row r="168" spans="1:1" x14ac:dyDescent="0.25">
      <c r="A168" s="93" t="s">
        <v>329</v>
      </c>
    </row>
    <row r="169" spans="1:1" x14ac:dyDescent="0.25">
      <c r="A169" s="93" t="s">
        <v>330</v>
      </c>
    </row>
    <row r="170" spans="1:1" x14ac:dyDescent="0.25">
      <c r="A170" s="92" t="s">
        <v>331</v>
      </c>
    </row>
    <row r="171" spans="1:1" x14ac:dyDescent="0.25">
      <c r="A171" s="27" t="s">
        <v>332</v>
      </c>
    </row>
    <row r="172" spans="1:1" x14ac:dyDescent="0.25">
      <c r="A172" s="27" t="s">
        <v>333</v>
      </c>
    </row>
    <row r="173" spans="1:1" x14ac:dyDescent="0.25">
      <c r="A173" s="27" t="s">
        <v>334</v>
      </c>
    </row>
    <row r="174" spans="1:1" x14ac:dyDescent="0.25">
      <c r="A174" s="27" t="s">
        <v>335</v>
      </c>
    </row>
    <row r="175" spans="1:1" x14ac:dyDescent="0.25">
      <c r="A175" s="27" t="s">
        <v>336</v>
      </c>
    </row>
    <row r="176" spans="1:1" x14ac:dyDescent="0.25">
      <c r="A176" s="27" t="s">
        <v>337</v>
      </c>
    </row>
    <row r="177" spans="1:1" x14ac:dyDescent="0.25">
      <c r="A177" s="27" t="s">
        <v>338</v>
      </c>
    </row>
    <row r="178" spans="1:1" x14ac:dyDescent="0.25">
      <c r="A178" s="27" t="s">
        <v>339</v>
      </c>
    </row>
    <row r="179" spans="1:1" x14ac:dyDescent="0.25">
      <c r="A179" s="27" t="s">
        <v>340</v>
      </c>
    </row>
    <row r="180" spans="1:1" x14ac:dyDescent="0.25">
      <c r="A180" s="27" t="s">
        <v>341</v>
      </c>
    </row>
    <row r="181" spans="1:1" x14ac:dyDescent="0.25">
      <c r="A181" s="27" t="s">
        <v>342</v>
      </c>
    </row>
    <row r="182" spans="1:1" x14ac:dyDescent="0.25">
      <c r="A182" s="27" t="s">
        <v>343</v>
      </c>
    </row>
    <row r="183" spans="1:1" x14ac:dyDescent="0.25">
      <c r="A183" s="27" t="s">
        <v>344</v>
      </c>
    </row>
    <row r="184" spans="1:1" x14ac:dyDescent="0.25">
      <c r="A184" s="27" t="s">
        <v>345</v>
      </c>
    </row>
    <row r="185" spans="1:1" x14ac:dyDescent="0.25">
      <c r="A185" s="27" t="s">
        <v>346</v>
      </c>
    </row>
    <row r="186" spans="1:1" x14ac:dyDescent="0.25">
      <c r="A186" s="27" t="s">
        <v>347</v>
      </c>
    </row>
    <row r="187" spans="1:1" x14ac:dyDescent="0.25">
      <c r="A187" s="27" t="s">
        <v>348</v>
      </c>
    </row>
    <row r="188" spans="1:1" x14ac:dyDescent="0.25">
      <c r="A188" s="27" t="s">
        <v>349</v>
      </c>
    </row>
    <row r="189" spans="1:1" x14ac:dyDescent="0.25">
      <c r="A189" s="27" t="s">
        <v>350</v>
      </c>
    </row>
    <row r="190" spans="1:1" x14ac:dyDescent="0.25">
      <c r="A190" s="27" t="s">
        <v>351</v>
      </c>
    </row>
    <row r="191" spans="1:1" x14ac:dyDescent="0.25">
      <c r="A191" s="27" t="s">
        <v>352</v>
      </c>
    </row>
    <row r="192" spans="1:1" x14ac:dyDescent="0.25">
      <c r="A192" s="93" t="s">
        <v>353</v>
      </c>
    </row>
    <row r="193" spans="1:1" x14ac:dyDescent="0.25">
      <c r="A193" t="s">
        <v>354</v>
      </c>
    </row>
    <row r="194" spans="1:1" x14ac:dyDescent="0.25">
      <c r="A194" s="93" t="s">
        <v>355</v>
      </c>
    </row>
    <row r="195" spans="1:1" x14ac:dyDescent="0.25">
      <c r="A195" s="93" t="s">
        <v>356</v>
      </c>
    </row>
    <row r="196" spans="1:1" x14ac:dyDescent="0.25">
      <c r="A196" s="27" t="s">
        <v>357</v>
      </c>
    </row>
    <row r="197" spans="1:1" x14ac:dyDescent="0.25">
      <c r="A197" s="93" t="s">
        <v>358</v>
      </c>
    </row>
    <row r="198" spans="1:1" x14ac:dyDescent="0.25">
      <c r="A198" t="s">
        <v>359</v>
      </c>
    </row>
    <row r="199" spans="1:1" x14ac:dyDescent="0.25">
      <c r="A199" s="92" t="s">
        <v>360</v>
      </c>
    </row>
    <row r="200" spans="1:1" x14ac:dyDescent="0.25">
      <c r="A200" s="93" t="s">
        <v>361</v>
      </c>
    </row>
    <row r="201" spans="1:1" x14ac:dyDescent="0.25">
      <c r="A201" t="s">
        <v>362</v>
      </c>
    </row>
    <row r="202" spans="1:1" x14ac:dyDescent="0.25">
      <c r="A202" s="92" t="s">
        <v>363</v>
      </c>
    </row>
    <row r="203" spans="1:1" x14ac:dyDescent="0.25">
      <c r="A203" s="92" t="s">
        <v>364</v>
      </c>
    </row>
    <row r="204" spans="1:1" x14ac:dyDescent="0.25">
      <c r="A204" s="27" t="s">
        <v>365</v>
      </c>
    </row>
    <row r="205" spans="1:1" x14ac:dyDescent="0.25">
      <c r="A205" s="27" t="s">
        <v>366</v>
      </c>
    </row>
    <row r="206" spans="1:1" x14ac:dyDescent="0.25">
      <c r="A206" s="27" t="s">
        <v>367</v>
      </c>
    </row>
    <row r="207" spans="1:1" x14ac:dyDescent="0.25">
      <c r="A207" s="27" t="s">
        <v>368</v>
      </c>
    </row>
    <row r="208" spans="1:1" x14ac:dyDescent="0.25">
      <c r="A208" s="93" t="s">
        <v>369</v>
      </c>
    </row>
    <row r="209" spans="1:1" x14ac:dyDescent="0.25">
      <c r="A209" t="s">
        <v>370</v>
      </c>
    </row>
    <row r="210" spans="1:1" x14ac:dyDescent="0.25">
      <c r="A210" s="93" t="s">
        <v>371</v>
      </c>
    </row>
    <row r="211" spans="1:1" x14ac:dyDescent="0.25">
      <c r="A211" s="27" t="s">
        <v>372</v>
      </c>
    </row>
    <row r="212" spans="1:1" x14ac:dyDescent="0.25">
      <c r="A212" s="93" t="s">
        <v>373</v>
      </c>
    </row>
    <row r="213" spans="1:1" x14ac:dyDescent="0.25">
      <c r="A213" t="s">
        <v>374</v>
      </c>
    </row>
    <row r="214" spans="1:1" x14ac:dyDescent="0.25">
      <c r="A214" s="92" t="s">
        <v>375</v>
      </c>
    </row>
    <row r="215" spans="1:1" x14ac:dyDescent="0.25">
      <c r="A215" s="93" t="s">
        <v>376</v>
      </c>
    </row>
    <row r="216" spans="1:1" x14ac:dyDescent="0.25">
      <c r="A216" t="s">
        <v>377</v>
      </c>
    </row>
    <row r="217" spans="1:1" x14ac:dyDescent="0.25">
      <c r="A217" s="92" t="s">
        <v>378</v>
      </c>
    </row>
    <row r="218" spans="1:1" x14ac:dyDescent="0.25">
      <c r="A218" s="92" t="s">
        <v>379</v>
      </c>
    </row>
    <row r="219" spans="1:1" x14ac:dyDescent="0.25">
      <c r="A219" s="27" t="s">
        <v>380</v>
      </c>
    </row>
    <row r="220" spans="1:1" x14ac:dyDescent="0.25">
      <c r="A220" s="27" t="s">
        <v>381</v>
      </c>
    </row>
    <row r="221" spans="1:1" x14ac:dyDescent="0.25">
      <c r="A221" s="27" t="s">
        <v>382</v>
      </c>
    </row>
    <row r="222" spans="1:1" x14ac:dyDescent="0.25">
      <c r="A222" s="27" t="s">
        <v>383</v>
      </c>
    </row>
    <row r="223" spans="1:1" x14ac:dyDescent="0.25">
      <c r="A223" s="27" t="s">
        <v>384</v>
      </c>
    </row>
    <row r="224" spans="1:1" x14ac:dyDescent="0.25">
      <c r="A224" s="27" t="s">
        <v>385</v>
      </c>
    </row>
    <row r="225" spans="1:1" x14ac:dyDescent="0.25">
      <c r="A225" s="27" t="s">
        <v>386</v>
      </c>
    </row>
    <row r="226" spans="1:1" x14ac:dyDescent="0.25">
      <c r="A226" s="27" t="s">
        <v>387</v>
      </c>
    </row>
    <row r="227" spans="1:1" x14ac:dyDescent="0.25">
      <c r="A227" s="27" t="s">
        <v>388</v>
      </c>
    </row>
    <row r="228" spans="1:1" x14ac:dyDescent="0.25">
      <c r="A228" s="27" t="s">
        <v>389</v>
      </c>
    </row>
    <row r="229" spans="1:1" x14ac:dyDescent="0.25">
      <c r="A229" s="27" t="s">
        <v>390</v>
      </c>
    </row>
    <row r="230" spans="1:1" x14ac:dyDescent="0.25">
      <c r="A230" s="27" t="s">
        <v>391</v>
      </c>
    </row>
    <row r="231" spans="1:1" x14ac:dyDescent="0.25">
      <c r="A231" s="27" t="s">
        <v>392</v>
      </c>
    </row>
    <row r="232" spans="1:1" x14ac:dyDescent="0.25">
      <c r="A232" s="27" t="s">
        <v>393</v>
      </c>
    </row>
    <row r="233" spans="1:1" x14ac:dyDescent="0.25">
      <c r="A233" s="27" t="s">
        <v>394</v>
      </c>
    </row>
    <row r="234" spans="1:1" x14ac:dyDescent="0.25">
      <c r="A234" s="27" t="s">
        <v>395</v>
      </c>
    </row>
    <row r="235" spans="1:1" x14ac:dyDescent="0.25">
      <c r="A235" s="27" t="s">
        <v>396</v>
      </c>
    </row>
    <row r="236" spans="1:1" x14ac:dyDescent="0.25">
      <c r="A236" s="27" t="s">
        <v>397</v>
      </c>
    </row>
    <row r="237" spans="1:1" x14ac:dyDescent="0.25">
      <c r="A237" s="27" t="s">
        <v>398</v>
      </c>
    </row>
    <row r="238" spans="1:1" x14ac:dyDescent="0.25">
      <c r="A238" s="27" t="s">
        <v>399</v>
      </c>
    </row>
    <row r="239" spans="1:1" x14ac:dyDescent="0.25">
      <c r="A239" s="27" t="s">
        <v>400</v>
      </c>
    </row>
    <row r="240" spans="1:1" x14ac:dyDescent="0.25">
      <c r="A240" s="92" t="s">
        <v>401</v>
      </c>
    </row>
    <row r="241" spans="1:1" x14ac:dyDescent="0.25">
      <c r="A241" s="92" t="s">
        <v>402</v>
      </c>
    </row>
    <row r="242" spans="1:1" x14ac:dyDescent="0.25">
      <c r="A242" s="92" t="s">
        <v>403</v>
      </c>
    </row>
    <row r="243" spans="1:1" x14ac:dyDescent="0.25">
      <c r="A243" s="93" t="s">
        <v>404</v>
      </c>
    </row>
    <row r="244" spans="1:1" x14ac:dyDescent="0.25">
      <c r="A244" s="93" t="s">
        <v>405</v>
      </c>
    </row>
    <row r="245" spans="1:1" x14ac:dyDescent="0.25">
      <c r="A245" s="92" t="s">
        <v>406</v>
      </c>
    </row>
    <row r="246" spans="1:1" x14ac:dyDescent="0.25">
      <c r="A246" s="92" t="s">
        <v>407</v>
      </c>
    </row>
    <row r="247" spans="1:1" x14ac:dyDescent="0.25">
      <c r="A247" s="92" t="s">
        <v>408</v>
      </c>
    </row>
    <row r="248" spans="1:1" x14ac:dyDescent="0.25">
      <c r="A248" s="92" t="s">
        <v>409</v>
      </c>
    </row>
    <row r="249" spans="1:1" x14ac:dyDescent="0.25">
      <c r="A249" s="93" t="s">
        <v>410</v>
      </c>
    </row>
    <row r="250" spans="1:1" x14ac:dyDescent="0.25">
      <c r="A250" s="93" t="s">
        <v>411</v>
      </c>
    </row>
    <row r="251" spans="1:1" x14ac:dyDescent="0.25">
      <c r="A251" s="92" t="s">
        <v>412</v>
      </c>
    </row>
    <row r="252" spans="1:1" x14ac:dyDescent="0.25">
      <c r="A252" s="92" t="s">
        <v>413</v>
      </c>
    </row>
    <row r="253" spans="1:1" x14ac:dyDescent="0.25">
      <c r="A253" s="92" t="s">
        <v>414</v>
      </c>
    </row>
    <row r="254" spans="1:1" x14ac:dyDescent="0.25">
      <c r="A254" s="92" t="s">
        <v>415</v>
      </c>
    </row>
    <row r="255" spans="1:1" x14ac:dyDescent="0.25">
      <c r="A255" s="93" t="s">
        <v>416</v>
      </c>
    </row>
    <row r="256" spans="1:1" x14ac:dyDescent="0.25">
      <c r="A256" s="93" t="s">
        <v>417</v>
      </c>
    </row>
    <row r="257" spans="1:1" x14ac:dyDescent="0.25">
      <c r="A257" s="92" t="s">
        <v>418</v>
      </c>
    </row>
    <row r="258" spans="1:1" x14ac:dyDescent="0.25">
      <c r="A258" s="92" t="s">
        <v>419</v>
      </c>
    </row>
    <row r="259" spans="1:1" x14ac:dyDescent="0.25">
      <c r="A259" s="92" t="s">
        <v>420</v>
      </c>
    </row>
    <row r="260" spans="1:1" x14ac:dyDescent="0.25">
      <c r="A260" s="92" t="s">
        <v>421</v>
      </c>
    </row>
    <row r="261" spans="1:1" x14ac:dyDescent="0.25">
      <c r="A261" s="93" t="s">
        <v>422</v>
      </c>
    </row>
    <row r="262" spans="1:1" x14ac:dyDescent="0.25">
      <c r="A262" s="93" t="s">
        <v>423</v>
      </c>
    </row>
    <row r="263" spans="1:1" x14ac:dyDescent="0.25">
      <c r="A263" s="92" t="s">
        <v>424</v>
      </c>
    </row>
    <row r="264" spans="1:1" x14ac:dyDescent="0.25">
      <c r="A264" s="27" t="s">
        <v>425</v>
      </c>
    </row>
    <row r="265" spans="1:1" x14ac:dyDescent="0.25">
      <c r="A265" s="27" t="s">
        <v>426</v>
      </c>
    </row>
    <row r="266" spans="1:1" x14ac:dyDescent="0.25">
      <c r="A266" s="27" t="s">
        <v>427</v>
      </c>
    </row>
    <row r="267" spans="1:1" x14ac:dyDescent="0.25">
      <c r="A267" s="27" t="s">
        <v>428</v>
      </c>
    </row>
    <row r="268" spans="1:1" x14ac:dyDescent="0.25">
      <c r="A268" s="27" t="s">
        <v>429</v>
      </c>
    </row>
    <row r="269" spans="1:1" x14ac:dyDescent="0.25">
      <c r="A269" s="27" t="s">
        <v>430</v>
      </c>
    </row>
    <row r="270" spans="1:1" x14ac:dyDescent="0.25">
      <c r="A270" s="27" t="s">
        <v>431</v>
      </c>
    </row>
    <row r="271" spans="1:1" x14ac:dyDescent="0.25">
      <c r="A271" s="27" t="s">
        <v>432</v>
      </c>
    </row>
    <row r="272" spans="1:1" x14ac:dyDescent="0.25">
      <c r="A272" s="27" t="s">
        <v>433</v>
      </c>
    </row>
    <row r="273" spans="1:1" x14ac:dyDescent="0.25">
      <c r="A273" s="27" t="s">
        <v>434</v>
      </c>
    </row>
    <row r="274" spans="1:1" x14ac:dyDescent="0.25">
      <c r="A274" s="27" t="s">
        <v>435</v>
      </c>
    </row>
    <row r="275" spans="1:1" x14ac:dyDescent="0.25">
      <c r="A275" s="27" t="s">
        <v>436</v>
      </c>
    </row>
    <row r="276" spans="1:1" x14ac:dyDescent="0.25">
      <c r="A276" s="27" t="s">
        <v>437</v>
      </c>
    </row>
    <row r="277" spans="1:1" x14ac:dyDescent="0.25">
      <c r="A277" s="27" t="s">
        <v>438</v>
      </c>
    </row>
    <row r="278" spans="1:1" x14ac:dyDescent="0.25">
      <c r="A278" s="27" t="s">
        <v>439</v>
      </c>
    </row>
    <row r="279" spans="1:1" x14ac:dyDescent="0.25">
      <c r="A279" s="27" t="s">
        <v>440</v>
      </c>
    </row>
    <row r="280" spans="1:1" x14ac:dyDescent="0.25">
      <c r="A280" s="27" t="s">
        <v>441</v>
      </c>
    </row>
    <row r="281" spans="1:1" x14ac:dyDescent="0.25">
      <c r="A281" s="27" t="s">
        <v>442</v>
      </c>
    </row>
    <row r="282" spans="1:1" x14ac:dyDescent="0.25">
      <c r="A282" s="27" t="s">
        <v>443</v>
      </c>
    </row>
    <row r="283" spans="1:1" x14ac:dyDescent="0.25">
      <c r="A283" s="27" t="s">
        <v>444</v>
      </c>
    </row>
    <row r="284" spans="1:1" x14ac:dyDescent="0.25">
      <c r="A284" s="27" t="s">
        <v>445</v>
      </c>
    </row>
    <row r="285" spans="1:1" x14ac:dyDescent="0.25">
      <c r="A285" s="27" t="s">
        <v>446</v>
      </c>
    </row>
    <row r="286" spans="1:1" x14ac:dyDescent="0.25">
      <c r="A286" s="27" t="s">
        <v>447</v>
      </c>
    </row>
    <row r="287" spans="1:1" x14ac:dyDescent="0.25">
      <c r="A287" s="27" t="s">
        <v>448</v>
      </c>
    </row>
    <row r="288" spans="1:1" x14ac:dyDescent="0.25">
      <c r="A288" s="27" t="s">
        <v>449</v>
      </c>
    </row>
    <row r="289" spans="1:1" x14ac:dyDescent="0.25">
      <c r="A289" s="27" t="s">
        <v>450</v>
      </c>
    </row>
    <row r="290" spans="1:1" x14ac:dyDescent="0.25">
      <c r="A290" s="27" t="s">
        <v>451</v>
      </c>
    </row>
    <row r="291" spans="1:1" x14ac:dyDescent="0.25">
      <c r="A291" s="27" t="s">
        <v>452</v>
      </c>
    </row>
    <row r="292" spans="1:1" x14ac:dyDescent="0.25">
      <c r="A292" s="27" t="s">
        <v>453</v>
      </c>
    </row>
    <row r="293" spans="1:1" x14ac:dyDescent="0.25">
      <c r="A293" s="27" t="s">
        <v>454</v>
      </c>
    </row>
    <row r="294" spans="1:1" x14ac:dyDescent="0.25">
      <c r="A294" s="27" t="s">
        <v>455</v>
      </c>
    </row>
    <row r="295" spans="1:1" x14ac:dyDescent="0.25">
      <c r="A295" s="27" t="s">
        <v>456</v>
      </c>
    </row>
    <row r="296" spans="1:1" x14ac:dyDescent="0.25">
      <c r="A296" s="27" t="s">
        <v>457</v>
      </c>
    </row>
    <row r="297" spans="1:1" x14ac:dyDescent="0.25">
      <c r="A297" s="27" t="s">
        <v>458</v>
      </c>
    </row>
    <row r="298" spans="1:1" x14ac:dyDescent="0.25">
      <c r="A298" s="27" t="s">
        <v>459</v>
      </c>
    </row>
    <row r="299" spans="1:1" x14ac:dyDescent="0.25">
      <c r="A299" s="27" t="s">
        <v>460</v>
      </c>
    </row>
    <row r="300" spans="1:1" x14ac:dyDescent="0.25">
      <c r="A300" s="27" t="s">
        <v>461</v>
      </c>
    </row>
    <row r="301" spans="1:1" x14ac:dyDescent="0.25">
      <c r="A301" s="27" t="s">
        <v>462</v>
      </c>
    </row>
    <row r="302" spans="1:1" x14ac:dyDescent="0.25">
      <c r="A302" s="27" t="s">
        <v>463</v>
      </c>
    </row>
    <row r="303" spans="1:1" x14ac:dyDescent="0.25">
      <c r="A303" s="27" t="s">
        <v>464</v>
      </c>
    </row>
    <row r="304" spans="1:1" x14ac:dyDescent="0.25">
      <c r="A304" s="27" t="s">
        <v>465</v>
      </c>
    </row>
    <row r="305" spans="1:1" x14ac:dyDescent="0.25">
      <c r="A305" s="27" t="s">
        <v>466</v>
      </c>
    </row>
    <row r="306" spans="1:1" x14ac:dyDescent="0.25">
      <c r="A306" s="27" t="s">
        <v>467</v>
      </c>
    </row>
    <row r="307" spans="1:1" x14ac:dyDescent="0.25">
      <c r="A307" s="27" t="s">
        <v>468</v>
      </c>
    </row>
    <row r="308" spans="1:1" x14ac:dyDescent="0.25">
      <c r="A308" s="27" t="s">
        <v>469</v>
      </c>
    </row>
    <row r="309" spans="1:1" x14ac:dyDescent="0.25">
      <c r="A309" s="27" t="s">
        <v>470</v>
      </c>
    </row>
    <row r="310" spans="1:1" x14ac:dyDescent="0.25">
      <c r="A310" s="27" t="s">
        <v>471</v>
      </c>
    </row>
    <row r="311" spans="1:1" x14ac:dyDescent="0.25">
      <c r="A311" s="27" t="s">
        <v>472</v>
      </c>
    </row>
    <row r="312" spans="1:1" x14ac:dyDescent="0.25">
      <c r="A312" s="27" t="s">
        <v>473</v>
      </c>
    </row>
    <row r="313" spans="1:1" x14ac:dyDescent="0.25">
      <c r="A313" s="27" t="s">
        <v>474</v>
      </c>
    </row>
    <row r="314" spans="1:1" x14ac:dyDescent="0.25">
      <c r="A314" s="27" t="s">
        <v>475</v>
      </c>
    </row>
    <row r="315" spans="1:1" x14ac:dyDescent="0.25">
      <c r="A315" s="27" t="s">
        <v>476</v>
      </c>
    </row>
    <row r="316" spans="1:1" x14ac:dyDescent="0.25">
      <c r="A316" s="27" t="s">
        <v>477</v>
      </c>
    </row>
    <row r="317" spans="1:1" x14ac:dyDescent="0.25">
      <c r="A317" s="27" t="s">
        <v>478</v>
      </c>
    </row>
    <row r="318" spans="1:1" x14ac:dyDescent="0.25">
      <c r="A318" s="27" t="s">
        <v>479</v>
      </c>
    </row>
    <row r="319" spans="1:1" x14ac:dyDescent="0.25">
      <c r="A319" s="27" t="s">
        <v>480</v>
      </c>
    </row>
    <row r="320" spans="1:1" x14ac:dyDescent="0.25">
      <c r="A320" s="27" t="s">
        <v>481</v>
      </c>
    </row>
    <row r="321" spans="1:1" x14ac:dyDescent="0.25">
      <c r="A321" s="27" t="s">
        <v>482</v>
      </c>
    </row>
    <row r="322" spans="1:1" x14ac:dyDescent="0.25">
      <c r="A322" s="27" t="s">
        <v>483</v>
      </c>
    </row>
    <row r="323" spans="1:1" x14ac:dyDescent="0.25">
      <c r="A323" s="27" t="s">
        <v>484</v>
      </c>
    </row>
    <row r="324" spans="1:1" x14ac:dyDescent="0.25">
      <c r="A324" s="27" t="s">
        <v>485</v>
      </c>
    </row>
    <row r="325" spans="1:1" x14ac:dyDescent="0.25">
      <c r="A325" s="27" t="s">
        <v>486</v>
      </c>
    </row>
    <row r="326" spans="1:1" x14ac:dyDescent="0.25">
      <c r="A326" s="27" t="s">
        <v>487</v>
      </c>
    </row>
    <row r="327" spans="1:1" x14ac:dyDescent="0.25">
      <c r="A327" s="27" t="s">
        <v>488</v>
      </c>
    </row>
    <row r="328" spans="1:1" x14ac:dyDescent="0.25">
      <c r="A328" s="27" t="s">
        <v>489</v>
      </c>
    </row>
    <row r="329" spans="1:1" x14ac:dyDescent="0.25">
      <c r="A329" s="27" t="s">
        <v>490</v>
      </c>
    </row>
    <row r="330" spans="1:1" x14ac:dyDescent="0.25">
      <c r="A330" s="27" t="s">
        <v>491</v>
      </c>
    </row>
    <row r="331" spans="1:1" x14ac:dyDescent="0.25">
      <c r="A331" s="27" t="s">
        <v>492</v>
      </c>
    </row>
    <row r="332" spans="1:1" x14ac:dyDescent="0.25">
      <c r="A332" s="27" t="s">
        <v>493</v>
      </c>
    </row>
    <row r="333" spans="1:1" x14ac:dyDescent="0.25">
      <c r="A333" s="27" t="s">
        <v>494</v>
      </c>
    </row>
    <row r="334" spans="1:1" x14ac:dyDescent="0.25">
      <c r="A334" s="27" t="s">
        <v>495</v>
      </c>
    </row>
    <row r="335" spans="1:1" x14ac:dyDescent="0.25">
      <c r="A335" s="27" t="s">
        <v>496</v>
      </c>
    </row>
    <row r="336" spans="1:1" x14ac:dyDescent="0.25">
      <c r="A336" s="27" t="s">
        <v>497</v>
      </c>
    </row>
    <row r="337" spans="1:1" x14ac:dyDescent="0.25">
      <c r="A337" s="27" t="s">
        <v>498</v>
      </c>
    </row>
    <row r="338" spans="1:1" x14ac:dyDescent="0.25">
      <c r="A338" s="27" t="s">
        <v>499</v>
      </c>
    </row>
    <row r="339" spans="1:1" x14ac:dyDescent="0.25">
      <c r="A339" s="27" t="s">
        <v>500</v>
      </c>
    </row>
    <row r="340" spans="1:1" x14ac:dyDescent="0.25">
      <c r="A340" s="27" t="s">
        <v>501</v>
      </c>
    </row>
    <row r="341" spans="1:1" x14ac:dyDescent="0.25">
      <c r="A341" s="27" t="s">
        <v>502</v>
      </c>
    </row>
    <row r="342" spans="1:1" x14ac:dyDescent="0.25">
      <c r="A342" s="27" t="s">
        <v>503</v>
      </c>
    </row>
    <row r="343" spans="1:1" x14ac:dyDescent="0.25">
      <c r="A343" s="27" t="s">
        <v>504</v>
      </c>
    </row>
    <row r="344" spans="1:1" x14ac:dyDescent="0.25">
      <c r="A344" s="27" t="s">
        <v>505</v>
      </c>
    </row>
    <row r="345" spans="1:1" x14ac:dyDescent="0.25">
      <c r="A345" s="27" t="s">
        <v>506</v>
      </c>
    </row>
    <row r="346" spans="1:1" x14ac:dyDescent="0.25">
      <c r="A346" s="27" t="s">
        <v>507</v>
      </c>
    </row>
    <row r="347" spans="1:1" x14ac:dyDescent="0.25">
      <c r="A347" s="27" t="s">
        <v>508</v>
      </c>
    </row>
    <row r="348" spans="1:1" x14ac:dyDescent="0.25">
      <c r="A348" s="27" t="s">
        <v>509</v>
      </c>
    </row>
    <row r="349" spans="1:1" x14ac:dyDescent="0.25">
      <c r="A349" s="27" t="s">
        <v>510</v>
      </c>
    </row>
    <row r="350" spans="1:1" x14ac:dyDescent="0.25">
      <c r="A350" s="27" t="s">
        <v>511</v>
      </c>
    </row>
    <row r="351" spans="1:1" x14ac:dyDescent="0.25">
      <c r="A351" s="27" t="s">
        <v>512</v>
      </c>
    </row>
    <row r="352" spans="1:1" x14ac:dyDescent="0.25">
      <c r="A352" s="27" t="s">
        <v>513</v>
      </c>
    </row>
    <row r="353" spans="1:1" x14ac:dyDescent="0.25">
      <c r="A353" s="27" t="s">
        <v>514</v>
      </c>
    </row>
    <row r="354" spans="1:1" x14ac:dyDescent="0.25">
      <c r="A354" s="27" t="s">
        <v>515</v>
      </c>
    </row>
    <row r="355" spans="1:1" x14ac:dyDescent="0.25">
      <c r="A355" s="27" t="s">
        <v>516</v>
      </c>
    </row>
    <row r="356" spans="1:1" x14ac:dyDescent="0.25">
      <c r="A356" s="27" t="s">
        <v>517</v>
      </c>
    </row>
    <row r="357" spans="1:1" x14ac:dyDescent="0.25">
      <c r="A357" s="27" t="s">
        <v>518</v>
      </c>
    </row>
    <row r="358" spans="1:1" x14ac:dyDescent="0.25">
      <c r="A358" s="27" t="s">
        <v>519</v>
      </c>
    </row>
    <row r="359" spans="1:1" x14ac:dyDescent="0.25">
      <c r="A359" s="27" t="s">
        <v>520</v>
      </c>
    </row>
    <row r="360" spans="1:1" x14ac:dyDescent="0.25">
      <c r="A360" s="27" t="s">
        <v>521</v>
      </c>
    </row>
    <row r="361" spans="1:1" x14ac:dyDescent="0.25">
      <c r="A361" s="27" t="s">
        <v>522</v>
      </c>
    </row>
    <row r="362" spans="1:1" x14ac:dyDescent="0.25">
      <c r="A362" s="27" t="s">
        <v>523</v>
      </c>
    </row>
    <row r="363" spans="1:1" x14ac:dyDescent="0.25">
      <c r="A363" s="27" t="s">
        <v>524</v>
      </c>
    </row>
    <row r="364" spans="1:1" x14ac:dyDescent="0.25">
      <c r="A364" s="27" t="s">
        <v>525</v>
      </c>
    </row>
    <row r="365" spans="1:1" x14ac:dyDescent="0.25">
      <c r="A365" s="27" t="s">
        <v>526</v>
      </c>
    </row>
    <row r="366" spans="1:1" x14ac:dyDescent="0.25">
      <c r="A366" s="27" t="s">
        <v>527</v>
      </c>
    </row>
    <row r="367" spans="1:1" x14ac:dyDescent="0.25">
      <c r="A367" s="27" t="s">
        <v>528</v>
      </c>
    </row>
    <row r="368" spans="1:1" x14ac:dyDescent="0.25">
      <c r="A368" s="27" t="s">
        <v>529</v>
      </c>
    </row>
    <row r="369" spans="1:1" x14ac:dyDescent="0.25">
      <c r="A369" s="27" t="s">
        <v>530</v>
      </c>
    </row>
    <row r="370" spans="1:1" x14ac:dyDescent="0.25">
      <c r="A370" s="27" t="s">
        <v>531</v>
      </c>
    </row>
    <row r="371" spans="1:1" x14ac:dyDescent="0.25">
      <c r="A371" s="27" t="s">
        <v>532</v>
      </c>
    </row>
    <row r="372" spans="1:1" x14ac:dyDescent="0.25">
      <c r="A372" s="27" t="s">
        <v>533</v>
      </c>
    </row>
    <row r="373" spans="1:1" x14ac:dyDescent="0.25">
      <c r="A373" s="27" t="s">
        <v>534</v>
      </c>
    </row>
    <row r="374" spans="1:1" x14ac:dyDescent="0.25">
      <c r="A374" s="27" t="s">
        <v>535</v>
      </c>
    </row>
    <row r="375" spans="1:1" x14ac:dyDescent="0.25">
      <c r="A375" s="27" t="s">
        <v>536</v>
      </c>
    </row>
    <row r="376" spans="1:1" x14ac:dyDescent="0.25">
      <c r="A376" s="27" t="s">
        <v>537</v>
      </c>
    </row>
    <row r="377" spans="1:1" x14ac:dyDescent="0.25">
      <c r="A377" s="27" t="s">
        <v>538</v>
      </c>
    </row>
    <row r="378" spans="1:1" x14ac:dyDescent="0.25">
      <c r="A378" s="27" t="s">
        <v>539</v>
      </c>
    </row>
    <row r="379" spans="1:1" x14ac:dyDescent="0.25">
      <c r="A379" s="27" t="s">
        <v>540</v>
      </c>
    </row>
    <row r="380" spans="1:1" x14ac:dyDescent="0.25">
      <c r="A380" s="92" t="s">
        <v>541</v>
      </c>
    </row>
    <row r="381" spans="1:1" x14ac:dyDescent="0.25">
      <c r="A381" s="92" t="s">
        <v>542</v>
      </c>
    </row>
    <row r="382" spans="1:1" x14ac:dyDescent="0.25">
      <c r="A382" s="92" t="s">
        <v>543</v>
      </c>
    </row>
    <row r="383" spans="1:1" x14ac:dyDescent="0.25">
      <c r="A383" s="93" t="s">
        <v>544</v>
      </c>
    </row>
    <row r="384" spans="1:1" x14ac:dyDescent="0.25">
      <c r="A384" s="93" t="s">
        <v>545</v>
      </c>
    </row>
    <row r="385" spans="1:1" x14ac:dyDescent="0.25">
      <c r="A385" s="92" t="s">
        <v>546</v>
      </c>
    </row>
    <row r="386" spans="1:1" x14ac:dyDescent="0.25">
      <c r="A386" s="92" t="s">
        <v>547</v>
      </c>
    </row>
    <row r="387" spans="1:1" x14ac:dyDescent="0.25">
      <c r="A387" s="92" t="s">
        <v>548</v>
      </c>
    </row>
    <row r="388" spans="1:1" x14ac:dyDescent="0.25">
      <c r="A388" s="92" t="s">
        <v>549</v>
      </c>
    </row>
    <row r="389" spans="1:1" x14ac:dyDescent="0.25">
      <c r="A389" s="93" t="s">
        <v>550</v>
      </c>
    </row>
    <row r="390" spans="1:1" x14ac:dyDescent="0.25">
      <c r="A390" s="93" t="s">
        <v>551</v>
      </c>
    </row>
    <row r="391" spans="1:1" x14ac:dyDescent="0.25">
      <c r="A391" s="92" t="s">
        <v>552</v>
      </c>
    </row>
    <row r="392" spans="1:1" x14ac:dyDescent="0.25">
      <c r="A392" s="92" t="s">
        <v>553</v>
      </c>
    </row>
    <row r="393" spans="1:1" x14ac:dyDescent="0.25">
      <c r="A393" s="92" t="s">
        <v>554</v>
      </c>
    </row>
    <row r="394" spans="1:1" x14ac:dyDescent="0.25">
      <c r="A394" s="92" t="s">
        <v>555</v>
      </c>
    </row>
    <row r="395" spans="1:1" x14ac:dyDescent="0.25">
      <c r="A395" s="93" t="s">
        <v>556</v>
      </c>
    </row>
    <row r="396" spans="1:1" x14ac:dyDescent="0.25">
      <c r="A396" s="93" t="s">
        <v>557</v>
      </c>
    </row>
    <row r="397" spans="1:1" x14ac:dyDescent="0.25">
      <c r="A397" s="92" t="s">
        <v>558</v>
      </c>
    </row>
    <row r="398" spans="1:1" x14ac:dyDescent="0.25">
      <c r="A398" s="92" t="s">
        <v>559</v>
      </c>
    </row>
    <row r="399" spans="1:1" x14ac:dyDescent="0.25">
      <c r="A399" s="92" t="s">
        <v>560</v>
      </c>
    </row>
    <row r="400" spans="1:1" x14ac:dyDescent="0.25">
      <c r="A400" s="92" t="s">
        <v>561</v>
      </c>
    </row>
    <row r="401" spans="1:1" x14ac:dyDescent="0.25">
      <c r="A401" s="93" t="s">
        <v>562</v>
      </c>
    </row>
    <row r="402" spans="1:1" x14ac:dyDescent="0.25">
      <c r="A402" s="93" t="s">
        <v>563</v>
      </c>
    </row>
    <row r="403" spans="1:1" x14ac:dyDescent="0.25">
      <c r="A403" s="92" t="s">
        <v>564</v>
      </c>
    </row>
    <row r="404" spans="1:1" x14ac:dyDescent="0.25">
      <c r="A404" s="27" t="s">
        <v>565</v>
      </c>
    </row>
    <row r="405" spans="1:1" x14ac:dyDescent="0.25">
      <c r="A405" s="27" t="s">
        <v>566</v>
      </c>
    </row>
    <row r="406" spans="1:1" x14ac:dyDescent="0.25">
      <c r="A406" s="27" t="s">
        <v>567</v>
      </c>
    </row>
    <row r="407" spans="1:1" x14ac:dyDescent="0.25">
      <c r="A407" s="27" t="s">
        <v>568</v>
      </c>
    </row>
    <row r="408" spans="1:1" x14ac:dyDescent="0.25">
      <c r="A408" s="27" t="s">
        <v>569</v>
      </c>
    </row>
    <row r="409" spans="1:1" x14ac:dyDescent="0.25">
      <c r="A409" s="27" t="s">
        <v>570</v>
      </c>
    </row>
    <row r="410" spans="1:1" x14ac:dyDescent="0.25">
      <c r="A410" s="27" t="s">
        <v>571</v>
      </c>
    </row>
    <row r="411" spans="1:1" x14ac:dyDescent="0.25">
      <c r="A411" s="27" t="s">
        <v>572</v>
      </c>
    </row>
    <row r="412" spans="1:1" x14ac:dyDescent="0.25">
      <c r="A412" s="27" t="s">
        <v>573</v>
      </c>
    </row>
    <row r="413" spans="1:1" x14ac:dyDescent="0.25">
      <c r="A413" s="27" t="s">
        <v>574</v>
      </c>
    </row>
    <row r="414" spans="1:1" x14ac:dyDescent="0.25">
      <c r="A414" s="27" t="s">
        <v>575</v>
      </c>
    </row>
    <row r="415" spans="1:1" x14ac:dyDescent="0.25">
      <c r="A415" s="27" t="s">
        <v>576</v>
      </c>
    </row>
    <row r="416" spans="1:1" x14ac:dyDescent="0.25">
      <c r="A416" s="27" t="s">
        <v>577</v>
      </c>
    </row>
    <row r="417" spans="1:1" x14ac:dyDescent="0.25">
      <c r="A417" s="27" t="s">
        <v>578</v>
      </c>
    </row>
    <row r="418" spans="1:1" x14ac:dyDescent="0.25">
      <c r="A418" s="27" t="s">
        <v>579</v>
      </c>
    </row>
    <row r="419" spans="1:1" x14ac:dyDescent="0.25">
      <c r="A419" s="27" t="s">
        <v>580</v>
      </c>
    </row>
    <row r="420" spans="1:1" x14ac:dyDescent="0.25">
      <c r="A420" s="27" t="s">
        <v>581</v>
      </c>
    </row>
    <row r="421" spans="1:1" x14ac:dyDescent="0.25">
      <c r="A421" s="27" t="s">
        <v>582</v>
      </c>
    </row>
    <row r="422" spans="1:1" x14ac:dyDescent="0.25">
      <c r="A422" s="27" t="s">
        <v>583</v>
      </c>
    </row>
    <row r="423" spans="1:1" x14ac:dyDescent="0.25">
      <c r="A423" s="27" t="s">
        <v>584</v>
      </c>
    </row>
    <row r="424" spans="1:1" x14ac:dyDescent="0.25">
      <c r="A424" s="27" t="s">
        <v>585</v>
      </c>
    </row>
    <row r="425" spans="1:1" x14ac:dyDescent="0.25">
      <c r="A425" s="27" t="s">
        <v>586</v>
      </c>
    </row>
    <row r="426" spans="1:1" x14ac:dyDescent="0.25">
      <c r="A426" s="27" t="s">
        <v>587</v>
      </c>
    </row>
    <row r="427" spans="1:1" x14ac:dyDescent="0.25">
      <c r="A427" s="27" t="s">
        <v>588</v>
      </c>
    </row>
    <row r="428" spans="1:1" x14ac:dyDescent="0.25">
      <c r="A428" s="27" t="s">
        <v>589</v>
      </c>
    </row>
    <row r="429" spans="1:1" x14ac:dyDescent="0.25">
      <c r="A429" s="27" t="s">
        <v>590</v>
      </c>
    </row>
    <row r="430" spans="1:1" x14ac:dyDescent="0.25">
      <c r="A430" s="27" t="s">
        <v>591</v>
      </c>
    </row>
    <row r="431" spans="1:1" x14ac:dyDescent="0.25">
      <c r="A431" s="27" t="s">
        <v>592</v>
      </c>
    </row>
    <row r="432" spans="1:1" x14ac:dyDescent="0.25">
      <c r="A432" s="27" t="s">
        <v>593</v>
      </c>
    </row>
    <row r="433" spans="1:1" x14ac:dyDescent="0.25">
      <c r="A433" s="27" t="s">
        <v>594</v>
      </c>
    </row>
    <row r="434" spans="1:1" x14ac:dyDescent="0.25">
      <c r="A434" s="27" t="s">
        <v>595</v>
      </c>
    </row>
    <row r="435" spans="1:1" x14ac:dyDescent="0.25">
      <c r="A435" s="27" t="s">
        <v>596</v>
      </c>
    </row>
    <row r="436" spans="1:1" x14ac:dyDescent="0.25">
      <c r="A436" s="27" t="s">
        <v>597</v>
      </c>
    </row>
    <row r="437" spans="1:1" x14ac:dyDescent="0.25">
      <c r="A437" s="27" t="s">
        <v>598</v>
      </c>
    </row>
    <row r="438" spans="1:1" x14ac:dyDescent="0.25">
      <c r="A438" s="27" t="s">
        <v>599</v>
      </c>
    </row>
    <row r="439" spans="1:1" x14ac:dyDescent="0.25">
      <c r="A439" s="27" t="s">
        <v>600</v>
      </c>
    </row>
    <row r="440" spans="1:1" x14ac:dyDescent="0.25">
      <c r="A440" s="27" t="s">
        <v>601</v>
      </c>
    </row>
    <row r="441" spans="1:1" x14ac:dyDescent="0.25">
      <c r="A441" s="27" t="s">
        <v>602</v>
      </c>
    </row>
    <row r="442" spans="1:1" x14ac:dyDescent="0.25">
      <c r="A442" s="27" t="s">
        <v>603</v>
      </c>
    </row>
    <row r="443" spans="1:1" x14ac:dyDescent="0.25">
      <c r="A443" s="27" t="s">
        <v>604</v>
      </c>
    </row>
    <row r="444" spans="1:1" x14ac:dyDescent="0.25">
      <c r="A444" s="27" t="s">
        <v>605</v>
      </c>
    </row>
    <row r="445" spans="1:1" x14ac:dyDescent="0.25">
      <c r="A445" s="27" t="s">
        <v>606</v>
      </c>
    </row>
    <row r="446" spans="1:1" x14ac:dyDescent="0.25">
      <c r="A446" s="27" t="s">
        <v>607</v>
      </c>
    </row>
    <row r="447" spans="1:1" x14ac:dyDescent="0.25">
      <c r="A447" s="27" t="s">
        <v>608</v>
      </c>
    </row>
    <row r="448" spans="1:1" x14ac:dyDescent="0.25">
      <c r="A448" s="27" t="s">
        <v>609</v>
      </c>
    </row>
    <row r="449" spans="1:1" x14ac:dyDescent="0.25">
      <c r="A449" s="27" t="s">
        <v>610</v>
      </c>
    </row>
    <row r="450" spans="1:1" x14ac:dyDescent="0.25">
      <c r="A450" s="27" t="s">
        <v>611</v>
      </c>
    </row>
    <row r="451" spans="1:1" x14ac:dyDescent="0.25">
      <c r="A451" s="27" t="s">
        <v>612</v>
      </c>
    </row>
    <row r="452" spans="1:1" x14ac:dyDescent="0.25">
      <c r="A452" s="27" t="s">
        <v>613</v>
      </c>
    </row>
    <row r="453" spans="1:1" x14ac:dyDescent="0.25">
      <c r="A453" s="27" t="s">
        <v>614</v>
      </c>
    </row>
    <row r="454" spans="1:1" x14ac:dyDescent="0.25">
      <c r="A454" s="27" t="s">
        <v>615</v>
      </c>
    </row>
    <row r="455" spans="1:1" x14ac:dyDescent="0.25">
      <c r="A455" s="27" t="s">
        <v>616</v>
      </c>
    </row>
    <row r="456" spans="1:1" x14ac:dyDescent="0.25">
      <c r="A456" s="27" t="s">
        <v>617</v>
      </c>
    </row>
    <row r="457" spans="1:1" x14ac:dyDescent="0.25">
      <c r="A457" s="27" t="s">
        <v>618</v>
      </c>
    </row>
    <row r="458" spans="1:1" x14ac:dyDescent="0.25">
      <c r="A458" s="27" t="s">
        <v>619</v>
      </c>
    </row>
    <row r="459" spans="1:1" x14ac:dyDescent="0.25">
      <c r="A459" s="27" t="s">
        <v>620</v>
      </c>
    </row>
    <row r="460" spans="1:1" x14ac:dyDescent="0.25">
      <c r="A460" s="27" t="s">
        <v>621</v>
      </c>
    </row>
    <row r="461" spans="1:1" x14ac:dyDescent="0.25">
      <c r="A461" s="27" t="s">
        <v>622</v>
      </c>
    </row>
    <row r="462" spans="1:1" x14ac:dyDescent="0.25">
      <c r="A462" s="27" t="s">
        <v>623</v>
      </c>
    </row>
    <row r="463" spans="1:1" x14ac:dyDescent="0.25">
      <c r="A463" s="27" t="s">
        <v>624</v>
      </c>
    </row>
    <row r="464" spans="1:1" x14ac:dyDescent="0.25">
      <c r="A464" s="27" t="s">
        <v>625</v>
      </c>
    </row>
    <row r="465" spans="1:1" x14ac:dyDescent="0.25">
      <c r="A465" s="27" t="s">
        <v>626</v>
      </c>
    </row>
    <row r="466" spans="1:1" x14ac:dyDescent="0.25">
      <c r="A466" s="27" t="s">
        <v>627</v>
      </c>
    </row>
    <row r="467" spans="1:1" x14ac:dyDescent="0.25">
      <c r="A467" s="27" t="s">
        <v>628</v>
      </c>
    </row>
    <row r="468" spans="1:1" x14ac:dyDescent="0.25">
      <c r="A468" s="27" t="s">
        <v>629</v>
      </c>
    </row>
    <row r="469" spans="1:1" x14ac:dyDescent="0.25">
      <c r="A469" s="27" t="s">
        <v>630</v>
      </c>
    </row>
    <row r="470" spans="1:1" x14ac:dyDescent="0.25">
      <c r="A470" s="27" t="s">
        <v>631</v>
      </c>
    </row>
    <row r="471" spans="1:1" x14ac:dyDescent="0.25">
      <c r="A471" s="27" t="s">
        <v>632</v>
      </c>
    </row>
    <row r="472" spans="1:1" x14ac:dyDescent="0.25">
      <c r="A472" s="27" t="s">
        <v>633</v>
      </c>
    </row>
    <row r="473" spans="1:1" x14ac:dyDescent="0.25">
      <c r="A473" s="27" t="s">
        <v>634</v>
      </c>
    </row>
    <row r="474" spans="1:1" x14ac:dyDescent="0.25">
      <c r="A474" s="27" t="s">
        <v>635</v>
      </c>
    </row>
    <row r="475" spans="1:1" x14ac:dyDescent="0.25">
      <c r="A475" s="27" t="s">
        <v>636</v>
      </c>
    </row>
    <row r="476" spans="1:1" x14ac:dyDescent="0.25">
      <c r="A476" s="27" t="s">
        <v>637</v>
      </c>
    </row>
    <row r="477" spans="1:1" x14ac:dyDescent="0.25">
      <c r="A477" s="27" t="s">
        <v>638</v>
      </c>
    </row>
    <row r="478" spans="1:1" x14ac:dyDescent="0.25">
      <c r="A478" s="27" t="s">
        <v>639</v>
      </c>
    </row>
    <row r="479" spans="1:1" x14ac:dyDescent="0.25">
      <c r="A479" s="27" t="s">
        <v>640</v>
      </c>
    </row>
    <row r="480" spans="1:1" x14ac:dyDescent="0.25">
      <c r="A480" s="27" t="s">
        <v>641</v>
      </c>
    </row>
    <row r="481" spans="1:1" x14ac:dyDescent="0.25">
      <c r="A481" s="27" t="s">
        <v>642</v>
      </c>
    </row>
    <row r="482" spans="1:1" x14ac:dyDescent="0.25">
      <c r="A482" s="27" t="s">
        <v>643</v>
      </c>
    </row>
    <row r="483" spans="1:1" x14ac:dyDescent="0.25">
      <c r="A483" s="27" t="s">
        <v>644</v>
      </c>
    </row>
    <row r="484" spans="1:1" x14ac:dyDescent="0.25">
      <c r="A484" s="27" t="s">
        <v>645</v>
      </c>
    </row>
    <row r="485" spans="1:1" x14ac:dyDescent="0.25">
      <c r="A485" s="27" t="s">
        <v>646</v>
      </c>
    </row>
    <row r="486" spans="1:1" x14ac:dyDescent="0.25">
      <c r="A486" s="27" t="s">
        <v>647</v>
      </c>
    </row>
    <row r="487" spans="1:1" x14ac:dyDescent="0.25">
      <c r="A487" s="27" t="s">
        <v>648</v>
      </c>
    </row>
    <row r="488" spans="1:1" x14ac:dyDescent="0.25">
      <c r="A488" s="27" t="s">
        <v>649</v>
      </c>
    </row>
    <row r="489" spans="1:1" x14ac:dyDescent="0.25">
      <c r="A489" s="27" t="s">
        <v>650</v>
      </c>
    </row>
    <row r="490" spans="1:1" x14ac:dyDescent="0.25">
      <c r="A490" s="27" t="s">
        <v>651</v>
      </c>
    </row>
    <row r="491" spans="1:1" x14ac:dyDescent="0.25">
      <c r="A491" s="27" t="s">
        <v>652</v>
      </c>
    </row>
    <row r="492" spans="1:1" x14ac:dyDescent="0.25">
      <c r="A492" s="27" t="s">
        <v>653</v>
      </c>
    </row>
    <row r="493" spans="1:1" x14ac:dyDescent="0.25">
      <c r="A493" s="27" t="s">
        <v>654</v>
      </c>
    </row>
    <row r="494" spans="1:1" x14ac:dyDescent="0.25">
      <c r="A494" s="27" t="s">
        <v>655</v>
      </c>
    </row>
    <row r="495" spans="1:1" x14ac:dyDescent="0.25">
      <c r="A495" s="27" t="s">
        <v>656</v>
      </c>
    </row>
    <row r="496" spans="1:1" x14ac:dyDescent="0.25">
      <c r="A496" s="27" t="s">
        <v>657</v>
      </c>
    </row>
    <row r="497" spans="1:1" x14ac:dyDescent="0.25">
      <c r="A497" s="27" t="s">
        <v>658</v>
      </c>
    </row>
    <row r="498" spans="1:1" x14ac:dyDescent="0.25">
      <c r="A498" s="27" t="s">
        <v>659</v>
      </c>
    </row>
    <row r="499" spans="1:1" x14ac:dyDescent="0.25">
      <c r="A499" s="27" t="s">
        <v>660</v>
      </c>
    </row>
    <row r="500" spans="1:1" x14ac:dyDescent="0.25">
      <c r="A500" s="27" t="s">
        <v>661</v>
      </c>
    </row>
    <row r="501" spans="1:1" x14ac:dyDescent="0.25">
      <c r="A501" s="27" t="s">
        <v>662</v>
      </c>
    </row>
    <row r="502" spans="1:1" x14ac:dyDescent="0.25">
      <c r="A502" s="27" t="s">
        <v>663</v>
      </c>
    </row>
    <row r="503" spans="1:1" x14ac:dyDescent="0.25">
      <c r="A503" s="27" t="s">
        <v>664</v>
      </c>
    </row>
    <row r="504" spans="1:1" x14ac:dyDescent="0.25">
      <c r="A504" s="27" t="s">
        <v>665</v>
      </c>
    </row>
    <row r="505" spans="1:1" x14ac:dyDescent="0.25">
      <c r="A505" s="27" t="s">
        <v>666</v>
      </c>
    </row>
    <row r="506" spans="1:1" x14ac:dyDescent="0.25">
      <c r="A506" s="27" t="s">
        <v>667</v>
      </c>
    </row>
    <row r="507" spans="1:1" x14ac:dyDescent="0.25">
      <c r="A507" s="27" t="s">
        <v>668</v>
      </c>
    </row>
    <row r="508" spans="1:1" x14ac:dyDescent="0.25">
      <c r="A508" s="27" t="s">
        <v>669</v>
      </c>
    </row>
    <row r="509" spans="1:1" x14ac:dyDescent="0.25">
      <c r="A509" s="27" t="s">
        <v>670</v>
      </c>
    </row>
    <row r="510" spans="1:1" x14ac:dyDescent="0.25">
      <c r="A510" s="27" t="s">
        <v>671</v>
      </c>
    </row>
    <row r="511" spans="1:1" x14ac:dyDescent="0.25">
      <c r="A511" s="27" t="s">
        <v>672</v>
      </c>
    </row>
    <row r="512" spans="1:1" x14ac:dyDescent="0.25">
      <c r="A512" s="27" t="s">
        <v>673</v>
      </c>
    </row>
    <row r="513" spans="1:1" x14ac:dyDescent="0.25">
      <c r="A513" s="27" t="s">
        <v>674</v>
      </c>
    </row>
    <row r="514" spans="1:1" x14ac:dyDescent="0.25">
      <c r="A514" s="27" t="s">
        <v>675</v>
      </c>
    </row>
    <row r="515" spans="1:1" x14ac:dyDescent="0.25">
      <c r="A515" s="27" t="s">
        <v>676</v>
      </c>
    </row>
    <row r="516" spans="1:1" x14ac:dyDescent="0.25">
      <c r="A516" s="27" t="s">
        <v>677</v>
      </c>
    </row>
    <row r="517" spans="1:1" x14ac:dyDescent="0.25">
      <c r="A517" s="27" t="s">
        <v>678</v>
      </c>
    </row>
    <row r="518" spans="1:1" x14ac:dyDescent="0.25">
      <c r="A518" s="27" t="s">
        <v>679</v>
      </c>
    </row>
    <row r="519" spans="1:1" x14ac:dyDescent="0.25">
      <c r="A519" s="27" t="s">
        <v>680</v>
      </c>
    </row>
    <row r="520" spans="1:1" x14ac:dyDescent="0.25">
      <c r="A520" s="27" t="s">
        <v>681</v>
      </c>
    </row>
    <row r="521" spans="1:1" x14ac:dyDescent="0.25">
      <c r="A521" s="27" t="s">
        <v>682</v>
      </c>
    </row>
    <row r="522" spans="1:1" x14ac:dyDescent="0.25">
      <c r="A522" s="27" t="s">
        <v>683</v>
      </c>
    </row>
    <row r="523" spans="1:1" x14ac:dyDescent="0.25">
      <c r="A523" s="27" t="s">
        <v>684</v>
      </c>
    </row>
    <row r="524" spans="1:1" x14ac:dyDescent="0.25">
      <c r="A524" s="27" t="s">
        <v>685</v>
      </c>
    </row>
    <row r="525" spans="1:1" x14ac:dyDescent="0.25">
      <c r="A525" s="27" t="s">
        <v>686</v>
      </c>
    </row>
    <row r="526" spans="1:1" x14ac:dyDescent="0.25">
      <c r="A526" s="27" t="s">
        <v>687</v>
      </c>
    </row>
    <row r="527" spans="1:1" x14ac:dyDescent="0.25">
      <c r="A527" s="27" t="s">
        <v>688</v>
      </c>
    </row>
    <row r="528" spans="1:1" x14ac:dyDescent="0.25">
      <c r="A528" s="27" t="s">
        <v>689</v>
      </c>
    </row>
    <row r="529" spans="1:1" x14ac:dyDescent="0.25">
      <c r="A529" s="27" t="s">
        <v>690</v>
      </c>
    </row>
    <row r="530" spans="1:1" x14ac:dyDescent="0.25">
      <c r="A530" s="92" t="s">
        <v>691</v>
      </c>
    </row>
    <row r="531" spans="1:1" x14ac:dyDescent="0.25">
      <c r="A531" s="92" t="s">
        <v>692</v>
      </c>
    </row>
    <row r="532" spans="1:1" x14ac:dyDescent="0.25">
      <c r="A532" s="92" t="s">
        <v>693</v>
      </c>
    </row>
    <row r="533" spans="1:1" x14ac:dyDescent="0.25">
      <c r="A533" s="93" t="s">
        <v>694</v>
      </c>
    </row>
    <row r="534" spans="1:1" x14ac:dyDescent="0.25">
      <c r="A534" s="93" t="s">
        <v>695</v>
      </c>
    </row>
    <row r="535" spans="1:1" x14ac:dyDescent="0.25">
      <c r="A535" s="92" t="s">
        <v>696</v>
      </c>
    </row>
    <row r="536" spans="1:1" x14ac:dyDescent="0.25">
      <c r="A536" s="92" t="s">
        <v>697</v>
      </c>
    </row>
    <row r="537" spans="1:1" x14ac:dyDescent="0.25">
      <c r="A537" s="92" t="s">
        <v>698</v>
      </c>
    </row>
    <row r="538" spans="1:1" x14ac:dyDescent="0.25">
      <c r="A538" s="92" t="s">
        <v>699</v>
      </c>
    </row>
    <row r="539" spans="1:1" x14ac:dyDescent="0.25">
      <c r="A539" s="93" t="s">
        <v>700</v>
      </c>
    </row>
    <row r="540" spans="1:1" x14ac:dyDescent="0.25">
      <c r="A540" s="93" t="s">
        <v>701</v>
      </c>
    </row>
    <row r="541" spans="1:1" x14ac:dyDescent="0.25">
      <c r="A541" s="92" t="s">
        <v>702</v>
      </c>
    </row>
    <row r="542" spans="1:1" x14ac:dyDescent="0.25">
      <c r="A542" s="92" t="s">
        <v>703</v>
      </c>
    </row>
    <row r="543" spans="1:1" x14ac:dyDescent="0.25">
      <c r="A543" s="92" t="s">
        <v>704</v>
      </c>
    </row>
    <row r="544" spans="1:1" x14ac:dyDescent="0.25">
      <c r="A544" s="92" t="s">
        <v>705</v>
      </c>
    </row>
    <row r="545" spans="1:1" x14ac:dyDescent="0.25">
      <c r="A545" s="93" t="s">
        <v>706</v>
      </c>
    </row>
    <row r="546" spans="1:1" x14ac:dyDescent="0.25">
      <c r="A546" s="93" t="s">
        <v>707</v>
      </c>
    </row>
    <row r="547" spans="1:1" x14ac:dyDescent="0.25">
      <c r="A547" s="92" t="s">
        <v>708</v>
      </c>
    </row>
    <row r="548" spans="1:1" x14ac:dyDescent="0.25">
      <c r="A548" s="92" t="s">
        <v>709</v>
      </c>
    </row>
    <row r="549" spans="1:1" x14ac:dyDescent="0.25">
      <c r="A549" s="92" t="s">
        <v>710</v>
      </c>
    </row>
    <row r="550" spans="1:1" x14ac:dyDescent="0.25">
      <c r="A550" s="92" t="s">
        <v>711</v>
      </c>
    </row>
    <row r="551" spans="1:1" x14ac:dyDescent="0.25">
      <c r="A551" s="93" t="s">
        <v>712</v>
      </c>
    </row>
    <row r="552" spans="1:1" x14ac:dyDescent="0.25">
      <c r="A552" s="93" t="s">
        <v>713</v>
      </c>
    </row>
    <row r="553" spans="1:1" x14ac:dyDescent="0.25">
      <c r="A553" s="92" t="s">
        <v>714</v>
      </c>
    </row>
    <row r="554" spans="1:1" x14ac:dyDescent="0.25">
      <c r="A554" s="27" t="s">
        <v>715</v>
      </c>
    </row>
    <row r="555" spans="1:1" x14ac:dyDescent="0.25">
      <c r="A555" s="27" t="s">
        <v>716</v>
      </c>
    </row>
    <row r="556" spans="1:1" x14ac:dyDescent="0.25">
      <c r="A556" s="27" t="s">
        <v>717</v>
      </c>
    </row>
    <row r="557" spans="1:1" x14ac:dyDescent="0.25">
      <c r="A557" s="27" t="s">
        <v>718</v>
      </c>
    </row>
    <row r="558" spans="1:1" x14ac:dyDescent="0.25">
      <c r="A558" s="27" t="s">
        <v>719</v>
      </c>
    </row>
    <row r="559" spans="1:1" x14ac:dyDescent="0.25">
      <c r="A559" s="27" t="s">
        <v>720</v>
      </c>
    </row>
    <row r="560" spans="1:1" x14ac:dyDescent="0.25">
      <c r="A560" s="27" t="s">
        <v>721</v>
      </c>
    </row>
    <row r="561" spans="1:1" x14ac:dyDescent="0.25">
      <c r="A561" s="27" t="s">
        <v>722</v>
      </c>
    </row>
    <row r="562" spans="1:1" x14ac:dyDescent="0.25">
      <c r="A562" s="27" t="s">
        <v>723</v>
      </c>
    </row>
    <row r="563" spans="1:1" x14ac:dyDescent="0.25">
      <c r="A563" s="27" t="s">
        <v>724</v>
      </c>
    </row>
    <row r="564" spans="1:1" x14ac:dyDescent="0.25">
      <c r="A564" s="27" t="s">
        <v>725</v>
      </c>
    </row>
    <row r="565" spans="1:1" x14ac:dyDescent="0.25">
      <c r="A565" s="27" t="s">
        <v>726</v>
      </c>
    </row>
    <row r="566" spans="1:1" x14ac:dyDescent="0.25">
      <c r="A566" s="27" t="s">
        <v>727</v>
      </c>
    </row>
    <row r="567" spans="1:1" x14ac:dyDescent="0.25">
      <c r="A567" s="27" t="s">
        <v>728</v>
      </c>
    </row>
    <row r="568" spans="1:1" x14ac:dyDescent="0.25">
      <c r="A568" s="27" t="s">
        <v>729</v>
      </c>
    </row>
    <row r="569" spans="1:1" x14ac:dyDescent="0.25">
      <c r="A569" s="27" t="s">
        <v>730</v>
      </c>
    </row>
    <row r="570" spans="1:1" x14ac:dyDescent="0.25">
      <c r="A570" s="27" t="s">
        <v>731</v>
      </c>
    </row>
    <row r="571" spans="1:1" x14ac:dyDescent="0.25">
      <c r="A571" s="27" t="s">
        <v>732</v>
      </c>
    </row>
    <row r="572" spans="1:1" x14ac:dyDescent="0.25">
      <c r="A572" s="27" t="s">
        <v>733</v>
      </c>
    </row>
    <row r="573" spans="1:1" x14ac:dyDescent="0.25">
      <c r="A573" s="27" t="s">
        <v>734</v>
      </c>
    </row>
    <row r="574" spans="1:1" x14ac:dyDescent="0.25">
      <c r="A574" s="27" t="s">
        <v>735</v>
      </c>
    </row>
    <row r="575" spans="1:1" x14ac:dyDescent="0.25">
      <c r="A575" s="27" t="s">
        <v>736</v>
      </c>
    </row>
    <row r="576" spans="1:1" x14ac:dyDescent="0.25">
      <c r="A576" s="27" t="s">
        <v>737</v>
      </c>
    </row>
    <row r="577" spans="1:1" x14ac:dyDescent="0.25">
      <c r="A577" s="27" t="s">
        <v>738</v>
      </c>
    </row>
    <row r="578" spans="1:1" x14ac:dyDescent="0.25">
      <c r="A578" s="27" t="s">
        <v>739</v>
      </c>
    </row>
    <row r="579" spans="1:1" x14ac:dyDescent="0.25">
      <c r="A579" s="27" t="s">
        <v>740</v>
      </c>
    </row>
    <row r="580" spans="1:1" x14ac:dyDescent="0.25">
      <c r="A580" s="27" t="s">
        <v>741</v>
      </c>
    </row>
    <row r="581" spans="1:1" x14ac:dyDescent="0.25">
      <c r="A581" s="27" t="s">
        <v>742</v>
      </c>
    </row>
    <row r="582" spans="1:1" x14ac:dyDescent="0.25">
      <c r="A582" s="27" t="s">
        <v>743</v>
      </c>
    </row>
    <row r="583" spans="1:1" x14ac:dyDescent="0.25">
      <c r="A583" s="27" t="s">
        <v>744</v>
      </c>
    </row>
    <row r="584" spans="1:1" x14ac:dyDescent="0.25">
      <c r="A584" s="27" t="s">
        <v>745</v>
      </c>
    </row>
    <row r="585" spans="1:1" x14ac:dyDescent="0.25">
      <c r="A585" s="27" t="s">
        <v>746</v>
      </c>
    </row>
    <row r="586" spans="1:1" x14ac:dyDescent="0.25">
      <c r="A586" s="27" t="s">
        <v>747</v>
      </c>
    </row>
    <row r="587" spans="1:1" x14ac:dyDescent="0.25">
      <c r="A587" s="27" t="s">
        <v>748</v>
      </c>
    </row>
    <row r="588" spans="1:1" x14ac:dyDescent="0.25">
      <c r="A588" s="27" t="s">
        <v>749</v>
      </c>
    </row>
    <row r="589" spans="1:1" x14ac:dyDescent="0.25">
      <c r="A589" s="27" t="s">
        <v>750</v>
      </c>
    </row>
    <row r="590" spans="1:1" x14ac:dyDescent="0.25">
      <c r="A590" s="27" t="s">
        <v>751</v>
      </c>
    </row>
    <row r="591" spans="1:1" x14ac:dyDescent="0.25">
      <c r="A591" s="27" t="s">
        <v>752</v>
      </c>
    </row>
    <row r="592" spans="1:1" x14ac:dyDescent="0.25">
      <c r="A592" s="27" t="s">
        <v>753</v>
      </c>
    </row>
    <row r="593" spans="1:1" x14ac:dyDescent="0.25">
      <c r="A593" s="27" t="s">
        <v>754</v>
      </c>
    </row>
    <row r="594" spans="1:1" x14ac:dyDescent="0.25">
      <c r="A594" s="27" t="s">
        <v>755</v>
      </c>
    </row>
    <row r="595" spans="1:1" x14ac:dyDescent="0.25">
      <c r="A595" s="27" t="s">
        <v>756</v>
      </c>
    </row>
    <row r="596" spans="1:1" x14ac:dyDescent="0.25">
      <c r="A596" s="27" t="s">
        <v>757</v>
      </c>
    </row>
    <row r="597" spans="1:1" x14ac:dyDescent="0.25">
      <c r="A597" s="27" t="s">
        <v>758</v>
      </c>
    </row>
    <row r="598" spans="1:1" x14ac:dyDescent="0.25">
      <c r="A598" s="27" t="s">
        <v>759</v>
      </c>
    </row>
    <row r="599" spans="1:1" x14ac:dyDescent="0.25">
      <c r="A599" s="27" t="s">
        <v>760</v>
      </c>
    </row>
    <row r="600" spans="1:1" x14ac:dyDescent="0.25">
      <c r="A600" s="27" t="s">
        <v>761</v>
      </c>
    </row>
    <row r="601" spans="1:1" x14ac:dyDescent="0.25">
      <c r="A601" s="27" t="s">
        <v>762</v>
      </c>
    </row>
    <row r="602" spans="1:1" x14ac:dyDescent="0.25">
      <c r="A602" s="27" t="s">
        <v>763</v>
      </c>
    </row>
    <row r="603" spans="1:1" x14ac:dyDescent="0.25">
      <c r="A603" s="27" t="s">
        <v>764</v>
      </c>
    </row>
    <row r="604" spans="1:1" x14ac:dyDescent="0.25">
      <c r="A604" s="27" t="s">
        <v>765</v>
      </c>
    </row>
    <row r="605" spans="1:1" x14ac:dyDescent="0.25">
      <c r="A605" s="27" t="s">
        <v>766</v>
      </c>
    </row>
    <row r="606" spans="1:1" x14ac:dyDescent="0.25">
      <c r="A606" s="27" t="s">
        <v>767</v>
      </c>
    </row>
    <row r="607" spans="1:1" x14ac:dyDescent="0.25">
      <c r="A607" s="27" t="s">
        <v>768</v>
      </c>
    </row>
    <row r="608" spans="1:1" x14ac:dyDescent="0.25">
      <c r="A608" s="27" t="s">
        <v>769</v>
      </c>
    </row>
    <row r="609" spans="1:1" x14ac:dyDescent="0.25">
      <c r="A609" s="27" t="s">
        <v>770</v>
      </c>
    </row>
    <row r="610" spans="1:1" x14ac:dyDescent="0.25">
      <c r="A610" s="27" t="s">
        <v>771</v>
      </c>
    </row>
    <row r="611" spans="1:1" x14ac:dyDescent="0.25">
      <c r="A611" s="27" t="s">
        <v>772</v>
      </c>
    </row>
    <row r="612" spans="1:1" x14ac:dyDescent="0.25">
      <c r="A612" s="27" t="s">
        <v>773</v>
      </c>
    </row>
    <row r="613" spans="1:1" x14ac:dyDescent="0.25">
      <c r="A613" s="27" t="s">
        <v>774</v>
      </c>
    </row>
    <row r="614" spans="1:1" x14ac:dyDescent="0.25">
      <c r="A614" s="93" t="s">
        <v>775</v>
      </c>
    </row>
    <row r="615" spans="1:1" x14ac:dyDescent="0.25">
      <c r="A615" s="93" t="s">
        <v>776</v>
      </c>
    </row>
    <row r="616" spans="1:1" x14ac:dyDescent="0.25">
      <c r="A616" t="s">
        <v>777</v>
      </c>
    </row>
    <row r="617" spans="1:1" x14ac:dyDescent="0.25">
      <c r="A617" s="93" t="s">
        <v>778</v>
      </c>
    </row>
    <row r="618" spans="1:1" x14ac:dyDescent="0.25">
      <c r="A618" s="27" t="s">
        <v>779</v>
      </c>
    </row>
    <row r="619" spans="1:1" x14ac:dyDescent="0.25">
      <c r="A619" s="92" t="s">
        <v>780</v>
      </c>
    </row>
    <row r="620" spans="1:1" x14ac:dyDescent="0.25">
      <c r="A620" s="93" t="s">
        <v>781</v>
      </c>
    </row>
    <row r="621" spans="1:1" x14ac:dyDescent="0.25">
      <c r="A621" t="s">
        <v>782</v>
      </c>
    </row>
    <row r="622" spans="1:1" x14ac:dyDescent="0.25">
      <c r="A622" s="92" t="s">
        <v>783</v>
      </c>
    </row>
    <row r="623" spans="1:1" x14ac:dyDescent="0.25">
      <c r="A623" s="92" t="s">
        <v>784</v>
      </c>
    </row>
    <row r="624" spans="1:1" x14ac:dyDescent="0.25">
      <c r="A624" s="27" t="s">
        <v>785</v>
      </c>
    </row>
    <row r="625" spans="1:1" x14ac:dyDescent="0.25">
      <c r="A625" s="27" t="s">
        <v>786</v>
      </c>
    </row>
    <row r="626" spans="1:1" x14ac:dyDescent="0.25">
      <c r="A626" s="27" t="s">
        <v>787</v>
      </c>
    </row>
    <row r="627" spans="1:1" x14ac:dyDescent="0.25">
      <c r="A627" t="s">
        <v>788</v>
      </c>
    </row>
    <row r="628" spans="1:1" x14ac:dyDescent="0.25">
      <c r="A628" s="93" t="s">
        <v>789</v>
      </c>
    </row>
    <row r="629" spans="1:1" x14ac:dyDescent="0.25">
      <c r="A629" t="s">
        <v>790</v>
      </c>
    </row>
    <row r="630" spans="1:1" x14ac:dyDescent="0.25">
      <c r="A630" s="92" t="s">
        <v>791</v>
      </c>
    </row>
    <row r="631" spans="1:1" x14ac:dyDescent="0.25">
      <c r="A631" s="93" t="s">
        <v>792</v>
      </c>
    </row>
    <row r="632" spans="1:1" x14ac:dyDescent="0.25">
      <c r="A632" t="s">
        <v>793</v>
      </c>
    </row>
    <row r="633" spans="1:1" x14ac:dyDescent="0.25">
      <c r="A633" s="92" t="s">
        <v>794</v>
      </c>
    </row>
    <row r="634" spans="1:1" x14ac:dyDescent="0.25">
      <c r="A634" s="92" t="s">
        <v>795</v>
      </c>
    </row>
    <row r="635" spans="1:1" x14ac:dyDescent="0.25">
      <c r="A635" s="27" t="s">
        <v>796</v>
      </c>
    </row>
    <row r="636" spans="1:1" x14ac:dyDescent="0.25">
      <c r="A636" s="27" t="s">
        <v>797</v>
      </c>
    </row>
    <row r="637" spans="1:1" x14ac:dyDescent="0.25">
      <c r="A637" s="27" t="s">
        <v>798</v>
      </c>
    </row>
    <row r="638" spans="1:1" x14ac:dyDescent="0.25">
      <c r="A638" s="27" t="s">
        <v>799</v>
      </c>
    </row>
    <row r="639" spans="1:1" x14ac:dyDescent="0.25">
      <c r="A639" s="93" t="s">
        <v>800</v>
      </c>
    </row>
    <row r="640" spans="1:1" x14ac:dyDescent="0.25">
      <c r="A640" s="93" t="s">
        <v>801</v>
      </c>
    </row>
    <row r="641" spans="1:1" x14ac:dyDescent="0.25">
      <c r="A641" t="s">
        <v>802</v>
      </c>
    </row>
    <row r="642" spans="1:1" x14ac:dyDescent="0.25">
      <c r="A642" s="93" t="s">
        <v>803</v>
      </c>
    </row>
    <row r="643" spans="1:1" x14ac:dyDescent="0.25">
      <c r="A643" s="27" t="s">
        <v>804</v>
      </c>
    </row>
    <row r="644" spans="1:1" x14ac:dyDescent="0.25">
      <c r="A644" s="92" t="s">
        <v>805</v>
      </c>
    </row>
    <row r="645" spans="1:1" x14ac:dyDescent="0.25">
      <c r="A645" s="93" t="s">
        <v>806</v>
      </c>
    </row>
    <row r="646" spans="1:1" x14ac:dyDescent="0.25">
      <c r="A646" t="s">
        <v>807</v>
      </c>
    </row>
    <row r="647" spans="1:1" x14ac:dyDescent="0.25">
      <c r="A647" s="92" t="s">
        <v>808</v>
      </c>
    </row>
    <row r="648" spans="1:1" x14ac:dyDescent="0.25">
      <c r="A648" s="92" t="s">
        <v>809</v>
      </c>
    </row>
    <row r="649" spans="1:1" x14ac:dyDescent="0.25">
      <c r="A649" s="27" t="s">
        <v>810</v>
      </c>
    </row>
    <row r="650" spans="1:1" x14ac:dyDescent="0.25">
      <c r="A650" s="27" t="s">
        <v>811</v>
      </c>
    </row>
    <row r="651" spans="1:1" x14ac:dyDescent="0.25">
      <c r="A651" s="27" t="s">
        <v>812</v>
      </c>
    </row>
    <row r="652" spans="1:1" x14ac:dyDescent="0.25">
      <c r="A652" t="s">
        <v>813</v>
      </c>
    </row>
    <row r="653" spans="1:1" x14ac:dyDescent="0.25">
      <c r="A653" s="93" t="s">
        <v>814</v>
      </c>
    </row>
    <row r="654" spans="1:1" x14ac:dyDescent="0.25">
      <c r="A654" t="s">
        <v>815</v>
      </c>
    </row>
    <row r="655" spans="1:1" x14ac:dyDescent="0.25">
      <c r="A655" s="92" t="s">
        <v>816</v>
      </c>
    </row>
    <row r="656" spans="1:1" x14ac:dyDescent="0.25">
      <c r="A656" s="93" t="s">
        <v>817</v>
      </c>
    </row>
    <row r="657" spans="1:1" x14ac:dyDescent="0.25">
      <c r="A657" t="s">
        <v>818</v>
      </c>
    </row>
    <row r="658" spans="1:1" x14ac:dyDescent="0.25">
      <c r="A658" s="92" t="s">
        <v>819</v>
      </c>
    </row>
    <row r="659" spans="1:1" x14ac:dyDescent="0.25">
      <c r="A659" s="92" t="s">
        <v>820</v>
      </c>
    </row>
    <row r="660" spans="1:1" x14ac:dyDescent="0.25">
      <c r="A660" s="27" t="s">
        <v>821</v>
      </c>
    </row>
    <row r="661" spans="1:1" x14ac:dyDescent="0.25">
      <c r="A661" s="27" t="s">
        <v>822</v>
      </c>
    </row>
    <row r="662" spans="1:1" x14ac:dyDescent="0.25">
      <c r="A662" t="s">
        <v>823</v>
      </c>
    </row>
    <row r="663" spans="1:1" x14ac:dyDescent="0.25">
      <c r="A663" t="s">
        <v>824</v>
      </c>
    </row>
    <row r="664" spans="1:1" x14ac:dyDescent="0.25">
      <c r="A664" t="s">
        <v>825</v>
      </c>
    </row>
    <row r="665" spans="1:1" x14ac:dyDescent="0.25">
      <c r="A665" t="s">
        <v>826</v>
      </c>
    </row>
    <row r="666" spans="1:1" x14ac:dyDescent="0.25">
      <c r="A666" s="27" t="s">
        <v>827</v>
      </c>
    </row>
    <row r="667" spans="1:1" x14ac:dyDescent="0.25">
      <c r="A667" t="s">
        <v>828</v>
      </c>
    </row>
    <row r="668" spans="1:1" x14ac:dyDescent="0.25">
      <c r="A668" t="s">
        <v>829</v>
      </c>
    </row>
    <row r="669" spans="1:1" x14ac:dyDescent="0.25">
      <c r="A669" s="27" t="s">
        <v>830</v>
      </c>
    </row>
    <row r="670" spans="1:1" x14ac:dyDescent="0.25">
      <c r="A670" s="27" t="s">
        <v>831</v>
      </c>
    </row>
    <row r="671" spans="1:1" x14ac:dyDescent="0.25">
      <c r="A671" t="s">
        <v>832</v>
      </c>
    </row>
    <row r="672" spans="1:1" x14ac:dyDescent="0.25">
      <c r="A672" t="s">
        <v>833</v>
      </c>
    </row>
    <row r="673" spans="1:1" x14ac:dyDescent="0.25">
      <c r="A673" s="27" t="s">
        <v>834</v>
      </c>
    </row>
    <row r="674" spans="1:1" x14ac:dyDescent="0.25">
      <c r="A674" s="27" t="s">
        <v>835</v>
      </c>
    </row>
    <row r="675" spans="1:1" x14ac:dyDescent="0.25">
      <c r="A675" s="27" t="s">
        <v>836</v>
      </c>
    </row>
    <row r="676" spans="1:1" x14ac:dyDescent="0.25">
      <c r="A676" s="27" t="s">
        <v>837</v>
      </c>
    </row>
    <row r="677" spans="1:1" x14ac:dyDescent="0.25">
      <c r="A677" s="27" t="s">
        <v>838</v>
      </c>
    </row>
    <row r="678" spans="1:1" x14ac:dyDescent="0.25">
      <c r="A678" s="27" t="s">
        <v>839</v>
      </c>
    </row>
    <row r="679" spans="1:1" x14ac:dyDescent="0.25">
      <c r="A679" s="27" t="s">
        <v>840</v>
      </c>
    </row>
    <row r="680" spans="1:1" x14ac:dyDescent="0.25">
      <c r="A680" s="27" t="s">
        <v>841</v>
      </c>
    </row>
    <row r="681" spans="1:1" x14ac:dyDescent="0.25">
      <c r="A681" s="27" t="s">
        <v>842</v>
      </c>
    </row>
    <row r="682" spans="1:1" x14ac:dyDescent="0.25">
      <c r="A682" s="27" t="s">
        <v>843</v>
      </c>
    </row>
    <row r="683" spans="1:1" x14ac:dyDescent="0.25">
      <c r="A683" s="27" t="s">
        <v>844</v>
      </c>
    </row>
    <row r="684" spans="1:1" x14ac:dyDescent="0.25">
      <c r="A684" s="27" t="s">
        <v>845</v>
      </c>
    </row>
    <row r="685" spans="1:1" x14ac:dyDescent="0.25">
      <c r="A685" s="27" t="s">
        <v>846</v>
      </c>
    </row>
    <row r="686" spans="1:1" x14ac:dyDescent="0.25">
      <c r="A686" s="27" t="s">
        <v>847</v>
      </c>
    </row>
    <row r="687" spans="1:1" x14ac:dyDescent="0.25">
      <c r="A687" s="27" t="s">
        <v>848</v>
      </c>
    </row>
    <row r="688" spans="1:1" x14ac:dyDescent="0.25">
      <c r="A688" s="27" t="s">
        <v>849</v>
      </c>
    </row>
    <row r="689" spans="1:1" x14ac:dyDescent="0.25">
      <c r="A689" s="27" t="s">
        <v>850</v>
      </c>
    </row>
    <row r="690" spans="1:1" x14ac:dyDescent="0.25">
      <c r="A690" s="27" t="s">
        <v>851</v>
      </c>
    </row>
    <row r="691" spans="1:1" x14ac:dyDescent="0.25">
      <c r="A691" s="27" t="s">
        <v>852</v>
      </c>
    </row>
    <row r="692" spans="1:1" x14ac:dyDescent="0.25">
      <c r="A692" s="27" t="s">
        <v>853</v>
      </c>
    </row>
    <row r="693" spans="1:1" x14ac:dyDescent="0.25">
      <c r="A693" s="27" t="s">
        <v>854</v>
      </c>
    </row>
    <row r="694" spans="1:1" x14ac:dyDescent="0.25">
      <c r="A694" s="27" t="s">
        <v>855</v>
      </c>
    </row>
    <row r="695" spans="1:1" x14ac:dyDescent="0.25">
      <c r="A695" s="27" t="s">
        <v>856</v>
      </c>
    </row>
    <row r="696" spans="1:1" x14ac:dyDescent="0.25">
      <c r="A696" s="27" t="s">
        <v>857</v>
      </c>
    </row>
    <row r="697" spans="1:1" x14ac:dyDescent="0.25">
      <c r="A697" s="27" t="s">
        <v>858</v>
      </c>
    </row>
    <row r="698" spans="1:1" x14ac:dyDescent="0.25">
      <c r="A698" s="27" t="s">
        <v>859</v>
      </c>
    </row>
    <row r="699" spans="1:1" x14ac:dyDescent="0.25">
      <c r="A699" s="27" t="s">
        <v>860</v>
      </c>
    </row>
    <row r="700" spans="1:1" x14ac:dyDescent="0.25">
      <c r="A700" s="27" t="s">
        <v>861</v>
      </c>
    </row>
    <row r="701" spans="1:1" x14ac:dyDescent="0.25">
      <c r="A701" s="27" t="s">
        <v>862</v>
      </c>
    </row>
    <row r="702" spans="1:1" x14ac:dyDescent="0.25">
      <c r="A702" s="27" t="s">
        <v>863</v>
      </c>
    </row>
    <row r="703" spans="1:1" x14ac:dyDescent="0.25">
      <c r="A703" s="27" t="s">
        <v>864</v>
      </c>
    </row>
    <row r="704" spans="1:1" x14ac:dyDescent="0.25">
      <c r="A704" s="27" t="s">
        <v>865</v>
      </c>
    </row>
    <row r="705" spans="1:1" x14ac:dyDescent="0.25">
      <c r="A705" s="27" t="s">
        <v>866</v>
      </c>
    </row>
    <row r="706" spans="1:1" x14ac:dyDescent="0.25">
      <c r="A706" s="27" t="s">
        <v>867</v>
      </c>
    </row>
    <row r="707" spans="1:1" x14ac:dyDescent="0.25">
      <c r="A707" s="27" t="s">
        <v>868</v>
      </c>
    </row>
    <row r="708" spans="1:1" x14ac:dyDescent="0.25">
      <c r="A708" s="27" t="s">
        <v>869</v>
      </c>
    </row>
    <row r="709" spans="1:1" x14ac:dyDescent="0.25">
      <c r="A709" s="27" t="s">
        <v>870</v>
      </c>
    </row>
    <row r="710" spans="1:1" x14ac:dyDescent="0.25">
      <c r="A710" s="27" t="s">
        <v>871</v>
      </c>
    </row>
    <row r="711" spans="1:1" x14ac:dyDescent="0.25">
      <c r="A711" s="27" t="s">
        <v>872</v>
      </c>
    </row>
    <row r="712" spans="1:1" x14ac:dyDescent="0.25">
      <c r="A712" s="27" t="s">
        <v>873</v>
      </c>
    </row>
    <row r="713" spans="1:1" x14ac:dyDescent="0.25">
      <c r="A713" s="27" t="s">
        <v>874</v>
      </c>
    </row>
    <row r="714" spans="1:1" x14ac:dyDescent="0.25">
      <c r="A714" s="27" t="s">
        <v>875</v>
      </c>
    </row>
    <row r="715" spans="1:1" x14ac:dyDescent="0.25">
      <c r="A715" s="27" t="s">
        <v>876</v>
      </c>
    </row>
    <row r="716" spans="1:1" x14ac:dyDescent="0.25">
      <c r="A716" s="27" t="s">
        <v>877</v>
      </c>
    </row>
    <row r="717" spans="1:1" x14ac:dyDescent="0.25">
      <c r="A717" s="27" t="s">
        <v>878</v>
      </c>
    </row>
    <row r="718" spans="1:1" x14ac:dyDescent="0.25">
      <c r="A718" s="27" t="s">
        <v>879</v>
      </c>
    </row>
    <row r="719" spans="1:1" x14ac:dyDescent="0.25">
      <c r="A719" s="27" t="s">
        <v>880</v>
      </c>
    </row>
    <row r="720" spans="1:1" x14ac:dyDescent="0.25">
      <c r="A720" s="27" t="s">
        <v>881</v>
      </c>
    </row>
    <row r="721" spans="1:1" x14ac:dyDescent="0.25">
      <c r="A721" s="27" t="s">
        <v>882</v>
      </c>
    </row>
    <row r="722" spans="1:1" x14ac:dyDescent="0.25">
      <c r="A722" s="27" t="s">
        <v>883</v>
      </c>
    </row>
    <row r="723" spans="1:1" x14ac:dyDescent="0.25">
      <c r="A723" s="27" t="s">
        <v>884</v>
      </c>
    </row>
    <row r="724" spans="1:1" x14ac:dyDescent="0.25">
      <c r="A724" s="27" t="s">
        <v>885</v>
      </c>
    </row>
    <row r="725" spans="1:1" x14ac:dyDescent="0.25">
      <c r="A725" s="27" t="s">
        <v>886</v>
      </c>
    </row>
    <row r="726" spans="1:1" x14ac:dyDescent="0.25">
      <c r="A726" s="27" t="s">
        <v>887</v>
      </c>
    </row>
    <row r="727" spans="1:1" x14ac:dyDescent="0.25">
      <c r="A727" s="27" t="s">
        <v>888</v>
      </c>
    </row>
    <row r="728" spans="1:1" x14ac:dyDescent="0.25">
      <c r="A728" s="27" t="s">
        <v>889</v>
      </c>
    </row>
    <row r="731" spans="1:1" x14ac:dyDescent="0.25">
      <c r="A731" s="27" t="s">
        <v>890</v>
      </c>
    </row>
    <row r="732" spans="1:1" x14ac:dyDescent="0.25">
      <c r="A732" s="27" t="s">
        <v>891</v>
      </c>
    </row>
    <row r="733" spans="1:1" x14ac:dyDescent="0.25">
      <c r="A733" s="92" t="s">
        <v>892</v>
      </c>
    </row>
    <row r="734" spans="1:1" x14ac:dyDescent="0.25">
      <c r="A734" s="92" t="s">
        <v>893</v>
      </c>
    </row>
    <row r="735" spans="1:1" x14ac:dyDescent="0.25">
      <c r="A735" s="92" t="s">
        <v>894</v>
      </c>
    </row>
    <row r="736" spans="1:1" x14ac:dyDescent="0.25">
      <c r="A736" s="93" t="s">
        <v>895</v>
      </c>
    </row>
    <row r="737" spans="1:1" x14ac:dyDescent="0.25">
      <c r="A737" s="93" t="s">
        <v>896</v>
      </c>
    </row>
    <row r="738" spans="1:1" x14ac:dyDescent="0.25">
      <c r="A738" s="92" t="s">
        <v>897</v>
      </c>
    </row>
    <row r="739" spans="1:1" x14ac:dyDescent="0.25">
      <c r="A739" s="92" t="s">
        <v>898</v>
      </c>
    </row>
    <row r="740" spans="1:1" x14ac:dyDescent="0.25">
      <c r="A740" s="92" t="s">
        <v>899</v>
      </c>
    </row>
    <row r="741" spans="1:1" x14ac:dyDescent="0.25">
      <c r="A741" s="92" t="s">
        <v>900</v>
      </c>
    </row>
    <row r="742" spans="1:1" x14ac:dyDescent="0.25">
      <c r="A742" s="93" t="s">
        <v>901</v>
      </c>
    </row>
    <row r="743" spans="1:1" x14ac:dyDescent="0.25">
      <c r="A743" s="93" t="s">
        <v>902</v>
      </c>
    </row>
    <row r="744" spans="1:1" x14ac:dyDescent="0.25">
      <c r="A744" s="92" t="s">
        <v>903</v>
      </c>
    </row>
    <row r="745" spans="1:1" x14ac:dyDescent="0.25">
      <c r="A745" s="92" t="s">
        <v>904</v>
      </c>
    </row>
    <row r="746" spans="1:1" x14ac:dyDescent="0.25">
      <c r="A746" s="92" t="s">
        <v>905</v>
      </c>
    </row>
    <row r="747" spans="1:1" x14ac:dyDescent="0.25">
      <c r="A747" s="92" t="s">
        <v>906</v>
      </c>
    </row>
    <row r="748" spans="1:1" x14ac:dyDescent="0.25">
      <c r="A748" s="93" t="s">
        <v>907</v>
      </c>
    </row>
    <row r="749" spans="1:1" x14ac:dyDescent="0.25">
      <c r="A749" s="93" t="s">
        <v>908</v>
      </c>
    </row>
    <row r="750" spans="1:1" x14ac:dyDescent="0.25">
      <c r="A750" s="92" t="s">
        <v>909</v>
      </c>
    </row>
    <row r="751" spans="1:1" x14ac:dyDescent="0.25">
      <c r="A751" s="27" t="s">
        <v>910</v>
      </c>
    </row>
    <row r="752" spans="1:1" x14ac:dyDescent="0.25">
      <c r="A752" s="27" t="s">
        <v>911</v>
      </c>
    </row>
    <row r="753" spans="1:1" x14ac:dyDescent="0.25">
      <c r="A753" s="27" t="s">
        <v>912</v>
      </c>
    </row>
    <row r="754" spans="1:1" x14ac:dyDescent="0.25">
      <c r="A754" s="27" t="s">
        <v>913</v>
      </c>
    </row>
    <row r="755" spans="1:1" x14ac:dyDescent="0.25">
      <c r="A755" s="27" t="s">
        <v>914</v>
      </c>
    </row>
    <row r="756" spans="1:1" x14ac:dyDescent="0.25">
      <c r="A756" s="27" t="s">
        <v>915</v>
      </c>
    </row>
    <row r="757" spans="1:1" x14ac:dyDescent="0.25">
      <c r="A757" s="27" t="s">
        <v>916</v>
      </c>
    </row>
    <row r="758" spans="1:1" x14ac:dyDescent="0.25">
      <c r="A758" s="27" t="s">
        <v>917</v>
      </c>
    </row>
    <row r="759" spans="1:1" x14ac:dyDescent="0.25">
      <c r="A759" s="27" t="s">
        <v>918</v>
      </c>
    </row>
    <row r="760" spans="1:1" x14ac:dyDescent="0.25">
      <c r="A760" s="27" t="s">
        <v>919</v>
      </c>
    </row>
    <row r="761" spans="1:1" x14ac:dyDescent="0.25">
      <c r="A761" s="27" t="s">
        <v>920</v>
      </c>
    </row>
    <row r="762" spans="1:1" x14ac:dyDescent="0.25">
      <c r="A762" s="27" t="s">
        <v>921</v>
      </c>
    </row>
    <row r="763" spans="1:1" x14ac:dyDescent="0.25">
      <c r="A763" s="27" t="s">
        <v>922</v>
      </c>
    </row>
    <row r="764" spans="1:1" x14ac:dyDescent="0.25">
      <c r="A764" s="27" t="s">
        <v>923</v>
      </c>
    </row>
    <row r="765" spans="1:1" x14ac:dyDescent="0.25">
      <c r="A765" s="27" t="s">
        <v>924</v>
      </c>
    </row>
    <row r="766" spans="1:1" x14ac:dyDescent="0.25">
      <c r="A766" s="27" t="s">
        <v>925</v>
      </c>
    </row>
    <row r="767" spans="1:1" x14ac:dyDescent="0.25">
      <c r="A767" s="27" t="s">
        <v>926</v>
      </c>
    </row>
    <row r="768" spans="1:1" x14ac:dyDescent="0.25">
      <c r="A768" s="27" t="s">
        <v>927</v>
      </c>
    </row>
    <row r="769" spans="1:1" x14ac:dyDescent="0.25">
      <c r="A769" s="27" t="s">
        <v>928</v>
      </c>
    </row>
    <row r="770" spans="1:1" x14ac:dyDescent="0.25">
      <c r="A770" s="27" t="s">
        <v>929</v>
      </c>
    </row>
    <row r="771" spans="1:1" x14ac:dyDescent="0.25">
      <c r="A771" s="27" t="s">
        <v>930</v>
      </c>
    </row>
    <row r="772" spans="1:1" x14ac:dyDescent="0.25">
      <c r="A772" s="27" t="s">
        <v>931</v>
      </c>
    </row>
    <row r="773" spans="1:1" x14ac:dyDescent="0.25">
      <c r="A773" s="27" t="s">
        <v>932</v>
      </c>
    </row>
    <row r="774" spans="1:1" x14ac:dyDescent="0.25">
      <c r="A774" s="27" t="s">
        <v>933</v>
      </c>
    </row>
    <row r="775" spans="1:1" x14ac:dyDescent="0.25">
      <c r="A775" s="27" t="s">
        <v>934</v>
      </c>
    </row>
    <row r="776" spans="1:1" x14ac:dyDescent="0.25">
      <c r="A776" s="27" t="s">
        <v>935</v>
      </c>
    </row>
    <row r="777" spans="1:1" x14ac:dyDescent="0.25">
      <c r="A777" s="27" t="s">
        <v>936</v>
      </c>
    </row>
    <row r="778" spans="1:1" x14ac:dyDescent="0.25">
      <c r="A778" s="27" t="s">
        <v>937</v>
      </c>
    </row>
    <row r="779" spans="1:1" x14ac:dyDescent="0.25">
      <c r="A779" s="27"/>
    </row>
    <row r="780" spans="1:1" x14ac:dyDescent="0.25">
      <c r="A780" s="27"/>
    </row>
    <row r="781" spans="1:1" x14ac:dyDescent="0.25">
      <c r="A781" s="27"/>
    </row>
    <row r="782" spans="1:1" x14ac:dyDescent="0.25">
      <c r="A782" s="27"/>
    </row>
    <row r="783" spans="1:1" x14ac:dyDescent="0.25">
      <c r="A783" s="27"/>
    </row>
    <row r="784" spans="1:1" x14ac:dyDescent="0.25">
      <c r="A784" s="27"/>
    </row>
    <row r="785" spans="1:1" x14ac:dyDescent="0.25">
      <c r="A785" s="27"/>
    </row>
    <row r="786" spans="1:1" x14ac:dyDescent="0.25">
      <c r="A786" s="27"/>
    </row>
    <row r="787" spans="1:1" x14ac:dyDescent="0.25">
      <c r="A787" s="27"/>
    </row>
    <row r="788" spans="1:1" x14ac:dyDescent="0.25">
      <c r="A788" s="27"/>
    </row>
    <row r="789" spans="1:1" x14ac:dyDescent="0.25">
      <c r="A789" s="27"/>
    </row>
    <row r="790" spans="1:1" x14ac:dyDescent="0.25">
      <c r="A790" s="27"/>
    </row>
    <row r="791" spans="1:1" x14ac:dyDescent="0.25">
      <c r="A791" s="27"/>
    </row>
    <row r="792" spans="1:1" x14ac:dyDescent="0.25">
      <c r="A792" s="27"/>
    </row>
    <row r="793" spans="1:1" x14ac:dyDescent="0.25">
      <c r="A793" s="27"/>
    </row>
    <row r="794" spans="1:1" x14ac:dyDescent="0.25">
      <c r="A794" s="27"/>
    </row>
    <row r="795" spans="1:1" x14ac:dyDescent="0.25">
      <c r="A795" s="27"/>
    </row>
    <row r="796" spans="1:1" x14ac:dyDescent="0.25">
      <c r="A796" s="27"/>
    </row>
    <row r="797" spans="1:1" x14ac:dyDescent="0.25">
      <c r="A797" s="27"/>
    </row>
    <row r="798" spans="1:1" x14ac:dyDescent="0.25">
      <c r="A798" s="27"/>
    </row>
    <row r="799" spans="1:1" x14ac:dyDescent="0.25">
      <c r="A799" s="27"/>
    </row>
    <row r="800" spans="1:1" x14ac:dyDescent="0.25">
      <c r="A800" s="27"/>
    </row>
    <row r="801" spans="1:1" x14ac:dyDescent="0.25">
      <c r="A801" s="27"/>
    </row>
    <row r="802" spans="1:1" x14ac:dyDescent="0.25">
      <c r="A802" s="27"/>
    </row>
    <row r="803" spans="1:1" x14ac:dyDescent="0.25">
      <c r="A803" s="27"/>
    </row>
    <row r="804" spans="1:1" x14ac:dyDescent="0.25">
      <c r="A804" s="27"/>
    </row>
    <row r="805" spans="1:1" x14ac:dyDescent="0.25">
      <c r="A805" s="27"/>
    </row>
    <row r="806" spans="1:1" x14ac:dyDescent="0.25">
      <c r="A806" s="27"/>
    </row>
    <row r="807" spans="1:1" x14ac:dyDescent="0.25">
      <c r="A807" s="27"/>
    </row>
    <row r="808" spans="1:1" x14ac:dyDescent="0.25">
      <c r="A808" s="27"/>
    </row>
    <row r="809" spans="1:1" x14ac:dyDescent="0.25">
      <c r="A809" s="27"/>
    </row>
    <row r="810" spans="1:1" x14ac:dyDescent="0.25">
      <c r="A810" s="27"/>
    </row>
    <row r="811" spans="1:1" x14ac:dyDescent="0.25">
      <c r="A811" s="27"/>
    </row>
    <row r="812" spans="1:1" x14ac:dyDescent="0.25">
      <c r="A812" s="27"/>
    </row>
    <row r="813" spans="1:1" x14ac:dyDescent="0.25">
      <c r="A813" s="27"/>
    </row>
    <row r="814" spans="1:1" x14ac:dyDescent="0.25">
      <c r="A814" s="27"/>
    </row>
    <row r="815" spans="1:1" x14ac:dyDescent="0.25">
      <c r="A815" s="27"/>
    </row>
    <row r="816" spans="1:1" x14ac:dyDescent="0.25">
      <c r="A816" s="27"/>
    </row>
    <row r="817" spans="1:1" x14ac:dyDescent="0.25">
      <c r="A817" s="27"/>
    </row>
    <row r="818" spans="1:1" x14ac:dyDescent="0.25">
      <c r="A818" s="27"/>
    </row>
    <row r="819" spans="1:1" x14ac:dyDescent="0.25">
      <c r="A819" s="27"/>
    </row>
    <row r="820" spans="1:1" x14ac:dyDescent="0.25">
      <c r="A820" s="27"/>
    </row>
    <row r="821" spans="1:1" x14ac:dyDescent="0.25">
      <c r="A821" s="27"/>
    </row>
    <row r="822" spans="1:1" x14ac:dyDescent="0.25">
      <c r="A822" s="27"/>
    </row>
    <row r="823" spans="1:1" x14ac:dyDescent="0.25">
      <c r="A823" s="27"/>
    </row>
    <row r="824" spans="1:1" x14ac:dyDescent="0.25">
      <c r="A824" s="27"/>
    </row>
    <row r="825" spans="1:1" x14ac:dyDescent="0.25">
      <c r="A825" s="27"/>
    </row>
    <row r="826" spans="1:1" x14ac:dyDescent="0.25">
      <c r="A826" s="27"/>
    </row>
    <row r="827" spans="1:1" x14ac:dyDescent="0.25">
      <c r="A827" s="27"/>
    </row>
    <row r="828" spans="1:1" x14ac:dyDescent="0.25">
      <c r="A828" s="27"/>
    </row>
    <row r="829" spans="1:1" x14ac:dyDescent="0.25">
      <c r="A829" s="27"/>
    </row>
    <row r="830" spans="1:1" x14ac:dyDescent="0.25">
      <c r="A830" s="27"/>
    </row>
    <row r="831" spans="1:1" x14ac:dyDescent="0.25">
      <c r="A831" s="27"/>
    </row>
    <row r="832" spans="1:1" x14ac:dyDescent="0.25">
      <c r="A832" s="27"/>
    </row>
    <row r="833" spans="1:1" x14ac:dyDescent="0.25">
      <c r="A833" s="27"/>
    </row>
    <row r="834" spans="1:1" x14ac:dyDescent="0.25">
      <c r="A834" s="27"/>
    </row>
    <row r="835" spans="1:1" x14ac:dyDescent="0.25">
      <c r="A835" s="27"/>
    </row>
    <row r="836" spans="1:1" x14ac:dyDescent="0.25">
      <c r="A836" s="27"/>
    </row>
    <row r="837" spans="1:1" x14ac:dyDescent="0.25">
      <c r="A837" s="27"/>
    </row>
    <row r="838" spans="1:1" x14ac:dyDescent="0.25">
      <c r="A838" s="27"/>
    </row>
    <row r="839" spans="1:1" x14ac:dyDescent="0.25">
      <c r="A839" s="27"/>
    </row>
    <row r="840" spans="1:1" x14ac:dyDescent="0.25">
      <c r="A840" s="27"/>
    </row>
    <row r="841" spans="1:1" x14ac:dyDescent="0.25">
      <c r="A841" s="27"/>
    </row>
    <row r="842" spans="1:1" x14ac:dyDescent="0.25">
      <c r="A842" s="27"/>
    </row>
    <row r="843" spans="1:1" x14ac:dyDescent="0.25">
      <c r="A843" s="27"/>
    </row>
    <row r="844" spans="1:1" x14ac:dyDescent="0.25">
      <c r="A844" s="27"/>
    </row>
    <row r="845" spans="1:1" x14ac:dyDescent="0.25">
      <c r="A845" s="27"/>
    </row>
    <row r="846" spans="1:1" x14ac:dyDescent="0.25">
      <c r="A846" s="27"/>
    </row>
    <row r="847" spans="1:1" x14ac:dyDescent="0.25">
      <c r="A847" s="27"/>
    </row>
    <row r="848" spans="1:1" x14ac:dyDescent="0.25">
      <c r="A848" s="27"/>
    </row>
    <row r="849" spans="1:1" x14ac:dyDescent="0.25">
      <c r="A849" s="27"/>
    </row>
    <row r="850" spans="1:1" x14ac:dyDescent="0.25">
      <c r="A850" s="27"/>
    </row>
    <row r="851" spans="1:1" x14ac:dyDescent="0.25">
      <c r="A851" s="27"/>
    </row>
    <row r="852" spans="1:1" x14ac:dyDescent="0.25">
      <c r="A852" s="27"/>
    </row>
    <row r="853" spans="1:1" x14ac:dyDescent="0.25">
      <c r="A853" s="27"/>
    </row>
    <row r="854" spans="1:1" x14ac:dyDescent="0.25">
      <c r="A854" s="27"/>
    </row>
    <row r="855" spans="1:1" x14ac:dyDescent="0.25">
      <c r="A855" s="27"/>
    </row>
    <row r="856" spans="1:1" x14ac:dyDescent="0.25">
      <c r="A856" s="27"/>
    </row>
    <row r="857" spans="1:1" x14ac:dyDescent="0.25">
      <c r="A857" s="27"/>
    </row>
    <row r="858" spans="1:1" x14ac:dyDescent="0.25">
      <c r="A858" s="27"/>
    </row>
    <row r="859" spans="1:1" x14ac:dyDescent="0.25">
      <c r="A859" s="27"/>
    </row>
    <row r="860" spans="1:1" x14ac:dyDescent="0.25">
      <c r="A860" s="27"/>
    </row>
    <row r="861" spans="1:1" x14ac:dyDescent="0.25">
      <c r="A861" s="27"/>
    </row>
    <row r="862" spans="1:1" x14ac:dyDescent="0.25">
      <c r="A862" s="27"/>
    </row>
    <row r="863" spans="1:1" x14ac:dyDescent="0.25">
      <c r="A863" s="27"/>
    </row>
    <row r="864" spans="1:1" x14ac:dyDescent="0.25">
      <c r="A864" s="27"/>
    </row>
    <row r="865" spans="1:1" x14ac:dyDescent="0.25">
      <c r="A865" s="27"/>
    </row>
    <row r="866" spans="1:1" x14ac:dyDescent="0.25">
      <c r="A866" s="27"/>
    </row>
    <row r="867" spans="1:1" x14ac:dyDescent="0.25">
      <c r="A867" s="27"/>
    </row>
    <row r="868" spans="1:1" x14ac:dyDescent="0.25">
      <c r="A868" s="27"/>
    </row>
    <row r="869" spans="1:1" x14ac:dyDescent="0.25">
      <c r="A869" s="27"/>
    </row>
    <row r="870" spans="1:1" x14ac:dyDescent="0.25">
      <c r="A870" s="27"/>
    </row>
    <row r="871" spans="1:1" x14ac:dyDescent="0.25">
      <c r="A871" s="27"/>
    </row>
    <row r="872" spans="1:1" x14ac:dyDescent="0.25">
      <c r="A872" s="27"/>
    </row>
    <row r="873" spans="1:1" x14ac:dyDescent="0.25">
      <c r="A873" s="27"/>
    </row>
    <row r="874" spans="1:1" x14ac:dyDescent="0.25">
      <c r="A874" s="27"/>
    </row>
    <row r="875" spans="1:1" x14ac:dyDescent="0.25">
      <c r="A875" s="27"/>
    </row>
    <row r="876" spans="1:1" x14ac:dyDescent="0.25">
      <c r="A876" s="27"/>
    </row>
    <row r="877" spans="1:1" x14ac:dyDescent="0.25">
      <c r="A877" s="27"/>
    </row>
    <row r="878" spans="1:1" x14ac:dyDescent="0.25">
      <c r="A878" s="27"/>
    </row>
    <row r="879" spans="1:1" x14ac:dyDescent="0.25">
      <c r="A879" s="27"/>
    </row>
    <row r="880" spans="1:1" x14ac:dyDescent="0.25">
      <c r="A880" s="27"/>
    </row>
    <row r="881" spans="1:1" x14ac:dyDescent="0.25">
      <c r="A881" s="27"/>
    </row>
    <row r="882" spans="1:1" x14ac:dyDescent="0.25">
      <c r="A882" s="27"/>
    </row>
    <row r="883" spans="1:1" x14ac:dyDescent="0.25">
      <c r="A883" s="27"/>
    </row>
    <row r="884" spans="1:1" x14ac:dyDescent="0.25">
      <c r="A884" s="27"/>
    </row>
    <row r="885" spans="1:1" x14ac:dyDescent="0.25">
      <c r="A885" s="27"/>
    </row>
    <row r="886" spans="1:1" x14ac:dyDescent="0.25">
      <c r="A886" s="27"/>
    </row>
    <row r="887" spans="1:1" x14ac:dyDescent="0.25">
      <c r="A887" s="27"/>
    </row>
    <row r="888" spans="1:1" x14ac:dyDescent="0.25">
      <c r="A888" s="27"/>
    </row>
    <row r="889" spans="1:1" x14ac:dyDescent="0.25">
      <c r="A889" s="27"/>
    </row>
    <row r="890" spans="1:1" x14ac:dyDescent="0.25">
      <c r="A890" s="27"/>
    </row>
    <row r="891" spans="1:1" x14ac:dyDescent="0.25">
      <c r="A891" s="27"/>
    </row>
    <row r="892" spans="1:1" x14ac:dyDescent="0.25">
      <c r="A892" s="27"/>
    </row>
    <row r="893" spans="1:1" x14ac:dyDescent="0.25">
      <c r="A893" s="27"/>
    </row>
    <row r="894" spans="1:1" x14ac:dyDescent="0.25">
      <c r="A894" s="27"/>
    </row>
    <row r="895" spans="1:1" x14ac:dyDescent="0.25">
      <c r="A895" s="27"/>
    </row>
    <row r="896" spans="1:1" x14ac:dyDescent="0.25">
      <c r="A896" s="27"/>
    </row>
    <row r="897" spans="1:1" x14ac:dyDescent="0.25">
      <c r="A897" s="27"/>
    </row>
    <row r="898" spans="1:1" x14ac:dyDescent="0.25">
      <c r="A898" s="27"/>
    </row>
    <row r="899" spans="1:1" x14ac:dyDescent="0.25">
      <c r="A899" s="27"/>
    </row>
    <row r="900" spans="1:1" x14ac:dyDescent="0.25">
      <c r="A900" s="27"/>
    </row>
    <row r="901" spans="1:1" x14ac:dyDescent="0.25">
      <c r="A901" s="27"/>
    </row>
    <row r="902" spans="1:1" x14ac:dyDescent="0.25">
      <c r="A902" s="27"/>
    </row>
    <row r="903" spans="1:1" x14ac:dyDescent="0.25">
      <c r="A903" s="27"/>
    </row>
    <row r="904" spans="1:1" x14ac:dyDescent="0.25">
      <c r="A904" s="27"/>
    </row>
    <row r="905" spans="1:1" x14ac:dyDescent="0.25">
      <c r="A905" s="27"/>
    </row>
    <row r="906" spans="1:1" x14ac:dyDescent="0.25">
      <c r="A906" s="27"/>
    </row>
    <row r="907" spans="1:1" x14ac:dyDescent="0.25">
      <c r="A907" s="27"/>
    </row>
    <row r="908" spans="1:1" x14ac:dyDescent="0.25">
      <c r="A908" s="27"/>
    </row>
    <row r="909" spans="1:1" x14ac:dyDescent="0.25">
      <c r="A909" s="27"/>
    </row>
    <row r="910" spans="1:1" x14ac:dyDescent="0.25">
      <c r="A910" s="27"/>
    </row>
    <row r="911" spans="1:1" x14ac:dyDescent="0.25">
      <c r="A911" s="27"/>
    </row>
    <row r="912" spans="1:1" x14ac:dyDescent="0.25">
      <c r="A912" s="27"/>
    </row>
    <row r="913" spans="1:1" x14ac:dyDescent="0.25">
      <c r="A913" s="27"/>
    </row>
    <row r="914" spans="1:1" x14ac:dyDescent="0.25">
      <c r="A914" s="27"/>
    </row>
    <row r="915" spans="1:1" x14ac:dyDescent="0.25">
      <c r="A915" s="27"/>
    </row>
    <row r="916" spans="1:1" x14ac:dyDescent="0.25">
      <c r="A916" s="27"/>
    </row>
    <row r="917" spans="1:1" x14ac:dyDescent="0.25">
      <c r="A917" s="27"/>
    </row>
    <row r="918" spans="1:1" x14ac:dyDescent="0.25">
      <c r="A918" s="27"/>
    </row>
    <row r="919" spans="1:1" x14ac:dyDescent="0.25">
      <c r="A919" s="27"/>
    </row>
    <row r="920" spans="1:1" x14ac:dyDescent="0.25">
      <c r="A920" s="27"/>
    </row>
    <row r="921" spans="1:1" x14ac:dyDescent="0.25">
      <c r="A921" s="27"/>
    </row>
    <row r="922" spans="1:1" x14ac:dyDescent="0.25">
      <c r="A922" s="27"/>
    </row>
    <row r="923" spans="1:1" x14ac:dyDescent="0.25">
      <c r="A923" s="27"/>
    </row>
    <row r="924" spans="1:1" x14ac:dyDescent="0.25">
      <c r="A924" s="27"/>
    </row>
    <row r="925" spans="1:1" x14ac:dyDescent="0.25">
      <c r="A925" s="27"/>
    </row>
    <row r="926" spans="1:1" x14ac:dyDescent="0.25">
      <c r="A926" s="27"/>
    </row>
    <row r="927" spans="1:1" x14ac:dyDescent="0.25">
      <c r="A927" s="27"/>
    </row>
    <row r="928" spans="1:1" x14ac:dyDescent="0.25">
      <c r="A928" s="27"/>
    </row>
    <row r="929" spans="1:1" x14ac:dyDescent="0.25">
      <c r="A929" s="27"/>
    </row>
    <row r="930" spans="1:1" x14ac:dyDescent="0.25">
      <c r="A930" s="27"/>
    </row>
    <row r="931" spans="1:1" x14ac:dyDescent="0.25">
      <c r="A931" s="27"/>
    </row>
    <row r="932" spans="1:1" x14ac:dyDescent="0.25">
      <c r="A932" s="27"/>
    </row>
    <row r="933" spans="1:1" x14ac:dyDescent="0.25">
      <c r="A933" s="27"/>
    </row>
    <row r="934" spans="1:1" x14ac:dyDescent="0.25">
      <c r="A934" s="27"/>
    </row>
    <row r="935" spans="1:1" x14ac:dyDescent="0.25">
      <c r="A935" s="27"/>
    </row>
    <row r="936" spans="1:1" x14ac:dyDescent="0.25">
      <c r="A936" s="27"/>
    </row>
    <row r="937" spans="1:1" x14ac:dyDescent="0.25">
      <c r="A937" s="27"/>
    </row>
    <row r="938" spans="1:1" x14ac:dyDescent="0.25">
      <c r="A938" s="27"/>
    </row>
    <row r="939" spans="1:1" x14ac:dyDescent="0.25">
      <c r="A939" s="27"/>
    </row>
    <row r="940" spans="1:1" x14ac:dyDescent="0.25">
      <c r="A940" s="27"/>
    </row>
    <row r="941" spans="1:1" x14ac:dyDescent="0.25">
      <c r="A941" s="27"/>
    </row>
    <row r="942" spans="1:1" x14ac:dyDescent="0.25">
      <c r="A942" s="27"/>
    </row>
    <row r="943" spans="1:1" x14ac:dyDescent="0.25">
      <c r="A943" s="27"/>
    </row>
    <row r="944" spans="1:1" x14ac:dyDescent="0.25">
      <c r="A944" s="27"/>
    </row>
    <row r="945" spans="1:1" x14ac:dyDescent="0.25">
      <c r="A945" s="27"/>
    </row>
    <row r="946" spans="1:1" x14ac:dyDescent="0.25">
      <c r="A946" s="27"/>
    </row>
    <row r="947" spans="1:1" x14ac:dyDescent="0.25">
      <c r="A947" s="27"/>
    </row>
    <row r="948" spans="1:1" x14ac:dyDescent="0.25">
      <c r="A948" s="27"/>
    </row>
    <row r="949" spans="1:1" x14ac:dyDescent="0.25">
      <c r="A949" s="27"/>
    </row>
    <row r="950" spans="1:1" x14ac:dyDescent="0.25">
      <c r="A950" s="27"/>
    </row>
    <row r="951" spans="1:1" x14ac:dyDescent="0.25">
      <c r="A951" s="27"/>
    </row>
    <row r="952" spans="1:1" x14ac:dyDescent="0.25">
      <c r="A952" s="27"/>
    </row>
    <row r="953" spans="1:1" x14ac:dyDescent="0.25">
      <c r="A953" s="27"/>
    </row>
    <row r="954" spans="1:1" x14ac:dyDescent="0.25">
      <c r="A954" s="27"/>
    </row>
    <row r="955" spans="1:1" x14ac:dyDescent="0.25">
      <c r="A955" s="27"/>
    </row>
    <row r="956" spans="1:1" x14ac:dyDescent="0.25">
      <c r="A956" s="27"/>
    </row>
    <row r="957" spans="1:1" x14ac:dyDescent="0.25">
      <c r="A957" s="27"/>
    </row>
    <row r="958" spans="1:1" x14ac:dyDescent="0.25">
      <c r="A958" s="27"/>
    </row>
    <row r="959" spans="1:1" x14ac:dyDescent="0.25">
      <c r="A959" s="27"/>
    </row>
    <row r="960" spans="1:1" x14ac:dyDescent="0.25">
      <c r="A960" s="27"/>
    </row>
    <row r="961" spans="1:1" x14ac:dyDescent="0.25">
      <c r="A961" s="27"/>
    </row>
    <row r="962" spans="1:1" x14ac:dyDescent="0.25">
      <c r="A962" s="27"/>
    </row>
    <row r="963" spans="1:1" x14ac:dyDescent="0.25">
      <c r="A963" s="27"/>
    </row>
    <row r="964" spans="1:1" x14ac:dyDescent="0.25">
      <c r="A964" s="27"/>
    </row>
    <row r="965" spans="1:1" x14ac:dyDescent="0.25">
      <c r="A965" s="27"/>
    </row>
    <row r="966" spans="1:1" x14ac:dyDescent="0.25">
      <c r="A966" s="27"/>
    </row>
    <row r="967" spans="1:1" x14ac:dyDescent="0.25">
      <c r="A967" s="27"/>
    </row>
    <row r="968" spans="1:1" x14ac:dyDescent="0.25">
      <c r="A968" s="27"/>
    </row>
    <row r="969" spans="1:1" x14ac:dyDescent="0.25">
      <c r="A969" s="27"/>
    </row>
    <row r="970" spans="1:1" x14ac:dyDescent="0.25">
      <c r="A970" s="27"/>
    </row>
    <row r="971" spans="1:1" x14ac:dyDescent="0.25">
      <c r="A971" s="27"/>
    </row>
    <row r="972" spans="1:1" x14ac:dyDescent="0.25">
      <c r="A972" s="27"/>
    </row>
    <row r="973" spans="1:1" x14ac:dyDescent="0.25">
      <c r="A973" s="27"/>
    </row>
    <row r="974" spans="1:1" x14ac:dyDescent="0.25">
      <c r="A974" s="27"/>
    </row>
    <row r="975" spans="1:1" x14ac:dyDescent="0.25">
      <c r="A975" s="27"/>
    </row>
    <row r="976" spans="1:1" x14ac:dyDescent="0.25">
      <c r="A976" s="27"/>
    </row>
    <row r="977" spans="1:1" x14ac:dyDescent="0.25">
      <c r="A977" s="27"/>
    </row>
    <row r="978" spans="1:1" x14ac:dyDescent="0.25">
      <c r="A978" s="27"/>
    </row>
    <row r="979" spans="1:1" x14ac:dyDescent="0.25">
      <c r="A979" s="27"/>
    </row>
    <row r="980" spans="1:1" x14ac:dyDescent="0.25">
      <c r="A980" s="27"/>
    </row>
    <row r="981" spans="1:1" x14ac:dyDescent="0.25">
      <c r="A981" s="27"/>
    </row>
    <row r="982" spans="1:1" x14ac:dyDescent="0.25">
      <c r="A982" s="27"/>
    </row>
    <row r="983" spans="1:1" x14ac:dyDescent="0.25">
      <c r="A983" s="27"/>
    </row>
    <row r="984" spans="1:1" x14ac:dyDescent="0.25">
      <c r="A984" s="27"/>
    </row>
    <row r="985" spans="1:1" x14ac:dyDescent="0.25">
      <c r="A985" s="27"/>
    </row>
    <row r="986" spans="1:1" x14ac:dyDescent="0.25">
      <c r="A986" s="27"/>
    </row>
    <row r="987" spans="1:1" x14ac:dyDescent="0.25">
      <c r="A987" s="27"/>
    </row>
    <row r="988" spans="1:1" x14ac:dyDescent="0.25">
      <c r="A988" s="27"/>
    </row>
    <row r="989" spans="1:1" x14ac:dyDescent="0.25">
      <c r="A989" s="27"/>
    </row>
    <row r="990" spans="1:1" x14ac:dyDescent="0.25">
      <c r="A990" s="27"/>
    </row>
    <row r="991" spans="1:1" x14ac:dyDescent="0.25">
      <c r="A991" s="27"/>
    </row>
    <row r="992" spans="1:1" x14ac:dyDescent="0.25">
      <c r="A992" s="27"/>
    </row>
    <row r="993" spans="1:1" x14ac:dyDescent="0.25">
      <c r="A993" s="27"/>
    </row>
    <row r="994" spans="1:1" x14ac:dyDescent="0.25">
      <c r="A994" s="27"/>
    </row>
    <row r="995" spans="1:1" x14ac:dyDescent="0.25">
      <c r="A995" s="27"/>
    </row>
    <row r="996" spans="1:1" x14ac:dyDescent="0.25">
      <c r="A996" s="27"/>
    </row>
    <row r="997" spans="1:1" x14ac:dyDescent="0.25">
      <c r="A997" s="27"/>
    </row>
    <row r="998" spans="1:1" x14ac:dyDescent="0.25">
      <c r="A998" s="27"/>
    </row>
    <row r="999" spans="1:1" x14ac:dyDescent="0.25">
      <c r="A999" s="27"/>
    </row>
    <row r="1000" spans="1:1" x14ac:dyDescent="0.25">
      <c r="A1000" s="27"/>
    </row>
    <row r="1001" spans="1:1" x14ac:dyDescent="0.25">
      <c r="A1001" s="27"/>
    </row>
    <row r="1002" spans="1:1" x14ac:dyDescent="0.25">
      <c r="A1002" s="27"/>
    </row>
    <row r="1003" spans="1:1" x14ac:dyDescent="0.25">
      <c r="A1003" s="27"/>
    </row>
    <row r="1004" spans="1:1" x14ac:dyDescent="0.25">
      <c r="A1004" s="27"/>
    </row>
    <row r="1005" spans="1:1" x14ac:dyDescent="0.25">
      <c r="A1005" s="27"/>
    </row>
    <row r="1006" spans="1:1" x14ac:dyDescent="0.25">
      <c r="A1006" s="27"/>
    </row>
    <row r="1007" spans="1:1" x14ac:dyDescent="0.25">
      <c r="A1007" s="27"/>
    </row>
    <row r="1008" spans="1:1" x14ac:dyDescent="0.25">
      <c r="A1008" s="27"/>
    </row>
    <row r="1009" spans="1:1" x14ac:dyDescent="0.25">
      <c r="A1009" s="27"/>
    </row>
    <row r="1010" spans="1:1" x14ac:dyDescent="0.25">
      <c r="A1010" s="27"/>
    </row>
    <row r="1011" spans="1:1" x14ac:dyDescent="0.25">
      <c r="A1011" s="27"/>
    </row>
    <row r="1012" spans="1:1" x14ac:dyDescent="0.25">
      <c r="A1012" s="27"/>
    </row>
    <row r="1013" spans="1:1" x14ac:dyDescent="0.25">
      <c r="A1013" s="27"/>
    </row>
    <row r="1014" spans="1:1" x14ac:dyDescent="0.25">
      <c r="A1014" s="27"/>
    </row>
    <row r="1015" spans="1:1" x14ac:dyDescent="0.25">
      <c r="A1015" s="27"/>
    </row>
    <row r="1016" spans="1:1" x14ac:dyDescent="0.25">
      <c r="A1016" s="27"/>
    </row>
    <row r="1017" spans="1:1" x14ac:dyDescent="0.25">
      <c r="A1017" s="27"/>
    </row>
    <row r="1018" spans="1:1" x14ac:dyDescent="0.25">
      <c r="A1018" s="27"/>
    </row>
    <row r="1019" spans="1:1" x14ac:dyDescent="0.25">
      <c r="A1019" s="27"/>
    </row>
    <row r="1020" spans="1:1" x14ac:dyDescent="0.25">
      <c r="A1020" s="27"/>
    </row>
    <row r="1021" spans="1:1" x14ac:dyDescent="0.25">
      <c r="A1021" s="27"/>
    </row>
    <row r="1022" spans="1:1" x14ac:dyDescent="0.25">
      <c r="A1022" s="27"/>
    </row>
    <row r="1023" spans="1:1" x14ac:dyDescent="0.25">
      <c r="A1023" s="27"/>
    </row>
    <row r="1024" spans="1:1" x14ac:dyDescent="0.25">
      <c r="A1024" s="27"/>
    </row>
    <row r="1025" spans="1:1" x14ac:dyDescent="0.25">
      <c r="A1025" s="27"/>
    </row>
    <row r="1026" spans="1:1" x14ac:dyDescent="0.25">
      <c r="A1026" s="27"/>
    </row>
    <row r="1027" spans="1:1" x14ac:dyDescent="0.25">
      <c r="A1027" s="27"/>
    </row>
    <row r="1028" spans="1:1" x14ac:dyDescent="0.25">
      <c r="A1028" s="27"/>
    </row>
    <row r="1029" spans="1:1" x14ac:dyDescent="0.25">
      <c r="A1029" s="27"/>
    </row>
    <row r="1030" spans="1:1" x14ac:dyDescent="0.25">
      <c r="A1030" s="27"/>
    </row>
    <row r="1031" spans="1:1" x14ac:dyDescent="0.25">
      <c r="A1031" s="27"/>
    </row>
    <row r="1032" spans="1:1" x14ac:dyDescent="0.25">
      <c r="A1032" s="27"/>
    </row>
    <row r="1033" spans="1:1" x14ac:dyDescent="0.25">
      <c r="A1033" s="27"/>
    </row>
    <row r="1034" spans="1:1" x14ac:dyDescent="0.25">
      <c r="A1034" s="27"/>
    </row>
    <row r="1035" spans="1:1" x14ac:dyDescent="0.25">
      <c r="A1035" s="27"/>
    </row>
    <row r="1036" spans="1:1" x14ac:dyDescent="0.25">
      <c r="A1036" s="27"/>
    </row>
    <row r="1037" spans="1:1" x14ac:dyDescent="0.25">
      <c r="A1037" s="27"/>
    </row>
    <row r="1038" spans="1:1" x14ac:dyDescent="0.25">
      <c r="A1038" s="27"/>
    </row>
    <row r="1039" spans="1:1" x14ac:dyDescent="0.25">
      <c r="A1039" s="27"/>
    </row>
    <row r="1040" spans="1:1" x14ac:dyDescent="0.25">
      <c r="A1040" s="27"/>
    </row>
    <row r="1041" spans="1:1" x14ac:dyDescent="0.25">
      <c r="A1041" s="27"/>
    </row>
    <row r="1042" spans="1:1" x14ac:dyDescent="0.25">
      <c r="A1042" s="27"/>
    </row>
    <row r="1043" spans="1:1" x14ac:dyDescent="0.25">
      <c r="A1043" s="27"/>
    </row>
    <row r="1044" spans="1:1" x14ac:dyDescent="0.25">
      <c r="A1044" s="27"/>
    </row>
    <row r="1045" spans="1:1" x14ac:dyDescent="0.25">
      <c r="A1045" s="27"/>
    </row>
    <row r="1046" spans="1:1" x14ac:dyDescent="0.25">
      <c r="A1046" s="27"/>
    </row>
    <row r="1047" spans="1:1" x14ac:dyDescent="0.25">
      <c r="A1047" s="27"/>
    </row>
    <row r="1048" spans="1:1" x14ac:dyDescent="0.25">
      <c r="A1048" s="27"/>
    </row>
    <row r="1049" spans="1:1" x14ac:dyDescent="0.25">
      <c r="A1049" s="27"/>
    </row>
    <row r="1050" spans="1:1" x14ac:dyDescent="0.25">
      <c r="A1050" s="27"/>
    </row>
    <row r="1051" spans="1:1" x14ac:dyDescent="0.25">
      <c r="A1051" s="27"/>
    </row>
    <row r="1052" spans="1:1" x14ac:dyDescent="0.25">
      <c r="A1052" s="27"/>
    </row>
    <row r="1053" spans="1:1" x14ac:dyDescent="0.25">
      <c r="A1053" s="27"/>
    </row>
    <row r="1054" spans="1:1" x14ac:dyDescent="0.25">
      <c r="A1054" s="27"/>
    </row>
    <row r="1055" spans="1:1" x14ac:dyDescent="0.25">
      <c r="A1055" s="27"/>
    </row>
    <row r="1056" spans="1:1" x14ac:dyDescent="0.25">
      <c r="A1056" s="27"/>
    </row>
    <row r="1057" spans="1:1" x14ac:dyDescent="0.25">
      <c r="A1057" s="27"/>
    </row>
    <row r="1058" spans="1:1" x14ac:dyDescent="0.25">
      <c r="A1058" s="27"/>
    </row>
    <row r="1059" spans="1:1" x14ac:dyDescent="0.25">
      <c r="A1059" s="27"/>
    </row>
    <row r="1060" spans="1:1" x14ac:dyDescent="0.25">
      <c r="A1060" s="27"/>
    </row>
    <row r="1061" spans="1:1" x14ac:dyDescent="0.25">
      <c r="A1061" s="27"/>
    </row>
    <row r="1062" spans="1:1" x14ac:dyDescent="0.25">
      <c r="A1062" s="27"/>
    </row>
    <row r="1063" spans="1:1" x14ac:dyDescent="0.25">
      <c r="A1063" s="27"/>
    </row>
    <row r="1064" spans="1:1" x14ac:dyDescent="0.25">
      <c r="A1064" s="27"/>
    </row>
    <row r="1065" spans="1:1" x14ac:dyDescent="0.25">
      <c r="A1065" s="27"/>
    </row>
    <row r="1066" spans="1:1" x14ac:dyDescent="0.25">
      <c r="A1066" s="27"/>
    </row>
    <row r="1067" spans="1:1" x14ac:dyDescent="0.25">
      <c r="A1067" s="27"/>
    </row>
    <row r="1068" spans="1:1" x14ac:dyDescent="0.25">
      <c r="A1068" s="27"/>
    </row>
    <row r="1069" spans="1:1" x14ac:dyDescent="0.25">
      <c r="A1069" s="27"/>
    </row>
    <row r="1070" spans="1:1" x14ac:dyDescent="0.25">
      <c r="A1070" s="27"/>
    </row>
    <row r="1071" spans="1:1" x14ac:dyDescent="0.25">
      <c r="A1071" s="27"/>
    </row>
    <row r="1072" spans="1:1" x14ac:dyDescent="0.25">
      <c r="A1072" s="27"/>
    </row>
    <row r="1073" spans="1:1" x14ac:dyDescent="0.25">
      <c r="A1073" s="27"/>
    </row>
    <row r="1074" spans="1:1" x14ac:dyDescent="0.25">
      <c r="A1074" s="27"/>
    </row>
    <row r="1075" spans="1:1" x14ac:dyDescent="0.25">
      <c r="A1075" s="27"/>
    </row>
    <row r="1076" spans="1:1" x14ac:dyDescent="0.25">
      <c r="A1076" s="27"/>
    </row>
    <row r="1077" spans="1:1" x14ac:dyDescent="0.25">
      <c r="A1077" s="27"/>
    </row>
    <row r="1078" spans="1:1" x14ac:dyDescent="0.25">
      <c r="A1078" s="27"/>
    </row>
    <row r="1079" spans="1:1" x14ac:dyDescent="0.25">
      <c r="A1079" s="27"/>
    </row>
    <row r="1080" spans="1:1" x14ac:dyDescent="0.25">
      <c r="A1080" s="27"/>
    </row>
    <row r="1081" spans="1:1" x14ac:dyDescent="0.25">
      <c r="A1081" s="27"/>
    </row>
    <row r="1082" spans="1:1" x14ac:dyDescent="0.25">
      <c r="A1082" s="27"/>
    </row>
    <row r="1083" spans="1:1" x14ac:dyDescent="0.25">
      <c r="A1083" s="27"/>
    </row>
    <row r="1084" spans="1:1" x14ac:dyDescent="0.25">
      <c r="A1084" s="27"/>
    </row>
    <row r="1085" spans="1:1" x14ac:dyDescent="0.25">
      <c r="A1085" s="27"/>
    </row>
    <row r="1086" spans="1:1" x14ac:dyDescent="0.25">
      <c r="A1086" s="27"/>
    </row>
    <row r="1087" spans="1:1" x14ac:dyDescent="0.25">
      <c r="A1087" s="27"/>
    </row>
    <row r="1088" spans="1:1" x14ac:dyDescent="0.25">
      <c r="A1088" s="27"/>
    </row>
    <row r="1089" spans="1:1" x14ac:dyDescent="0.25">
      <c r="A1089" s="27"/>
    </row>
    <row r="1090" spans="1:1" x14ac:dyDescent="0.25">
      <c r="A1090" s="27"/>
    </row>
    <row r="1091" spans="1:1" x14ac:dyDescent="0.25">
      <c r="A1091" s="27"/>
    </row>
    <row r="1092" spans="1:1" x14ac:dyDescent="0.25">
      <c r="A1092" s="27"/>
    </row>
    <row r="1093" spans="1:1" x14ac:dyDescent="0.25">
      <c r="A1093" s="27"/>
    </row>
    <row r="1094" spans="1:1" x14ac:dyDescent="0.25">
      <c r="A1094" s="27"/>
    </row>
    <row r="1095" spans="1:1" x14ac:dyDescent="0.25">
      <c r="A1095" s="27"/>
    </row>
    <row r="1096" spans="1:1" x14ac:dyDescent="0.25">
      <c r="A1096" s="27"/>
    </row>
    <row r="1097" spans="1:1" x14ac:dyDescent="0.25">
      <c r="A1097" s="27"/>
    </row>
    <row r="1098" spans="1:1" x14ac:dyDescent="0.25">
      <c r="A1098" s="27"/>
    </row>
    <row r="1099" spans="1:1" x14ac:dyDescent="0.25">
      <c r="A1099" s="27"/>
    </row>
    <row r="1100" spans="1:1" x14ac:dyDescent="0.25">
      <c r="A1100" s="27"/>
    </row>
    <row r="1101" spans="1:1" x14ac:dyDescent="0.25">
      <c r="A1101" s="27"/>
    </row>
    <row r="1102" spans="1:1" x14ac:dyDescent="0.25">
      <c r="A1102" s="27"/>
    </row>
    <row r="1103" spans="1:1" x14ac:dyDescent="0.25">
      <c r="A1103" s="27"/>
    </row>
    <row r="1104" spans="1:1" x14ac:dyDescent="0.25">
      <c r="A1104" s="27"/>
    </row>
    <row r="1105" spans="1:1" x14ac:dyDescent="0.25">
      <c r="A1105" s="27"/>
    </row>
    <row r="1106" spans="1:1" x14ac:dyDescent="0.25">
      <c r="A1106" s="27"/>
    </row>
    <row r="1107" spans="1:1" x14ac:dyDescent="0.25">
      <c r="A1107" s="27"/>
    </row>
    <row r="1108" spans="1:1" x14ac:dyDescent="0.25">
      <c r="A1108" s="27"/>
    </row>
    <row r="1109" spans="1:1" x14ac:dyDescent="0.25">
      <c r="A1109" s="27"/>
    </row>
    <row r="1110" spans="1:1" x14ac:dyDescent="0.25">
      <c r="A1110" s="27"/>
    </row>
    <row r="1111" spans="1:1" x14ac:dyDescent="0.25">
      <c r="A1111" s="27"/>
    </row>
    <row r="1112" spans="1:1" x14ac:dyDescent="0.25">
      <c r="A1112" s="27"/>
    </row>
    <row r="1113" spans="1:1" x14ac:dyDescent="0.25">
      <c r="A1113" s="27"/>
    </row>
    <row r="1114" spans="1:1" x14ac:dyDescent="0.25">
      <c r="A1114" s="27"/>
    </row>
    <row r="1115" spans="1:1" x14ac:dyDescent="0.25">
      <c r="A1115" s="27"/>
    </row>
    <row r="1116" spans="1:1" x14ac:dyDescent="0.25">
      <c r="A1116" s="27"/>
    </row>
    <row r="1117" spans="1:1" x14ac:dyDescent="0.25">
      <c r="A1117" s="27"/>
    </row>
    <row r="1118" spans="1:1" x14ac:dyDescent="0.25">
      <c r="A1118" s="27"/>
    </row>
    <row r="1119" spans="1:1" x14ac:dyDescent="0.25">
      <c r="A1119" s="27"/>
    </row>
    <row r="1120" spans="1:1" x14ac:dyDescent="0.25">
      <c r="A1120" s="27"/>
    </row>
    <row r="1121" spans="1:1" x14ac:dyDescent="0.25">
      <c r="A1121" s="27"/>
    </row>
    <row r="1122" spans="1:1" x14ac:dyDescent="0.25">
      <c r="A1122" s="27"/>
    </row>
    <row r="1123" spans="1:1" x14ac:dyDescent="0.25">
      <c r="A1123" s="27"/>
    </row>
    <row r="1124" spans="1:1" x14ac:dyDescent="0.25">
      <c r="A1124" s="27"/>
    </row>
    <row r="1125" spans="1:1" x14ac:dyDescent="0.25">
      <c r="A1125" s="27"/>
    </row>
    <row r="1126" spans="1:1" x14ac:dyDescent="0.25">
      <c r="A1126" s="27"/>
    </row>
    <row r="1127" spans="1:1" x14ac:dyDescent="0.25">
      <c r="A1127" s="27"/>
    </row>
    <row r="1128" spans="1:1" x14ac:dyDescent="0.25">
      <c r="A1128" s="27"/>
    </row>
    <row r="1129" spans="1:1" x14ac:dyDescent="0.25">
      <c r="A1129" s="27"/>
    </row>
    <row r="1130" spans="1:1" x14ac:dyDescent="0.25">
      <c r="A1130" s="27"/>
    </row>
    <row r="1131" spans="1:1" x14ac:dyDescent="0.25">
      <c r="A1131" s="27"/>
    </row>
    <row r="1132" spans="1:1" x14ac:dyDescent="0.25">
      <c r="A1132" s="27"/>
    </row>
    <row r="1133" spans="1:1" x14ac:dyDescent="0.25">
      <c r="A1133" s="27"/>
    </row>
    <row r="1134" spans="1:1" x14ac:dyDescent="0.25">
      <c r="A1134" s="27"/>
    </row>
    <row r="1135" spans="1:1" x14ac:dyDescent="0.25">
      <c r="A1135" s="27"/>
    </row>
    <row r="1136" spans="1:1" x14ac:dyDescent="0.25">
      <c r="A1136" s="27"/>
    </row>
    <row r="1137" spans="1:1" x14ac:dyDescent="0.25">
      <c r="A1137" s="27"/>
    </row>
    <row r="1138" spans="1:1" x14ac:dyDescent="0.25">
      <c r="A1138" s="27"/>
    </row>
    <row r="1139" spans="1:1" x14ac:dyDescent="0.25">
      <c r="A1139" s="27"/>
    </row>
    <row r="1140" spans="1:1" x14ac:dyDescent="0.25">
      <c r="A1140" s="27"/>
    </row>
    <row r="1141" spans="1:1" x14ac:dyDescent="0.25">
      <c r="A1141" s="27"/>
    </row>
    <row r="1142" spans="1:1" x14ac:dyDescent="0.25">
      <c r="A1142" s="27"/>
    </row>
    <row r="1143" spans="1:1" x14ac:dyDescent="0.25">
      <c r="A1143" s="27"/>
    </row>
    <row r="1144" spans="1:1" x14ac:dyDescent="0.25">
      <c r="A1144" s="27"/>
    </row>
    <row r="1145" spans="1:1" x14ac:dyDescent="0.25">
      <c r="A1145" s="27"/>
    </row>
    <row r="1146" spans="1:1" x14ac:dyDescent="0.25">
      <c r="A1146" s="27"/>
    </row>
    <row r="1147" spans="1:1" x14ac:dyDescent="0.25">
      <c r="A1147" s="27"/>
    </row>
    <row r="1148" spans="1:1" x14ac:dyDescent="0.25">
      <c r="A1148" s="27"/>
    </row>
    <row r="1149" spans="1:1" x14ac:dyDescent="0.25">
      <c r="A1149" s="27"/>
    </row>
    <row r="1150" spans="1:1" x14ac:dyDescent="0.25">
      <c r="A1150" s="27"/>
    </row>
    <row r="1151" spans="1:1" x14ac:dyDescent="0.25">
      <c r="A1151" s="27"/>
    </row>
    <row r="1152" spans="1:1" x14ac:dyDescent="0.25">
      <c r="A1152" s="27"/>
    </row>
    <row r="1153" spans="1:1" x14ac:dyDescent="0.25">
      <c r="A1153" s="27"/>
    </row>
    <row r="1154" spans="1:1" x14ac:dyDescent="0.25">
      <c r="A1154" s="27"/>
    </row>
    <row r="1155" spans="1:1" x14ac:dyDescent="0.25">
      <c r="A1155" s="27"/>
    </row>
    <row r="1156" spans="1:1" x14ac:dyDescent="0.25">
      <c r="A1156" s="27"/>
    </row>
    <row r="1157" spans="1:1" x14ac:dyDescent="0.25">
      <c r="A1157" s="27"/>
    </row>
    <row r="1158" spans="1:1" x14ac:dyDescent="0.25">
      <c r="A1158" s="27"/>
    </row>
    <row r="1159" spans="1:1" x14ac:dyDescent="0.25">
      <c r="A1159" s="27"/>
    </row>
    <row r="1160" spans="1:1" x14ac:dyDescent="0.25">
      <c r="A1160" s="27"/>
    </row>
    <row r="1161" spans="1:1" x14ac:dyDescent="0.25">
      <c r="A1161" s="27"/>
    </row>
    <row r="1162" spans="1:1" x14ac:dyDescent="0.25">
      <c r="A1162" s="27"/>
    </row>
    <row r="1163" spans="1:1" x14ac:dyDescent="0.25">
      <c r="A1163" s="27"/>
    </row>
    <row r="1164" spans="1:1" x14ac:dyDescent="0.25">
      <c r="A1164" s="27"/>
    </row>
    <row r="1165" spans="1:1" x14ac:dyDescent="0.25">
      <c r="A1165" s="27"/>
    </row>
    <row r="1166" spans="1:1" x14ac:dyDescent="0.25">
      <c r="A1166" s="27"/>
    </row>
    <row r="1167" spans="1:1" x14ac:dyDescent="0.25">
      <c r="A1167" s="27"/>
    </row>
    <row r="1168" spans="1:1" x14ac:dyDescent="0.25">
      <c r="A1168" s="27"/>
    </row>
    <row r="1169" spans="1:1" x14ac:dyDescent="0.25">
      <c r="A1169" s="27"/>
    </row>
    <row r="1170" spans="1:1" x14ac:dyDescent="0.25">
      <c r="A1170" s="27"/>
    </row>
    <row r="1171" spans="1:1" x14ac:dyDescent="0.25">
      <c r="A1171" s="27"/>
    </row>
    <row r="1172" spans="1:1" x14ac:dyDescent="0.25">
      <c r="A1172" s="27"/>
    </row>
    <row r="1173" spans="1:1" x14ac:dyDescent="0.25">
      <c r="A1173" s="27"/>
    </row>
    <row r="1174" spans="1:1" x14ac:dyDescent="0.25">
      <c r="A1174" s="27"/>
    </row>
    <row r="1175" spans="1:1" x14ac:dyDescent="0.25">
      <c r="A1175" s="27"/>
    </row>
    <row r="1176" spans="1:1" x14ac:dyDescent="0.25">
      <c r="A1176" s="27"/>
    </row>
    <row r="1177" spans="1:1" x14ac:dyDescent="0.25">
      <c r="A1177" s="27"/>
    </row>
    <row r="1178" spans="1:1" x14ac:dyDescent="0.25">
      <c r="A1178" s="27"/>
    </row>
    <row r="1179" spans="1:1" x14ac:dyDescent="0.25">
      <c r="A1179" s="27"/>
    </row>
    <row r="1180" spans="1:1" x14ac:dyDescent="0.25">
      <c r="A1180" s="27"/>
    </row>
    <row r="1181" spans="1:1" x14ac:dyDescent="0.25">
      <c r="A1181" s="27"/>
    </row>
    <row r="1182" spans="1:1" x14ac:dyDescent="0.25">
      <c r="A1182" s="27"/>
    </row>
    <row r="1183" spans="1:1" x14ac:dyDescent="0.25">
      <c r="A1183" s="27"/>
    </row>
    <row r="1184" spans="1:1" x14ac:dyDescent="0.25">
      <c r="A1184" s="27"/>
    </row>
    <row r="1185" spans="1:1" x14ac:dyDescent="0.25">
      <c r="A1185" s="27"/>
    </row>
    <row r="1186" spans="1:1" x14ac:dyDescent="0.25">
      <c r="A1186" s="27"/>
    </row>
    <row r="1187" spans="1:1" x14ac:dyDescent="0.25">
      <c r="A1187" s="27"/>
    </row>
    <row r="1188" spans="1:1" x14ac:dyDescent="0.25">
      <c r="A1188" s="27"/>
    </row>
    <row r="1189" spans="1:1" x14ac:dyDescent="0.25">
      <c r="A1189" s="27"/>
    </row>
    <row r="1190" spans="1:1" x14ac:dyDescent="0.25">
      <c r="A1190" s="27"/>
    </row>
    <row r="1191" spans="1:1" x14ac:dyDescent="0.25">
      <c r="A1191" s="27"/>
    </row>
    <row r="1192" spans="1:1" x14ac:dyDescent="0.25">
      <c r="A1192" s="27"/>
    </row>
    <row r="1193" spans="1:1" x14ac:dyDescent="0.25">
      <c r="A1193" s="27"/>
    </row>
    <row r="1194" spans="1:1" x14ac:dyDescent="0.25">
      <c r="A1194" s="27"/>
    </row>
    <row r="1195" spans="1:1" x14ac:dyDescent="0.25">
      <c r="A1195" s="27"/>
    </row>
    <row r="1196" spans="1:1" x14ac:dyDescent="0.25">
      <c r="A1196" s="27"/>
    </row>
    <row r="1197" spans="1:1" x14ac:dyDescent="0.25">
      <c r="A1197" s="27"/>
    </row>
    <row r="1198" spans="1:1" x14ac:dyDescent="0.25">
      <c r="A1198" s="27"/>
    </row>
    <row r="1199" spans="1:1" x14ac:dyDescent="0.25">
      <c r="A1199" s="27"/>
    </row>
    <row r="1200" spans="1:1" x14ac:dyDescent="0.25">
      <c r="A1200" s="27"/>
    </row>
    <row r="1201" spans="1:1" x14ac:dyDescent="0.25">
      <c r="A1201" s="27"/>
    </row>
    <row r="1202" spans="1:1" x14ac:dyDescent="0.25">
      <c r="A1202" s="27"/>
    </row>
    <row r="1203" spans="1:1" x14ac:dyDescent="0.25">
      <c r="A1203" s="27"/>
    </row>
    <row r="1204" spans="1:1" x14ac:dyDescent="0.25">
      <c r="A1204" s="27"/>
    </row>
    <row r="1205" spans="1:1" x14ac:dyDescent="0.25">
      <c r="A1205" s="27"/>
    </row>
    <row r="1206" spans="1:1" x14ac:dyDescent="0.25">
      <c r="A1206" s="27"/>
    </row>
    <row r="1207" spans="1:1" x14ac:dyDescent="0.25">
      <c r="A1207" s="27"/>
    </row>
    <row r="1208" spans="1:1" x14ac:dyDescent="0.25">
      <c r="A1208" s="27"/>
    </row>
    <row r="1209" spans="1:1" x14ac:dyDescent="0.25">
      <c r="A1209" s="27"/>
    </row>
    <row r="1210" spans="1:1" x14ac:dyDescent="0.25">
      <c r="A1210" s="27"/>
    </row>
    <row r="1211" spans="1:1" x14ac:dyDescent="0.25">
      <c r="A1211" s="27"/>
    </row>
    <row r="1212" spans="1:1" x14ac:dyDescent="0.25">
      <c r="A1212" s="27"/>
    </row>
    <row r="1213" spans="1:1" x14ac:dyDescent="0.25">
      <c r="A1213" s="27"/>
    </row>
    <row r="1214" spans="1:1" x14ac:dyDescent="0.25">
      <c r="A1214" s="27"/>
    </row>
    <row r="1215" spans="1:1" x14ac:dyDescent="0.25">
      <c r="A1215" s="27"/>
    </row>
    <row r="1216" spans="1:1" x14ac:dyDescent="0.25">
      <c r="A1216" s="27"/>
    </row>
    <row r="1217" spans="1:1" x14ac:dyDescent="0.25">
      <c r="A1217" s="27"/>
    </row>
    <row r="1218" spans="1:1" x14ac:dyDescent="0.25">
      <c r="A1218" s="27"/>
    </row>
    <row r="1219" spans="1:1" x14ac:dyDescent="0.25">
      <c r="A1219" s="27"/>
    </row>
    <row r="1220" spans="1:1" x14ac:dyDescent="0.25">
      <c r="A1220" s="27"/>
    </row>
    <row r="1221" spans="1:1" x14ac:dyDescent="0.25">
      <c r="A1221" s="27"/>
    </row>
    <row r="1222" spans="1:1" x14ac:dyDescent="0.25">
      <c r="A1222" s="27"/>
    </row>
    <row r="1223" spans="1:1" x14ac:dyDescent="0.25">
      <c r="A1223" s="27"/>
    </row>
    <row r="1224" spans="1:1" x14ac:dyDescent="0.25">
      <c r="A1224" s="27"/>
    </row>
    <row r="1225" spans="1:1" x14ac:dyDescent="0.25">
      <c r="A1225" s="27"/>
    </row>
    <row r="1226" spans="1:1" x14ac:dyDescent="0.25">
      <c r="A1226" s="27"/>
    </row>
    <row r="1227" spans="1:1" x14ac:dyDescent="0.25">
      <c r="A1227" s="27"/>
    </row>
    <row r="1228" spans="1:1" x14ac:dyDescent="0.25">
      <c r="A1228" s="27"/>
    </row>
    <row r="1229" spans="1:1" x14ac:dyDescent="0.25">
      <c r="A1229" s="27"/>
    </row>
    <row r="1230" spans="1:1" x14ac:dyDescent="0.25">
      <c r="A1230" s="27"/>
    </row>
    <row r="1231" spans="1:1" x14ac:dyDescent="0.25">
      <c r="A1231" s="27"/>
    </row>
    <row r="1232" spans="1:1" x14ac:dyDescent="0.25">
      <c r="A1232" s="27"/>
    </row>
    <row r="1233" spans="1:1" x14ac:dyDescent="0.25">
      <c r="A1233" s="27"/>
    </row>
    <row r="1234" spans="1:1" x14ac:dyDescent="0.25">
      <c r="A1234" s="27"/>
    </row>
    <row r="1235" spans="1:1" x14ac:dyDescent="0.25">
      <c r="A1235" s="27"/>
    </row>
    <row r="1236" spans="1:1" x14ac:dyDescent="0.25">
      <c r="A1236" s="27"/>
    </row>
    <row r="1237" spans="1:1" x14ac:dyDescent="0.25">
      <c r="A1237" s="27"/>
    </row>
    <row r="1238" spans="1:1" x14ac:dyDescent="0.25">
      <c r="A1238" s="27"/>
    </row>
    <row r="1239" spans="1:1" x14ac:dyDescent="0.25">
      <c r="A1239" s="27"/>
    </row>
    <row r="1240" spans="1:1" x14ac:dyDescent="0.25">
      <c r="A1240" s="27"/>
    </row>
    <row r="1241" spans="1:1" x14ac:dyDescent="0.25">
      <c r="A1241" s="27"/>
    </row>
    <row r="1242" spans="1:1" x14ac:dyDescent="0.25">
      <c r="A1242" s="27"/>
    </row>
    <row r="1243" spans="1:1" x14ac:dyDescent="0.25">
      <c r="A1243" s="27"/>
    </row>
    <row r="1244" spans="1:1" x14ac:dyDescent="0.25">
      <c r="A1244" s="27"/>
    </row>
    <row r="1245" spans="1:1" x14ac:dyDescent="0.25">
      <c r="A1245" s="27"/>
    </row>
    <row r="1246" spans="1:1" x14ac:dyDescent="0.25">
      <c r="A1246" s="27"/>
    </row>
    <row r="1247" spans="1:1" x14ac:dyDescent="0.25">
      <c r="A1247" s="27"/>
    </row>
    <row r="1248" spans="1:1" x14ac:dyDescent="0.25">
      <c r="A1248" s="27"/>
    </row>
    <row r="1249" spans="1:1" x14ac:dyDescent="0.25">
      <c r="A1249" s="27"/>
    </row>
    <row r="1250" spans="1:1" x14ac:dyDescent="0.25">
      <c r="A1250" s="27"/>
    </row>
    <row r="1251" spans="1:1" x14ac:dyDescent="0.25">
      <c r="A1251" s="27"/>
    </row>
    <row r="1252" spans="1:1" x14ac:dyDescent="0.25">
      <c r="A1252" s="27"/>
    </row>
    <row r="1253" spans="1:1" x14ac:dyDescent="0.25">
      <c r="A1253" s="27"/>
    </row>
    <row r="1254" spans="1:1" x14ac:dyDescent="0.25">
      <c r="A1254" s="27"/>
    </row>
    <row r="1255" spans="1:1" x14ac:dyDescent="0.25">
      <c r="A1255" s="27"/>
    </row>
    <row r="1256" spans="1:1" x14ac:dyDescent="0.25">
      <c r="A1256" s="27"/>
    </row>
    <row r="1257" spans="1:1" x14ac:dyDescent="0.25">
      <c r="A1257" s="27"/>
    </row>
    <row r="1258" spans="1:1" x14ac:dyDescent="0.25">
      <c r="A1258" s="27"/>
    </row>
    <row r="1259" spans="1:1" x14ac:dyDescent="0.25">
      <c r="A1259" s="27"/>
    </row>
    <row r="1260" spans="1:1" x14ac:dyDescent="0.25">
      <c r="A1260" s="27"/>
    </row>
    <row r="1261" spans="1:1" x14ac:dyDescent="0.25">
      <c r="A1261" s="27"/>
    </row>
    <row r="1262" spans="1:1" x14ac:dyDescent="0.25">
      <c r="A1262" s="27"/>
    </row>
    <row r="1263" spans="1:1" x14ac:dyDescent="0.25">
      <c r="A1263" s="27"/>
    </row>
    <row r="1264" spans="1:1" x14ac:dyDescent="0.25">
      <c r="A1264" s="27"/>
    </row>
    <row r="1265" spans="1:1" x14ac:dyDescent="0.25">
      <c r="A1265" s="27"/>
    </row>
    <row r="1266" spans="1:1" x14ac:dyDescent="0.25">
      <c r="A1266" s="27"/>
    </row>
    <row r="1267" spans="1:1" x14ac:dyDescent="0.25">
      <c r="A1267" s="27"/>
    </row>
    <row r="1268" spans="1:1" x14ac:dyDescent="0.25">
      <c r="A1268" s="27"/>
    </row>
    <row r="1269" spans="1:1" x14ac:dyDescent="0.25">
      <c r="A1269" s="27"/>
    </row>
    <row r="1270" spans="1:1" x14ac:dyDescent="0.25">
      <c r="A1270" s="27"/>
    </row>
    <row r="1271" spans="1:1" x14ac:dyDescent="0.25">
      <c r="A1271" s="27"/>
    </row>
    <row r="1272" spans="1:1" x14ac:dyDescent="0.25">
      <c r="A1272" s="27"/>
    </row>
    <row r="1273" spans="1:1" x14ac:dyDescent="0.25">
      <c r="A1273" s="27"/>
    </row>
    <row r="1274" spans="1:1" x14ac:dyDescent="0.25">
      <c r="A1274" s="27"/>
    </row>
    <row r="1275" spans="1:1" x14ac:dyDescent="0.25">
      <c r="A1275" s="27"/>
    </row>
    <row r="1276" spans="1:1" x14ac:dyDescent="0.25">
      <c r="A1276" s="27"/>
    </row>
    <row r="1277" spans="1:1" x14ac:dyDescent="0.25">
      <c r="A1277" s="27"/>
    </row>
    <row r="1278" spans="1:1" x14ac:dyDescent="0.25">
      <c r="A1278" s="27"/>
    </row>
    <row r="1279" spans="1:1" x14ac:dyDescent="0.25">
      <c r="A1279" s="27"/>
    </row>
    <row r="1280" spans="1:1" x14ac:dyDescent="0.25">
      <c r="A1280" s="27"/>
    </row>
    <row r="1281" spans="1:1" x14ac:dyDescent="0.25">
      <c r="A1281" s="27"/>
    </row>
    <row r="1282" spans="1:1" x14ac:dyDescent="0.25">
      <c r="A1282" s="27"/>
    </row>
    <row r="1283" spans="1:1" x14ac:dyDescent="0.25">
      <c r="A1283" s="27"/>
    </row>
    <row r="1284" spans="1:1" x14ac:dyDescent="0.25">
      <c r="A1284" s="27"/>
    </row>
    <row r="1285" spans="1:1" x14ac:dyDescent="0.25">
      <c r="A1285" s="27"/>
    </row>
    <row r="1286" spans="1:1" x14ac:dyDescent="0.25">
      <c r="A1286" s="27"/>
    </row>
    <row r="1287" spans="1:1" x14ac:dyDescent="0.25">
      <c r="A1287" s="27"/>
    </row>
    <row r="1288" spans="1:1" x14ac:dyDescent="0.25">
      <c r="A1288" s="27"/>
    </row>
    <row r="1289" spans="1:1" x14ac:dyDescent="0.25">
      <c r="A1289" s="27"/>
    </row>
    <row r="1290" spans="1:1" x14ac:dyDescent="0.25">
      <c r="A1290" s="27"/>
    </row>
    <row r="1291" spans="1:1" x14ac:dyDescent="0.25">
      <c r="A1291" s="27"/>
    </row>
    <row r="1292" spans="1:1" x14ac:dyDescent="0.25">
      <c r="A1292" s="27"/>
    </row>
    <row r="1293" spans="1:1" x14ac:dyDescent="0.25">
      <c r="A1293" s="27"/>
    </row>
    <row r="1294" spans="1:1" x14ac:dyDescent="0.25">
      <c r="A1294" s="27"/>
    </row>
    <row r="1295" spans="1:1" x14ac:dyDescent="0.25">
      <c r="A1295" s="27"/>
    </row>
    <row r="1296" spans="1:1" x14ac:dyDescent="0.25">
      <c r="A1296" s="27"/>
    </row>
    <row r="1297" spans="1:1" x14ac:dyDescent="0.25">
      <c r="A1297" s="27"/>
    </row>
    <row r="1298" spans="1:1" x14ac:dyDescent="0.25">
      <c r="A1298" s="27"/>
    </row>
    <row r="1299" spans="1:1" x14ac:dyDescent="0.25">
      <c r="A1299" s="27"/>
    </row>
    <row r="1300" spans="1:1" x14ac:dyDescent="0.25">
      <c r="A1300" s="27"/>
    </row>
    <row r="1301" spans="1:1" x14ac:dyDescent="0.25">
      <c r="A1301" s="27"/>
    </row>
    <row r="1302" spans="1:1" x14ac:dyDescent="0.25">
      <c r="A1302" s="27"/>
    </row>
    <row r="1303" spans="1:1" x14ac:dyDescent="0.25">
      <c r="A1303" s="27"/>
    </row>
    <row r="1304" spans="1:1" x14ac:dyDescent="0.25">
      <c r="A1304" s="27"/>
    </row>
    <row r="1305" spans="1:1" x14ac:dyDescent="0.25">
      <c r="A1305" s="27"/>
    </row>
    <row r="1306" spans="1:1" x14ac:dyDescent="0.25">
      <c r="A1306" s="27"/>
    </row>
    <row r="1307" spans="1:1" x14ac:dyDescent="0.25">
      <c r="A1307" s="27"/>
    </row>
    <row r="1308" spans="1:1" x14ac:dyDescent="0.25">
      <c r="A1308" s="27"/>
    </row>
    <row r="1309" spans="1:1" x14ac:dyDescent="0.25">
      <c r="A1309" s="27"/>
    </row>
    <row r="1310" spans="1:1" x14ac:dyDescent="0.25">
      <c r="A1310" s="27"/>
    </row>
    <row r="1311" spans="1:1" x14ac:dyDescent="0.25">
      <c r="A1311" s="27"/>
    </row>
    <row r="1312" spans="1:1" x14ac:dyDescent="0.25">
      <c r="A1312" s="27"/>
    </row>
    <row r="1313" spans="1:1" x14ac:dyDescent="0.25">
      <c r="A1313" s="27"/>
    </row>
    <row r="1314" spans="1:1" x14ac:dyDescent="0.25">
      <c r="A1314" s="27"/>
    </row>
    <row r="1315" spans="1:1" x14ac:dyDescent="0.25">
      <c r="A1315" s="27"/>
    </row>
    <row r="1316" spans="1:1" x14ac:dyDescent="0.25">
      <c r="A1316" s="27"/>
    </row>
    <row r="1317" spans="1:1" x14ac:dyDescent="0.25">
      <c r="A1317" s="27"/>
    </row>
    <row r="1318" spans="1:1" x14ac:dyDescent="0.25">
      <c r="A1318" s="27"/>
    </row>
    <row r="1319" spans="1:1" x14ac:dyDescent="0.25">
      <c r="A1319" s="27"/>
    </row>
    <row r="1320" spans="1:1" x14ac:dyDescent="0.25">
      <c r="A1320" s="27"/>
    </row>
    <row r="1321" spans="1:1" x14ac:dyDescent="0.25">
      <c r="A1321" s="27"/>
    </row>
    <row r="1322" spans="1:1" x14ac:dyDescent="0.25">
      <c r="A1322" s="27"/>
    </row>
    <row r="1323" spans="1:1" x14ac:dyDescent="0.25">
      <c r="A1323" s="27"/>
    </row>
    <row r="1324" spans="1:1" x14ac:dyDescent="0.25">
      <c r="A1324" s="27"/>
    </row>
    <row r="1325" spans="1:1" x14ac:dyDescent="0.25">
      <c r="A1325" s="27"/>
    </row>
    <row r="1326" spans="1:1" x14ac:dyDescent="0.25">
      <c r="A1326" s="27"/>
    </row>
    <row r="1327" spans="1:1" x14ac:dyDescent="0.25">
      <c r="A1327" s="27"/>
    </row>
    <row r="1328" spans="1:1" x14ac:dyDescent="0.25">
      <c r="A1328" s="27"/>
    </row>
    <row r="1329" spans="1:1" x14ac:dyDescent="0.25">
      <c r="A1329" s="27"/>
    </row>
    <row r="1330" spans="1:1" x14ac:dyDescent="0.25">
      <c r="A1330" s="27"/>
    </row>
    <row r="1331" spans="1:1" x14ac:dyDescent="0.25">
      <c r="A1331" s="27"/>
    </row>
    <row r="1332" spans="1:1" x14ac:dyDescent="0.25">
      <c r="A1332" s="27"/>
    </row>
    <row r="1333" spans="1:1" x14ac:dyDescent="0.25">
      <c r="A1333" s="27"/>
    </row>
    <row r="1334" spans="1:1" x14ac:dyDescent="0.25">
      <c r="A1334" s="27"/>
    </row>
    <row r="1335" spans="1:1" x14ac:dyDescent="0.25">
      <c r="A1335" s="27"/>
    </row>
    <row r="1336" spans="1:1" x14ac:dyDescent="0.25">
      <c r="A1336" s="27"/>
    </row>
    <row r="1337" spans="1:1" x14ac:dyDescent="0.25">
      <c r="A1337" s="27"/>
    </row>
    <row r="1338" spans="1:1" x14ac:dyDescent="0.25">
      <c r="A1338" s="27"/>
    </row>
    <row r="1339" spans="1:1" x14ac:dyDescent="0.25">
      <c r="A1339" s="27"/>
    </row>
    <row r="1340" spans="1:1" x14ac:dyDescent="0.25">
      <c r="A1340" s="27"/>
    </row>
    <row r="1341" spans="1:1" x14ac:dyDescent="0.25">
      <c r="A1341" s="27"/>
    </row>
    <row r="1342" spans="1:1" x14ac:dyDescent="0.25">
      <c r="A1342" s="27"/>
    </row>
    <row r="1343" spans="1:1" x14ac:dyDescent="0.25">
      <c r="A1343" s="27"/>
    </row>
    <row r="1344" spans="1:1" x14ac:dyDescent="0.25">
      <c r="A1344" s="27"/>
    </row>
    <row r="1345" spans="1:1" x14ac:dyDescent="0.25">
      <c r="A1345" s="27"/>
    </row>
    <row r="1346" spans="1:1" x14ac:dyDescent="0.25">
      <c r="A1346" s="27"/>
    </row>
    <row r="1347" spans="1:1" x14ac:dyDescent="0.25">
      <c r="A1347" s="27"/>
    </row>
    <row r="1348" spans="1:1" x14ac:dyDescent="0.25">
      <c r="A1348" s="27"/>
    </row>
    <row r="1349" spans="1:1" x14ac:dyDescent="0.25">
      <c r="A1349" s="27"/>
    </row>
    <row r="1350" spans="1:1" x14ac:dyDescent="0.25">
      <c r="A1350" s="27"/>
    </row>
    <row r="1351" spans="1:1" x14ac:dyDescent="0.25">
      <c r="A1351" s="27"/>
    </row>
    <row r="1352" spans="1:1" x14ac:dyDescent="0.25">
      <c r="A1352" s="27"/>
    </row>
    <row r="1353" spans="1:1" x14ac:dyDescent="0.25">
      <c r="A1353" s="27"/>
    </row>
    <row r="1354" spans="1:1" x14ac:dyDescent="0.25">
      <c r="A1354" s="27"/>
    </row>
    <row r="1355" spans="1:1" x14ac:dyDescent="0.25">
      <c r="A1355" s="27"/>
    </row>
    <row r="1356" spans="1:1" x14ac:dyDescent="0.25">
      <c r="A1356" s="27"/>
    </row>
    <row r="1357" spans="1:1" x14ac:dyDescent="0.25">
      <c r="A1357" s="27"/>
    </row>
    <row r="1358" spans="1:1" x14ac:dyDescent="0.25">
      <c r="A1358" s="27"/>
    </row>
    <row r="1359" spans="1:1" x14ac:dyDescent="0.25">
      <c r="A1359" s="27"/>
    </row>
    <row r="1360" spans="1:1" x14ac:dyDescent="0.25">
      <c r="A1360" s="27"/>
    </row>
    <row r="1361" spans="1:1" x14ac:dyDescent="0.25">
      <c r="A1361" s="27"/>
    </row>
    <row r="1362" spans="1:1" x14ac:dyDescent="0.25">
      <c r="A1362" s="27"/>
    </row>
    <row r="1363" spans="1:1" x14ac:dyDescent="0.25">
      <c r="A1363" s="27"/>
    </row>
    <row r="1364" spans="1:1" x14ac:dyDescent="0.25">
      <c r="A1364" s="27"/>
    </row>
    <row r="1365" spans="1:1" x14ac:dyDescent="0.25">
      <c r="A1365" s="27"/>
    </row>
    <row r="1366" spans="1:1" x14ac:dyDescent="0.25">
      <c r="A1366" s="27"/>
    </row>
    <row r="1367" spans="1:1" x14ac:dyDescent="0.25">
      <c r="A1367" s="27"/>
    </row>
    <row r="1368" spans="1:1" x14ac:dyDescent="0.25">
      <c r="A1368" s="27"/>
    </row>
    <row r="1369" spans="1:1" x14ac:dyDescent="0.25">
      <c r="A1369" s="27"/>
    </row>
    <row r="1370" spans="1:1" x14ac:dyDescent="0.25">
      <c r="A1370" s="27"/>
    </row>
    <row r="1371" spans="1:1" x14ac:dyDescent="0.25">
      <c r="A1371" s="27"/>
    </row>
    <row r="1372" spans="1:1" x14ac:dyDescent="0.25">
      <c r="A1372" s="27"/>
    </row>
    <row r="1373" spans="1:1" x14ac:dyDescent="0.25">
      <c r="A1373" s="27"/>
    </row>
    <row r="1374" spans="1:1" x14ac:dyDescent="0.25">
      <c r="A1374" s="27"/>
    </row>
    <row r="1375" spans="1:1" x14ac:dyDescent="0.25">
      <c r="A1375" s="27"/>
    </row>
    <row r="1376" spans="1:1" x14ac:dyDescent="0.25">
      <c r="A1376" s="27"/>
    </row>
    <row r="1377" spans="1:1" x14ac:dyDescent="0.25">
      <c r="A1377" s="27"/>
    </row>
    <row r="1378" spans="1:1" x14ac:dyDescent="0.25">
      <c r="A1378" s="27"/>
    </row>
    <row r="1379" spans="1:1" x14ac:dyDescent="0.25">
      <c r="A1379" s="27"/>
    </row>
    <row r="1380" spans="1:1" x14ac:dyDescent="0.25">
      <c r="A1380" s="27"/>
    </row>
    <row r="1381" spans="1:1" x14ac:dyDescent="0.25">
      <c r="A1381" s="27"/>
    </row>
    <row r="1382" spans="1:1" x14ac:dyDescent="0.25">
      <c r="A1382" s="27"/>
    </row>
    <row r="1383" spans="1:1" x14ac:dyDescent="0.25">
      <c r="A1383" s="27"/>
    </row>
    <row r="1384" spans="1:1" x14ac:dyDescent="0.25">
      <c r="A1384" s="27"/>
    </row>
    <row r="1385" spans="1:1" x14ac:dyDescent="0.25">
      <c r="A1385" s="27"/>
    </row>
    <row r="1386" spans="1:1" x14ac:dyDescent="0.25">
      <c r="A1386" s="27"/>
    </row>
    <row r="1387" spans="1:1" x14ac:dyDescent="0.25">
      <c r="A1387" s="27"/>
    </row>
    <row r="1388" spans="1:1" x14ac:dyDescent="0.25">
      <c r="A1388" s="27"/>
    </row>
    <row r="1389" spans="1:1" x14ac:dyDescent="0.25">
      <c r="A1389" s="27"/>
    </row>
    <row r="1390" spans="1:1" x14ac:dyDescent="0.25">
      <c r="A1390" s="27"/>
    </row>
    <row r="1391" spans="1:1" x14ac:dyDescent="0.25">
      <c r="A1391" s="27"/>
    </row>
    <row r="1392" spans="1:1" x14ac:dyDescent="0.25">
      <c r="A1392" s="27"/>
    </row>
    <row r="1393" spans="1:1" x14ac:dyDescent="0.25">
      <c r="A1393" s="27"/>
    </row>
    <row r="1394" spans="1:1" x14ac:dyDescent="0.25">
      <c r="A1394" s="27"/>
    </row>
    <row r="1395" spans="1:1" x14ac:dyDescent="0.25">
      <c r="A1395" s="27"/>
    </row>
    <row r="1396" spans="1:1" x14ac:dyDescent="0.25">
      <c r="A1396" s="27"/>
    </row>
    <row r="1397" spans="1:1" x14ac:dyDescent="0.25">
      <c r="A1397" s="27"/>
    </row>
    <row r="1398" spans="1:1" x14ac:dyDescent="0.25">
      <c r="A1398" s="27"/>
    </row>
    <row r="1399" spans="1:1" x14ac:dyDescent="0.25">
      <c r="A1399" s="27"/>
    </row>
    <row r="1400" spans="1:1" x14ac:dyDescent="0.25">
      <c r="A1400" s="27"/>
    </row>
    <row r="1401" spans="1:1" x14ac:dyDescent="0.25">
      <c r="A1401" s="27"/>
    </row>
    <row r="1402" spans="1:1" x14ac:dyDescent="0.25">
      <c r="A1402" s="27"/>
    </row>
    <row r="1403" spans="1:1" x14ac:dyDescent="0.25">
      <c r="A1403" s="27"/>
    </row>
    <row r="1404" spans="1:1" x14ac:dyDescent="0.25">
      <c r="A1404" s="27"/>
    </row>
    <row r="1405" spans="1:1" x14ac:dyDescent="0.25">
      <c r="A1405" s="27"/>
    </row>
    <row r="1406" spans="1:1" x14ac:dyDescent="0.25">
      <c r="A1406" s="27"/>
    </row>
    <row r="1407" spans="1:1" x14ac:dyDescent="0.25">
      <c r="A1407" s="27"/>
    </row>
    <row r="1408" spans="1:1" x14ac:dyDescent="0.25">
      <c r="A1408" s="27"/>
    </row>
    <row r="1409" spans="1:1" x14ac:dyDescent="0.25">
      <c r="A1409" s="27"/>
    </row>
    <row r="1410" spans="1:1" x14ac:dyDescent="0.25">
      <c r="A1410" s="27"/>
    </row>
    <row r="1411" spans="1:1" x14ac:dyDescent="0.25">
      <c r="A1411" s="27"/>
    </row>
    <row r="1412" spans="1:1" x14ac:dyDescent="0.25">
      <c r="A1412" s="27"/>
    </row>
    <row r="1413" spans="1:1" x14ac:dyDescent="0.25">
      <c r="A1413" s="27"/>
    </row>
    <row r="1414" spans="1:1" x14ac:dyDescent="0.25">
      <c r="A1414" s="27"/>
    </row>
    <row r="1415" spans="1:1" x14ac:dyDescent="0.25">
      <c r="A1415" s="27"/>
    </row>
    <row r="1416" spans="1:1" x14ac:dyDescent="0.25">
      <c r="A1416" s="27"/>
    </row>
    <row r="1417" spans="1:1" x14ac:dyDescent="0.25">
      <c r="A1417" s="27"/>
    </row>
    <row r="1418" spans="1:1" x14ac:dyDescent="0.25">
      <c r="A1418" s="27"/>
    </row>
    <row r="1419" spans="1:1" x14ac:dyDescent="0.25">
      <c r="A1419" s="27"/>
    </row>
    <row r="1420" spans="1:1" x14ac:dyDescent="0.25">
      <c r="A1420" s="27"/>
    </row>
    <row r="1421" spans="1:1" x14ac:dyDescent="0.25">
      <c r="A1421" s="27"/>
    </row>
    <row r="1422" spans="1:1" x14ac:dyDescent="0.25">
      <c r="A1422" s="27"/>
    </row>
    <row r="1423" spans="1:1" x14ac:dyDescent="0.25">
      <c r="A1423" s="27"/>
    </row>
    <row r="1424" spans="1:1" x14ac:dyDescent="0.25">
      <c r="A1424" s="27"/>
    </row>
    <row r="1425" spans="1:1" x14ac:dyDescent="0.25">
      <c r="A1425" s="27"/>
    </row>
    <row r="1426" spans="1:1" x14ac:dyDescent="0.25">
      <c r="A1426" s="27"/>
    </row>
    <row r="1427" spans="1:1" x14ac:dyDescent="0.25">
      <c r="A1427" s="27"/>
    </row>
    <row r="1428" spans="1:1" x14ac:dyDescent="0.25">
      <c r="A1428" s="27"/>
    </row>
    <row r="1429" spans="1:1" x14ac:dyDescent="0.25">
      <c r="A1429" s="27"/>
    </row>
    <row r="1430" spans="1:1" x14ac:dyDescent="0.25">
      <c r="A1430" s="27"/>
    </row>
    <row r="1431" spans="1:1" x14ac:dyDescent="0.25">
      <c r="A1431" s="27"/>
    </row>
    <row r="1432" spans="1:1" x14ac:dyDescent="0.25">
      <c r="A1432" s="27"/>
    </row>
    <row r="1433" spans="1:1" x14ac:dyDescent="0.25">
      <c r="A1433" s="27"/>
    </row>
    <row r="1434" spans="1:1" x14ac:dyDescent="0.25">
      <c r="A1434" s="27"/>
    </row>
    <row r="1435" spans="1:1" x14ac:dyDescent="0.25">
      <c r="A1435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0" t="s">
        <v>57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4" t="s">
        <v>26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5"/>
      <c r="M2" s="126" t="s">
        <v>27</v>
      </c>
      <c r="N2" s="126"/>
      <c r="O2" s="126"/>
      <c r="P2" s="126"/>
      <c r="Q2" s="126"/>
      <c r="R2" s="126" t="s">
        <v>28</v>
      </c>
      <c r="S2" s="126"/>
      <c r="T2" s="126"/>
      <c r="U2" s="126"/>
      <c r="V2" s="126"/>
      <c r="W2" s="126"/>
      <c r="X2" s="126"/>
      <c r="Y2" s="102" t="s">
        <v>41</v>
      </c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27"/>
      <c r="AM2" s="127"/>
      <c r="AN2" s="12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>
        <v>10082</v>
      </c>
      <c r="S4" s="2"/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>
        <v>10082</v>
      </c>
      <c r="S5" s="2" t="s">
        <v>192</v>
      </c>
      <c r="T5" s="2">
        <v>0</v>
      </c>
      <c r="U5" s="2">
        <v>2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>
        <v>10079</v>
      </c>
      <c r="S6" s="2"/>
      <c r="T6" s="2">
        <v>0</v>
      </c>
      <c r="U6" s="2">
        <v>0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>
        <v>10079</v>
      </c>
      <c r="S7" s="2" t="s">
        <v>192</v>
      </c>
      <c r="T7" s="2">
        <v>0</v>
      </c>
      <c r="U7" s="2">
        <v>2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>
        <v>10082</v>
      </c>
      <c r="S8" s="2" t="s">
        <v>194</v>
      </c>
      <c r="T8" s="2">
        <v>0</v>
      </c>
      <c r="U8" s="2">
        <v>2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>
        <v>10082</v>
      </c>
      <c r="S9" s="2" t="s">
        <v>210</v>
      </c>
      <c r="T9" s="2">
        <v>0</v>
      </c>
      <c r="U9" s="2">
        <v>2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>
        <v>10079</v>
      </c>
      <c r="S10" s="2" t="s">
        <v>194</v>
      </c>
      <c r="T10" s="2">
        <v>0</v>
      </c>
      <c r="U10" s="2">
        <v>2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>
        <v>10079</v>
      </c>
      <c r="S11" s="2" t="s">
        <v>210</v>
      </c>
      <c r="T11" s="2">
        <v>0</v>
      </c>
      <c r="U11" s="2">
        <v>2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179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10083</v>
      </c>
      <c r="S12" s="2" t="s">
        <v>209</v>
      </c>
      <c r="T12" s="2">
        <v>0</v>
      </c>
      <c r="U12" s="2">
        <v>1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179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10083</v>
      </c>
      <c r="S13" s="2" t="s">
        <v>209</v>
      </c>
      <c r="T13" s="2">
        <v>0</v>
      </c>
      <c r="U13" s="2">
        <v>1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179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10083</v>
      </c>
      <c r="S14" s="2" t="s">
        <v>192</v>
      </c>
      <c r="T14" s="2">
        <v>0</v>
      </c>
      <c r="U14" s="2">
        <v>1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179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10084</v>
      </c>
      <c r="S15" s="2" t="s">
        <v>209</v>
      </c>
      <c r="T15" s="2">
        <v>0</v>
      </c>
      <c r="U15" s="2">
        <v>-1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179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10084</v>
      </c>
      <c r="S16" s="2" t="s">
        <v>209</v>
      </c>
      <c r="T16" s="2">
        <v>0</v>
      </c>
      <c r="U16" s="2">
        <v>-1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179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10084</v>
      </c>
      <c r="S17" s="2" t="s">
        <v>192</v>
      </c>
      <c r="T17" s="2">
        <v>0</v>
      </c>
      <c r="U17" s="2">
        <v>1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179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10085</v>
      </c>
      <c r="S18" s="2" t="s">
        <v>209</v>
      </c>
      <c r="T18" s="2">
        <v>0</v>
      </c>
      <c r="U18" s="2">
        <v>-1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179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10084</v>
      </c>
      <c r="S19" s="2" t="s">
        <v>194</v>
      </c>
      <c r="T19" s="2">
        <v>0</v>
      </c>
      <c r="U19" s="2">
        <v>1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179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10084</v>
      </c>
      <c r="S20" s="2" t="s">
        <v>210</v>
      </c>
      <c r="T20" s="2">
        <v>0</v>
      </c>
      <c r="U20" s="2">
        <v>1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179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10085</v>
      </c>
      <c r="S21" s="2" t="s">
        <v>209</v>
      </c>
      <c r="T21" s="2">
        <v>0</v>
      </c>
      <c r="U21" s="2">
        <v>-1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179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10085</v>
      </c>
      <c r="S22" s="2" t="s">
        <v>192</v>
      </c>
      <c r="T22" s="2">
        <v>0</v>
      </c>
      <c r="U22" s="2">
        <v>1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179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10086</v>
      </c>
      <c r="S23" s="2" t="s">
        <v>209</v>
      </c>
      <c r="T23" s="2">
        <v>0</v>
      </c>
      <c r="U23" s="2">
        <v>-1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179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10085</v>
      </c>
      <c r="S24" s="2" t="s">
        <v>194</v>
      </c>
      <c r="T24" s="2">
        <v>0</v>
      </c>
      <c r="U24" s="2">
        <v>1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179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10085</v>
      </c>
      <c r="S25" s="2" t="s">
        <v>210</v>
      </c>
      <c r="T25" s="2">
        <v>0</v>
      </c>
      <c r="U25" s="2">
        <v>1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179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10086</v>
      </c>
      <c r="S26" s="2" t="s">
        <v>209</v>
      </c>
      <c r="T26" s="2">
        <v>0</v>
      </c>
      <c r="U26" s="2">
        <v>-1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179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10086</v>
      </c>
      <c r="S27" s="2" t="s">
        <v>192</v>
      </c>
      <c r="T27" s="2">
        <v>0</v>
      </c>
      <c r="U27" s="2">
        <v>1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2015-02-18T16:53:02Z</dcterms:modified>
</cp:coreProperties>
</file>