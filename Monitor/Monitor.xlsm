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 activeTab="3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122" i="13"/>
  <c r="AE58" i="13"/>
  <c r="AE125" i="13"/>
  <c r="AE24" i="13"/>
  <c r="AE63" i="13"/>
  <c r="AE45" i="13"/>
  <c r="AE39" i="13"/>
  <c r="AE69" i="13"/>
  <c r="AE113" i="13"/>
  <c r="AE118" i="13"/>
  <c r="AE76" i="13"/>
  <c r="AE74" i="13"/>
  <c r="AE98" i="13"/>
  <c r="AE43" i="13"/>
  <c r="AE13" i="13"/>
  <c r="AE41" i="13"/>
  <c r="AE60" i="13"/>
  <c r="AE78" i="13"/>
  <c r="AE79" i="13"/>
  <c r="AE56" i="13"/>
  <c r="AE70" i="13"/>
  <c r="AE80" i="13"/>
  <c r="AE19" i="13"/>
  <c r="AE86" i="13"/>
  <c r="AE89" i="13"/>
  <c r="AE111" i="13"/>
  <c r="AE31" i="13"/>
  <c r="AE23" i="13"/>
  <c r="AE96" i="13"/>
  <c r="AE101" i="13"/>
  <c r="D42" i="15"/>
  <c r="AE50" i="13"/>
  <c r="AE57" i="13"/>
  <c r="AE29" i="13"/>
  <c r="AE49" i="13"/>
  <c r="F42" i="15"/>
  <c r="AE112" i="13"/>
  <c r="AE65" i="13"/>
  <c r="AE66" i="13"/>
  <c r="AE17" i="13"/>
  <c r="AE91" i="13"/>
  <c r="AE105" i="13"/>
  <c r="AE102" i="13"/>
  <c r="H42" i="15"/>
  <c r="AE35" i="13"/>
  <c r="AE100" i="13"/>
  <c r="AE54" i="13"/>
  <c r="AE67" i="13"/>
  <c r="AE110" i="13"/>
  <c r="AE115" i="13"/>
  <c r="AE21" i="13"/>
  <c r="AE25" i="13"/>
  <c r="AE44" i="13"/>
  <c r="AE22" i="13"/>
  <c r="AE53" i="13"/>
  <c r="AE95" i="13"/>
  <c r="AE32" i="13"/>
  <c r="AE26" i="13"/>
  <c r="AE36" i="13"/>
  <c r="AE27" i="13"/>
  <c r="AE114" i="13"/>
  <c r="AE71" i="13"/>
  <c r="AE75" i="13"/>
  <c r="AE37" i="13"/>
  <c r="AE68" i="13"/>
  <c r="AE119" i="13"/>
  <c r="AE88" i="13"/>
  <c r="AE61" i="13"/>
  <c r="AE51" i="13"/>
  <c r="AE81" i="13"/>
  <c r="AE120" i="13"/>
  <c r="AE48" i="13"/>
  <c r="AE90" i="13"/>
  <c r="AE92" i="13"/>
  <c r="AE62" i="13"/>
  <c r="AE11" i="13"/>
  <c r="AE109" i="13"/>
  <c r="AE46" i="13"/>
  <c r="AE85" i="13"/>
  <c r="AE40" i="13"/>
  <c r="AE82" i="13"/>
  <c r="AE33" i="13"/>
  <c r="AE8" i="13"/>
  <c r="AE87" i="13"/>
  <c r="AE28" i="13"/>
  <c r="AE99" i="13"/>
  <c r="AE94" i="13"/>
  <c r="AE9" i="13"/>
  <c r="AE104" i="13"/>
  <c r="AE10" i="13"/>
  <c r="AE6" i="13"/>
  <c r="AE72" i="13"/>
  <c r="AE83" i="13"/>
  <c r="AE106" i="13"/>
  <c r="AE77" i="13"/>
  <c r="AE18" i="13"/>
  <c r="AE73" i="13"/>
  <c r="AE124" i="13"/>
  <c r="AE42" i="13"/>
  <c r="AE93" i="13"/>
  <c r="AE7" i="13"/>
  <c r="AE107" i="13"/>
  <c r="B42" i="15"/>
  <c r="AE121" i="13"/>
  <c r="AE15" i="13"/>
  <c r="AE16" i="13"/>
  <c r="AE30" i="13"/>
  <c r="AE116" i="13"/>
  <c r="AE14" i="13"/>
  <c r="AE38" i="13"/>
  <c r="AE117" i="13"/>
  <c r="AE20" i="13"/>
  <c r="AE55" i="13"/>
  <c r="AE84" i="13"/>
  <c r="AE47" i="13"/>
  <c r="AE52" i="13"/>
  <c r="AE12" i="13"/>
  <c r="AE103" i="13"/>
  <c r="AE108" i="13"/>
  <c r="AE123" i="13"/>
  <c r="AE34" i="13"/>
  <c r="AE97" i="13"/>
  <c r="AE64" i="13"/>
  <c r="AE59" i="13"/>
  <c r="AA59" i="15"/>
  <c r="AA47" i="15"/>
  <c r="AA60" i="15"/>
  <c r="AA65" i="15"/>
  <c r="AA52" i="15"/>
  <c r="AA53" i="15"/>
  <c r="AA61" i="15"/>
  <c r="AA48" i="15"/>
  <c r="AA51" i="15"/>
  <c r="AA54" i="15"/>
  <c r="AA63" i="15"/>
  <c r="AA55" i="15"/>
  <c r="AA64" i="15"/>
  <c r="AA49" i="15"/>
  <c r="AA56" i="15"/>
  <c r="AA58" i="15"/>
  <c r="AA67" i="15"/>
  <c r="AA62" i="15"/>
  <c r="AA50" i="15"/>
  <c r="AA57" i="15"/>
  <c r="AA66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52" i="15"/>
  <c r="Z66" i="15"/>
  <c r="Z53" i="15"/>
  <c r="Z49" i="15"/>
  <c r="Z56" i="15"/>
  <c r="Z57" i="15"/>
  <c r="Z62" i="15"/>
  <c r="Z65" i="15"/>
  <c r="Z54" i="15"/>
  <c r="Z67" i="15"/>
  <c r="Z48" i="15"/>
  <c r="Z55" i="15"/>
  <c r="Z58" i="15"/>
  <c r="Z47" i="15"/>
  <c r="Z60" i="15"/>
  <c r="Z64" i="15"/>
  <c r="Z51" i="15"/>
  <c r="Z50" i="15"/>
  <c r="Z63" i="15"/>
  <c r="Z59" i="15"/>
  <c r="Z61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S37" i="15"/>
  <c r="R37" i="15"/>
  <c r="R38" i="15" l="1"/>
  <c r="S40" i="15" s="1"/>
  <c r="S38" i="15"/>
  <c r="S41" i="15" s="1"/>
  <c r="R41" i="15"/>
  <c r="R40" i="15"/>
</calcChain>
</file>

<file path=xl/sharedStrings.xml><?xml version="1.0" encoding="utf-8"?>
<sst xmlns="http://schemas.openxmlformats.org/spreadsheetml/2006/main" count="1175" uniqueCount="212">
  <si>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</si>
  <si>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</si>
  <si>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</si>
  <si>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</si>
  <si>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</si>
  <si>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</si>
  <si>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</si>
  <si>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</si>
  <si>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</si>
  <si>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</si>
  <si>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</si>
  <si>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</si>
  <si>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</si>
  <si>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</si>
  <si>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</si>
  <si>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</si>
  <si>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</si>
  <si>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</si>
  <si>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</si>
  <si>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</si>
  <si>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</si>
  <si>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</si>
  <si>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</si>
  <si>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</si>
  <si>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</si>
  <si>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</si>
  <si>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</si>
  <si>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</si>
  <si>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</si>
  <si>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</si>
  <si>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</si>
  <si>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</si>
  <si>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</si>
  <si>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</si>
  <si>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</si>
  <si>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</si>
  <si>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</si>
  <si>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</si>
  <si>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</si>
  <si>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</si>
  <si>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</si>
  <si>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</si>
  <si>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</si>
  <si>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</si>
  <si>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</si>
  <si>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</si>
  <si>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</si>
  <si>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</si>
  <si>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</si>
  <si>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</si>
  <si>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</si>
  <si>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</si>
  <si>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</si>
  <si>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</si>
  <si>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</si>
  <si>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</si>
  <si>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</si>
  <si>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</si>
  <si>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</si>
  <si>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</si>
  <si>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</si>
  <si>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</si>
  <si>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</si>
  <si>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</si>
  <si>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</si>
  <si>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</si>
  <si>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</si>
  <si>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</si>
  <si>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</si>
  <si>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</si>
  <si>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</si>
  <si>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</si>
  <si>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</si>
  <si>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</si>
  <si>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</si>
  <si>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</si>
  <si>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</si>
  <si>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</si>
  <si>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</si>
  <si>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</si>
  <si>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</si>
  <si>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</si>
  <si>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</si>
  <si>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</si>
  <si>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</si>
  <si>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</si>
  <si>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</si>
  <si>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</si>
  <si>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</si>
  <si>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</si>
  <si>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</si>
  <si>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</si>
  <si>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</si>
  <si>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</si>
  <si>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</si>
  <si>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</si>
  <si>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</si>
  <si>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</si>
  <si>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</si>
  <si>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</si>
  <si>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</si>
  <si>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</si>
  <si>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</si>
  <si>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</si>
  <si>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</si>
  <si>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</si>
  <si>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</si>
  <si>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</si>
  <si>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</si>
  <si>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</si>
  <si>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</si>
  <si>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</si>
  <si>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</si>
  <si>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</si>
  <si>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</si>
  <si>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</si>
  <si>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</si>
  <si>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</si>
  <si>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</si>
  <si>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</si>
  <si>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</si>
  <si>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</si>
  <si>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</si>
  <si>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</si>
  <si>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</si>
  <si>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</si>
  <si>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</si>
  <si>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</si>
  <si>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</si>
  <si>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</si>
  <si>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</si>
  <si>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</si>
  <si>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</si>
  <si>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</si>
  <si>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</si>
  <si>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</si>
  <si>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</si>
  <si>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</si>
  <si>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</si>
  <si>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</si>
  <si>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</si>
  <si>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</si>
  <si>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</si>
  <si>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</si>
  <si>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</si>
  <si>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</si>
  <si>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</si>
  <si>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</si>
  <si>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</si>
  <si>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</si>
  <si>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</si>
  <si>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</si>
  <si>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</si>
  <si>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</si>
  <si>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</si>
  <si>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</si>
  <si>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</si>
  <si>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</si>
  <si>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</si>
  <si>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</si>
  <si>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</si>
  <si>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</si>
  <si>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</si>
  <si>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</si>
  <si>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</si>
  <si>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</si>
  <si>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</si>
  <si>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</si>
  <si>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</si>
  <si>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</si>
  <si>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</si>
  <si>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</si>
  <si>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</si>
  <si>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</si>
  <si>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</si>
  <si>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</si>
  <si>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</si>
  <si>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</si>
  <si>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</si>
  <si>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</si>
  <si>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</si>
  <si>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</si>
  <si>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</si>
  <si>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</si>
  <si>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</si>
  <si>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</si>
  <si>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</si>
  <si>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</si>
  <si>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</si>
  <si>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</si>
  <si>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</si>
  <si>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</si>
  <si>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</si>
  <si>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</si>
  <si>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</si>
  <si>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</si>
  <si>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</si>
  <si>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</si>
  <si>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</si>
  <si>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</si>
  <si>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</si>
  <si>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</si>
  <si>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</si>
  <si>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</si>
  <si>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</si>
  <si>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</si>
  <si>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TWS Control NOT connected</t>
  </si>
  <si>
    <t>Not Subscribed</t>
  </si>
  <si>
    <t>Not Ready</t>
  </si>
  <si>
    <t>2015-2-19 12:49:59.508: Main - Initialize - initializing...</t>
  </si>
  <si>
    <t>2015-2-19 12:50:6.65: RTWSControl - errMsg - got error message 508:Bad messagewith id -1</t>
  </si>
  <si>
    <t>2015-2-19 12:50:6.65: RTWSControl - errMsg - Got Error_x000D_id: -1_x000D_errorCode: 508_x000D_errorMsg: Bad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</si>
</sst>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zoomScale="65" zoomScaleNormal="65" workbookViewId="0">
      <selection activeCell="D17" sqref="D17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2" t="s">
        <v>124</v>
      </c>
      <c r="B6" s="92"/>
      <c r="C6" s="92"/>
      <c r="D6" s="92"/>
      <c r="E6" s="92" t="s">
        <v>125</v>
      </c>
      <c r="F6" s="92"/>
      <c r="G6" s="92" t="s">
        <v>126</v>
      </c>
      <c r="H6" s="92"/>
      <c r="I6" s="92" t="s">
        <v>127</v>
      </c>
      <c r="J6" s="92"/>
      <c r="K6" s="92" t="s">
        <v>128</v>
      </c>
      <c r="L6" s="92"/>
      <c r="M6" s="92" t="s">
        <v>129</v>
      </c>
      <c r="N6" s="92"/>
      <c r="O6" s="92"/>
      <c r="P6" s="92"/>
      <c r="Q6" s="92"/>
      <c r="R6" s="92"/>
      <c r="S6" s="92"/>
      <c r="T6" s="92"/>
      <c r="U6" s="61"/>
      <c r="V6" s="61"/>
      <c r="W6" s="61"/>
      <c r="AF6" s="36"/>
    </row>
    <row r="7" spans="1:32" x14ac:dyDescent="0.25">
      <c r="A7" s="105" t="s">
        <v>205</v>
      </c>
      <c r="B7" s="105"/>
      <c r="C7" s="105">
        <v>7497</v>
      </c>
      <c r="D7" s="105"/>
      <c r="E7" s="105">
        <v>7</v>
      </c>
      <c r="F7" s="105"/>
      <c r="G7" s="105">
        <v>5</v>
      </c>
      <c r="H7" s="105"/>
      <c r="I7" s="106">
        <v>0.96388888888888891</v>
      </c>
      <c r="J7" s="107"/>
      <c r="K7" s="103" t="s">
        <v>206</v>
      </c>
      <c r="L7" s="104"/>
      <c r="M7" s="101"/>
      <c r="N7" s="102"/>
      <c r="O7" s="101"/>
      <c r="P7" s="102"/>
      <c r="Q7" s="101"/>
      <c r="R7" s="102"/>
      <c r="S7" s="101"/>
      <c r="T7" s="102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0" t="s">
        <v>134</v>
      </c>
      <c r="B12" s="100"/>
      <c r="C12" s="100" t="s">
        <v>135</v>
      </c>
      <c r="D12" s="100"/>
      <c r="E12" s="65" t="s">
        <v>136</v>
      </c>
      <c r="F12" s="65"/>
      <c r="G12" s="100" t="s">
        <v>137</v>
      </c>
      <c r="H12" s="100"/>
      <c r="I12" s="100" t="s">
        <v>138</v>
      </c>
      <c r="J12" s="100"/>
      <c r="K12" s="92" t="s">
        <v>139</v>
      </c>
      <c r="L12" s="92"/>
      <c r="M12" s="92" t="s">
        <v>140</v>
      </c>
      <c r="N12" s="92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62" t="s">
        <v>207</v>
      </c>
      <c r="N13" s="63"/>
      <c r="O13" s="62" t="s">
        <v>208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3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5">
        <v>5</v>
      </c>
      <c r="F21" s="95"/>
      <c r="G21" s="81">
        <v>5</v>
      </c>
      <c r="H21" s="81">
        <v>10</v>
      </c>
      <c r="I21" s="81">
        <v>0.2</v>
      </c>
      <c r="J21" s="81"/>
      <c r="K21" s="96">
        <v>8</v>
      </c>
      <c r="L21" s="97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98" t="s">
        <v>160</v>
      </c>
      <c r="D29" s="99"/>
      <c r="E29" s="12"/>
      <c r="F29" s="12"/>
      <c r="G29" s="99" t="s">
        <v>161</v>
      </c>
      <c r="H29" s="99"/>
      <c r="I29" s="12"/>
      <c r="J29" s="12"/>
      <c r="K29" s="99" t="s">
        <v>162</v>
      </c>
      <c r="L29" s="99"/>
      <c r="M29" s="12"/>
      <c r="N29" s="13"/>
      <c r="O29" s="99" t="s">
        <v>163</v>
      </c>
      <c r="P29" s="99"/>
      <c r="Q29" s="30">
        <v>1.5429173934784306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98"/>
      <c r="D30" s="99"/>
      <c r="E30" s="12"/>
      <c r="F30" s="12"/>
      <c r="G30" s="99" t="s">
        <v>194</v>
      </c>
      <c r="H30" s="99"/>
      <c r="I30" s="12"/>
      <c r="J30" s="12"/>
      <c r="K30" s="99" t="s">
        <v>195</v>
      </c>
      <c r="L30" s="99"/>
      <c r="M30" s="12"/>
      <c r="N30" s="13"/>
      <c r="O30" s="99" t="s">
        <v>164</v>
      </c>
      <c r="P30" s="99"/>
      <c r="Q30" s="30">
        <v>1.5429219500260403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98"/>
      <c r="D31" s="99"/>
      <c r="E31" s="12"/>
      <c r="F31" s="12"/>
      <c r="G31" s="99" t="s">
        <v>192</v>
      </c>
      <c r="H31" s="99"/>
      <c r="I31" s="12"/>
      <c r="J31" s="12"/>
      <c r="K31" s="99" t="s">
        <v>196</v>
      </c>
      <c r="L31" s="99"/>
      <c r="M31" s="12"/>
      <c r="N31" s="13"/>
      <c r="O31" s="99" t="s">
        <v>99</v>
      </c>
      <c r="P31" s="99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12">
        <v>73</v>
      </c>
      <c r="D32" s="110"/>
      <c r="E32" s="110">
        <v>1.5037</v>
      </c>
      <c r="F32" s="110"/>
      <c r="G32" s="110" t="s">
        <v>192</v>
      </c>
      <c r="H32" s="110"/>
      <c r="I32" s="110">
        <v>73</v>
      </c>
      <c r="J32" s="110"/>
      <c r="K32" s="110">
        <v>0</v>
      </c>
      <c r="L32" s="110"/>
      <c r="M32" s="110"/>
      <c r="N32" s="113"/>
      <c r="O32" s="110"/>
      <c r="P32" s="110"/>
      <c r="Q32" s="110"/>
      <c r="R32" s="113"/>
      <c r="S32" s="110"/>
      <c r="T32" s="113"/>
      <c r="U32" s="110"/>
      <c r="V32" s="11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3" t="s">
        <v>165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Q34" s="117" t="s">
        <v>185</v>
      </c>
      <c r="R34" s="117"/>
      <c r="S34" s="117"/>
      <c r="T34" s="117"/>
      <c r="U34" s="117"/>
      <c r="V34" s="117"/>
      <c r="W34" s="117"/>
    </row>
    <row r="35" spans="1:33" s="11" customFormat="1" ht="39" customHeight="1" x14ac:dyDescent="0.3">
      <c r="A35" s="87" t="s">
        <v>26</v>
      </c>
      <c r="B35" s="111" t="s">
        <v>27</v>
      </c>
      <c r="C35" s="111"/>
      <c r="D35" s="111"/>
      <c r="E35" s="111"/>
      <c r="F35" s="88"/>
      <c r="G35" s="111" t="s">
        <v>28</v>
      </c>
      <c r="H35" s="111"/>
      <c r="I35" s="111"/>
      <c r="J35" s="111"/>
      <c r="K35" s="111"/>
      <c r="L35" s="88"/>
      <c r="M35" s="111" t="s">
        <v>166</v>
      </c>
      <c r="N35" s="111"/>
      <c r="O35" s="119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0</v>
      </c>
      <c r="R36" s="76">
        <f>SUM(X47:X67)</f>
        <v>0</v>
      </c>
      <c r="S36" s="74">
        <f>SUM(W47:W67)</f>
        <v>0</v>
      </c>
      <c r="T36" s="76">
        <f>S36*62500</f>
        <v>0</v>
      </c>
      <c r="U36" s="73">
        <v>0.1</v>
      </c>
      <c r="V36" s="77">
        <f>-1*U36*W36</f>
        <v>0</v>
      </c>
      <c r="W36" s="77">
        <f>AG45</f>
        <v>0</v>
      </c>
      <c r="X36" s="46"/>
      <c r="Y36" s="46"/>
      <c r="AC36" s="38"/>
    </row>
    <row r="37" spans="1:33" ht="18.75" x14ac:dyDescent="0.3">
      <c r="A37" s="2"/>
      <c r="B37" s="16"/>
      <c r="C37" s="16"/>
      <c r="D37" s="16"/>
      <c r="E37" s="16"/>
      <c r="F37" s="2"/>
      <c r="G37" s="18"/>
      <c r="H37" s="2"/>
      <c r="I37" s="2"/>
      <c r="J37" s="2"/>
      <c r="K37" s="2"/>
      <c r="L37" s="2"/>
      <c r="M37" s="2"/>
      <c r="N37" s="2"/>
      <c r="O37" s="2"/>
      <c r="Q37" s="71" t="s">
        <v>130</v>
      </c>
      <c r="R37" s="76">
        <f>ticksUpToLoss(V36,Q36,R36)</f>
        <v>0</v>
      </c>
      <c r="S37" s="76">
        <f>ticksDownToLoss(V36,Q36,R36)</f>
        <v>0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1" t="s">
        <v>131</v>
      </c>
      <c r="R38" s="76">
        <f>Q36+R36*(R37*0.0001)</f>
        <v>0</v>
      </c>
      <c r="S38" s="76">
        <f>Q36+R36*(S37*0.0001)</f>
        <v>0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17" t="s">
        <v>132</v>
      </c>
      <c r="R39" s="117"/>
      <c r="S39" s="117"/>
      <c r="T39" s="117" t="s">
        <v>188</v>
      </c>
      <c r="U39" s="117"/>
      <c r="V39" s="117" t="s">
        <v>189</v>
      </c>
      <c r="W39" s="117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0</v>
      </c>
      <c r="S40" s="76">
        <f>ROUND(-R38,0)</f>
        <v>0</v>
      </c>
      <c r="T40" s="72" t="s">
        <v>186</v>
      </c>
      <c r="U40" s="78">
        <v>10</v>
      </c>
      <c r="V40" s="84">
        <v>1.5455000000000001</v>
      </c>
      <c r="W40" s="76">
        <v>1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0</v>
      </c>
      <c r="S41" s="76">
        <f>ROUND(-S38,0)</f>
        <v>0</v>
      </c>
      <c r="T41" s="72" t="s">
        <v>187</v>
      </c>
      <c r="U41" s="78">
        <v>1</v>
      </c>
      <c r="V41" s="84">
        <v>1.5422</v>
      </c>
      <c r="W41" s="76">
        <v>1</v>
      </c>
      <c r="X41" s="37"/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16" t="s">
        <v>202</v>
      </c>
      <c r="J42" s="116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4" t="s">
        <v>13</v>
      </c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118" t="s">
        <v>101</v>
      </c>
      <c r="O45" s="118"/>
      <c r="P45" s="118"/>
      <c r="Q45" s="118"/>
      <c r="R45" s="118"/>
      <c r="S45" s="118"/>
      <c r="T45" s="118" t="s">
        <v>108</v>
      </c>
      <c r="U45" s="118"/>
      <c r="V45" s="118"/>
      <c r="W45" s="118"/>
      <c r="AG45" s="48">
        <f>SUM(AD47:AD67)</f>
        <v>0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/>
      <c r="B47" s="2"/>
      <c r="C47" s="2"/>
      <c r="D47" s="2"/>
      <c r="E47" s="2"/>
      <c r="F47" s="28"/>
      <c r="G47" s="2"/>
      <c r="H47" s="2"/>
      <c r="I47" s="2"/>
      <c r="J47" s="2"/>
      <c r="K47" s="2"/>
      <c r="L47" s="2"/>
      <c r="M47" s="2"/>
      <c r="N47" s="2"/>
      <c r="O47" s="2"/>
      <c r="P47" s="2"/>
      <c r="Q47" s="33"/>
      <c r="R47" s="2"/>
      <c r="S47" s="2"/>
      <c r="T47" s="2"/>
      <c r="U47" s="2">
        <f>O47*B47</f>
        <v>0</v>
      </c>
      <c r="V47" s="2">
        <v>1.5804</v>
      </c>
      <c r="W47" s="2">
        <f t="shared" ref="W47:W67" si="0">Q47*B47</f>
        <v>0</v>
      </c>
      <c r="X47">
        <f>IF(ISERR(T47),0,T47*B47)</f>
        <v>0</v>
      </c>
      <c r="Y47">
        <f t="shared" ref="Y47:Y67" si="1">IF(X47 = 0,0,(W47*-10000)/X47)</f>
        <v>0</v>
      </c>
      <c r="Z47" s="85">
        <f>midMarket(K47,L47) +AA47/10000</f>
        <v>0</v>
      </c>
      <c r="AA47">
        <f>IF(rightFromSymbol(A47)="C",MAX(0,$N$27-strikeFromSymbol(A47)),MAX(0,strikeFromSymbol(A47)-$N$27))*10000</f>
        <v>0</v>
      </c>
      <c r="AB47" s="86">
        <f>MAX(0,Z47-AA47) * 10000</f>
        <v>0</v>
      </c>
      <c r="AC47" s="49">
        <f t="shared" ref="AC47:AC67" si="2">-AB47*B47</f>
        <v>0</v>
      </c>
      <c r="AD47" s="48">
        <f t="shared" ref="AD47:AD55" si="3">MAX(0,AC47*6.25)</f>
        <v>0</v>
      </c>
    </row>
    <row r="48" spans="1:33" x14ac:dyDescent="0.25">
      <c r="A48" s="2"/>
      <c r="B48" s="2"/>
      <c r="C48" s="2"/>
      <c r="D48" s="2"/>
      <c r="E48" s="2"/>
      <c r="F48" s="28"/>
      <c r="G48" s="2"/>
      <c r="H48" s="2"/>
      <c r="I48" s="2"/>
      <c r="J48" s="2"/>
      <c r="K48" s="2"/>
      <c r="L48" s="2"/>
      <c r="M48" s="2"/>
      <c r="N48" s="2"/>
      <c r="O48" s="2"/>
      <c r="P48" s="2"/>
      <c r="Q48" s="33"/>
      <c r="R48" s="2"/>
      <c r="S48" s="2"/>
      <c r="T48" s="2"/>
      <c r="U48" s="2">
        <f t="shared" ref="U48:U67" si="4">O48*B48</f>
        <v>0</v>
      </c>
      <c r="V48" s="2">
        <v>1.5804</v>
      </c>
      <c r="W48" s="2">
        <f t="shared" si="0"/>
        <v>0</v>
      </c>
      <c r="X48">
        <f t="shared" ref="X48:X67" si="5">IF(ISERR(T48),0,T48*B48)</f>
        <v>0</v>
      </c>
      <c r="Y48">
        <f t="shared" si="1"/>
        <v>0</v>
      </c>
      <c r="Z48" s="85">
        <f>midMarket(K48,L48) +AA48/10000</f>
        <v>0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0</v>
      </c>
      <c r="AC48" s="49">
        <f t="shared" si="2"/>
        <v>0</v>
      </c>
      <c r="AD48" s="48">
        <f t="shared" si="3"/>
        <v>0</v>
      </c>
    </row>
    <row r="49" spans="1:30" x14ac:dyDescent="0.25">
      <c r="A49" s="2"/>
      <c r="B49" s="2"/>
      <c r="C49" s="2"/>
      <c r="D49" s="2"/>
      <c r="E49" s="2"/>
      <c r="F49" s="28"/>
      <c r="G49" s="2"/>
      <c r="H49" s="2"/>
      <c r="I49" s="2"/>
      <c r="J49" s="2"/>
      <c r="K49" s="2"/>
      <c r="L49" s="2"/>
      <c r="M49" s="2"/>
      <c r="N49" s="2"/>
      <c r="O49" s="2"/>
      <c r="P49" s="2"/>
      <c r="Q49" s="33"/>
      <c r="R49" s="2"/>
      <c r="S49" s="2"/>
      <c r="T49" s="2"/>
      <c r="U49" s="2">
        <f t="shared" si="4"/>
        <v>0</v>
      </c>
      <c r="V49" s="2">
        <v>1.5804</v>
      </c>
      <c r="W49" s="2">
        <f t="shared" si="0"/>
        <v>0</v>
      </c>
      <c r="X49">
        <f t="shared" si="5"/>
        <v>0</v>
      </c>
      <c r="Y49">
        <f t="shared" si="1"/>
        <v>0</v>
      </c>
      <c r="Z49" s="85">
        <f>midMarket(K49,L49) +AA49/10000</f>
        <v>0</v>
      </c>
      <c r="AA49">
        <f>IF(rightFromSymbol(A49)="C",MAX(0,$N$27-strikeFromSymbol(A49)),MAX(0,strikeFromSymbol(A49)-$N$27))*10000</f>
        <v>0</v>
      </c>
      <c r="AB49" s="86">
        <f t="shared" si="6"/>
        <v>0</v>
      </c>
      <c r="AC49" s="49">
        <f t="shared" si="2"/>
        <v>0</v>
      </c>
      <c r="AD49" s="48">
        <f t="shared" si="3"/>
        <v>0</v>
      </c>
    </row>
    <row r="50" spans="1:30" x14ac:dyDescent="0.25">
      <c r="A50" s="2"/>
      <c r="B50" s="2"/>
      <c r="C50" s="2"/>
      <c r="D50" s="2"/>
      <c r="E50" s="2"/>
      <c r="F50" s="28"/>
      <c r="G50" s="2"/>
      <c r="H50" s="2"/>
      <c r="I50" s="2"/>
      <c r="J50" s="2"/>
      <c r="K50" s="2"/>
      <c r="L50" s="2"/>
      <c r="M50" s="2"/>
      <c r="N50" s="2"/>
      <c r="O50" s="2"/>
      <c r="P50" s="2"/>
      <c r="Q50" s="33"/>
      <c r="R50" s="2"/>
      <c r="S50" s="2"/>
      <c r="T50" s="2"/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14" t="s">
        <v>173</v>
      </c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</row>
    <row r="74" spans="1:30" x14ac:dyDescent="0.25">
      <c r="A74" s="108" t="s">
        <v>41</v>
      </c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1" t="s">
        <v>123</v>
      </c>
      <c r="AF1" s="121"/>
      <c r="AG1" s="121"/>
      <c r="AH1" s="121"/>
      <c r="AI1" s="121"/>
      <c r="AJ1" s="121"/>
      <c r="AK1" s="121"/>
    </row>
    <row r="4" spans="2:37" x14ac:dyDescent="0.25">
      <c r="B4" s="93" t="s">
        <v>13</v>
      </c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93"/>
      <c r="R4" s="94"/>
      <c r="S4" s="94"/>
      <c r="T4" s="118" t="s">
        <v>101</v>
      </c>
      <c r="U4" s="118"/>
      <c r="V4" s="118"/>
      <c r="W4" s="118"/>
      <c r="X4" s="118"/>
      <c r="Y4" s="118"/>
      <c r="Z4" s="118"/>
      <c r="AA4" s="118"/>
      <c r="AB4" s="118" t="s">
        <v>108</v>
      </c>
      <c r="AC4" s="118"/>
      <c r="AD4" s="118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11" sqref="A11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tabSelected="1"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209</v>
      </c>
    </row>
    <row r="2" spans="1:1" x14ac:dyDescent="0.25">
      <c r="A2" s="27" t="s">
        <v>210</v>
      </c>
    </row>
    <row r="3" spans="1:1" x14ac:dyDescent="0.25">
      <c r="A3" s="27" t="s">
        <v>211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3" t="s">
        <v>57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2" t="s">
        <v>26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3"/>
      <c r="M2" s="124" t="s">
        <v>27</v>
      </c>
      <c r="N2" s="124"/>
      <c r="O2" s="124"/>
      <c r="P2" s="124"/>
      <c r="Q2" s="124"/>
      <c r="R2" s="124" t="s">
        <v>28</v>
      </c>
      <c r="S2" s="124"/>
      <c r="T2" s="124"/>
      <c r="U2" s="124"/>
      <c r="V2" s="124"/>
      <c r="W2" s="124"/>
      <c r="X2" s="124"/>
      <c r="Y2" s="108" t="s">
        <v>41</v>
      </c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25"/>
      <c r="AM2" s="125"/>
      <c r="AN2" s="12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2015-02-19T12:50:11Z</dcterms:modified>
</cp:coreProperties>
</file>