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X27" i="15" l="1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47" i="15"/>
  <c r="W48" i="15"/>
  <c r="W49" i="15"/>
  <c r="W50" i="15"/>
  <c r="W51" i="15"/>
  <c r="W52" i="15"/>
  <c r="W53" i="15"/>
  <c r="W54" i="15"/>
  <c r="W55" i="15"/>
  <c r="W56" i="15"/>
  <c r="W57" i="15"/>
  <c r="W58" i="15"/>
  <c r="W59" i="15"/>
  <c r="W60" i="15"/>
  <c r="W61" i="15"/>
  <c r="W62" i="15"/>
  <c r="W63" i="15"/>
  <c r="W64" i="15"/>
  <c r="W65" i="15"/>
  <c r="W66" i="15"/>
  <c r="W67" i="15"/>
  <c r="W47" i="15"/>
  <c r="Z53" i="15"/>
  <c r="Z48" i="15"/>
  <c r="Z56" i="15"/>
  <c r="Z65" i="15"/>
  <c r="Z49" i="15"/>
  <c r="Z57" i="15"/>
  <c r="Z50" i="15"/>
  <c r="Z54" i="15"/>
  <c r="Z58" i="15"/>
  <c r="Z62" i="15"/>
  <c r="Z66" i="15"/>
  <c r="Z51" i="15"/>
  <c r="Z55" i="15"/>
  <c r="Z59" i="15"/>
  <c r="Z63" i="15"/>
  <c r="Z67" i="15"/>
  <c r="Z52" i="15"/>
  <c r="Z60" i="15"/>
  <c r="Z64" i="15"/>
  <c r="Z61" i="15"/>
  <c r="Z47" i="15"/>
  <c r="AA61" i="15" l="1"/>
  <c r="AA64" i="15"/>
  <c r="AA60" i="15"/>
  <c r="AA67" i="15"/>
  <c r="AA63" i="15"/>
  <c r="AA59" i="15"/>
  <c r="AA55" i="15"/>
  <c r="AA66" i="15"/>
  <c r="AA62" i="15"/>
  <c r="AA58" i="15"/>
  <c r="AA54" i="15"/>
  <c r="AA57" i="15"/>
  <c r="AA65" i="15"/>
  <c r="AA56" i="15"/>
  <c r="Y57" i="15"/>
  <c r="Y53" i="15"/>
  <c r="Y67" i="15"/>
  <c r="Y63" i="15"/>
  <c r="Y59" i="15"/>
  <c r="Y55" i="15"/>
  <c r="Y65" i="15"/>
  <c r="Y61" i="15"/>
  <c r="AA53" i="15"/>
  <c r="C41" i="15"/>
  <c r="Y51" i="15"/>
  <c r="Y49" i="15"/>
  <c r="AA47" i="15"/>
  <c r="AB47" i="15" s="1"/>
  <c r="AC47" i="15" s="1"/>
  <c r="AA52" i="15"/>
  <c r="AA51" i="15"/>
  <c r="AA50" i="15"/>
  <c r="AA49" i="15"/>
  <c r="AA48" i="15"/>
  <c r="Y66" i="15"/>
  <c r="Y62" i="15"/>
  <c r="Y58" i="15"/>
  <c r="Y54" i="15"/>
  <c r="Y50" i="15"/>
  <c r="Y47" i="15"/>
  <c r="Y64" i="15"/>
  <c r="Y60" i="15"/>
  <c r="Y56" i="15"/>
  <c r="Y52" i="15"/>
  <c r="Y48" i="15"/>
  <c r="AK125" i="13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AB57" i="15"/>
  <c r="AC57" i="15" s="1"/>
  <c r="B41" i="15"/>
  <c r="AE96" i="13"/>
  <c r="AE113" i="13"/>
  <c r="AE97" i="13"/>
  <c r="AE80" i="13"/>
  <c r="AE76" i="13"/>
  <c r="AE72" i="13"/>
  <c r="AE68" i="13"/>
  <c r="AE64" i="13"/>
  <c r="AE60" i="13"/>
  <c r="AE52" i="13"/>
  <c r="AE48" i="13"/>
  <c r="AE40" i="13"/>
  <c r="AE83" i="13"/>
  <c r="AE110" i="13"/>
  <c r="AE94" i="13"/>
  <c r="AE15" i="13"/>
  <c r="AE18" i="13"/>
  <c r="AE82" i="13"/>
  <c r="AE8" i="13"/>
  <c r="AE30" i="13"/>
  <c r="AE37" i="13"/>
  <c r="AE9" i="13"/>
  <c r="AE105" i="13"/>
  <c r="AE74" i="13"/>
  <c r="AE62" i="13"/>
  <c r="AE50" i="13"/>
  <c r="AE124" i="13"/>
  <c r="AE123" i="13"/>
  <c r="AE85" i="13"/>
  <c r="AE23" i="13"/>
  <c r="AE26" i="13"/>
  <c r="AE16" i="13"/>
  <c r="AE125" i="13"/>
  <c r="AE109" i="13"/>
  <c r="AE92" i="13"/>
  <c r="AE79" i="13"/>
  <c r="AE75" i="13"/>
  <c r="AE71" i="13"/>
  <c r="AE67" i="13"/>
  <c r="AE63" i="13"/>
  <c r="AE59" i="13"/>
  <c r="AE55" i="13"/>
  <c r="AE51" i="13"/>
  <c r="AE47" i="13"/>
  <c r="AE43" i="13"/>
  <c r="AE39" i="13"/>
  <c r="AE112" i="13"/>
  <c r="AE95" i="13"/>
  <c r="AE81" i="13"/>
  <c r="AE122" i="13"/>
  <c r="AE106" i="13"/>
  <c r="AE89" i="13"/>
  <c r="AE38" i="13"/>
  <c r="AE36" i="13"/>
  <c r="AE27" i="13"/>
  <c r="AE88" i="13"/>
  <c r="AE70" i="13"/>
  <c r="AE58" i="13"/>
  <c r="AE46" i="13"/>
  <c r="AE108" i="13"/>
  <c r="AE118" i="13"/>
  <c r="AE33" i="13"/>
  <c r="AE107" i="13"/>
  <c r="AE10" i="13"/>
  <c r="AE32" i="13"/>
  <c r="AE34" i="13"/>
  <c r="AE117" i="13"/>
  <c r="AE101" i="13"/>
  <c r="AE84" i="13"/>
  <c r="AE77" i="13"/>
  <c r="AE73" i="13"/>
  <c r="AE69" i="13"/>
  <c r="AE65" i="13"/>
  <c r="AE61" i="13"/>
  <c r="AE57" i="13"/>
  <c r="AE53" i="13"/>
  <c r="AE49" i="13"/>
  <c r="AE45" i="13"/>
  <c r="AE41" i="13"/>
  <c r="AE120" i="13"/>
  <c r="AE104" i="13"/>
  <c r="AE87" i="13"/>
  <c r="AE119" i="13"/>
  <c r="AE114" i="13"/>
  <c r="AE98" i="13"/>
  <c r="AE111" i="13"/>
  <c r="AE29" i="13"/>
  <c r="AE13" i="13"/>
  <c r="AE19" i="13"/>
  <c r="AE90" i="13"/>
  <c r="AE22" i="13"/>
  <c r="AE86" i="13"/>
  <c r="AE99" i="13"/>
  <c r="AE28" i="13"/>
  <c r="AE12" i="13"/>
  <c r="AE56" i="13"/>
  <c r="AE44" i="13"/>
  <c r="AE116" i="13"/>
  <c r="AE100" i="13"/>
  <c r="AE115" i="13"/>
  <c r="AE93" i="13"/>
  <c r="AE25" i="13"/>
  <c r="AE103" i="13"/>
  <c r="AE35" i="13"/>
  <c r="AE31" i="13"/>
  <c r="AE24" i="13"/>
  <c r="AE21" i="13"/>
  <c r="AE7" i="13"/>
  <c r="AE14" i="13"/>
  <c r="AE20" i="13"/>
  <c r="AE121" i="13"/>
  <c r="AE78" i="13"/>
  <c r="AE66" i="13"/>
  <c r="AE54" i="13"/>
  <c r="AE42" i="13"/>
  <c r="AE91" i="13"/>
  <c r="AE102" i="13"/>
  <c r="AE17" i="13"/>
  <c r="AE11" i="13"/>
  <c r="AE6" i="13"/>
  <c r="AB52" i="15" l="1"/>
  <c r="AC52" i="15" s="1"/>
  <c r="AB54" i="15"/>
  <c r="AC54" i="15" s="1"/>
  <c r="AB53" i="15"/>
  <c r="AC53" i="15" s="1"/>
  <c r="AB55" i="15"/>
  <c r="AC55" i="15" s="1"/>
  <c r="AB58" i="15"/>
  <c r="AC58" i="15" s="1"/>
  <c r="AB66" i="15"/>
  <c r="AC66" i="15" s="1"/>
  <c r="AB51" i="15"/>
  <c r="AC51" i="15" s="1"/>
  <c r="AB61" i="15"/>
  <c r="AC61" i="15" s="1"/>
  <c r="AB67" i="15"/>
  <c r="AC67" i="15" s="1"/>
  <c r="D41" i="15"/>
  <c r="E41" i="15" s="1"/>
  <c r="AB49" i="15"/>
  <c r="AC49" i="15" s="1"/>
  <c r="AB60" i="15"/>
  <c r="AC60" i="15" s="1"/>
  <c r="AB64" i="15"/>
  <c r="AC64" i="15" s="1"/>
  <c r="AB50" i="15"/>
  <c r="AC50" i="15" s="1"/>
  <c r="AB59" i="15"/>
  <c r="AC59" i="15" s="1"/>
  <c r="AB63" i="15"/>
  <c r="AC63" i="15" s="1"/>
  <c r="AB48" i="15"/>
  <c r="AC48" i="15" s="1"/>
  <c r="AB65" i="15"/>
  <c r="AC65" i="15" s="1"/>
  <c r="AB56" i="15"/>
  <c r="AC56" i="15" s="1"/>
  <c r="AB62" i="15"/>
  <c r="AC62" i="15" s="1"/>
  <c r="AG96" i="13"/>
  <c r="AC96" i="13"/>
  <c r="AF96" i="13"/>
  <c r="AG34" i="13"/>
  <c r="AC34" i="13"/>
  <c r="AF34" i="13"/>
  <c r="AF6" i="13"/>
  <c r="AC6" i="13"/>
  <c r="AG6" i="13"/>
  <c r="AF9" i="13"/>
  <c r="AG9" i="13"/>
  <c r="AC9" i="13"/>
  <c r="AF8" i="13"/>
  <c r="AC8" i="13"/>
  <c r="AG8" i="13"/>
  <c r="AF12" i="13"/>
  <c r="AG12" i="13"/>
  <c r="AC12" i="13"/>
  <c r="AF16" i="13"/>
  <c r="AC16" i="13"/>
  <c r="AG16" i="13"/>
  <c r="AF20" i="13"/>
  <c r="AC20" i="13"/>
  <c r="AG20" i="13"/>
  <c r="AF24" i="13"/>
  <c r="AC24" i="13"/>
  <c r="AG24" i="13"/>
  <c r="AF28" i="13"/>
  <c r="AC28" i="13"/>
  <c r="AG28" i="13"/>
  <c r="AF32" i="13"/>
  <c r="AC32" i="13"/>
  <c r="AG32" i="13"/>
  <c r="AF37" i="13"/>
  <c r="AC37" i="13"/>
  <c r="AG37" i="13"/>
  <c r="AG82" i="13"/>
  <c r="AF82" i="13"/>
  <c r="AC82" i="13"/>
  <c r="AG99" i="13"/>
  <c r="AC99" i="13"/>
  <c r="AF99" i="13"/>
  <c r="AF11" i="13"/>
  <c r="AG11" i="13"/>
  <c r="AC11" i="13"/>
  <c r="AF27" i="13"/>
  <c r="AC27" i="13"/>
  <c r="AG27" i="13"/>
  <c r="AF31" i="13"/>
  <c r="AC31" i="13"/>
  <c r="AG31" i="13"/>
  <c r="AG86" i="13"/>
  <c r="AC86" i="13"/>
  <c r="AF86" i="13"/>
  <c r="AF10" i="13"/>
  <c r="AC10" i="13"/>
  <c r="AG10" i="13"/>
  <c r="AF14" i="13"/>
  <c r="AC14" i="13"/>
  <c r="AG14" i="13"/>
  <c r="AF18" i="13"/>
  <c r="AC18" i="13"/>
  <c r="AG18" i="13"/>
  <c r="AF22" i="13"/>
  <c r="AC22" i="13"/>
  <c r="AG22" i="13"/>
  <c r="AF26" i="13"/>
  <c r="AG26" i="13"/>
  <c r="AC26" i="13"/>
  <c r="AF30" i="13"/>
  <c r="AG30" i="13"/>
  <c r="AC30" i="13"/>
  <c r="AF35" i="13"/>
  <c r="AG35" i="13"/>
  <c r="AC35" i="13"/>
  <c r="AG90" i="13"/>
  <c r="AC90" i="13"/>
  <c r="AF90" i="13"/>
  <c r="AG107" i="13"/>
  <c r="AC107" i="13"/>
  <c r="AF107" i="13"/>
  <c r="AF7" i="13"/>
  <c r="AC7" i="13"/>
  <c r="AG7" i="13"/>
  <c r="AF15" i="13"/>
  <c r="AG15" i="13"/>
  <c r="AC15" i="13"/>
  <c r="AF19" i="13"/>
  <c r="AG19" i="13"/>
  <c r="AC19" i="13"/>
  <c r="AF23" i="13"/>
  <c r="AC23" i="13"/>
  <c r="AG23" i="13"/>
  <c r="AF36" i="13"/>
  <c r="AC36" i="13"/>
  <c r="AG36" i="13"/>
  <c r="AG103" i="13"/>
  <c r="AC103" i="13"/>
  <c r="AF103" i="13"/>
  <c r="AF13" i="13"/>
  <c r="AC13" i="13"/>
  <c r="AG13" i="13"/>
  <c r="AF17" i="13"/>
  <c r="AC17" i="13"/>
  <c r="AG17" i="13"/>
  <c r="AF21" i="13"/>
  <c r="AG21" i="13"/>
  <c r="AC21" i="13"/>
  <c r="AF25" i="13"/>
  <c r="AG25" i="13"/>
  <c r="AC25" i="13"/>
  <c r="AF29" i="13"/>
  <c r="AC29" i="13"/>
  <c r="AG29" i="13"/>
  <c r="AF33" i="13"/>
  <c r="AC33" i="13"/>
  <c r="AG33" i="13"/>
  <c r="AF38" i="13"/>
  <c r="AG38" i="13"/>
  <c r="AC38" i="13"/>
  <c r="AG94" i="13"/>
  <c r="AC94" i="13"/>
  <c r="AF94" i="13"/>
  <c r="AG111" i="13"/>
  <c r="AC111" i="13"/>
  <c r="AF111" i="13"/>
  <c r="AG85" i="13"/>
  <c r="AC85" i="13"/>
  <c r="AF85" i="13"/>
  <c r="AG89" i="13"/>
  <c r="AC89" i="13"/>
  <c r="AF89" i="13"/>
  <c r="AG93" i="13"/>
  <c r="AC93" i="13"/>
  <c r="AF93" i="13"/>
  <c r="AG98" i="13"/>
  <c r="AC98" i="13"/>
  <c r="AF98" i="13"/>
  <c r="AG102" i="13"/>
  <c r="AC102" i="13"/>
  <c r="AF102" i="13"/>
  <c r="AG106" i="13"/>
  <c r="AC106" i="13"/>
  <c r="AF106" i="13"/>
  <c r="AG110" i="13"/>
  <c r="AC110" i="13"/>
  <c r="AF110" i="13"/>
  <c r="AG114" i="13"/>
  <c r="AC114" i="13"/>
  <c r="AF114" i="13"/>
  <c r="AG118" i="13"/>
  <c r="AC118" i="13"/>
  <c r="AF118" i="13"/>
  <c r="AG122" i="13"/>
  <c r="AC122" i="13"/>
  <c r="AF122" i="13"/>
  <c r="AG115" i="13"/>
  <c r="AC115" i="13"/>
  <c r="AF115" i="13"/>
  <c r="AG119" i="13"/>
  <c r="AC119" i="13"/>
  <c r="AF119" i="13"/>
  <c r="AG123" i="13"/>
  <c r="AC123" i="13"/>
  <c r="AF123" i="13"/>
  <c r="AF81" i="13"/>
  <c r="AG81" i="13"/>
  <c r="AC81" i="13"/>
  <c r="AG83" i="13"/>
  <c r="AC83" i="13"/>
  <c r="AF83" i="13"/>
  <c r="AG87" i="13"/>
  <c r="AC87" i="13"/>
  <c r="AF87" i="13"/>
  <c r="AG91" i="13"/>
  <c r="AC91" i="13"/>
  <c r="AF91" i="13"/>
  <c r="AG95" i="13"/>
  <c r="AC95" i="13"/>
  <c r="AF95" i="13"/>
  <c r="AG100" i="13"/>
  <c r="AC100" i="13"/>
  <c r="AF100" i="13"/>
  <c r="AG104" i="13"/>
  <c r="AC104" i="13"/>
  <c r="AF104" i="13"/>
  <c r="AG108" i="13"/>
  <c r="AC108" i="13"/>
  <c r="AF108" i="13"/>
  <c r="AG112" i="13"/>
  <c r="AC112" i="13"/>
  <c r="AF112" i="13"/>
  <c r="AG116" i="13"/>
  <c r="AC116" i="13"/>
  <c r="AF116" i="13"/>
  <c r="AG120" i="13"/>
  <c r="AC120" i="13"/>
  <c r="AF120" i="13"/>
  <c r="AG124" i="13"/>
  <c r="AC124" i="13"/>
  <c r="AF124" i="13"/>
  <c r="AF39" i="13"/>
  <c r="AG39" i="13"/>
  <c r="AC39" i="13"/>
  <c r="AF40" i="13"/>
  <c r="AC40" i="13"/>
  <c r="AG40" i="13"/>
  <c r="AF41" i="13"/>
  <c r="AG41" i="13"/>
  <c r="AC41" i="13"/>
  <c r="AF42" i="13"/>
  <c r="AC42" i="13"/>
  <c r="AG42" i="13"/>
  <c r="AF43" i="13"/>
  <c r="AG43" i="13"/>
  <c r="AC43" i="13"/>
  <c r="AF44" i="13"/>
  <c r="AC44" i="13"/>
  <c r="AG44" i="13"/>
  <c r="AF45" i="13"/>
  <c r="AG45" i="13"/>
  <c r="AC45" i="13"/>
  <c r="AF46" i="13"/>
  <c r="AC46" i="13"/>
  <c r="AG46" i="13"/>
  <c r="AF47" i="13"/>
  <c r="AG47" i="13"/>
  <c r="AC47" i="13"/>
  <c r="AF48" i="13"/>
  <c r="AC48" i="13"/>
  <c r="AG48" i="13"/>
  <c r="AF49" i="13"/>
  <c r="AG49" i="13"/>
  <c r="AC49" i="13"/>
  <c r="AF50" i="13"/>
  <c r="AC50" i="13"/>
  <c r="AG50" i="13"/>
  <c r="AF51" i="13"/>
  <c r="AG51" i="13"/>
  <c r="AC51" i="13"/>
  <c r="AF52" i="13"/>
  <c r="AC52" i="13"/>
  <c r="AG52" i="13"/>
  <c r="AF53" i="13"/>
  <c r="AG53" i="13"/>
  <c r="AC53" i="13"/>
  <c r="AF54" i="13"/>
  <c r="AC54" i="13"/>
  <c r="AG54" i="13"/>
  <c r="AF55" i="13"/>
  <c r="AG55" i="13"/>
  <c r="AC55" i="13"/>
  <c r="AF56" i="13"/>
  <c r="AC56" i="13"/>
  <c r="AG56" i="13"/>
  <c r="AF57" i="13"/>
  <c r="AG57" i="13"/>
  <c r="AC57" i="13"/>
  <c r="AF58" i="13"/>
  <c r="AC58" i="13"/>
  <c r="AG58" i="13"/>
  <c r="AF59" i="13"/>
  <c r="AG59" i="13"/>
  <c r="AC59" i="13"/>
  <c r="AF60" i="13"/>
  <c r="AC60" i="13"/>
  <c r="AG60" i="13"/>
  <c r="AF61" i="13"/>
  <c r="AG61" i="13"/>
  <c r="AC61" i="13"/>
  <c r="AF62" i="13"/>
  <c r="AC62" i="13"/>
  <c r="AG62" i="13"/>
  <c r="AF63" i="13"/>
  <c r="AG63" i="13"/>
  <c r="AC63" i="13"/>
  <c r="AF64" i="13"/>
  <c r="AC64" i="13"/>
  <c r="AG64" i="13"/>
  <c r="AF65" i="13"/>
  <c r="AG65" i="13"/>
  <c r="AC65" i="13"/>
  <c r="AF66" i="13"/>
  <c r="AC66" i="13"/>
  <c r="AG66" i="13"/>
  <c r="AF67" i="13"/>
  <c r="AG67" i="13"/>
  <c r="AC67" i="13"/>
  <c r="AF68" i="13"/>
  <c r="AC68" i="13"/>
  <c r="AG68" i="13"/>
  <c r="AF69" i="13"/>
  <c r="AG69" i="13"/>
  <c r="AC69" i="13"/>
  <c r="AF70" i="13"/>
  <c r="AC70" i="13"/>
  <c r="AG70" i="13"/>
  <c r="AF71" i="13"/>
  <c r="AG71" i="13"/>
  <c r="AC71" i="13"/>
  <c r="AF72" i="13"/>
  <c r="AC72" i="13"/>
  <c r="AG72" i="13"/>
  <c r="AF73" i="13"/>
  <c r="AG73" i="13"/>
  <c r="AC73" i="13"/>
  <c r="AF74" i="13"/>
  <c r="AC74" i="13"/>
  <c r="AG74" i="13"/>
  <c r="AF75" i="13"/>
  <c r="AG75" i="13"/>
  <c r="AC75" i="13"/>
  <c r="AF76" i="13"/>
  <c r="AC76" i="13"/>
  <c r="AG76" i="13"/>
  <c r="AF77" i="13"/>
  <c r="AG77" i="13"/>
  <c r="AC77" i="13"/>
  <c r="AF78" i="13"/>
  <c r="AC78" i="13"/>
  <c r="AG78" i="13"/>
  <c r="AF79" i="13"/>
  <c r="AG79" i="13"/>
  <c r="AC79" i="13"/>
  <c r="AF80" i="13"/>
  <c r="AG80" i="13"/>
  <c r="AC80" i="13"/>
  <c r="AG84" i="13"/>
  <c r="AC84" i="13"/>
  <c r="AF84" i="13"/>
  <c r="AG88" i="13"/>
  <c r="AC88" i="13"/>
  <c r="AF88" i="13"/>
  <c r="AG92" i="13"/>
  <c r="AC92" i="13"/>
  <c r="AF92" i="13"/>
  <c r="AG97" i="13"/>
  <c r="AC97" i="13"/>
  <c r="AF97" i="13"/>
  <c r="AG101" i="13"/>
  <c r="AC101" i="13"/>
  <c r="AF101" i="13"/>
  <c r="AG105" i="13"/>
  <c r="AC105" i="13"/>
  <c r="AF105" i="13"/>
  <c r="AG109" i="13"/>
  <c r="AC109" i="13"/>
  <c r="AF109" i="13"/>
  <c r="AG113" i="13"/>
  <c r="AC113" i="13"/>
  <c r="AF113" i="13"/>
  <c r="AG117" i="13"/>
  <c r="AC117" i="13"/>
  <c r="AF117" i="13"/>
  <c r="AG121" i="13"/>
  <c r="AC121" i="13"/>
  <c r="AF121" i="13"/>
  <c r="AG125" i="13"/>
  <c r="AC125" i="13"/>
  <c r="AF125" i="13"/>
  <c r="F41" i="15" l="1"/>
  <c r="AH45" i="15"/>
  <c r="AF4" i="13"/>
  <c r="H41" i="15" l="1"/>
  <c r="L41" i="15"/>
  <c r="K41" i="15"/>
  <c r="D42" i="15" l="1"/>
  <c r="I41" i="15"/>
  <c r="E42" i="15" s="1"/>
  <c r="J41" i="15"/>
  <c r="I42" i="15" s="1"/>
  <c r="H42" i="15"/>
</calcChain>
</file>

<file path=xl/sharedStrings.xml><?xml version="1.0" encoding="utf-8"?>
<sst xmlns="http://schemas.openxmlformats.org/spreadsheetml/2006/main" count="2273" uniqueCount="1288">
  <si>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</si>
  <si>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</si>
  <si>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</si>
  <si>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</si>
  <si>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</si>
  <si>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</si>
  <si>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</si>
  <si>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</si>
  <si>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</si>
  <si>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</si>
  <si>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</si>
  <si>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</si>
  <si>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</si>
  <si>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</si>
  <si>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</si>
  <si>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</si>
  <si>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</si>
  <si>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</si>
  <si>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</si>
  <si>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</si>
  <si>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</si>
  <si>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</si>
  <si>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</si>
  <si>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</si>
  <si>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</si>
  <si>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</si>
  <si>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</si>
  <si>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</si>
  <si>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</si>
  <si>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</si>
  <si>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</si>
  <si>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</si>
  <si>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</si>
  <si>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</si>
  <si>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</si>
  <si>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</si>
  <si>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</si>
  <si>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</si>
  <si>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</si>
  <si>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</si>
  <si>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</si>
  <si>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</si>
  <si>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</si>
  <si>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</si>
  <si>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</si>
  <si>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</si>
  <si>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</si>
  <si>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</si>
  <si>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</si>
  <si>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</si>
  <si>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</si>
  <si>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</si>
  <si>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</si>
  <si>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</si>
  <si>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</si>
  <si>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</si>
  <si>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</si>
  <si>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</si>
  <si>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</si>
  <si>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</si>
  <si>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</si>
  <si>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</si>
  <si>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</si>
  <si>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</si>
  <si>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</si>
  <si>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</si>
  <si>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</si>
  <si>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</si>
  <si>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</si>
  <si>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</si>
  <si>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</si>
  <si>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</si>
  <si>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</si>
  <si>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</si>
  <si>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</si>
  <si>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</si>
  <si>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</si>
  <si>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</si>
  <si>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</si>
  <si>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</si>
  <si>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</si>
  <si>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</si>
  <si>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</si>
  <si>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</si>
  <si>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</si>
  <si>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</si>
  <si>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</si>
  <si>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</si>
  <si>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</si>
  <si>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</si>
  <si>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</si>
  <si>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</si>
  <si>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</si>
  <si>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</si>
  <si>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</si>
  <si>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</si>
  <si>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</si>
  <si>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</si>
  <si>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</si>
  <si>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</si>
  <si>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</si>
  <si>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</si>
  <si>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</si>
  <si>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</si>
  <si>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</si>
  <si>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</si>
  <si>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</si>
  <si>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</si>
  <si>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</si>
  <si>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</si>
  <si>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</si>
  <si>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</si>
  <si>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</si>
  <si>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</si>
  <si>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</si>
  <si>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</si>
  <si>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</si>
  <si>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</si>
  <si>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</si>
  <si>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</si>
  <si>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</si>
  <si>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</si>
  <si>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</si>
  <si>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</si>
  <si>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</si>
  <si>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</si>
  <si>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</si>
  <si>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</si>
  <si>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</si>
  <si>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</si>
  <si>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</si>
  <si>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</si>
  <si>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</si>
  <si>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</si>
  <si>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</si>
  <si>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</si>
  <si>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</si>
  <si>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</si>
  <si>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</si>
  <si>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</si>
  <si>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</si>
  <si>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</si>
  <si>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</si>
  <si>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</si>
  <si>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</si>
  <si>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</si>
  <si>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</si>
  <si>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</si>
  <si>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</si>
  <si>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</si>
  <si>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</si>
  <si>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</si>
  <si>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</si>
  <si>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</si>
  <si>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</si>
  <si>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</si>
  <si>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</si>
  <si>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</si>
  <si>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</si>
  <si>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</si>
  <si>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</si>
  <si>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</si>
  <si>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</si>
  <si>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</si>
  <si>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</si>
  <si>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</si>
  <si>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</si>
  <si>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</si>
  <si>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</si>
  <si>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</si>
  <si>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</si>
  <si>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</si>
  <si>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</si>
  <si>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</si>
  <si>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</si>
  <si>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</si>
  <si>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</si>
  <si>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</si>
  <si>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</si>
  <si>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</si>
  <si>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</si>
  <si>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</si>
  <si>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</si>
  <si>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BOT</t>
  </si>
  <si>
    <t>0001f4e5.5480ef9c.01.01</t>
  </si>
  <si>
    <t>20141205  11:40:21</t>
  </si>
  <si>
    <t>0001f4e5.5480ef9d.01.01</t>
  </si>
  <si>
    <t>0001f4e5.5480ef9f.01.01</t>
  </si>
  <si>
    <t>20141205  11:40:22</t>
  </si>
  <si>
    <t>0001f4e5.5480efa0.01.01</t>
  </si>
  <si>
    <t>20141205  11:40:23</t>
  </si>
  <si>
    <t>0001f4e5.5480efa1.01.01</t>
  </si>
  <si>
    <t>20141205  11:40:32</t>
  </si>
  <si>
    <t>0001f4e5.5480efa2.01.01</t>
  </si>
  <si>
    <t>0001f4e5.5480efa3.01.01</t>
  </si>
  <si>
    <t>20141205  11:40:34</t>
  </si>
  <si>
    <t>0001f4e5.5480efa5.01.01</t>
  </si>
  <si>
    <t>20141205  11:40:37</t>
  </si>
  <si>
    <t>0001f4e5.5480efa7.01.01</t>
  </si>
  <si>
    <t>20141205  11:40:40</t>
  </si>
  <si>
    <t>0001f4e5.5480efa8.01.01</t>
  </si>
  <si>
    <t>20141205  11:40:41</t>
  </si>
  <si>
    <t>PORTF_FIRST_ROW</t>
  </si>
  <si>
    <t>PORTF_LAST_ROW</t>
  </si>
  <si>
    <t>Unrealized PNL</t>
  </si>
  <si>
    <t>TWS Control NOT connected</t>
  </si>
  <si>
    <t>Subscribed</t>
  </si>
  <si>
    <t>6B2Z4 P1550</t>
  </si>
  <si>
    <t>6B2Z4 C1560</t>
  </si>
  <si>
    <t>6B2Z4 C1565</t>
  </si>
  <si>
    <t>6B2Z4 P1560</t>
  </si>
  <si>
    <t>6B2Z4 P1565</t>
  </si>
  <si>
    <t>6B2Z4 C1570</t>
  </si>
  <si>
    <t>2014-12-11 17:26:23.760: Main - Initialize - initializing...</t>
  </si>
  <si>
    <t>2014-12-11 17:26:42.559: RTWSControl - nextValidId - entering nextValidId id is 14</t>
  </si>
  <si>
    <t>2014-12-11 17:26:42.559: WatchlistView - initialize - an error occurredSelect method of Range class failed</t>
  </si>
  <si>
    <t>2014-12-11 17:26:42.590: RTWSControl - errMsg - got error message 2104:Market data farm connection is OK:usfuturewith id -1</t>
  </si>
  <si>
    <t>2014-12-11 17:26:42.606: RTWSControl - errMsg - got error message 2104:Market data farm connection is OK:usfuture.uswith id -1</t>
  </si>
  <si>
    <t>2014-12-11 17:26:42.606: RTWSControl - errMsg - got error message 2104:Market data farm connection is OK:cashfarmwith id -1</t>
  </si>
  <si>
    <t>2014-12-11 17:26:42.606: RTWSControl - errMsg - got error message 2104:Market data farm connection is OK:usfarmwith id -1</t>
  </si>
  <si>
    <t>2014-12-11 17:26:42.809: RTWSControl - contractDetailsEx - got contractDetails id 0 British pound 6BZ4</t>
  </si>
  <si>
    <t>2014-12-11 17:26:42.840: RTWSControl - contractDetailsEnd - Got contract details end event</t>
  </si>
  <si>
    <t>2014-12-11 17:26:52.843: inst2.displayRow is 41</t>
  </si>
  <si>
    <t>2014-12-11 17:26:52.885: inst2.displayRow is 42</t>
  </si>
  <si>
    <t>2014-12-11 17:26:52.931: inst2.displayRow is 43</t>
  </si>
  <si>
    <t>2014-12-11 17:26:52.963: inst2.displayRow is 44</t>
  </si>
  <si>
    <t>2014-12-11 17:26:53.9: inst2.displayRow is 45</t>
  </si>
  <si>
    <t>2014-12-11 17:26:53.56: inst2.displayRow is 46</t>
  </si>
  <si>
    <t>2014-12-11 17:26:53.150: RTWSControl - contractDetailsEx - got contractDetails id 0 British pound 6B2Z4 P1550</t>
  </si>
  <si>
    <t>2014-12-11 17:26:53.150: RTWSControl - contractDetailsEnd - Got contract details end event</t>
  </si>
  <si>
    <t>2014-12-11 17:26:53.165: RTWSControl - contractDetailsEx - got contractDetails id 0 British pound 6B2Z4 C1560</t>
  </si>
  <si>
    <t>2014-12-11 17:26:53.197: RTWSControl - contractDetailsEnd - Got contract details end event</t>
  </si>
  <si>
    <t>2014-12-11 17:26:53.197: RTWSControl - contractDetailsEx - got contractDetails id 0 British pound 6B2Z4 C1565</t>
  </si>
  <si>
    <t>2014-12-11 17:26:53.212: RTWSControl - contractDetailsEnd - Got contract details end event</t>
  </si>
  <si>
    <t>2014-12-11 17:26:53.243: RTWSControl - contractDetailsEx - got contractDetails id 0 British pound 6B2Z4 P1560</t>
  </si>
  <si>
    <t>2014-12-11 17:26:53.243: RTWSControl - contractDetailsEnd - Got contract details end event</t>
  </si>
  <si>
    <t>2014-12-11 17:26:53.259: RTWSControl - contractDetailsEx - got contractDetails id 0 British pound 6B2Z4 P1565</t>
  </si>
  <si>
    <t>2014-12-11 17:26:53.290: RTWSControl - contractDetailsEnd - Got contract details end event</t>
  </si>
  <si>
    <t>2014-12-11 17:26:53.306: RTWSControl - contractDetailsEx - got contractDetails id 0 British pound 6B2Z4 C1570</t>
  </si>
  <si>
    <t>2014-12-11 17:26:53.306: RTWSControl - contractDetailsEnd - Got contract details end event</t>
  </si>
  <si>
    <t>2014-12-11 17:27:2.952: DirectionIndicator - notify - price/longMA/ShortMA/prevDirection are 1.57155/1.57155/1.57155/0</t>
  </si>
  <si>
    <t>2014-12-11 17:27:2.960: Algorithm - FindNextStrikes - price is 1.57155 nextStrikeUp/Down 9999/1.57</t>
  </si>
  <si>
    <t>2014-12-11 17:27:2.966: Algorithm - getPortfolioForwardDelta - required deltas is 30 currentHedgePosition is 0</t>
  </si>
  <si>
    <t>2014-12-11 17:27:2.969: TransitionLogger - processTransitionpoint - checking transition - currentHedgeShortfall is 30</t>
  </si>
  <si>
    <t>2014-12-11 17:27:2.972: TransitionLogger - startTransition - begining a new transition</t>
  </si>
  <si>
    <t>2014-12-11 17:27:2.977: DirectionIndicator - notify - price/longMA/ShortMA/prevDirection are 1.57155/1.57155/1.57155/0</t>
  </si>
  <si>
    <t>2014-12-11 17:27:3.32: DirectionIndicator - notify - price/longMA/ShortMA/prevDirection are 1.57155/1.57155/1.57155/0</t>
  </si>
  <si>
    <t>2014-12-11 17:27:3.507: BSGamma - price/strike/expiry/rate/vol is 1.5704/1.56/20141212/0.001/0.10765330355908</t>
  </si>
  <si>
    <t>2014-12-11 17:27:4.256: BSGamma - price/strike/expiry/rate/vol is 1.5704/1.565/20141212/0.001/0.064682877960933</t>
  </si>
  <si>
    <t>2014-12-11 17:27:4.292: BSGamma - price/strike/expiry/rate/vol is 1.5704/1.565/20141212/0.001/8.89039919084736E-02</t>
  </si>
  <si>
    <t>2014-12-11 17:27:4.709: BSGamma - price/strike/expiry/rate/vol is 1.5704/1.56/20141212/0.001/8.01399304692397E-02</t>
  </si>
  <si>
    <t>2014-12-11 17:27:4.751: BSGamma - price/strike/expiry/rate/vol is 1.5704/1.56/20141212/0.001/9.49680383368872E-02</t>
  </si>
  <si>
    <t>2014-12-11 17:27:5.195: BSGamma - price/strike/expiry/rate/vol is 1.5704/1.565/20141212/0.001/7.77696400405206E-02</t>
  </si>
  <si>
    <t>2014-12-11 17:27:5.210: BSGamma - price/strike/expiry/rate/vol is 1.5704/1.565/20141212/0.001/8.51915340147249E-02</t>
  </si>
  <si>
    <t>2014-12-11 17:27:5.661: BSGamma - price/strike/expiry/rate/vol is 1.5704/1.57/20141212/0.001/7.21780561087826E-02</t>
  </si>
  <si>
    <t>2014-12-11 17:27:5.675: BSGamma - price/strike/expiry/rate/vol is 1.5704/1.57/20141212/0.001/0.080917575518129</t>
  </si>
  <si>
    <t>2014-12-11 17:27:5.872: BSGamma - price/strike/expiry/rate/vol is 1.5704/1.55/20141212/0.001/0.131338571768538</t>
  </si>
  <si>
    <t>2014-12-11 17:27:5.884: BSGamma - price/strike/expiry/rate/vol is 1.5704/1.55/20141212/0.001/0.131338571768538</t>
  </si>
  <si>
    <t>2014-12-11 17:27:5.916: BSGamma - price/strike/expiry/rate/vol is 1.5704/1.55/20141212/0.001/0.122268132245136</t>
  </si>
  <si>
    <t>2014-12-11 17:27:6.204: DirectionIndicator - notify - price/longMA/ShortMA/prevDirection are 1.5716/1.57155909090909/1.57156666666667/0</t>
  </si>
  <si>
    <t>2014-12-11 17:27:6.297: DirectionIndicator - notify - price/longMA/ShortMA/prevDirection are 1.57155/1.57155743801653/1.57156111111111/0</t>
  </si>
  <si>
    <t>2014-12-11 17:27:6.416: BSGamma - price/strike/expiry/rate/vol is 1.5704/1.56/20141212/0.001/9.24085189674315E-02</t>
  </si>
  <si>
    <t>2014-12-11 17:27:6.456: BSGamma - price/strike/expiry/rate/vol is 1.5704/1.56/20141212/0.001/3.77584957835911E-02</t>
  </si>
  <si>
    <t>2014-12-11 17:27:6.498: BSGamma - price/strike/expiry/rate/vol is 1.5704/1.56/20141212/0.001/9.24085189674315E-02</t>
  </si>
  <si>
    <t>2014-12-11 17:27:6.511: BSGamma - price/strike/expiry/rate/vol is 1.5704/1.565/20141212/0.001/8.14225396487132E-02</t>
  </si>
  <si>
    <t>2014-12-11 17:27:6.541: BSGamma - price/strike/expiry/rate/vol is 1.5704/1.565/20141212/0.001/6.94316652128832E-02</t>
  </si>
  <si>
    <t>2014-12-11 17:27:6.579: BSGamma - price/strike/expiry/rate/vol is 1.5704/1.565/20141212/0.001/8.89320081280037E-02</t>
  </si>
  <si>
    <t>2014-12-11 17:27:6.622: BSGamma - price/strike/expiry/rate/vol is 1.5704/1.565/20141212/0.001/8.14225396487132E-02</t>
  </si>
  <si>
    <t>2014-12-11 17:27:6.634: BSGamma - price/strike/expiry/rate/vol is 1.5704/1.57/20141212/0.001/7.60892583845134E-02</t>
  </si>
  <si>
    <t>2014-12-11 17:27:6.669: BSGamma - price/strike/expiry/rate/vol is 1.5704/1.55/20141212/0.001/0.122268132245136</t>
  </si>
  <si>
    <t>2014-12-11 17:27:8.73: BSGamma - price/strike/expiry/rate/vol is 1.5704/1.56/20141212/0.001/9.20183732994246E-02</t>
  </si>
  <si>
    <t>2014-12-11 17:27:8.97: BSGamma - price/strike/expiry/rate/vol is 1.5704/1.56/20141212/0.001/9.20183732994246E-02</t>
  </si>
  <si>
    <t>2014-12-11 17:27:8.287: BSGamma - price/strike/expiry/rate/vol is 1.5704/1.565/20141212/0.001/8.14281019389682E-02</t>
  </si>
  <si>
    <t>2014-12-11 17:27:8.315: BSGamma - price/strike/expiry/rate/vol is 1.5704/1.565/20141212/0.001/8.14281019389682E-02</t>
  </si>
  <si>
    <t>2014-12-11 17:27:8.334: BSGamma - price/strike/expiry/rate/vol is 1.5704/1.57/20141212/0.001/7.62602028208335E-02</t>
  </si>
  <si>
    <t>2014-12-11 17:27:8.347: BSGamma - price/strike/expiry/rate/vol is 1.5704/1.55/20141212/0.001/0.129466032747246</t>
  </si>
  <si>
    <t>2014-12-11 17:27:13.933: DirectionIndicator - notify - price/longMA/ShortMA/prevDirection are 1.5716/1.57156517655898/1.57157407407407/0</t>
  </si>
  <si>
    <t>2014-12-11 17:27:14.99: DirectionIndicator - notify - price/longMA/ShortMA/prevDirection are 1.57155/1.57156241718462/1.57156604938272/0</t>
  </si>
  <si>
    <t>2014-12-11 17:27:14.316: DirectionIndicator - notify - price/longMA/ShortMA/prevDirection are 1.5716/1.57156925042378/1.57157736625514/0</t>
  </si>
  <si>
    <t>2014-12-11 17:27:14.993: DirectionIndicator - notify - price/longMA/ShortMA/prevDirection are 1.57165/1.57158393216491/1.57160157750343/0</t>
  </si>
  <si>
    <t>2014-12-11 17:27:15.712: BSGamma - price/strike/expiry/rate/vol is 1.5704/1.56/20141212/0.001/0.091994811272059</t>
  </si>
  <si>
    <t>2014-12-11 17:27:15.727: BSGamma - price/strike/expiry/rate/vol is 1.5704/1.56/20141212/0.001/0.091994811272059</t>
  </si>
  <si>
    <t>2014-12-11 17:27:15.769: BSGamma - price/strike/expiry/rate/vol is 1.5704/1.565/20141212/0.001/8.13842449048821E-02</t>
  </si>
  <si>
    <t>2014-12-11 17:27:15.802: BSGamma - price/strike/expiry/rate/vol is 1.5704/1.565/20141212/0.001/8.13842449048821E-02</t>
  </si>
  <si>
    <t>2014-12-11 17:27:15.835: BSGamma - price/strike/expiry/rate/vol is 1.5704/1.57/20141212/0.001/7.62512710671217E-02</t>
  </si>
  <si>
    <t>2014-12-11 17:27:15.851: BSGamma - price/strike/expiry/rate/vol is 1.5704/1.55/20141212/0.001/0.129466032747246</t>
  </si>
  <si>
    <t>2014-12-11 17:27:15.893: BSGamma - price/strike/expiry/rate/vol is 1.5704/1.55/20141212/0.001/0.129648721594833</t>
  </si>
  <si>
    <t>2014-12-11 17:27:17.78: BSGamma - price/strike/expiry/rate/vol is 1.5704/1.56/20141212/0.001/7.01209998064773E-02</t>
  </si>
  <si>
    <t>2014-12-11 17:27:17.114: BSGamma - price/strike/expiry/rate/vol is 1.5704/1.56/20141212/0.001/0.112419158836417</t>
  </si>
  <si>
    <t>2014-12-11 17:27:17.292: BSGamma - price/strike/expiry/rate/vol is 1.5704/1.565/20141212/0.001/0.074072116428725</t>
  </si>
  <si>
    <t>2014-12-11 17:27:17.359: BSGamma - price/strike/expiry/rate/vol is 1.5704/1.565/20141212/0.001/9.26469721308647E-02</t>
  </si>
  <si>
    <t>2014-12-11 17:27:17.415: BSGamma - price/strike/expiry/rate/vol is 1.5704/1.55/20141212/0.001/0.129648721594833</t>
  </si>
  <si>
    <t>2014-12-11 17:27:19.619: DirectionIndicator - notify - price/longMA/ShortMA/prevDirection are 1.5717/1.57160503540765/1.57163438500229/0</t>
  </si>
  <si>
    <t>2014-12-11 17:27:19.669: DirectionIndicator - notify - price/longMA/ShortMA/prevDirection are 1.57175/1.57163139260626/1.57167292333486/1</t>
  </si>
  <si>
    <t>2014-12-11 17:27:20.95: BSGamma - price/strike/expiry/rate/vol is 1.5704/1.56/20141212/0.001/9.10275335871802E-02</t>
  </si>
  <si>
    <t>2014-12-11 17:27:20.130: BSGamma - price/strike/expiry/rate/vol is 1.5704/1.56/20141212/0.001/9.10275335871802E-02</t>
  </si>
  <si>
    <t>2014-12-11 17:27:20.288: BSGamma - price/strike/expiry/rate/vol is 1.5704/1.565/20141212/0.001/8.09919397745489E-02</t>
  </si>
  <si>
    <t>2014-12-11 17:27:20.364: BSGamma - price/strike/expiry/rate/vol is 1.5704/1.565/20141212/0.001/8.09919397745489E-02</t>
  </si>
  <si>
    <t>2014-12-11 17:27:20.424: BSGamma - price/strike/expiry/rate/vol is 1.5704/1.57/20141212/0.001/7.63161847615947E-02</t>
  </si>
  <si>
    <t>2014-12-11 17:27:20.440: BSGamma - price/strike/expiry/rate/vol is 1.5704/1.55/20141212/0.001/0.127178237611474</t>
  </si>
  <si>
    <t>2014-12-11 17:27:20.867: DirectionIndicator - notify - price/longMA/ShortMA/prevDirection are 1.5717/1.57164386667785/1.57168194888991/1</t>
  </si>
  <si>
    <t>2014-12-11 17:27:21.178: DirectionIndicator - notify - price/longMA/ShortMA/prevDirection are 1.57165/1.57164498182733/1.57167129925994/1</t>
  </si>
  <si>
    <t>2014-12-11 17:27:21.344: BSGamma - price/strike/expiry/rate/vol is 1.5706/1.56/20141212/0.001/9.10275335871802E-02</t>
  </si>
  <si>
    <t>2014-12-11 17:27:21.379: BSGamma - price/strike/expiry/rate/vol is 1.5706/1.56/20141212/0.001/9.10275335871802E-02</t>
  </si>
  <si>
    <t>2014-12-11 17:27:21.395: BSGamma - price/strike/expiry/rate/vol is 1.5706/1.56/20141212/0.001/0.102853967722589</t>
  </si>
  <si>
    <t>2014-12-11 17:27:21.437: BSGamma - price/strike/expiry/rate/vol is 1.5706/1.56/20141212/0.001/9.10275335871802E-02</t>
  </si>
  <si>
    <t>2014-12-11 17:27:21.467: BSGamma - price/strike/expiry/rate/vol is 1.5706/1.56/20141212/0.001/8.14746343620395E-02</t>
  </si>
  <si>
    <t>2014-12-11 17:27:21.504: BSGamma - price/strike/expiry/rate/vol is 1.5706/1.56/20141212/0.001/9.63005785195654E-02</t>
  </si>
  <si>
    <t>2014-12-11 17:27:21.545: BSGamma - price/strike/expiry/rate/vol is 1.5706/1.565/20141212/0.001/8.09919397745489E-02</t>
  </si>
  <si>
    <t>2014-12-11 17:27:21.560: BSGamma - price/strike/expiry/rate/vol is 1.5706/1.565/20141212/0.001/6.62471853680184E-02</t>
  </si>
  <si>
    <t>2014-12-11 17:27:21.595: BSGamma - price/strike/expiry/rate/vol is 1.5706/1.565/20141212/0.001/8.69966393569121E-02</t>
  </si>
  <si>
    <t>2014-12-11 17:27:21.634: BSGamma - price/strike/expiry/rate/vol is 1.5706/1.565/20141212/0.001/8.09919397745489E-02</t>
  </si>
  <si>
    <t>2014-12-11 17:27:21.670: BSGamma - price/strike/expiry/rate/vol is 1.5706/1.565/20141212/0.001/7.95703572397146E-02</t>
  </si>
  <si>
    <t>2014-12-11 17:27:21.685: BSGamma - price/strike/expiry/rate/vol is 1.5706/1.565/20141212/0.001/0.08699410730192</t>
  </si>
  <si>
    <t>2014-12-11 17:27:21.728: BSGamma - price/strike/expiry/rate/vol is 1.5706/1.57/20141212/0.001/7.63161847615947E-02</t>
  </si>
  <si>
    <t>2014-12-11 17:27:21.758: BSGamma - price/strike/expiry/rate/vol is 1.5706/1.57/20141212/0.001/7.18707191892886E-02</t>
  </si>
  <si>
    <t>2014-12-11 17:27:21.794: BSGamma - price/strike/expiry/rate/vol is 1.5706/1.57/20141212/0.001/8.06132737630955E-02</t>
  </si>
  <si>
    <t>2014-12-11 17:27:21.836: BSGamma - price/strike/expiry/rate/vol is 1.5706/1.55/20141212/0.001/0.127178237611474</t>
  </si>
  <si>
    <t>2014-12-11 17:27:21.851: BSGamma - price/strike/expiry/rate/vol is 1.5706/1.55/20141212/0.001/0.127178237611474</t>
  </si>
  <si>
    <t>2014-12-11 17:27:21.887: BSGamma - price/strike/expiry/rate/vol is 1.5706/1.55/20141212/0.001/0.123301675093981</t>
  </si>
  <si>
    <t>2014-12-11 17:27:23.121: BSGamma - price/strike/expiry/rate/vol is 1.5706/1.57/20141212/0.001/7.61163066703148E-02</t>
  </si>
  <si>
    <t>2014-12-11 17:27:23.291: BSGamma - price/strike/expiry/rate/vol is 1.5706/1.57/20141212/0.001/7.76990899535152E-02</t>
  </si>
  <si>
    <t>2014-12-11 17:27:23.332: BSGamma - price/strike/expiry/rate/vol is 1.5706/1.56/20141212/0.001/9.17387499662823E-02</t>
  </si>
  <si>
    <t>2014-12-11 17:27:23.379: BSGamma - price/strike/expiry/rate/vol is 1.5706/1.56/20141212/0.001/9.17387499662823E-02</t>
  </si>
  <si>
    <t>2014-12-11 17:27:23.420: BSGamma - price/strike/expiry/rate/vol is 1.5706/1.565/20141212/0.001/8.11710350376984E-02</t>
  </si>
  <si>
    <t>2014-12-11 17:27:23.435: BSGamma - price/strike/expiry/rate/vol is 1.5706/1.565/20141212/0.001/8.11710350376984E-02</t>
  </si>
  <si>
    <t>2014-12-11 17:27:23.473: BSGamma - price/strike/expiry/rate/vol is 1.5706/1.55/20141212/0.001/0.129413139507335</t>
  </si>
  <si>
    <t>2014-12-11 17:27:25.458: DirectionIndicator - notify - price/longMA/ShortMA/prevDirection are 1.5717/1.57165498513145/1.57168086617329/1</t>
  </si>
  <si>
    <t>2014-12-11 17:27:27.95: BSGamma - price/strike/expiry/rate/vol is 1.5706/1.56/20141212/0.001/9.17387499662823E-02</t>
  </si>
  <si>
    <t>2014-12-11 17:27:27.305: BSGamma - price/strike/expiry/rate/vol is 1.5706/1.56/20141212/0.001/9.17521419645482E-02</t>
  </si>
  <si>
    <t>2014-12-11 17:27:27.314: BSGamma - price/strike/expiry/rate/vol is 1.5706/1.56/20141212/0.001/9.17521419645482E-02</t>
  </si>
  <si>
    <t>2014-12-11 17:27:27.325: BSGamma - price/strike/expiry/rate/vol is 1.5706/1.565/20141212/0.001/8.13648544869352E-02</t>
  </si>
  <si>
    <t>2014-12-11 17:27:27.334: BSGamma - price/strike/expiry/rate/vol is 1.5706/1.565/20141212/0.001/8.13648544869352E-02</t>
  </si>
  <si>
    <t>2014-12-11 17:27:27.343: BSGamma - price/strike/expiry/rate/vol is 1.5706/1.57/20141212/0.001/7.63444634319512E-02</t>
  </si>
  <si>
    <t>2014-12-11 17:27:27.352: BSGamma - price/strike/expiry/rate/vol is 1.5706/1.55/20141212/0.001/0.129413139507335</t>
  </si>
  <si>
    <t>2014-12-11 17:27:27.361: BSGamma - price/strike/expiry/rate/vol is 1.5706/1.55/20141212/0.001/0.128627406187775</t>
  </si>
  <si>
    <t>2014-12-11 17:27:28.525: DirectionIndicator - notify - price/longMA/ShortMA/prevDirection are 1.57165/1.57165407874392/1.57167057744886/1</t>
  </si>
  <si>
    <t>2014-12-11 17:27:29.110: BSGamma - price/strike/expiry/rate/vol is 1.5706/1.56/20141212/0.001/9.17521419645482E-02</t>
  </si>
  <si>
    <t>2014-12-11 17:27:29.305: BSGamma - price/strike/expiry/rate/vol is 1.5706/1.55/20141212/0.001/0.128627406187775</t>
  </si>
  <si>
    <t>2014-12-11 17:27:33.783: DirectionIndicator - notify - price/longMA/ShortMA/prevDirection are 1.5717/1.5716624280632/1.57168038496591/1</t>
  </si>
  <si>
    <t>2014-12-11 17:27:33.845: DirectionIndicator - notify - price/longMA/ShortMA/prevDirection are 1.57175/1.57167835023353/1.57170358997727/1</t>
  </si>
  <si>
    <t>2014-12-11 17:27:35.90: BSGamma - price/strike/expiry/rate/vol is 1.5706/1.565/20141212/0.001/8.25194674762884E-02</t>
  </si>
  <si>
    <t>2014-12-11 17:27:35.161: BSGamma - price/strike/expiry/rate/vol is 1.5706/1.565/20141212/0.001/8.25194674762884E-02</t>
  </si>
  <si>
    <t>2014-12-11 17:27:35.361: BSGamma - price/strike/expiry/rate/vol is 1.5706/1.565/20141212/0.001/9.07040252796448E-02</t>
  </si>
  <si>
    <t>2014-12-11 17:27:35.386: BSGamma - price/strike/expiry/rate/vol is 1.5706/1.57/20141212/0.001/8.06132737630955E-02</t>
  </si>
  <si>
    <t>2014-12-11 17:27:35.421: BSGamma - price/strike/expiry/rate/vol is 1.5706/1.55/20141212/0.001/0.131156432232558</t>
  </si>
  <si>
    <t>2014-12-11 17:27:41.83: DirectionIndicator - notify - price/longMA/ShortMA/prevDirection are 1.5717/1.57168228655471/1.57170239331818/1</t>
  </si>
  <si>
    <t>2014-12-11 17:27:41.422: BSGamma - price/strike/expiry/rate/vol is 1.5706/1.56/20141212/0.001/4.05532134635262E-02</t>
  </si>
  <si>
    <t>2014-12-11 17:27:41.508: BSGamma - price/strike/expiry/rate/vol is 1.5706/1.565/20141212/0.001/8.69966393569121E-02</t>
  </si>
  <si>
    <t>2014-12-11 17:27:41.540: BSGamma - price/strike/expiry/rate/vol is 1.5706/1.57/20141212/0.001/7.76990899535152E-02</t>
  </si>
  <si>
    <t>2014-12-11 17:27:41.555: BSGamma - price/strike/expiry/rate/vol is 1.5706/1.55/20141212/0.001/0.131156432232558</t>
  </si>
  <si>
    <t>2014-12-11 17:27:41.603: DirectionIndicator - notify - price/longMA/ShortMA/prevDirection are 1.57165/1.57167641627203/1.57168492887879/1</t>
  </si>
  <si>
    <t>2014-12-11 17:27:42.931: DirectionIndicator - notify - price/longMA/ShortMA/prevDirection are 1.5717/1.57168070422257/1.57168995258586/1</t>
  </si>
  <si>
    <t>2014-12-11 17:27:43.196: BSGamma - price/strike/expiry/rate/vol is 1.5705/1.56/20141212/0.001/9.14142472616106E-02</t>
  </si>
  <si>
    <t>2014-12-11 17:27:43.259: BSGamma - price/strike/expiry/rate/vol is 1.5705/1.56/20141212/0.001/3.33276469581332E-02</t>
  </si>
  <si>
    <t>2014-12-11 17:27:43.274: BSGamma - price/strike/expiry/rate/vol is 1.5705/1.56/20141212/0.001/0.108443812981501</t>
  </si>
  <si>
    <t>2014-12-11 17:27:43.306: BSGamma - price/strike/expiry/rate/vol is 1.5705/1.56/20141212/0.001/9.14142472616106E-02</t>
  </si>
  <si>
    <t>2014-12-11 17:27:43.384: BSGamma - price/strike/expiry/rate/vol is 1.5705/1.56/20141212/0.001/8.07458558264656E-02</t>
  </si>
  <si>
    <t>2014-12-11 17:27:43.399: BSGamma - price/strike/expiry/rate/vol is 1.5705/1.56/20141212/0.001/9.56343084249293E-02</t>
  </si>
  <si>
    <t>2014-12-11 17:27:43.446: BSGamma - price/strike/expiry/rate/vol is 1.5705/1.565/20141212/0.001/8.12392866682501E-02</t>
  </si>
  <si>
    <t>2014-12-11 17:27:43.462: BSGamma - price/strike/expiry/rate/vol is 1.5705/1.565/20141212/0.001/7.02083332259383E-02</t>
  </si>
  <si>
    <t>2014-12-11 17:27:43.508: BSGamma - price/strike/expiry/rate/vol is 1.5705/1.565/20141212/0.001/8.98218057360854E-02</t>
  </si>
  <si>
    <t>2014-12-11 17:27:43.555: BSGamma - price/strike/expiry/rate/vol is 1.5705/1.565/20141212/0.001/8.12392866682501E-02</t>
  </si>
  <si>
    <t>2014-12-11 17:27:47.293: BSGamma - price/strike/expiry/rate/vol is 1.5705/1.56/20141212/0.001/9.10451896520499E-02</t>
  </si>
  <si>
    <t>2014-12-11 17:27:47.343: BSGamma - price/strike/expiry/rate/vol is 1.5705/1.565/20141212/0.001/8.13085350206393E-02</t>
  </si>
  <si>
    <t>2014-12-11 17:27:47.384: BSGamma - price/strike/expiry/rate/vol is 1.5705/1.565/20141212/0.001/8.13085350206393E-02</t>
  </si>
  <si>
    <t>2014-12-11 17:27:47.422: BSGamma - price/strike/expiry/rate/vol is 1.5705/1.57/20141212/0.001/7.64502723316696E-02</t>
  </si>
  <si>
    <t>2014-12-11 17:27:47.441: BSGamma - price/strike/expiry/rate/vol is 1.5705/1.55/20141212/0.001/0.125153674742023</t>
  </si>
  <si>
    <t>2014-12-11 17:27:47.470: BSGamma - price/strike/expiry/rate/vol is 1.5705/1.56/20141212/0.001/7.05410756492975E-02</t>
  </si>
  <si>
    <t>2014-12-11 17:27:47.510: BSGamma - price/strike/expiry/rate/vol is 1.5705/1.565/20141212/0.001/9.35325880107581E-02</t>
  </si>
  <si>
    <t>2014-12-11 17:27:47.548: BSGamma - price/strike/expiry/rate/vol is 1.5705/1.57/20141212/0.001/0.082229251685978</t>
  </si>
  <si>
    <t>2014-12-11 17:27:47.586: BSGamma - price/strike/expiry/rate/vol is 1.5705/1.55/20141212/0.001/0.125153674742023</t>
  </si>
  <si>
    <t>2014-12-11 17:27:55.321: BSGamma - price/strike/expiry/rate/vol is 1.5705/1.56/20141212/0.001/9.10451896520499E-02</t>
  </si>
  <si>
    <t>2014-12-11 17:27:55.533: BSGamma - price/strike/expiry/rate/vol is 1.5705/1.56/20141212/0.001/0.113213533335413</t>
  </si>
  <si>
    <t>2014-12-11 17:27:59.73: BSGamma - price/strike/expiry/rate/vol is 1.5705/1.56/20141212/0.001/9.17610276600556E-02</t>
  </si>
  <si>
    <t>2014-12-11 17:27:59.285: BSGamma - price/strike/expiry/rate/vol is 1.5705/1.56/20141212/0.001/9.17610276600556E-02</t>
  </si>
  <si>
    <t>2014-12-11 17:27:59.332: BSGamma - price/strike/expiry/rate/vol is 1.5705/1.565/20141212/0.001/8.17345253838369E-02</t>
  </si>
  <si>
    <t>2014-12-11 17:27:59.388: BSGamma - price/strike/expiry/rate/vol is 1.5705/1.565/20141212/0.001/8.17345253838369E-02</t>
  </si>
  <si>
    <t>2014-12-11 17:27:59.411: BSGamma - price/strike/expiry/rate/vol is 1.5705/1.57/20141212/0.001/7.66316357987193E-02</t>
  </si>
  <si>
    <t>2014-12-11 17:27:59.433: BSGamma - price/strike/expiry/rate/vol is 1.5705/1.55/20141212/0.001/0.126584870285569</t>
  </si>
  <si>
    <t>2014-12-11 17:28:3.290: BSGamma - price/strike/expiry/rate/vol is 1.5705/1.55/20141212/0.001/0.126584870285569</t>
  </si>
  <si>
    <t>2014-12-11 17:28:7.98: DirectionIndicator - notify - price/longMA/ShortMA/prevDirection are 1.5717/1.57169381192571/1.57170418816511/1</t>
  </si>
  <si>
    <t>2014-12-11 17:28:7.432: BSGamma - price/strike/expiry/rate/vol is 1.5705/1.56/20141212/0.001/9.08750395753373E-02</t>
  </si>
  <si>
    <t>2014-12-11 17:28:7.470: BSGamma - price/strike/expiry/rate/vol is 1.5705/1.56/20141212/0.001/3.33276469581332E-02</t>
  </si>
  <si>
    <t>2014-12-11 17:28:7.503: BSGamma - price/strike/expiry/rate/vol is 1.5705/1.56/20141212/0.001/0.108443812981501</t>
  </si>
  <si>
    <t>2014-12-11 17:28:7.546: BSGamma - price/strike/expiry/rate/vol is 1.5705/1.56/20141212/0.001/9.08750395753373E-02</t>
  </si>
  <si>
    <t>2014-12-11 17:28:7.559: BSGamma - price/strike/expiry/rate/vol is 1.5705/1.565/20141212/0.001/8.11186537504796E-02</t>
  </si>
  <si>
    <t>2014-12-11 17:28:7.592: BSGamma - price/strike/expiry/rate/vol is 1.5705/1.565/20141212/0.001/8.98218057360854E-02</t>
  </si>
  <si>
    <t>2014-12-11 17:28:7.632: BSGamma - price/strike/expiry/rate/vol is 1.5705/1.565/20141212/0.001/8.11186537504796E-02</t>
  </si>
  <si>
    <t>2014-12-11 17:28:7.671: BSGamma - price/strike/expiry/rate/vol is 1.5705/1.57/20141212/0.001/7.62865597917823E-02</t>
  </si>
  <si>
    <t>2014-12-11 17:28:7.684: BSGamma - price/strike/expiry/rate/vol is 1.5705/1.57/20141212/0.001/7.93467301171388E-02</t>
  </si>
  <si>
    <t>2014-12-11 17:28:7.716: BSGamma - price/strike/expiry/rate/vol is 1.5705/1.55/20141212/0.001/0.126584870285569</t>
  </si>
  <si>
    <t>2014-12-11 17:28:7.759: BSGamma - price/strike/expiry/rate/vol is 1.5705/1.55/20141212/0.001/0.125160686823222</t>
  </si>
  <si>
    <t>2014-12-11 17:28:7.794: DirectionIndicator - notify - price/longMA/ShortMA/prevDirection are 1.57165/1.57168584612103/1.57168612544341/1</t>
  </si>
  <si>
    <t>2014-12-11 17:28:9.310: BSGamma - price/strike/expiry/rate/vol is 1.5705/1.55/20141212/0.001/0.125160686823222</t>
  </si>
  <si>
    <t>2014-12-11 17:28:11.114: BSGamma - price/strike/expiry/rate/vol is 1.5705/1.565/20141212/0.001/8.09960725658812E-02</t>
  </si>
  <si>
    <t>2014-12-11 17:28:11.145: BSGamma - price/strike/expiry/rate/vol is 1.5705/1.565/20141212/0.001/8.09960725658812E-02</t>
  </si>
  <si>
    <t>2014-12-11 17:28:11.176: BSGamma - price/strike/expiry/rate/vol is 1.5705/1.57/20141212/0.001/7.59644901144441E-02</t>
  </si>
  <si>
    <t>2014-12-11 17:28:11.207: BSGamma - price/strike/expiry/rate/vol is 1.5705/1.56/20141212/0.001/9.09366111942518E-02</t>
  </si>
  <si>
    <t>2014-12-11 17:28:11.238: BSGamma - price/strike/expiry/rate/vol is 1.5705/1.56/20141212/0.001/9.09366111942518E-02</t>
  </si>
  <si>
    <t>2014-12-11 17:28:11.254: BSGamma - price/strike/expiry/rate/vol is 1.5705/1.565/20141212/0.001/8.09960725658812E-02</t>
  </si>
  <si>
    <t>2014-12-11 17:28:11.301: BSGamma - price/strike/expiry/rate/vol is 1.5705/1.55/20141212/0.001/0.125544556981794</t>
  </si>
  <si>
    <t>2014-12-11 17:28:11.332: BSGamma - price/strike/expiry/rate/vol is 1.5705/1.55/20141212/0.001/0.125544556981794</t>
  </si>
  <si>
    <t>2014-12-11 17:28:15.297: BSGamma - price/strike/expiry/rate/vol is 1.5705/1.56/20141212/0.001/9.06705335092681E-02</t>
  </si>
  <si>
    <t>2014-12-11 17:28:15.328: BSGamma - price/strike/expiry/rate/vol is 1.5705/1.56/20141212/0.001/9.06705335092681E-02</t>
  </si>
  <si>
    <t>2014-12-11 17:28:15.344: BSGamma - price/strike/expiry/rate/vol is 1.5705/1.565/20141212/0.001/8.07268918351269E-02</t>
  </si>
  <si>
    <t>2014-12-11 17:28:15.375: BSGamma - price/strike/expiry/rate/vol is 1.5705/1.565/20141212/0.001/8.07268918351269E-02</t>
  </si>
  <si>
    <t>2014-12-11 17:28:15.406: BSGamma - price/strike/expiry/rate/vol is 1.5705/1.57/20141212/0.001/7.57067511019898E-02</t>
  </si>
  <si>
    <t>2014-12-11 17:28:15.422: BSGamma - price/strike/expiry/rate/vol is 1.5705/1.56/20141212/0.001/9.06705335092681E-02</t>
  </si>
  <si>
    <t>2014-12-11 17:28:15.468: BSGamma - price/strike/expiry/rate/vol is 1.5705/1.55/20141212/0.001/0.125328319680193</t>
  </si>
  <si>
    <t>2014-12-11 17:28:15.484: BSGamma - price/strike/expiry/rate/vol is 1.5705/1.56/20141212/0.001/0.102163078799359</t>
  </si>
  <si>
    <t>2014-12-11 17:28:15.531: BSGamma - price/strike/expiry/rate/vol is 1.5705/1.565/20141212/0.001/6.54973925947743E-02</t>
  </si>
  <si>
    <t>2014-12-11 17:28:15.578: BSGamma - price/strike/expiry/rate/vol is 1.5705/1.55/20141212/0.001/0.125328319680193</t>
  </si>
  <si>
    <t>2014-12-11 17:28:17.350: BSGamma - price/strike/expiry/rate/vol is 1.5705/1.55/20141212/0.001/0.125328319680193</t>
  </si>
  <si>
    <t>2014-12-11 17:28:19.262: BSGamma - price/strike/expiry/rate/vol is 1.5705/1.55/20141212/0.001/0.125328319680193</t>
  </si>
  <si>
    <t>2014-12-11 17:28:33.552: DirectionIndicator - notify - price/longMA/ShortMA/prevDirection are 1.5717/1.57168841955357/1.5716907502956/1</t>
  </si>
  <si>
    <t>2014-12-11 17:28:33.942: DirectionIndicator - notify - price/longMA/ShortMA/prevDirection are 1.57165/1.5716814341802/1.57167716686374/1</t>
  </si>
  <si>
    <t>2014-12-11 17:28:45.381: BSGamma - price/strike/expiry/rate/vol is 1.5705/1.55/20141212/0.001/0.125328319680193</t>
  </si>
  <si>
    <t>2014-12-11 17:28:45.799: DirectionIndicator - notify - price/longMA/ShortMA/prevDirection are 1.5717/1.5716848097838/1.57168477790916/1</t>
  </si>
  <si>
    <t>2014-12-11 17:28:47.97: BSGamma - price/strike/expiry/rate/vol is 1.5705/1.56/20141212/0.001/0.108443812981501</t>
  </si>
  <si>
    <t>2014-12-11 17:28:47.178: BSGamma - price/strike/expiry/rate/vol is 1.5705/1.56/20141212/0.001/9.12811327858947E-02</t>
  </si>
  <si>
    <t>2014-12-11 17:28:47.219: BSGamma - price/strike/expiry/rate/vol is 1.5705/1.56/20141212/0.001/9.12811327858947E-02</t>
  </si>
  <si>
    <t>2014-12-11 17:28:47.234: BSGamma - price/strike/expiry/rate/vol is 1.5705/1.565/20141212/0.001/7.02083332259383E-02</t>
  </si>
  <si>
    <t>2014-12-11 17:28:47.264: BSGamma - price/strike/expiry/rate/vol is 1.5705/1.565/20141212/0.001/9.35325880107581E-02</t>
  </si>
  <si>
    <t>2014-12-11 17:28:47.306: BSGamma - price/strike/expiry/rate/vol is 1.5705/1.565/20141212/0.001/8.13821546447002E-02</t>
  </si>
  <si>
    <t>2014-12-11 17:28:47.340: BSGamma - price/strike/expiry/rate/vol is 1.5705/1.565/20141212/0.001/8.13821546447002E-02</t>
  </si>
  <si>
    <t>2014-12-11 17:28:47.355: BSGamma - price/strike/expiry/rate/vol is 1.5705/1.57/20141212/0.001/0.082261852688846</t>
  </si>
  <si>
    <t>2014-12-11 17:28:47.388: BSGamma - price/strike/expiry/rate/vol is 1.5705/1.57/20141212/0.001/7.60200864559408E-02</t>
  </si>
  <si>
    <t>2014-12-11 17:28:47.423: BSGamma - price/strike/expiry/rate/vol is 1.5705/1.55/20141212/0.001/0.124689818925845</t>
  </si>
  <si>
    <t>2014-12-11 17:28:47.438: BSGamma - price/strike/expiry/rate/vol is 1.5705/1.55/20141212/0.001/0.124689818925845</t>
  </si>
  <si>
    <t>2014-12-11 17:28:51.205: BSGamma - price/strike/expiry/rate/vol is 1.5705/1.55/20141212/0.001/0.124689818925845</t>
  </si>
  <si>
    <t>2014-12-11 17:28:53.478: BSGamma - price/strike/expiry/rate/vol is 1.5705/1.55/20141212/0.001/0.124689818925845</t>
  </si>
  <si>
    <t>2014-12-11 17:28:55.309: BSGamma - price/strike/expiry/rate/vol is 1.5705/1.56/20141212/0.001/9.12811327858947E-02</t>
  </si>
  <si>
    <t>2014-12-11 17:28:55.418: BSGamma - price/strike/expiry/rate/vol is 1.5705/1.56/20141212/0.001/9.12811327858947E-02</t>
  </si>
  <si>
    <t>2014-12-11 17:28:55.543: BSGamma - price/strike/expiry/rate/vol is 1.5705/1.565/20141212/0.001/8.13821546447002E-02</t>
  </si>
  <si>
    <t>2014-12-11 17:28:55.621: BSGamma - price/strike/expiry/rate/vol is 1.5705/1.565/20141212/0.001/8.13821546447002E-02</t>
  </si>
  <si>
    <t>2014-12-11 17:28:55.668: BSGamma - price/strike/expiry/rate/vol is 1.5705/1.57/20141212/0.001/7.60200864559408E-02</t>
  </si>
  <si>
    <t>2014-12-11 17:28:55.684: BSGamma - price/strike/expiry/rate/vol is 1.5705/1.55/20141212/0.001/0.124689818925845</t>
  </si>
  <si>
    <t>2014-12-11 17:28:57.246: BSGamma - price/strike/expiry/rate/vol is 1.5705/1.56/20141212/0.001/7.05410756492975E-02</t>
  </si>
  <si>
    <t>2014-12-11 17:28:57.286: BSGamma - price/strike/expiry/rate/vol is 1.5705/1.56/20141212/0.001/0.113213533335413</t>
  </si>
  <si>
    <t>2014-12-11 17:28:57.461: BSGamma - price/strike/expiry/rate/vol is 1.5705/1.56/20141212/0.001/0.080842249360457</t>
  </si>
  <si>
    <t>2014-12-11 17:28:57.534: BSGamma - price/strike/expiry/rate/vol is 1.5705/1.56/20141212/0.001/9.57158815556033E-02</t>
  </si>
  <si>
    <t>2014-12-11 17:28:57.578: BSGamma - price/strike/expiry/rate/vol is 1.5705/1.565/20141212/0.001/7.02531100772921E-02</t>
  </si>
  <si>
    <t>2014-12-11 17:28:57.597: BSGamma - price/strike/expiry/rate/vol is 1.5705/1.565/20141212/0.001/0.09358975124373</t>
  </si>
  <si>
    <t>2014-12-11 17:28:57.647: BSGamma - price/strike/expiry/rate/vol is 1.5705/1.565/20141212/0.001/8.61617862766337E-02</t>
  </si>
  <si>
    <t>2014-12-11 17:28:57.679: BSGamma - price/strike/expiry/rate/vol is 1.5705/1.57/20141212/0.001/7.35396549631773E-02</t>
  </si>
  <si>
    <t>2014-12-11 17:28:57.716: BSGamma - price/strike/expiry/rate/vol is 1.5705/1.55/20141212/0.001/0.124689818925845</t>
  </si>
  <si>
    <t>2014-12-11 17:28:59.85: BSGamma - price/strike/expiry/rate/vol is 1.5705/1.56/20141212/0.001/9.20001184502155E-02</t>
  </si>
  <si>
    <t>2014-12-11 17:28:59.297: BSGamma - price/strike/expiry/rate/vol is 1.5705/1.56/20141212/0.001/9.20001184502155E-02</t>
  </si>
  <si>
    <t>2014-12-11 17:28:59.365: BSGamma - price/strike/expiry/rate/vol is 1.5705/1.565/20141212/0.001/8.17806057625887E-02</t>
  </si>
  <si>
    <t>2014-12-11 17:28:59.410: BSGamma - price/strike/expiry/rate/vol is 1.5705/1.565/20141212/0.001/8.17806057625887E-02</t>
  </si>
  <si>
    <t>2014-12-11 17:28:59.427: BSGamma - price/strike/expiry/rate/vol is 1.5705/1.57/20141212/0.001/7.61659375122292E-02</t>
  </si>
  <si>
    <t>2014-12-11 17:28:59.479: BSGamma - price/strike/expiry/rate/vol is 1.5705/1.55/20141212/0.001/0.126253677137299</t>
  </si>
  <si>
    <t>2014-12-11 17:29:1.210: BSGamma - price/strike/expiry/rate/vol is 1.5705/1.55/20141212/0.001/0.126253677137299</t>
  </si>
  <si>
    <t>2014-12-11 17:29:3.416: BSGamma - price/strike/expiry/rate/vol is 1.5705/1.55/20141212/0.001/0.126253677137299</t>
  </si>
  <si>
    <t>2014-12-11 17:29:6.181: DirectionIndicator - notify - price/longMA/ShortMA/prevDirection are 1.57175/1.57169666255038/1.5717065186061/1</t>
  </si>
  <si>
    <t>2014-12-11 17:29:6.253: DirectionIndicator - notify - price/longMA/ShortMA/prevDirection are 1.57185/1.57172454208667/1.5717543457374/1</t>
  </si>
  <si>
    <t>2014-12-11 17:29:7.350: BSGamma - price/strike/expiry/rate/vol is 1.5706/1.565/20141212/0.001/8.21206592200383E-02</t>
  </si>
  <si>
    <t>2014-12-11 17:29:7.378: BSGamma - price/strike/expiry/rate/vol is 1.5706/1.565/20141212/0.001/8.21206592200383E-02</t>
  </si>
  <si>
    <t>2014-12-11 17:29:7.424: BSGamma - price/strike/expiry/rate/vol is 1.5706/1.56/20141212/0.001/4.05532134635262E-02</t>
  </si>
  <si>
    <t>2014-12-11 17:29:7.469: BSGamma - price/strike/expiry/rate/vol is 1.5706/1.56/20141212/0.001/0.109273621963786</t>
  </si>
  <si>
    <t>2014-12-11 17:29:7.501: BSGamma - price/strike/expiry/rate/vol is 1.5706/1.56/20141212/0.001/8.14746343620395E-02</t>
  </si>
  <si>
    <t>2014-12-11 17:29:7.551: BSGamma - price/strike/expiry/rate/vol is 1.5706/1.56/20141212/0.001/8.98365644720293E-02</t>
  </si>
  <si>
    <t>2014-12-11 17:29:7.597: BSGamma - price/strike/expiry/rate/vol is 1.5706/1.565/20141212/0.001/7.10159927740484E-02</t>
  </si>
  <si>
    <t>2014-12-11 17:29:7.632: BSGamma - price/strike/expiry/rate/vol is 1.5706/1.565/20141212/0.001/9.07651844397971E-02</t>
  </si>
  <si>
    <t>2014-12-11 17:29:7.674: BSGamma - price/strike/expiry/rate/vol is 1.5706/1.565/20141212/0.001/7.96249239952828E-02</t>
  </si>
  <si>
    <t>2014-12-11 17:29:7.689: BSGamma - price/strike/expiry/rate/vol is 1.5706/1.565/20141212/0.001/8.33377099805182E-02</t>
  </si>
  <si>
    <t>2014-12-11 17:29:7.732: BSGamma - price/strike/expiry/rate/vol is 1.5706/1.57/20141212/0.001/7.67767102517496E-02</t>
  </si>
  <si>
    <t>2014-12-11 17:29:7.762: BSGamma - price/strike/expiry/rate/vol is 1.5706/1.57/20141212/0.001/7.19157468056882E-02</t>
  </si>
  <si>
    <t>2014-12-11 17:29:7.800: BSGamma - price/strike/expiry/rate/vol is 1.5706/1.57/20141212/0.001/0.080663458007557</t>
  </si>
  <si>
    <t>2014-12-11 17:29:7.841: BSGamma - price/strike/expiry/rate/vol is 1.5706/1.55/20141212/0.001/0.1249293173897</t>
  </si>
  <si>
    <t>2014-12-11 17:29:7.856: BSGamma - price/strike/expiry/rate/vol is 1.5706/1.55/20141212/0.001/0.1249293173897</t>
  </si>
  <si>
    <t>2014-12-11 17:29:7.891: BSGamma - price/strike/expiry/rate/vol is 1.5706/1.55/20141212/0.001/0.123301675093981</t>
  </si>
  <si>
    <t>2014-12-11 17:29:19.161: BSGamma - price/strike/expiry/rate/vol is 1.5706/1.56/20141212/0.001/0.092444774848758</t>
  </si>
  <si>
    <t>2014-12-11 17:29:19.383: BSGamma - price/strike/expiry/rate/vol is 1.5706/1.56/20141212/0.001/0.092444774848758</t>
  </si>
  <si>
    <t>2014-12-11 17:29:19.461: BSGamma - price/strike/expiry/rate/vol is 1.5706/1.565/20141212/0.001/0.082209847956733</t>
  </si>
  <si>
    <t>2014-12-11 17:29:19.476: BSGamma - price/strike/expiry/rate/vol is 1.5706/1.565/20141212/0.001/0.082209847956733</t>
  </si>
  <si>
    <t>2014-12-11 17:29:19.507: BSGamma - price/strike/expiry/rate/vol is 1.5706/1.57/20141212/0.001/7.65534283075056E-02</t>
  </si>
  <si>
    <t>2014-12-11 17:29:19.539: BSGamma - price/strike/expiry/rate/vol is 1.5706/1.55/20141212/0.001/0.126650150361115</t>
  </si>
  <si>
    <t>2014-12-11 17:29:19.585: BSGamma - price/strike/expiry/rate/vol is 1.5706/1.57/20141212/0.001/7.48316833931901E-02</t>
  </si>
  <si>
    <t>2014-12-11 17:29:19.601: BSGamma - price/strike/expiry/rate/vol is 1.5706/1.55/20141212/0.001/0.126650150361115</t>
  </si>
  <si>
    <t>2014-12-11 17:29:21.337: DirectionIndicator - notify - price/longMA/ShortMA/prevDirection are 1.5719/1.57175644352546/1.57180289715827/1</t>
  </si>
  <si>
    <t>2014-12-11 17:29:21.580: BSGamma - price/strike/expiry/rate/vol is 1.5706/1.55/20141212/0.001/0.126650150361115</t>
  </si>
  <si>
    <t>2014-12-11 17:29:22.301: BSGamma - price/strike/expiry/rate/vol is 1.5707/1.56/20141212/0.001/0.092444774848758</t>
  </si>
  <si>
    <t>2014-12-11 17:29:22.505: BSGamma - price/strike/expiry/rate/vol is 1.5707/1.56/20141212/0.001/0.092444774848758</t>
  </si>
  <si>
    <t>2014-12-11 17:29:22.523: BSGamma - price/strike/expiry/rate/vol is 1.5707/1.565/20141212/0.001/0.082209847956733</t>
  </si>
  <si>
    <t>2014-12-11 17:29:22.552: BSGamma - price/strike/expiry/rate/vol is 1.5707/1.565/20141212/0.001/0.082209847956733</t>
  </si>
  <si>
    <t>2014-12-11 17:29:22.591: BSGamma - price/strike/expiry/rate/vol is 1.5707/1.57/20141212/0.001/7.65534283075056E-02</t>
  </si>
  <si>
    <t>2014-12-11 17:29:22.605: BSGamma - price/strike/expiry/rate/vol is 1.5707/1.55/20141212/0.001/0.126650150361115</t>
  </si>
  <si>
    <t>2014-12-11 17:29:23.306: BSGamma - price/strike/expiry/rate/vol is 1.5707/1.56/20141212/0.001/0.092444774848758</t>
  </si>
  <si>
    <t>2014-12-11 17:29:23.370: BSGamma - price/strike/expiry/rate/vol is 1.5707/1.56/20141212/0.001/0.103577790542756</t>
  </si>
  <si>
    <t>2014-12-11 17:29:23.427: BSGamma - price/strike/expiry/rate/vol is 1.5707/1.56/20141212/0.001/8.20108602418771E-02</t>
  </si>
  <si>
    <t>2014-12-11 17:29:23.442: BSGamma - price/strike/expiry/rate/vol is 1.5707/1.56/20141212/0.001/9.04961458890519E-02</t>
  </si>
  <si>
    <t>2014-12-11 17:29:23.479: BSGamma - price/strike/expiry/rate/vol is 1.5707/1.565/20141212/0.001/6.70483481742951E-02</t>
  </si>
  <si>
    <t>2014-12-11 17:29:23.512: BSGamma - price/strike/expiry/rate/vol is 1.5707/1.565/20141212/0.001/9.16551126811083E-02</t>
  </si>
  <si>
    <t>2014-12-11 17:29:23.554: BSGamma - price/strike/expiry/rate/vol is 1.5707/1.565/20141212/0.001/8.05089830184599E-02</t>
  </si>
  <si>
    <t>2014-12-11 17:29:23.591: BSGamma - price/strike/expiry/rate/vol is 1.5707/1.565/20141212/0.001/8.42230707230208E-02</t>
  </si>
  <si>
    <t>2014-12-11 17:29:23.633: BSGamma - price/strike/expiry/rate/vol is 1.5707/1.57/20141212/0.001/7.32063114213974E-02</t>
  </si>
  <si>
    <t>2014-12-11 17:29:23.649: BSGamma - price/strike/expiry/rate/vol is 1.5707/1.57/20141212/0.001/0.079039293567122</t>
  </si>
  <si>
    <t>2014-12-11 17:29:23.688: BSGamma - price/strike/expiry/rate/vol is 1.5707/1.55/20141212/0.001/0.126650150361115</t>
  </si>
  <si>
    <t>2014-12-11 17:29:23.719: BSGamma - price/strike/expiry/rate/vol is 1.5707/1.55/20141212/0.001/0.124033538673608</t>
  </si>
  <si>
    <t>2014-12-11 17:29:23.763: BSGamma - price/strike/expiry/rate/vol is 1.5707/1.56/20141212/0.001/8.77485656543797E-02</t>
  </si>
  <si>
    <t>2014-12-11 17:29:23.802: BSGamma - price/strike/expiry/rate/vol is 1.5707/1.56/20141212/0.001/8.77485656543797E-02</t>
  </si>
  <si>
    <t>2014-12-11 17:29:23.817: BSGamma - price/strike/expiry/rate/vol is 1.5707/1.565/20141212/0.001/8.09617777997573E-02</t>
  </si>
  <si>
    <t>2014-12-11 17:29:23.849: BSGamma - price/strike/expiry/rate/vol is 1.5707/1.565/20141212/0.001/8.09617777997573E-02</t>
  </si>
  <si>
    <t>2014-12-11 17:29:23.883: BSGamma - price/strike/expiry/rate/vol is 1.5707/1.57/20141212/0.001/7.73360059691868E-02</t>
  </si>
  <si>
    <t>2014-12-11 17:29:23.898: BSGamma - price/strike/expiry/rate/vol is 1.5707/1.55/20141212/0.001/0.110805189435951</t>
  </si>
  <si>
    <t>2014-12-11 17:29:30.142: DirectionIndicator - notify - price/longMA/ShortMA/prevDirection are 1.57195/1.57182437815932/1.57188048804689/1</t>
  </si>
  <si>
    <t>2014-12-11 17:29:31.262: DirectionIndicator - notify - price/longMA/ShortMA/prevDirection are 1.5719/1.5718381275849/1.57188699203126/1</t>
  </si>
  <si>
    <t>2014-12-11 17:29:31.302: DirectionIndicator - notify - price/longMA/ShortMA/prevDirection are 1.57185/1.57184028620583/1.57187466135418/1</t>
  </si>
  <si>
    <t>2014-12-11 17:29:31.509: DirectionIndicator - notify - price/longMA/ShortMA/prevDirection are 1.5719/1.57185114325931/1.57188310756945/1</t>
  </si>
  <si>
    <t>2014-12-11 17:29:31.552: DirectionIndicator - notify - price/longMA/ShortMA/prevDirection are 1.57195/1.57186911721217/1.5719054050463/1</t>
  </si>
  <si>
    <t>2014-12-11 17:29:32.81: BSGamma - price/strike/expiry/rate/vol is 1.5708/1.56/20141212/0.001/8.81195854950647E-02</t>
  </si>
  <si>
    <t>2014-12-11 17:29:32.97: BSGamma - price/strike/expiry/rate/vol is 1.5708/1.56/20141212/0.001/0.104188487913618</t>
  </si>
  <si>
    <t>2014-12-11 17:29:32.143: BSGamma - price/strike/expiry/rate/vol is 1.5708/1.56/20141212/0.001/8.81195854950647E-02</t>
  </si>
  <si>
    <t>2014-12-11 17:29:32.175: BSGamma - price/strike/expiry/rate/vol is 1.5708/1.56/20141212/0.001/8.25913710271031E-02</t>
  </si>
  <si>
    <t>2014-12-11 17:29:32.206: BSGamma - price/strike/expiry/rate/vol is 1.5708/1.56/20141212/0.001/9.11556853916798E-02</t>
  </si>
  <si>
    <t>2014-12-11 17:29:32.284: BSGamma - price/strike/expiry/rate/vol is 1.5708/1.565/20141212/0.001/8.12952377592637E-02</t>
  </si>
  <si>
    <t>2014-12-11 17:29:32.299: BSGamma - price/strike/expiry/rate/vol is 1.5708/1.565/20141212/0.001/6.78202655299524E-02</t>
  </si>
  <si>
    <t>2014-12-11 17:29:32.346: BSGamma - price/strike/expiry/rate/vol is 1.5708/1.565/20141212/0.001/9.25623148900835E-02</t>
  </si>
  <si>
    <t>2014-12-11 17:29:32.393: BSGamma - price/strike/expiry/rate/vol is 1.5708/1.565/20141212/0.001/8.12952377592637E-02</t>
  </si>
  <si>
    <t>2014-12-11 17:29:32.409: BSGamma - price/strike/expiry/rate/vol is 1.5708/1.565/20141212/0.001/8.13975554003374E-02</t>
  </si>
  <si>
    <t>2014-12-11 17:29:32.455: BSGamma - price/strike/expiry/rate/vol is 1.5708/1.565/20141212/0.001/8.51115250725346E-02</t>
  </si>
  <si>
    <t>2014-12-11 17:29:32.502: BSGamma - price/strike/expiry/rate/vol is 1.5708/1.57/20141212/0.001/7.77691625955299E-02</t>
  </si>
  <si>
    <t>2014-12-11 17:29:32.518: BSGamma - price/strike/expiry/rate/vol is 1.5708/1.57/20141212/0.001/7.15789711966179E-02</t>
  </si>
  <si>
    <t>2014-12-11 17:29:32.549: BSGamma - price/strike/expiry/rate/vol is 1.5708/1.57/20141212/0.001/8.03334488030687E-02</t>
  </si>
  <si>
    <t>2014-12-11 17:29:32.580: BSGamma - price/strike/expiry/rate/vol is 1.5708/1.55/20141212/0.001/0.111663098682953</t>
  </si>
  <si>
    <t>2014-12-11 17:29:32.627: BSGamma - price/strike/expiry/rate/vol is 1.5708/1.55/20141212/0.001/0.111663098682953</t>
  </si>
  <si>
    <t>2014-12-11 17:29:32.643: BSGamma - price/strike/expiry/rate/vol is 1.5708/1.55/20141212/0.001/0.124498905451117</t>
  </si>
  <si>
    <t>2014-12-11 17:29:38.812: Algorithm - FindNextStrikes - price is 1.57195 nextStrikeUp/Down 9999/1.57</t>
  </si>
  <si>
    <t>2014-12-11 17:29:38.813: Algorithm - getPortfolioForwardDelta - required deltas is 30 currentHedgePosition is 0</t>
  </si>
  <si>
    <t>2014-12-11 17:29:38.814: TransitionLogger - processTransitionpoint - checking transition - currentHedgeShortfall is 30</t>
  </si>
  <si>
    <t>2014-12-11 17:29:38.851: Algorithm - FindNextStrikes - price is 1.57195 nextStrikeUp/Down 9999/1.57</t>
  </si>
  <si>
    <t>2014-12-11 17:29:38.852: Algorithm - getPortfolioForwardDelta - required deltas is 30 currentHedgePosition is 0</t>
  </si>
  <si>
    <t>2014-12-11 17:29:38.853: TransitionLogger - processTransitionpoint - checking transition - currentHedgeShortfall is 30</t>
  </si>
  <si>
    <t>2014-12-11 17:29:38.895: inst2.displayRow is 41</t>
  </si>
  <si>
    <t>2014-12-11 17:29:38.896: Algorithm - FindNextStrikes - price is 1.57195 nextStrikeUp/Down 9999/1.57</t>
  </si>
  <si>
    <t>2014-12-11 17:29:38.897: Algorithm - getPortfolioForwardDelta - required deltas is 30 currentHedgePosition is 0</t>
  </si>
  <si>
    <t>2014-12-11 17:29:38.898: TransitionLogger - processTransitionpoint - checking transition - currentHedgeShortfall is 30</t>
  </si>
  <si>
    <t>2014-12-11 17:29:38.935: inst2.displayRow is 45</t>
  </si>
  <si>
    <t>2014-12-11 17:29:38.935: Algorithm - FindNextStrikes - price is 1.57195 nextStrikeUp/Down 9999/1.57</t>
  </si>
  <si>
    <t>2014-12-11 17:29:38.937: Algorithm - getPortfolioForwardDelta - required deltas is 30 currentHedgePosition is 0</t>
  </si>
  <si>
    <t>2014-12-11 17:29:38.937: TransitionLogger - processTransitionpoint - checking transition - currentHedgeShortfall is 30</t>
  </si>
  <si>
    <t>2014-12-11 17:29:38.976: inst2.displayRow is 46</t>
  </si>
  <si>
    <t>2014-12-11 17:29:38.977: Algorithm - FindNextStrikes - price is 1.57195 nextStrikeUp/Down 9999/1.57</t>
  </si>
  <si>
    <t>2014-12-11 17:29:38.978: Algorithm - getPortfolioForwardDelta - required deltas is 30 currentHedgePosition is 0</t>
  </si>
  <si>
    <t>2014-12-11 17:29:38.979: TransitionLogger - processTransitionpoint - checking transition - currentHedgeShortfall is 30</t>
  </si>
  <si>
    <t>2014-12-11 17:29:39.18: inst2.displayRow is 42</t>
  </si>
  <si>
    <t>2014-12-11 17:29:39.19: Algorithm - FindNextStrikes - price is 1.57195 nextStrikeUp/Down 9999/1.57</t>
  </si>
  <si>
    <t>2014-12-11 17:29:39.20: Algorithm - getPortfolioForwardDelta - required deltas is 30 currentHedgePosition is 0</t>
  </si>
  <si>
    <t>2014-12-11 17:29:39.20: TransitionLogger - processTransitionpoint - checking transition - currentHedgeShortfall is 30</t>
  </si>
  <si>
    <t>2014-12-11 17:29:39.62: inst2.displayRow is 43</t>
  </si>
  <si>
    <t>2014-12-11 17:29:39.63: Algorithm - FindNextStrikes - price is 1.57195 nextStrikeUp/Down 9999/1.57</t>
  </si>
  <si>
    <t>2014-12-11 17:29:39.64: Algorithm - getPortfolioForwardDelta - required deltas is 30 currentHedgePosition is 0</t>
  </si>
  <si>
    <t>2014-12-11 17:29:39.64: TransitionLogger - processTransitionpoint - checking transition - currentHedgeShortfall is 30</t>
  </si>
  <si>
    <t>2014-12-11 17:29:39.103: inst2.displayRow is 44</t>
  </si>
  <si>
    <t>2014-12-11 17:29:39.104: Algorithm - FindNextStrikes - price is 1.57195 nextStrikeUp/Down 9999/1.57</t>
  </si>
  <si>
    <t>2014-12-11 17:29:39.105: Algorithm - getPortfolioForwardDelta - required deltas is 30 currentHedgePosition is 0</t>
  </si>
  <si>
    <t>2014-12-11 17:29:39.106: TransitionLogger - processTransitionpoint - checking transition - currentHedgeShortfall is 30</t>
  </si>
  <si>
    <t>2014-12-11 17:29:47.58: BSGamma - price/strike/expiry/rate/vol is 1.5708/1.56/20141212/0.001/8.90063154901668E-02</t>
  </si>
  <si>
    <t>2014-12-11 17:29:47.280: BSGamma - price/strike/expiry/rate/vol is 1.5708/1.56/20141212/0.001/8.90063154901668E-02</t>
  </si>
  <si>
    <t>2014-12-11 17:29:47.333: BSGamma - price/strike/expiry/rate/vol is 1.5708/1.565/20141212/0.001/8.14952096073398E-02</t>
  </si>
  <si>
    <t>2014-12-11 17:29:47.353: BSGamma - price/strike/expiry/rate/vol is 1.5708/1.565/20141212/0.001/8.14952096073398E-02</t>
  </si>
  <si>
    <t>2014-12-11 17:29:47.386: BSGamma - price/strike/expiry/rate/vol is 1.5708/1.57/20141212/0.001/7.76081970886935E-02</t>
  </si>
  <si>
    <t>2014-12-11 17:29:47.422: BSGamma - price/strike/expiry/rate/vol is 1.5708/1.55/20141212/0.001/0.114900807348363</t>
  </si>
  <si>
    <t>2014-12-11 17:29:55.241: BSGamma - price/strike/expiry/rate/vol is 1.5708/1.56/20141212/0.001/8.90063154901668E-02</t>
  </si>
  <si>
    <t>2014-12-11 17:29:55.454: BSGamma - price/strike/expiry/rate/vol is 1.5708/1.56/20141212/0.001/8.90063154901668E-02</t>
  </si>
  <si>
    <t>2014-12-11 17:29:55.503: BSGamma - price/strike/expiry/rate/vol is 1.5708/1.565/20141212/0.001/8.14952096073398E-02</t>
  </si>
  <si>
    <t>2014-12-11 17:29:55.521: BSGamma - price/strike/expiry/rate/vol is 1.5708/1.565/20141212/0.001/8.14952096073398E-02</t>
  </si>
  <si>
    <t>2014-12-11 17:29:55.564: BSGamma - price/strike/expiry/rate/vol is 1.5708/1.57/20141212/0.001/7.76081970886935E-02</t>
  </si>
  <si>
    <t>2014-12-11 17:29:55.598: BSGamma - price/strike/expiry/rate/vol is 1.5708/1.55/20141212/0.001/0.114900807348363</t>
  </si>
  <si>
    <t>2014-12-11 17:29:57.72: BSGamma - price/strike/expiry/rate/vol is 1.5708/1.56/20141212/0.001/0.104263190428568</t>
  </si>
  <si>
    <t>2014-12-11 17:29:57.328: BSGamma - price/strike/expiry/rate/vol is 1.5708/1.55/20141212/0.001/0.114900807348363</t>
  </si>
  <si>
    <t>2014-12-11 17:29:59.75: BSGamma - price/strike/expiry/rate/vol is 1.5708/1.56/20141212/0.001/8.90084851781694E-02</t>
  </si>
  <si>
    <t>2014-12-11 17:29:59.289: BSGamma - price/strike/expiry/rate/vol is 1.5708/1.56/20141212/0.001/8.90084851781694E-02</t>
  </si>
  <si>
    <t>2014-12-11 17:29:59.336: BSGamma - price/strike/expiry/rate/vol is 1.5708/1.565/20141212/0.001/8.14964315615896E-02</t>
  </si>
  <si>
    <t>2014-12-11 17:29:59.385: BSGamma - price/strike/expiry/rate/vol is 1.5708/1.565/20141212/0.001/8.14964315615896E-02</t>
  </si>
  <si>
    <t>2014-12-11 17:29:59.401: BSGamma - price/strike/expiry/rate/vol is 1.5708/1.57/20141212/0.001/7.76086492712409E-02</t>
  </si>
  <si>
    <t>2014-12-11 17:29:59.432: BSGamma - price/strike/expiry/rate/vol is 1.5708/1.55/20141212/0.001/0.114905406389994</t>
  </si>
  <si>
    <t>2014-12-11 17:29:59.463: BSGamma - price/strike/expiry/rate/vol is 1.5708/1.55/20141212/0.001/0.114905406389994</t>
  </si>
  <si>
    <t>2014-12-11 17:30:3.368: BSGamma - price/strike/expiry/rate/vol is 1.5708/1.57/20141212/0.001/7.67240892690779E-02</t>
  </si>
  <si>
    <t>2014-12-11 17:30:3.383: BSGamma - price/strike/expiry/rate/vol is 1.5708/1.57/20141212/0.001/7.74185073782966E-02</t>
  </si>
  <si>
    <t>2014-12-11 17:30:3.431: BSGamma - price/strike/expiry/rate/vol is 1.5708/1.55/20141212/0.001/0.134439150866342</t>
  </si>
  <si>
    <t>2014-12-11 17:30:3.467: BSGamma - price/strike/expiry/rate/vol is 1.5708/1.55/20141212/0.001/0.134439150866342</t>
  </si>
  <si>
    <t>2014-12-11 17:30:6.823: DirectionIndicator - notify - price/longMA/ShortMA/prevDirection are 1.5719/1.57187564721838/1.57189049038409/1</t>
  </si>
  <si>
    <t>2014-12-11 17:30:7.57: BSGamma - price/strike/expiry/rate/vol is 1.5708/1.56/20141212/0.001/9.43804457050987E-02</t>
  </si>
  <si>
    <t>2014-12-11 17:30:7.119: BSGamma - price/strike/expiry/rate/vol is 1.5708/1.56/20141212/0.001/9.43804457050987E-02</t>
  </si>
  <si>
    <t>2014-12-11 17:30:7.182: BSGamma - price/strike/expiry/rate/vol is 1.5708/1.565/20141212/0.001/8.27322977133349E-02</t>
  </si>
  <si>
    <t>2014-12-11 17:30:7.213: BSGamma - price/strike/expiry/rate/vol is 1.5708/1.565/20141212/0.001/8.27322977133349E-02</t>
  </si>
  <si>
    <t>2014-12-11 17:30:7.213: BSGamma - price/strike/expiry/rate/vol is 1.5708/1.57/20141212/0.001/7.67125668791664E-02</t>
  </si>
  <si>
    <t>2014-12-11 17:30:7.213: BSGamma - price/strike/expiry/rate/vol is 1.5708/1.55/20141212/0.001/0.134561993161242</t>
  </si>
  <si>
    <t>2014-12-11 17:30:7.739: DirectionIndicator - notify - price/longMA/ShortMA/prevDirection are 1.57185/1.57187098408777/1.57187699358939/1</t>
  </si>
  <si>
    <t>2014-12-11 17:30:7.789: DirectionIndicator - notify - price/longMA/ShortMA/prevDirection are 1.5718/1.57185807788999/1.5718513290596/1</t>
  </si>
  <si>
    <t>2014-12-11 17:30:7.934: DirectionIndicator - notify - price/longMA/ShortMA/prevDirection are 1.57175/1.57183842736454/1.5718175527064/1</t>
  </si>
  <si>
    <t>2014-12-11 17:30:8.154: DirectionIndicator - notify - price/longMA/ShortMA/prevDirection are 1.5718/1.57183144057099/1.57181170180426/-1</t>
  </si>
  <si>
    <t>2014-12-11 17:30:8.227: DirectionIndicator - notify - price/longMA/ShortMA/prevDirection are 1.57185/1.57183481501263/1.57182446786951/-1</t>
  </si>
  <si>
    <t>2014-12-11 17:30:8.484: DirectionIndicator - notify - price/longMA/ShortMA/prevDirection are 1.5718/1.57182848501033/1.57181631191301/-1</t>
  </si>
  <si>
    <t>2014-12-11 17:30:8.551: DirectionIndicator - notify - price/longMA/ShortMA/prevDirection are 1.57175/1.57181421500845/1.571794207942/-1</t>
  </si>
  <si>
    <t>2014-12-11 17:30:8.818: BSGamma - price/strike/expiry/rate/vol is 1.5707/1.56/20141212/0.001/9.43804457050987E-02</t>
  </si>
  <si>
    <t>2014-12-11 17:30:8.853: BSGamma - price/strike/expiry/rate/vol is 1.5707/1.56/20141212/0.001/9.43804457050987E-02</t>
  </si>
  <si>
    <t>2014-12-11 17:30:8.885: BSGamma - price/strike/expiry/rate/vol is 1.5707/1.565/20141212/0.001/8.27322977133349E-02</t>
  </si>
  <si>
    <t>2014-12-11 17:30:8.899: BSGamma - price/strike/expiry/rate/vol is 1.5707/1.565/20141212/0.001/8.27322977133349E-02</t>
  </si>
  <si>
    <t>2014-12-11 17:30:8.932: BSGamma - price/strike/expiry/rate/vol is 1.5707/1.57/20141212/0.001/7.67125668791664E-02</t>
  </si>
  <si>
    <t>2014-12-11 17:30:8.969: BSGamma - price/strike/expiry/rate/vol is 1.5707/1.55/20141212/0.001/0.134561993161242</t>
  </si>
  <si>
    <t>2014-12-11 17:30:9.101: DirectionIndicator - notify - price/longMA/ShortMA/prevDirection are 1.5717/1.57179344864328/1.57176280529467/-1</t>
  </si>
  <si>
    <t>2014-12-11 17:30:9.275: DirectionIndicator - notify - price/longMA/ShortMA/prevDirection are 1.57165/1.57176736707177/1.57172520352978/-1</t>
  </si>
  <si>
    <t>2014-12-11 17:30:11.111: BSGamma - price/strike/expiry/rate/vol is 1.5706/1.56/20141212/0.001/9.34339526319263E-02</t>
  </si>
  <si>
    <t>2014-12-11 17:30:11.330: BSGamma - price/strike/expiry/rate/vol is 1.5706/1.56/20141212/0.001/9.34339526319263E-02</t>
  </si>
  <si>
    <t>2014-12-11 17:30:11.361: BSGamma - price/strike/expiry/rate/vol is 1.5706/1.565/20141212/0.001/8.21712429567185E-02</t>
  </si>
  <si>
    <t>2014-12-11 17:30:11.377: BSGamma - price/strike/expiry/rate/vol is 1.5706/1.565/20141212/0.001/8.21712429567185E-02</t>
  </si>
  <si>
    <t>2014-12-11 17:30:11.423: BSGamma - price/strike/expiry/rate/vol is 1.5706/1.57/20141212/0.001/7.59768395505205E-02</t>
  </si>
  <si>
    <t>2014-12-11 17:30:11.455: BSGamma - price/strike/expiry/rate/vol is 1.5706/1.56/20141212/0.001/9.34339526319263E-02</t>
  </si>
  <si>
    <t>2014-12-11 17:30:11.517: BSGamma - price/strike/expiry/rate/vol is 1.5706/1.57/20141212/0.001/7.19383610684523E-02</t>
  </si>
  <si>
    <t>2014-12-11 17:30:11.533: BSGamma - price/strike/expiry/rate/vol is 1.5706/1.57/20141212/0.001/7.77602591037913E-02</t>
  </si>
  <si>
    <t>2014-12-11 17:30:11.548: BSGamma - price/strike/expiry/rate/vol is 1.5706/1.55/20141212/0.001/0.131164290789513</t>
  </si>
  <si>
    <t>2014-12-11 17:30:11.579: BSGamma - price/strike/expiry/rate/vol is 1.5706/1.55/20141212/0.001/0.131164290789513</t>
  </si>
  <si>
    <t>2014-12-11 17:30:21.189: BSGamma - price/strike/expiry/rate/vol is 1.5706/1.55/20141212/0.001/0.132378356699689</t>
  </si>
  <si>
    <t>2014-12-11 17:30:29.75: BSGamma - price/strike/expiry/rate/vol is 1.5706/1.56/20141212/0.001/0.109273621963786</t>
  </si>
  <si>
    <t>2014-12-11 17:30:29.289: BSGamma - price/strike/expiry/rate/vol is 1.5706/1.55/20141212/0.001/0.132378356699689</t>
  </si>
  <si>
    <t>2014-12-11 17:30:39.271: BSGamma - price/strike/expiry/rate/vol is 1.5707/1.56/20141212/0.001/9.14446882439393E-02</t>
  </si>
  <si>
    <t>2014-12-11 17:30:39.303: BSGamma - price/strike/expiry/rate/vol is 1.5707/1.56/20141212/0.001/9.14446882439393E-02</t>
  </si>
  <si>
    <t>2014-12-11 17:30:39.347: BSGamma - price/strike/expiry/rate/vol is 1.5707/1.565/20141212/0.001/8.14525632615641E-02</t>
  </si>
  <si>
    <t>2014-12-11 17:30:39.373: BSGamma - price/strike/expiry/rate/vol is 1.5707/1.565/20141212/0.001/8.14525632615641E-02</t>
  </si>
  <si>
    <t>2014-12-11 17:30:39.396: BSGamma - price/strike/expiry/rate/vol is 1.5707/1.57/20141212/0.001/0.076825461628232</t>
  </si>
  <si>
    <t>2014-12-11 17:30:39.429: BSGamma - price/strike/expiry/rate/vol is 1.5707/1.55/20141212/0.001/0.127524008255648</t>
  </si>
  <si>
    <t>2014-12-11 17:30:39.444: BSGamma - price/strike/expiry/rate/vol is 1.5707/1.56/20141212/0.001/9.14446882439393E-02</t>
  </si>
  <si>
    <t>2014-12-11 17:30:39.479: BSGamma - price/strike/expiry/rate/vol is 1.5707/1.56/20141212/0.001/0.103577790542756</t>
  </si>
  <si>
    <t>2014-12-11 17:30:39.520: BSGamma - price/strike/expiry/rate/vol is 1.5707/1.56/20141212/0.001/8.20108602418771E-02</t>
  </si>
  <si>
    <t>2014-12-11 17:30:39.553: BSGamma - price/strike/expiry/rate/vol is 1.5707/1.56/20141212/0.001/9.04961458890519E-02</t>
  </si>
  <si>
    <t>2014-12-11 17:30:39.596: BSGamma - price/strike/expiry/rate/vol is 1.5707/1.565/20141212/0.001/6.70483481742951E-02</t>
  </si>
  <si>
    <t>2014-12-11 17:30:39.623: BSGamma - price/strike/expiry/rate/vol is 1.5707/1.565/20141212/0.001/8.79837473739714E-02</t>
  </si>
  <si>
    <t>2014-12-11 17:30:39.651: BSGamma - price/strike/expiry/rate/vol is 1.5707/1.565/20141212/0.001/8.05089830184599E-02</t>
  </si>
  <si>
    <t>2014-12-11 17:30:39.681: BSGamma - price/strike/expiry/rate/vol is 1.5707/1.565/20141212/0.001/8.79960376189066E-02</t>
  </si>
  <si>
    <t>2014-12-11 17:30:39.729: BSGamma - price/strike/expiry/rate/vol is 1.5707/1.57/20141212/0.001/7.02896964104399E-02</t>
  </si>
  <si>
    <t>2014-12-11 17:30:39.766: BSGamma - price/strike/expiry/rate/vol is 1.5707/1.57/20141212/0.001/0.079039293567122</t>
  </si>
  <si>
    <t>2014-12-11 17:30:39.846: BSGamma - price/strike/expiry/rate/vol is 1.5707/1.55/20141212/0.001/0.127524008255648</t>
  </si>
  <si>
    <t>2014-12-11 17:30:39.863: BSGamma - price/strike/expiry/rate/vol is 1.5707/1.55/20141212/0.001/0.124033538673608</t>
  </si>
  <si>
    <t>2014-12-11 17:30:39.897: DirectionIndicator - notify - price/longMA/ShortMA/prevDirection are 1.5717/1.57174433553368/1.57171857882364/-1</t>
  </si>
  <si>
    <t>2014-12-11 17:30:40.390: DirectionIndicator - notify - price/longMA/ShortMA/prevDirection are 1.57175/1.57174536543664/1.57172905254909/-1</t>
  </si>
  <si>
    <t>2014-12-11 17:30:40.624: BSGamma - price/strike/expiry/rate/vol is 1.5707/1.56/20141212/0.001/9.37970117931286E-02</t>
  </si>
  <si>
    <t>2014-12-11 17:30:40.639: BSGamma - price/strike/expiry/rate/vol is 1.5707/1.56/20141212/0.001/9.37970117931286E-02</t>
  </si>
  <si>
    <t>2014-12-11 17:30:40.686: BSGamma - price/strike/expiry/rate/vol is 1.5707/1.565/20141212/0.001/8.27964106666172E-02</t>
  </si>
  <si>
    <t>2014-12-11 17:30:40.702: BSGamma - price/strike/expiry/rate/vol is 1.5707/1.565/20141212/0.001/8.27964106666172E-02</t>
  </si>
  <si>
    <t>2014-12-11 17:30:40.717: BSGamma - price/strike/expiry/rate/vol is 1.5707/1.57/20141212/0.001/7.74769548403356E-02</t>
  </si>
  <si>
    <t>2014-12-11 17:30:40.764: BSGamma - price/strike/expiry/rate/vol is 1.5707/1.55/20141212/0.001/0.13284164994684</t>
  </si>
  <si>
    <t>2014-12-11 17:30:41.390: BSGamma - price/strike/expiry/rate/vol is 1.5707/1.56/20141212/0.001/9.37970117931286E-02</t>
  </si>
  <si>
    <t>2014-12-11 17:30:41.462: BSGamma - price/strike/expiry/rate/vol is 1.5707/1.565/20141212/0.001/6.23203613281476E-02</t>
  </si>
  <si>
    <t>2014-12-11 17:30:41.513: BSGamma - price/strike/expiry/rate/vol is 1.5707/1.55/20141212/0.001/0.13284164994684</t>
  </si>
  <si>
    <t>2014-12-11 17:30:44.68: BSGamma - price/strike/expiry/rate/vol is 1.5707/1.56/20141212/0.001/9.37397555381949E-02</t>
  </si>
  <si>
    <t>2014-12-11 17:30:44.136: BSGamma - price/strike/expiry/rate/vol is 1.5707/1.56/20141212/0.001/9.37397555381949E-02</t>
  </si>
  <si>
    <t>2014-12-11 17:30:44.162: BSGamma - price/strike/expiry/rate/vol is 1.5707/1.565/20141212/0.001/8.26983437443687E-02</t>
  </si>
  <si>
    <t>2014-12-11 17:30:44.185: BSGamma - price/strike/expiry/rate/vol is 1.5707/1.565/20141212/0.001/8.26983437443687E-02</t>
  </si>
  <si>
    <t>2014-12-11 17:30:44.220: BSGamma - price/strike/expiry/rate/vol is 1.5707/1.57/20141212/0.001/7.73569261689886E-02</t>
  </si>
  <si>
    <t>2014-12-11 17:30:44.233: BSGamma - price/strike/expiry/rate/vol is 1.5707/1.55/20141212/0.001/0.132922561780958</t>
  </si>
  <si>
    <t>Calculated Value</t>
  </si>
  <si>
    <t>2014-12-11 17:30:49.86: BSGamma - price/strike/expiry/rate/vol is 1.5707/1.56/20141212/0.001/9.37397555381949E-02</t>
  </si>
  <si>
    <t>2014-12-11 17:30:49.164: BSGamma - price/strike/expiry/rate/vol is 1.5707/1.56/20141212/0.001/9.70700538810609E-02</t>
  </si>
  <si>
    <t>2014-12-11 17:30:49.211: BSGamma - price/strike/expiry/rate/vol is 1.5707/1.565/20141212/0.001/6.70483481742951E-02</t>
  </si>
  <si>
    <t>2014-12-11 17:30:52.65: BSGamma - price/strike/expiry/rate/vol is 1.5707/1.56/20141212/0.001/9.38062063755751E-02</t>
  </si>
  <si>
    <t>2014-12-11 17:30:52.275: BSGamma - price/strike/expiry/rate/vol is 1.5707/1.56/20141212/0.001/9.38062063755751E-02</t>
  </si>
  <si>
    <t>2014-12-11 17:31:9.240: BSGamma - price/strike/expiry/rate/vol is 1.5707/1.56/20141212/0.001/9.38328245000548E-02</t>
  </si>
  <si>
    <t>2014-12-11 17:31:9.303: BSGamma - price/strike/expiry/rate/vol is 1.5707/1.56/20141212/0.001/0.103577790542756</t>
  </si>
  <si>
    <t>2014-12-11 17:31:9.392: BSGamma - price/strike/expiry/rate/vol is 1.5707/1.55/20141212/0.001/0.132797969682031</t>
  </si>
  <si>
    <t>2014-12-11 17:31:11.344: BSGamma - price/strike/expiry/rate/vol is 1.5707/1.56/20141212/0.001/0.087823956522783</t>
  </si>
  <si>
    <t>2014-12-11 17:31:11.418: BSGamma - price/strike/expiry/rate/vol is 1.5707/1.56/20141212/0.001/0.087823956522783</t>
  </si>
  <si>
    <t>2014-12-11 17:31:11.474: BSGamma - price/strike/expiry/rate/vol is 1.5707/1.565/20141212/0.001/8.14377057988338E-02</t>
  </si>
  <si>
    <t>2014-12-11 17:31:11.492: BSGamma - price/strike/expiry/rate/vol is 1.5707/1.565/20141212/0.001/8.14377057988338E-02</t>
  </si>
  <si>
    <t>2014-12-11 17:31:11.520: BSGamma - price/strike/expiry/rate/vol is 1.5707/1.57/20141212/0.001/7.85520002922055E-02</t>
  </si>
  <si>
    <t>2014-12-11 17:31:11.556: BSGamma - price/strike/expiry/rate/vol is 1.5707/1.55/20141212/0.001/0.111098093622388</t>
  </si>
  <si>
    <t>2014-12-11 17:31:20.454: DirectionIndicator - notify - price/longMA/ShortMA/prevDirection are 1.5718/1.57177751420234/1.57179008964418/-1</t>
  </si>
  <si>
    <t>2014-12-11 17:31:20.572: DirectionIndicator - notify - price/longMA/ShortMA/prevDirection are 1.57185/1.57179069343828/1.57181005976278/-1</t>
  </si>
  <si>
    <t>2014-12-11 17:31:20.990: DirectionIndicator - notify - price/longMA/ShortMA/prevDirection are 1.5718/1.57179238554041/1.57180670650852/-1</t>
  </si>
  <si>
    <t>2014-12-11 17:31:21.348: DirectionIndicator - notify - price/longMA/ShortMA/prevDirection are 1.57185/1.5718028608967/1.57182113767235/-1</t>
  </si>
  <si>
    <t>2014-12-11 17:31:21.430: BSGamma - price/strike/expiry/rate/vol is 1.5706/1.56/20141212/0.001/0.087823956522783</t>
  </si>
  <si>
    <t>2014-12-11 17:31:21.445: BSGamma - price/strike/expiry/rate/vol is 1.5706/1.56/20141212/0.001/4.05857006796899E-02</t>
  </si>
  <si>
    <t>2014-12-11 17:31:21.514: BSGamma - price/strike/expiry/rate/vol is 1.5706/1.56/20141212/0.001/0.114080132672091</t>
  </si>
  <si>
    <t>2014-12-11 17:31:21.560: BSGamma - price/strike/expiry/rate/vol is 1.5706/1.56/20141212/0.001/0.087823956522783</t>
  </si>
  <si>
    <t>2014-12-11 17:31:21.576: BSGamma - price/strike/expiry/rate/vol is 1.5706/1.56/20141212/0.001/8.14746343620395E-02</t>
  </si>
  <si>
    <t>2014-12-11 17:31:21.608: BSGamma - price/strike/expiry/rate/vol is 1.5706/1.56/20141212/0.001/8.98365644720293E-02</t>
  </si>
  <si>
    <t>2014-12-11 17:31:21.649: BSGamma - price/strike/expiry/rate/vol is 1.5706/1.565/20141212/0.001/8.14377057988338E-02</t>
  </si>
  <si>
    <t>2014-12-11 17:31:21.683: BSGamma - price/strike/expiry/rate/vol is 1.5706/1.565/20141212/0.001/7.10502384261857E-02</t>
  </si>
  <si>
    <t>2014-12-11 17:31:21.698: BSGamma - price/strike/expiry/rate/vol is 1.5706/1.565/20141212/0.001/9.45381881431776E-02</t>
  </si>
  <si>
    <t>2014-12-11 17:31:21.739: BSGamma - price/strike/expiry/rate/vol is 1.5706/1.565/20141212/0.001/8.14377057988338E-02</t>
  </si>
  <si>
    <t>2014-12-11 17:31:21.770: BSGamma - price/strike/expiry/rate/vol is 1.5706/1.565/20141212/0.001/7.96746042410343E-02</t>
  </si>
  <si>
    <t>2014-12-11 17:31:21.808: BSGamma - price/strike/expiry/rate/vol is 1.5706/1.565/20141212/0.001/8.33899530011578E-02</t>
  </si>
  <si>
    <t>2014-12-11 17:31:21.849: BSGamma - price/strike/expiry/rate/vol is 1.5706/1.57/20141212/0.001/7.85520002922055E-02</t>
  </si>
  <si>
    <t>2014-12-11 17:31:21.863: BSGamma - price/strike/expiry/rate/vol is 1.5706/1.57/20141212/0.001/7.19383610684523E-02</t>
  </si>
  <si>
    <t>2014-12-11 17:31:21.901: BSGamma - price/strike/expiry/rate/vol is 1.5706/1.57/20141212/0.001/0.080688834821236</t>
  </si>
  <si>
    <t>2014-12-11 17:31:21.942: BSGamma - price/strike/expiry/rate/vol is 1.5706/1.55/20141212/0.001/0.111098093622388</t>
  </si>
  <si>
    <t>2014-12-11 17:31:21.974: BSGamma - price/strike/expiry/rate/vol is 1.5706/1.55/20141212/0.001/0.111098093622388</t>
  </si>
  <si>
    <t>2014-12-11 17:31:21.990: BSGamma - price/strike/expiry/rate/vol is 1.5706/1.55/20141212/0.001/0.123301675093981</t>
  </si>
  <si>
    <t>2014-12-11 17:31:23.76: BSGamma - price/strike/expiry/rate/vol is 1.5706/1.56/20141212/0.001/8.81379919356107E-02</t>
  </si>
  <si>
    <t>2014-12-11 17:31:23.106: BSGamma - price/strike/expiry/rate/vol is 1.5706/1.56/20141212/0.001/8.81379919356107E-02</t>
  </si>
  <si>
    <t>2014-12-11 17:31:23.124: BSGamma - price/strike/expiry/rate/vol is 1.5706/1.565/20141212/0.001/8.18472501558745E-02</t>
  </si>
  <si>
    <t>2014-12-11 17:31:23.151: BSGamma - price/strike/expiry/rate/vol is 1.5706/1.565/20141212/0.001/8.18472501558745E-02</t>
  </si>
  <si>
    <t>2014-12-11 17:31:23.183: BSGamma - price/strike/expiry/rate/vol is 1.5706/1.57/20141212/0.001/7.82396292517831E-02</t>
  </si>
  <si>
    <t>2014-12-11 17:31:23.199: BSGamma - price/strike/expiry/rate/vol is 1.5706/1.56/20141212/0.001/7.10517509529295E-02</t>
  </si>
  <si>
    <t>2014-12-11 17:31:23.234: BSGamma - price/strike/expiry/rate/vol is 1.5706/1.56/20141212/0.001/0.109353379237443</t>
  </si>
  <si>
    <t>2014-12-11 17:31:23.274: BSGamma - price/strike/expiry/rate/vol is 1.5706/1.565/20141212/0.001/7.57908053542577E-02</t>
  </si>
  <si>
    <t>2014-12-11 17:31:23.309: BSGamma - price/strike/expiry/rate/vol is 1.5706/1.565/20141212/0.001/9.07860391110098E-02</t>
  </si>
  <si>
    <t>2014-12-11 17:31:23.349: BSGamma - price/strike/expiry/rate/vol is 1.5706/1.57/20141212/0.001/7.48787392148969E-02</t>
  </si>
  <si>
    <t>2014-12-11 17:31:23.364: BSGamma - price/strike/expiry/rate/vol is 1.5706/1.55/20141212/0.001/0.108768838121875</t>
  </si>
  <si>
    <t>2014-12-11 17:31:23.400: BSGamma - price/strike/expiry/rate/vol is 1.5706/1.55/20141212/0.001/0.108768838121875</t>
  </si>
  <si>
    <t>2014-12-11 17:31:25.268: BSGamma - price/strike/expiry/rate/vol is 1.5706/1.56/20141212/0.001/0.114080132672091</t>
  </si>
  <si>
    <t>2014-12-11 17:31:25.305: BSGamma - price/strike/expiry/rate/vol is 1.5706/1.565/20141212/0.001/9.45381881431776E-02</t>
  </si>
  <si>
    <t>2014-12-11 17:31:25.354: BSGamma - price/strike/expiry/rate/vol is 1.5706/1.565/20141212/0.001/8.70789119477701E-02</t>
  </si>
  <si>
    <t>2014-12-11 17:31:25.377: BSGamma - price/strike/expiry/rate/vol is 1.5706/1.55/20141212/0.001/0.108768838121875</t>
  </si>
  <si>
    <t>2014-12-11 17:31:27.370: BSGamma - price/strike/expiry/rate/vol is 1.5706/1.56/20141212/0.001/8.78776139759339E-02</t>
  </si>
  <si>
    <t>2014-12-11 17:31:27.435: BSGamma - price/strike/expiry/rate/vol is 1.5706/1.56/20141212/0.001/8.78776139759339E-02</t>
  </si>
  <si>
    <t>2014-12-11 17:31:27.450: BSGamma - price/strike/expiry/rate/vol is 1.5706/1.565/20141212/0.001/0.08155254166752</t>
  </si>
  <si>
    <t>2014-12-11 17:31:27.477: BSGamma - price/strike/expiry/rate/vol is 1.5706/1.565/20141212/0.001/0.08155254166752</t>
  </si>
  <si>
    <t>2014-12-11 17:31:27.514: BSGamma - price/strike/expiry/rate/vol is 1.5706/1.57/20141212/0.001/7.81366376958772E-02</t>
  </si>
  <si>
    <t>2014-12-11 17:31:27.529: BSGamma - price/strike/expiry/rate/vol is 1.5706/1.55/20141212/0.001/0.109255263602961</t>
  </si>
  <si>
    <t>2014-12-11 17:31:29.65: BSGamma - price/strike/expiry/rate/vol is 1.5706/1.56/20141212/0.001/0.109353379237443</t>
  </si>
  <si>
    <t>2014-12-11 17:31:29.281: BSGamma - price/strike/expiry/rate/vol is 1.5706/1.565/20141212/0.001/7.10502384261857E-02</t>
  </si>
  <si>
    <t>2014-12-11 17:31:32.81: BSGamma - price/strike/expiry/rate/vol is 1.5706/1.56/20141212/0.001/8.78438478600572E-02</t>
  </si>
  <si>
    <t>2014-12-11 17:31:32.112: BSGamma - price/strike/expiry/rate/vol is 1.5706/1.56/20141212/0.001/8.78438478600572E-02</t>
  </si>
  <si>
    <t>2014-12-11 17:31:32.132: BSGamma - price/strike/expiry/rate/vol is 1.5706/1.565/20141212/0.001/8.15058311443693E-02</t>
  </si>
  <si>
    <t>2014-12-11 17:31:32.141: BSGamma - price/strike/expiry/rate/vol is 1.5706/1.565/20141212/0.001/8.15058311443693E-02</t>
  </si>
  <si>
    <t>2014-12-11 17:31:32.176: BSGamma - price/strike/expiry/rate/vol is 1.5706/1.57/20141212/0.001/7.80978044662675E-02</t>
  </si>
  <si>
    <t>2014-12-11 17:31:32.189: BSGamma - price/strike/expiry/rate/vol is 1.5706/1.55/20141212/0.001/0.109309851404134</t>
  </si>
  <si>
    <t>2014-12-11 17:31:37.637: DirectionIndicator - notify - price/longMA/ShortMA/prevDirection are 1.5719/1.57182052255184/1.5718474251149/-1</t>
  </si>
  <si>
    <t>2014-12-11 17:31:37.682: DirectionIndicator - notify - price/longMA/ShortMA/prevDirection are 1.57195/1.57184406390605/1.57188161674327/1</t>
  </si>
  <si>
    <t>2014-12-11 17:31:38.139: BSGamma - price/strike/expiry/rate/vol is 1.5707/1.56/20141212/0.001/8.78438478600572E-02</t>
  </si>
  <si>
    <t>2014-12-11 17:31:38.151: BSGamma - price/strike/expiry/rate/vol is 1.5707/1.56/20141212/0.001/8.78438478600572E-02</t>
  </si>
  <si>
    <t>2014-12-11 17:31:38.184: BSGamma - price/strike/expiry/rate/vol is 1.5707/1.565/20141212/0.001/8.15058311443693E-02</t>
  </si>
  <si>
    <t>2014-12-11 17:31:38.227: BSGamma - price/strike/expiry/rate/vol is 1.5707/1.565/20141212/0.001/8.15058311443693E-02</t>
  </si>
  <si>
    <t>2014-12-11 17:31:38.266: BSGamma - price/strike/expiry/rate/vol is 1.5707/1.57/20141212/0.001/7.80978044662675E-02</t>
  </si>
  <si>
    <t>2014-12-11 17:31:38.304: BSGamma - price/strike/expiry/rate/vol is 1.5707/1.55/20141212/0.001/0.109309851404134</t>
  </si>
  <si>
    <t>2014-12-11 17:31:39.248: BSGamma - price/strike/expiry/rate/vol is 1.5708/1.56/20141212/0.001/8.78438478600572E-02</t>
  </si>
  <si>
    <t>2014-12-11 17:31:39.291: BSGamma - price/strike/expiry/rate/vol is 1.5708/1.56/20141212/0.001/0.104263190428568</t>
  </si>
  <si>
    <t>2014-12-11 17:31:39.350: BSGamma - price/strike/expiry/rate/vol is 1.5708/1.56/20141212/0.001/8.25913710271031E-02</t>
  </si>
  <si>
    <t>2014-12-11 17:31:39.389: BSGamma - price/strike/expiry/rate/vol is 1.5708/1.56/20141212/0.001/9.11556853916798E-02</t>
  </si>
  <si>
    <t>2014-12-11 17:31:39.429: BSGamma - price/strike/expiry/rate/vol is 1.5708/1.565/20141212/0.001/6.78202655299524E-02</t>
  </si>
  <si>
    <t>2014-12-11 17:31:39.441: BSGamma - price/strike/expiry/rate/vol is 1.5708/1.565/20141212/0.001/9.25993001289002E-02</t>
  </si>
  <si>
    <t>2014-12-11 17:31:39.479: BSGamma - price/strike/expiry/rate/vol is 1.5708/1.565/20141212/0.001/7.73081229692312E-02</t>
  </si>
  <si>
    <t>2014-12-11 17:31:39.515: BSGamma - price/strike/expiry/rate/vol is 1.5708/1.565/20141212/0.001/8.51687836603804E-02</t>
  </si>
  <si>
    <t>2014-12-11 17:31:39.561: BSGamma - price/strike/expiry/rate/vol is 1.5708/1.57/20141212/0.001/7.16290477896898E-02</t>
  </si>
  <si>
    <t>2014-12-11 17:31:39.596: BSGamma - price/strike/expiry/rate/vol is 1.5708/1.57/20141212/0.001/8.03816586874689E-02</t>
  </si>
  <si>
    <t>2014-12-11 17:31:39.637: BSGamma - price/strike/expiry/rate/vol is 1.5708/1.56/20141212/0.001/8.68791707756031E-02</t>
  </si>
  <si>
    <t>2014-12-11 17:31:39.649: BSGamma - price/strike/expiry/rate/vol is 1.5708/1.56/20141212/0.001/8.68791707756031E-02</t>
  </si>
  <si>
    <t>2014-12-11 17:31:39.687: BSGamma - price/strike/expiry/rate/vol is 1.5708/1.565/20141212/0.001/8.00020920316626E-02</t>
  </si>
  <si>
    <t>2014-12-11 17:31:39.770: BSGamma - price/strike/expiry/rate/vol is 1.5708/1.565/20141212/0.001/8.00020920316626E-02</t>
  </si>
  <si>
    <t>2014-12-11 17:31:39.854: BSGamma - price/strike/expiry/rate/vol is 1.5708/1.57/20141212/0.001/7.76113091805826E-02</t>
  </si>
  <si>
    <t>2014-12-11 17:31:39.937: BSGamma - price/strike/expiry/rate/vol is 1.5708/1.55/20141212/0.001/0.114092215941952</t>
  </si>
  <si>
    <t>2014-12-11 17:31:39.982: BSGamma - price/strike/expiry/rate/vol is 1.5708/1.55/20141212/0.001/0.114092215941952</t>
  </si>
  <si>
    <t>2014-12-11 17:31:40.22: BSGamma - price/strike/expiry/rate/vol is 1.5708/1.55/20141212/0.001/0.124498905451117</t>
  </si>
  <si>
    <t>2014-12-11 17:31:43.100: BSGamma - price/strike/expiry/rate/vol is 1.5708/1.56/20141212/0.001/8.68791707756031E-02</t>
  </si>
  <si>
    <t>2014-12-11 17:31:43.327: BSGamma - price/strike/expiry/rate/vol is 1.5708/1.55/20141212/0.001/0.124498905451117</t>
  </si>
  <si>
    <t>2014-12-11 17:31:47.382: BSGamma - price/strike/expiry/rate/vol is 1.5708/1.56/20141212/0.001/8.68791707756031E-02</t>
  </si>
  <si>
    <t>2014-12-11 17:31:47.444: BSGamma - price/strike/expiry/rate/vol is 1.5708/1.55/20141212/0.001/0.124498905451117</t>
  </si>
  <si>
    <t>2014-12-11 17:31:49.270: BSGamma - price/strike/expiry/rate/vol is 1.5708/1.565/20141212/0.001/8.88736823542599E-02</t>
  </si>
  <si>
    <t>2014-12-11 17:31:52.66: BSGamma - price/strike/expiry/rate/vol is 1.5708/1.56/20141212/0.001/0.086757364716334</t>
  </si>
  <si>
    <t>2014-12-11 17:31:52.280: BSGamma - price/strike/expiry/rate/vol is 1.5708/1.56/20141212/0.001/0.086757364716334</t>
  </si>
  <si>
    <t>2014-12-11 17:31:52.326: BSGamma - price/strike/expiry/rate/vol is 1.5708/1.565/20141212/0.001/0.079829657421584</t>
  </si>
  <si>
    <t>2014-12-11 17:31:52.365: BSGamma - price/strike/expiry/rate/vol is 1.5708/1.565/20141212/0.001/0.079829657421584</t>
  </si>
  <si>
    <t>2014-12-11 17:31:52.403: BSGamma - price/strike/expiry/rate/vol is 1.5708/1.57/20141212/0.001/7.74593881074566E-02</t>
  </si>
  <si>
    <t>2014-12-11 17:31:52.422: BSGamma - price/strike/expiry/rate/vol is 1.5708/1.55/20141212/0.001/0.114285093247531</t>
  </si>
  <si>
    <t>2014-12-11 17:32:0.193: BSGamma - price/strike/expiry/rate/vol is 1.5708/1.56/20141212/0.001/0.086757364716334</t>
  </si>
  <si>
    <t>2014-12-11 17:32:0.241: BSGamma - price/strike/expiry/rate/vol is 1.5708/1.56/20141212/0.001/0.086757364716334</t>
  </si>
  <si>
    <t>2014-12-11 17:32:0.413: BSGamma - price/strike/expiry/rate/vol is 1.5708/1.565/20141212/0.001/0.079829657421584</t>
  </si>
  <si>
    <t>2014-12-11 17:32:0.428: BSGamma - price/strike/expiry/rate/vol is 1.5708/1.565/20141212/0.001/0.079829657421584</t>
  </si>
  <si>
    <t>2014-12-11 17:32:0.475: BSGamma - price/strike/expiry/rate/vol is 1.5708/1.57/20141212/0.001/7.74593881074566E-02</t>
  </si>
  <si>
    <t>2014-12-11 17:32:0.506: BSGamma - price/strike/expiry/rate/vol is 1.5708/1.55/20141212/0.001/0.114285093247531</t>
  </si>
  <si>
    <t>2014-12-11 17:32:1.115: BSGamma - price/strike/expiry/rate/vol is 1.5708/1.56/20141212/0.001/0.086757364716334</t>
  </si>
  <si>
    <t>2014-12-11 17:32:1.177: BSGamma - price/strike/expiry/rate/vol is 1.5708/1.56/20141212/0.001/0.104329551000284</t>
  </si>
  <si>
    <t>2014-12-11 17:32:1.335: BSGamma - price/strike/expiry/rate/vol is 1.5708/1.56/20141212/0.001/9.12545510476232E-02</t>
  </si>
  <si>
    <t>2014-12-11 17:32:1.391: BSGamma - price/strike/expiry/rate/vol is 1.5708/1.565/20141212/0.001/6.78721336555217E-02</t>
  </si>
  <si>
    <t>2014-12-11 17:32:1.422: BSGamma - price/strike/expiry/rate/vol is 1.5708/1.565/20141212/0.001/8.89125499853253E-02</t>
  </si>
  <si>
    <t>2014-12-11 17:32:1.459: BSGamma - price/strike/expiry/rate/vol is 1.5708/1.55/20141212/0.001/0.114285093247531</t>
  </si>
  <si>
    <t>2014-12-11 17:32:1.857: DirectionIndicator - notify - price/longMA/ShortMA/prevDirection are 1.572/1.57187241592314/1.57192107782884/1</t>
  </si>
  <si>
    <t>2014-12-11 17:32:1.899: DirectionIndicator - notify - price/longMA/ShortMA/prevDirection are 1.57205/1.57190470393711/1.5719640518859/1</t>
  </si>
  <si>
    <t>2014-12-11 17:32:2.75: DirectionIndicator - notify - price/longMA/ShortMA/prevDirection are 1.572/1.571922030494/1.5719760345906/1</t>
  </si>
  <si>
    <t>2014-12-11 17:32:2.110: DirectionIndicator - notify - price/longMA/ShortMA/prevDirection are 1.57195/1.57192711585873/1.57196735639373/1</t>
  </si>
  <si>
    <t>2014-12-11 17:32:2.233: DirectionIndicator - notify - price/longMA/ShortMA/prevDirection are 1.572/1.57194036752078/1.57197823759582/1</t>
  </si>
  <si>
    <t>2014-12-11 17:32:2.406: BSGamma - price/strike/expiry/rate/vol is 1.5709/1.56/20141212/0.001/0.086757364716334</t>
  </si>
  <si>
    <t>2014-12-11 17:32:2.453: BSGamma - price/strike/expiry/rate/vol is 1.5709/1.56/20141212/0.001/0.086757364716334</t>
  </si>
  <si>
    <t>2014-12-11 17:32:2.469: BSGamma - price/strike/expiry/rate/vol is 1.5709/1.565/20141212/0.001/0.079829657421584</t>
  </si>
  <si>
    <t>2014-12-11 17:32:2.515: BSGamma - price/strike/expiry/rate/vol is 1.5709/1.565/20141212/0.001/0.079829657421584</t>
  </si>
  <si>
    <t>2014-12-11 17:32:2.547: BSGamma - price/strike/expiry/rate/vol is 1.5709/1.57/20141212/0.001/7.74593881074566E-02</t>
  </si>
  <si>
    <t>2014-12-11 17:32:2.562: BSGamma - price/strike/expiry/rate/vol is 1.5709/1.55/20141212/0.001/0.114285093247531</t>
  </si>
  <si>
    <t>2014-12-11 17:32:2.609: DirectionIndicator - notify - price/longMA/ShortMA/prevDirection are 1.57195/1.57194211888064/1.57196882506388/1</t>
  </si>
  <si>
    <t>2014-12-11 17:32:2.685: DirectionIndicator - notify - price/longMA/ShortMA/prevDirection are 1.572/1.57195264272052/1.57197921670925/1</t>
  </si>
  <si>
    <t>2014-12-11 17:32:3.263: BSGamma - price/strike/expiry/rate/vol is 1.5709/1.56/20141212/0.001/9.51512915436297E-02</t>
  </si>
  <si>
    <t>2014-12-11 17:32:3.304: BSGamma - price/strike/expiry/rate/vol is 1.5709/1.56/20141212/0.001/9.51512915436297E-02</t>
  </si>
  <si>
    <t>2014-12-11 17:32:3.352: BSGamma - price/strike/expiry/rate/vol is 1.5709/1.56/20141212/0.001/9.84511560813356E-02</t>
  </si>
  <si>
    <t>2014-12-11 17:32:3.396: BSGamma - price/strike/expiry/rate/vol is 1.5709/1.56/20141212/0.001/9.51512915436297E-02</t>
  </si>
  <si>
    <t>2014-12-11 17:32:3.436: BSGamma - price/strike/expiry/rate/vol is 1.5709/1.56/20141212/0.001/8.32503704339842E-02</t>
  </si>
  <si>
    <t>2014-12-11 17:32:3.452: BSGamma - price/strike/expiry/rate/vol is 1.5709/1.56/20141212/0.001/0.091901868942523</t>
  </si>
  <si>
    <t>2014-12-11 17:32:3.489: BSGamma - price/strike/expiry/rate/vol is 1.5709/1.565/20141212/0.001/0.083932078195943</t>
  </si>
  <si>
    <t>2014-12-11 17:32:3.520: BSGamma - price/strike/expiry/rate/vol is 1.5709/1.565/20141212/0.001/6.39007986853679E-02</t>
  </si>
  <si>
    <t>2014-12-11 17:32:3.563: BSGamma - price/strike/expiry/rate/vol is 1.5709/1.565/20141212/0.001/8.60827612093652E-02</t>
  </si>
  <si>
    <t>2014-12-11 17:32:3.603: BSGamma - price/strike/expiry/rate/vol is 1.5709/1.565/20141212/0.001/0.083932078195943</t>
  </si>
  <si>
    <t>2014-12-11 17:32:3.616: BSGamma - price/strike/expiry/rate/vol is 1.5709/1.565/20141212/0.001/7.80922708006349E-02</t>
  </si>
  <si>
    <t>2014-12-11 17:32:3.654: BSGamma - price/strike/expiry/rate/vol is 1.5709/1.565/20141212/0.001/8.60811183052333E-02</t>
  </si>
  <si>
    <t>2014-12-11 17:32:3.686: BSGamma - price/strike/expiry/rate/vol is 1.5709/1.57/20141212/0.001/7.73014673318642E-02</t>
  </si>
  <si>
    <t>2014-12-11 17:32:3.724: BSGamma - price/strike/expiry/rate/vol is 1.5709/1.57/20141212/0.001/7.00171404338105E-02</t>
  </si>
  <si>
    <t>2014-12-11 17:32:3.739: BSGamma - price/strike/expiry/rate/vol is 1.5709/1.57/20141212/0.001/0.078775837682053</t>
  </si>
  <si>
    <t>2014-12-11 17:32:3.780: BSGamma - price/strike/expiry/rate/vol is 1.5709/1.55/20141212/0.001/0.131355525689855</t>
  </si>
  <si>
    <t>2014-12-11 17:32:3.811: BSGamma - price/strike/expiry/rate/vol is 1.5709/1.55/20141212/0.001/0.131355525689855</t>
  </si>
  <si>
    <t>2014-12-11 17:32:3.850: BSGamma - price/strike/expiry/rate/vol is 1.5709/1.55/20141212/0.001/0.125177181263776</t>
  </si>
  <si>
    <t>2014-12-11 17:32:3.903: DirectionIndicator - notify - price/longMA/ShortMA/prevDirection are 1.57195/1.57195216222588/1.57196947780617/1</t>
  </si>
  <si>
    <t>2014-12-11 17:32:5.490: BSGamma - price/strike/expiry/rate/vol is 1.5709/1.56/20141212/0.001/9.84511560813356E-02</t>
  </si>
  <si>
    <t>2014-12-11 17:32:5.556: BSGamma - price/strike/expiry/rate/vol is 1.5709/1.55/20141212/0.001/0.125177181263776</t>
  </si>
  <si>
    <t>2014-12-11 17:32:6.799: DirectionIndicator - notify - price/longMA/ShortMA/prevDirection are 1.572/1.57196086000299/1.57197965187078/1</t>
  </si>
  <si>
    <t>2014-12-11 17:32:6.877: DirectionIndicator - notify - price/longMA/ShortMA/prevDirection are 1.57205/1.57197706727518/1.57200310124719/1</t>
  </si>
  <si>
    <t>2014-12-11 17:32:7.86: BSGamma - price/strike/expiry/rate/vol is 1.5709/1.56/20141212/0.001/0.088629826715902</t>
  </si>
  <si>
    <t>2014-12-11 17:32:7.303: BSGamma - price/strike/expiry/rate/vol is 1.5709/1.56/20141212/0.001/0.088629826715902</t>
  </si>
  <si>
    <t>2014-12-11 17:32:7.390: BSGamma - price/strike/expiry/rate/vol is 1.5709/1.56/20141212/0.001/0.088629826715902</t>
  </si>
  <si>
    <t>2014-12-11 17:32:7.484: BSGamma - price/strike/expiry/rate/vol is 1.5709/1.565/20141212/0.001/8.16081892558884E-02</t>
  </si>
  <si>
    <t>2014-12-11 17:32:7.547: BSGamma - price/strike/expiry/rate/vol is 1.5709/1.57/20141212/0.001/7.77522139058817E-02</t>
  </si>
  <si>
    <t>2014-12-11 17:32:7.588: BSGamma - price/strike/expiry/rate/vol is 1.5709/1.565/20141212/0.001/8.16081892558884E-02</t>
  </si>
  <si>
    <t>2014-12-11 17:32:7.607: BSGamma - price/strike/expiry/rate/vol is 1.5709/1.55/20141212/0.001/0.125177181263776</t>
  </si>
  <si>
    <t>2014-12-11 17:32:7.657: BSGamma - price/strike/expiry/rate/vol is 1.5709/1.55/20141212/0.001/0.112170087966064</t>
  </si>
  <si>
    <t>2014-12-11 17:32:9.65: BSGamma - price/strike/expiry/rate/vol is 1.5709/1.56/20141212/0.001/0.088629826715902</t>
  </si>
  <si>
    <t>2014-12-11 17:32:9.283: BSGamma - price/strike/expiry/rate/vol is 1.5709/1.55/20141212/0.001/0.112170087966064</t>
  </si>
  <si>
    <t>2014-12-11 17:32:11.73: BSGamma - price/strike/expiry/rate/vol is 1.5709/1.56/20141212/0.001/8.86572274559967E-02</t>
  </si>
  <si>
    <t>2014-12-11 17:32:11.123: BSGamma - price/strike/expiry/rate/vol is 1.5709/1.56/20141212/0.001/8.86572274559967E-02</t>
  </si>
  <si>
    <t>2014-12-11 17:32:11.288: BSGamma - price/strike/expiry/rate/vol is 1.5709/1.56/20141212/0.001/8.86572274559967E-02</t>
  </si>
  <si>
    <t>2014-12-11 17:32:11.344: BSGamma - price/strike/expiry/rate/vol is 1.5709/1.565/20141212/0.001/8.16016966823838E-02</t>
  </si>
  <si>
    <t>2014-12-11 17:32:11.363: BSGamma - price/strike/expiry/rate/vol is 1.5709/1.565/20141212/0.001/6.86319714160838E-02</t>
  </si>
  <si>
    <t>2014-12-11 17:32:11.410: BSGamma - price/strike/expiry/rate/vol is 1.5709/1.565/20141212/0.001/8.16016966823838E-02</t>
  </si>
  <si>
    <t>2014-12-11 17:32:11.441: BSGamma - price/strike/expiry/rate/vol is 1.5709/1.57/20141212/0.001/7.76505339721609E-02</t>
  </si>
  <si>
    <t>2014-12-11 17:32:11.473: BSGamma - price/strike/expiry/rate/vol is 1.5709/1.55/20141212/0.001/0.112081393193279</t>
  </si>
  <si>
    <t>2014-12-11 17:32:11.488: BSGamma - price/strike/expiry/rate/vol is 1.5709/1.55/20141212/0.001/0.112081393193279</t>
  </si>
  <si>
    <t>2014-12-11 17:32:32.293: BSGamma - price/strike/expiry/rate/vol is 1.5709/1.56/20141212/0.001/9.27851726162316E-02</t>
  </si>
  <si>
    <t>2014-12-11 17:32:32.312: BSGamma - price/strike/expiry/rate/vol is 1.5709/1.565/20141212/0.001/8.20905400290144E-02</t>
  </si>
  <si>
    <t>2014-12-11 17:32:32.366: BSGamma - price/strike/expiry/rate/vol is 1.5709/1.565/20141212/0.001/8.20905400290144E-02</t>
  </si>
  <si>
    <t>2014-12-11 17:32:32.401: BSGamma - price/strike/expiry/rate/vol is 1.5709/1.57/20141212/0.001/7.68522222305705E-02</t>
  </si>
  <si>
    <t>2014-12-11 17:32:32.418: BSGamma - price/strike/expiry/rate/vol is 1.5709/1.55/20141212/0.001/0.130543382157157</t>
  </si>
  <si>
    <t>2014-12-11 17:32:33.89: BSGamma - price/strike/expiry/rate/vol is 1.5709/1.56/20141212/0.001/8.86572274559967E-02</t>
  </si>
  <si>
    <t>2014-12-11 17:32:33.138: BSGamma - price/strike/expiry/rate/vol is 1.5709/1.56/20141212/0.001/9.84511560813356E-02</t>
  </si>
  <si>
    <t>2014-12-11 17:32:33.208: BSGamma - price/strike/expiry/rate/vol is 1.5709/1.56/20141212/0.001/8.32503704339842E-02</t>
  </si>
  <si>
    <t>2014-12-11 17:32:33.236: BSGamma - price/strike/expiry/rate/vol is 1.5709/1.56/20141212/0.001/0.091901868942523</t>
  </si>
  <si>
    <t>2014-12-11 17:32:33.275: BSGamma - price/strike/expiry/rate/vol is 1.5709/1.565/20141212/0.001/6.39007986853679E-02</t>
  </si>
  <si>
    <t>2014-12-11 17:32:33.294: BSGamma - price/strike/expiry/rate/vol is 1.5709/1.565/20141212/0.001/8.60827612093652E-02</t>
  </si>
  <si>
    <t>2014-12-11 17:32:33.334: BSGamma - price/strike/expiry/rate/vol is 1.5709/1.565/20141212/0.001/7.80922708006349E-02</t>
  </si>
  <si>
    <t>2014-12-11 17:32:33.362: BSGamma - price/strike/expiry/rate/vol is 1.5709/1.565/20141212/0.001/8.60811183052333E-02</t>
  </si>
  <si>
    <t>2014-12-11 17:32:33.437: BSGamma - price/strike/expiry/rate/vol is 1.5709/1.57/20141212/0.001/7.00171404338105E-02</t>
  </si>
  <si>
    <t>2014-12-11 17:32:33.451: BSGamma - price/strike/expiry/rate/vol is 1.5709/1.57/20141212/0.001/0.078775837682053</t>
  </si>
  <si>
    <t>2014-12-11 17:32:33.492: BSGamma - price/strike/expiry/rate/vol is 1.5709/1.55/20141212/0.001/0.130543382157157</t>
  </si>
  <si>
    <t>2014-12-11 17:32:33.528: BSGamma - price/strike/expiry/rate/vol is 1.5709/1.55/20141212/0.001/0.125177181263776</t>
  </si>
  <si>
    <t>2014-12-11 17:32:45.253: Util - logStaleData - Data is stale!</t>
  </si>
  <si>
    <t>2014-12-11 17:32:51.45: Util - logStaleData - Data is stale!</t>
  </si>
  <si>
    <t>2014-12-11 17:32:53.298: BSGamma - price/strike/expiry/rate/vol is 1.5707/1.55/20141212/0.001/0.125177181263776</t>
  </si>
  <si>
    <t>2014-12-11 17:32:55.308: BSGamma - price/strike/expiry/rate/vol is 1.5707/1.56/20141212/0.001/8.66371975270681E-02</t>
  </si>
  <si>
    <t>2014-12-11 17:32:55.355: BSGamma - price/strike/expiry/rate/vol is 1.5707/1.56/20141212/0.001/8.66371975270681E-02</t>
  </si>
  <si>
    <t>2014-12-11 17:32:55.402: BSGamma - price/strike/expiry/rate/vol is 1.5707/1.565/20141212/0.001/7.98660228934978E-02</t>
  </si>
  <si>
    <t>2014-12-11 17:32:55.417: BSGamma - price/strike/expiry/rate/vol is 1.5707/1.565/20141212/0.001/7.98660228934978E-02</t>
  </si>
  <si>
    <t>2014-12-11 17:32:55.433: BSGamma - price/strike/expiry/rate/vol is 1.5707/1.57/20141212/0.001/7.73840777958128E-02</t>
  </si>
  <si>
    <t>2014-12-11 17:32:55.480: BSGamma - price/strike/expiry/rate/vol is 1.5707/1.56/20141212/0.001/8.21077086636385E-02</t>
  </si>
  <si>
    <t>2014-12-11 17:32:55.527: BSGamma - price/strike/expiry/rate/vol is 1.5707/1.565/20141212/0.001/7.65880086739724E-02</t>
  </si>
  <si>
    <t>2014-12-11 17:32:55.558: BSGamma - price/strike/expiry/rate/vol is 1.5707/1.565/20141212/0.001/8.43323604312303E-02</t>
  </si>
  <si>
    <t>2014-12-11 17:32:55.589: BSGamma - price/strike/expiry/rate/vol is 1.5707/1.57/20141212/0.001/7.32999544211862E-02</t>
  </si>
  <si>
    <t>2014-12-11 17:32:55.636: BSGamma - price/strike/expiry/rate/vol is 1.5707/1.55/20141212/0.001/0.125177181263776</t>
  </si>
  <si>
    <t>2014-12-11 17:32:55.683: BSGamma - price/strike/expiry/rate/vol is 1.5707/1.55/20141212/0.001/0.113047235401808</t>
  </si>
  <si>
    <t>2014-12-11 17:32:59.62: BSGamma - price/strike/expiry/rate/vol is 1.5707/1.56/20141212/0.001/9.14039866440248E-02</t>
  </si>
  <si>
    <t>2014-12-11 17:32:59.275: BSGamma - price/strike/expiry/rate/vol is 1.5707/1.56/20141212/0.001/9.14039866440248E-02</t>
  </si>
  <si>
    <t>2014-12-11 17:32:59.305: BSGamma - price/strike/expiry/rate/vol is 1.5707/1.565/20141212/0.001/8.11245088427199E-02</t>
  </si>
  <si>
    <t>2014-12-11 17:32:59.325: BSGamma - price/strike/expiry/rate/vol is 1.5707/1.565/20141212/0.001/8.11245088427199E-02</t>
  </si>
  <si>
    <t>2014-12-11 17:32:59.356: BSGamma - price/strike/expiry/rate/vol is 1.5707/1.57/20141212/0.001/7.67619534197479E-02</t>
  </si>
  <si>
    <t>2014-12-11 17:32:59.363: BSGamma - price/strike/expiry/rate/vol is 1.5707/1.55/20141212/0.001/0.129713709381747</t>
  </si>
  <si>
    <t>2014-12-11 17:33:8.21: DirectionIndicator - notify - price/longMA/ShortMA/prevDirection are 1.57195/1.57197214595242/1.57198540083146/1</t>
  </si>
  <si>
    <t>2014-12-11 17:33:8.58: DirectionIndicator - notify - price/longMA/ShortMA/prevDirection are 1.57185/1.57194993759743/1.57194026722097/1</t>
  </si>
  <si>
    <t>2014-12-11 17:33:8.656: DirectionIndicator - notify - price/longMA/ShortMA/prevDirection are 1.5718/1.57192267621608/1.57189351148065/1</t>
  </si>
  <si>
    <t>2014-12-11 17:33:8.781: DirectionIndicator - notify - price/longMA/ShortMA/prevDirection are 1.57175/1.57189128054043/1.57184567432043/-1</t>
  </si>
  <si>
    <t>2014-12-11 17:33:9.276: BSGamma - price/strike/expiry/rate/vol is 1.5707/1.56/20141212/0.001/9.14039866440248E-02</t>
  </si>
  <si>
    <t>2014-12-11 17:33:9.290: BSGamma - price/strike/expiry/rate/vol is 1.5707/1.56/20141212/0.001/9.71628407987759E-02</t>
  </si>
  <si>
    <t>2014-12-11 17:33:9.326: BSGamma - price/strike/expiry/rate/vol is 1.5707/1.565/20141212/0.001/0.062399800517372</t>
  </si>
  <si>
    <t>2014-12-11 17:33:9.357: BSGamma - price/strike/expiry/rate/vol is 1.5707/1.565/20141212/0.001/8.80676477036073E-02</t>
  </si>
  <si>
    <t>2014-12-11 17:33:9.405: BSGamma - price/strike/expiry/rate/vol is 1.5707/1.565/20141212/0.001/8.06147910279453E-02</t>
  </si>
  <si>
    <t>2014-12-11 17:33:9.489: BSGamma - price/strike/expiry/rate/vol is 1.5707/1.57/20141212/0.001/7.03792375573799E-02</t>
  </si>
  <si>
    <t>2014-12-11 17:33:9.504: BSGamma - price/strike/expiry/rate/vol is 1.5707/1.57/20141212/0.001/7.91231478686827E-02</t>
  </si>
  <si>
    <t>2014-12-11 17:33:9.528: BSGamma - price/strike/expiry/rate/vol is 1.5707/1.55/20141212/0.001/0.129713709381747</t>
  </si>
  <si>
    <t>2014-12-11 17:33:9.701: DirectionIndicator - notify - price/longMA/ShortMA/prevDirection are 1.5718/1.57187468407853/1.57183044954695/-1</t>
  </si>
  <si>
    <t>2014-12-11 17:33:9.724: DirectionIndicator - notify - price/longMA/ShortMA/prevDirection are 1.57185/1.57187019606425/1.57183696636464/-1</t>
  </si>
  <si>
    <t>2014-12-11 17:33:10.63: DirectionIndicator - notify - price/longMA/ShortMA/prevDirection are 1.5718/1.57185743314348/1.57182464424309/-1</t>
  </si>
  <si>
    <t>2014-12-11 17:33:11.115: BSGamma - price/strike/expiry/rate/vol is 1.5707/1.56/20141212/0.001/9.71628407987759E-02</t>
  </si>
  <si>
    <t>2014-12-11 17:33:11.182: BSGamma - price/strike/expiry/rate/vol is 1.5707/1.56/20141212/0.001/0.103697226955743</t>
  </si>
  <si>
    <t>2014-12-11 17:33:11.325: BSGamma - price/strike/expiry/rate/vol is 1.5707/1.565/20141212/0.001/9.17762555937081E-02</t>
  </si>
  <si>
    <t>2014-12-11 17:33:11.351: BSGamma - price/strike/expiry/rate/vol is 1.5707/1.57/20141212/0.001/8.20347329107426E-02</t>
  </si>
  <si>
    <t>2014-12-11 17:33:11.399: BSGamma - price/strike/expiry/rate/vol is 1.5707/1.56/20141212/0.001/8.74890150790293E-02</t>
  </si>
  <si>
    <t>2014-12-11 17:33:11.439: BSGamma - price/strike/expiry/rate/vol is 1.5707/1.56/20141212/0.001/8.74890150790293E-02</t>
  </si>
  <si>
    <t>2014-12-11 17:33:11.452: BSGamma - price/strike/expiry/rate/vol is 1.5707/1.565/20141212/0.001/8.12724479292513E-02</t>
  </si>
  <si>
    <t>2014-12-11 17:33:11.488: BSGamma - price/strike/expiry/rate/vol is 1.5707/1.565/20141212/0.001/8.12724479292513E-02</t>
  </si>
  <si>
    <t>2014-12-11 17:33:11.521: BSGamma - price/strike/expiry/rate/vol is 1.5707/1.57/20141212/0.001/7.90612728696942E-02</t>
  </si>
  <si>
    <t>2014-12-11 17:33:11.539: BSGamma - price/strike/expiry/rate/vol is 1.5707/1.55/20141212/0.001/0.129713709381747</t>
  </si>
  <si>
    <t>2014-12-11 17:33:11.576: BSGamma - price/strike/expiry/rate/vol is 1.5707/1.55/20141212/0.001/0.111938325649163</t>
  </si>
  <si>
    <t>2014-12-11 17:33:13.60: BSGamma - price/strike/expiry/rate/vol is 1.5707/1.57/20141212/0.001/7.91231478686827E-02</t>
  </si>
  <si>
    <t>2014-12-11 17:33:15.276: BSGamma - price/strike/expiry/rate/vol is 1.5707/1.56/20141212/0.001/8.74890150790293E-02</t>
  </si>
  <si>
    <t>2014-12-11 17:33:15.402: BSGamma - price/strike/expiry/rate/vol is 1.5707/1.55/20141212/0.001/0.111938325649163</t>
  </si>
  <si>
    <t>2014-12-11 17:33:16.290: BSGamma - price/strike/expiry/rate/vol is 1.5707/1.56/20141212/0.001/8.72672013310023E-02</t>
  </si>
  <si>
    <t>2014-12-11 17:33:16.336: BSGamma - price/strike/expiry/rate/vol is 1.5707/1.56/20141212/0.001/8.72672013310023E-02</t>
  </si>
  <si>
    <t>2014-12-11 17:33:16.371: BSGamma - price/strike/expiry/rate/vol is 1.5707/1.565/20141212/0.001/8.09227111968482E-02</t>
  </si>
  <si>
    <t>2014-12-11 17:33:16.388: BSGamma - price/strike/expiry/rate/vol is 1.5707/1.565/20141212/0.001/8.09227111968482E-02</t>
  </si>
  <si>
    <t>2014-12-11 17:33:16.409: BSGamma - price/strike/expiry/rate/vol is 1.5707/1.57/20141212/0.001/7.86782820327119E-02</t>
  </si>
  <si>
    <t>2014-12-11 17:33:16.439: BSGamma - price/strike/expiry/rate/vol is 1.5707/1.55/20141212/0.001/0.112256364509335</t>
  </si>
  <si>
    <t>2014-12-11 17:33:21.186: BSGamma - price/strike/expiry/rate/vol is 1.5707/1.565/20141212/0.001/6.71116470610664E-02</t>
  </si>
  <si>
    <t>2014-12-11 17:33:39.223: DirectionIndicator - notify - price/longMA/ShortMA/prevDirection are 1.5718/1.57184588499688/1.57182206410804/-1</t>
  </si>
  <si>
    <t>2014-12-11 17:33:39.439: DirectionIndicator - notify - price/longMA/ShortMA/prevDirection are 1.57175/1.57182845136108/1.57179804273869/-1</t>
  </si>
  <si>
    <t>2014-12-11 17:33:40.127: BSGamma - price/strike/expiry/rate/vol is 1.5706/1.56/20141212/0.001/8.71816236669645E-02</t>
  </si>
  <si>
    <t>2014-12-11 17:33:40.185: BSGamma - price/strike/expiry/rate/vol is 1.5706/1.56/20141212/0.001/8.71816236669645E-02</t>
  </si>
  <si>
    <t>2014-12-11 17:33:40.232: BSGamma - price/strike/expiry/rate/vol is 1.5706/1.565/20141212/0.001/8.06189540761864E-02</t>
  </si>
  <si>
    <t>2014-12-11 17:33:40.247: BSGamma - price/strike/expiry/rate/vol is 1.5706/1.565/20141212/0.001/8.06189540761864E-02</t>
  </si>
  <si>
    <t>2014-12-11 17:33:40.282: BSGamma - price/strike/expiry/rate/vol is 1.5706/1.57/20141212/0.001/7.76157527027976E-02</t>
  </si>
  <si>
    <t>2014-12-11 17:33:40.316: BSGamma - price/strike/expiry/rate/vol is 1.5706/1.55/20141212/0.001/0.110985367500575</t>
  </si>
  <si>
    <t>2014-12-11 17:33:41.250: BSGamma - price/strike/expiry/rate/vol is 1.5706/1.56/20141212/0.001/8.71816236669645E-02</t>
  </si>
  <si>
    <t>2014-12-11 17:33:41.353: BSGamma - price/strike/expiry/rate/vol is 1.5706/1.55/20141212/0.001/0.110985367500575</t>
  </si>
  <si>
    <t>2014-12-11 17:34:3.317: BSGamma - price/strike/expiry/rate/vol is 1.5705/1.57/20141212/0.001/7.07349729439222E-02</t>
  </si>
  <si>
    <t>2014-12-11 17:34:3.359: BSGamma - price/strike/expiry/rate/vol is 1.5705/1.55/20141212/0.001/0.110985367500575</t>
  </si>
  <si>
    <t>2014-12-11 17:34:8.430: Util - logStaleData - Data is stale!</t>
  </si>
  <si>
    <t>2014-12-11 17:34:9.4: Util - logStaleData - Data is stale!</t>
  </si>
  <si>
    <t>2014-12-11 17:34:9.232: BSGamma - price/strike/expiry/rate/vol is 1.5705/1.56/20141212/0.001/9.58714320768706E-02</t>
  </si>
  <si>
    <t>2014-12-11 17:34:9.454: BSGamma - price/strike/expiry/rate/vol is 1.5705/1.565/20141212/0.001/8.63091777064123E-02</t>
  </si>
  <si>
    <t>2014-12-11 17:34:9.520: BSGamma - price/strike/expiry/rate/vol is 1.5705/1.55/20141212/0.001/0.110985367500575</t>
  </si>
  <si>
    <t>2014-12-11 17:34:11.201: BSGamma - price/strike/expiry/rate/vol is 1.5705/1.56/20141212/0.001/8.65357411244361E-02</t>
  </si>
  <si>
    <t>2014-12-11 17:34:11.419: BSGamma - price/strike/expiry/rate/vol is 1.5705/1.56/20141212/0.001/8.65357411244361E-02</t>
  </si>
  <si>
    <t>2014-12-11 17:34:11.497: BSGamma - price/strike/expiry/rate/vol is 1.5705/1.565/20141212/0.001/7.97524760302224E-02</t>
  </si>
  <si>
    <t>2014-12-11 17:34:11.528: BSGamma - price/strike/expiry/rate/vol is 1.5705/1.565/20141212/0.001/7.97524760302224E-02</t>
  </si>
  <si>
    <t>2014-12-11 17:34:11.575: BSGamma - price/strike/expiry/rate/vol is 1.5705/1.57/20141212/0.001/7.69011105119262E-02</t>
  </si>
  <si>
    <t>2014-12-11 17:34:11.591: BSGamma - price/strike/expiry/rate/vol is 1.5705/1.55/20141212/0.001/0.111897970040701</t>
  </si>
  <si>
    <t>2014-12-11 17:34:20.58: BSGamma - price/strike/expiry/rate/vol is 1.5705/1.56/20141212/0.001/9.02499455347083E-02</t>
  </si>
  <si>
    <t>2014-12-11 17:34:20.271: BSGamma - price/strike/expiry/rate/vol is 1.5705/1.56/20141212/0.001/9.02499455347083E-02</t>
  </si>
  <si>
    <t>2014-12-11 17:34:20.319: BSGamma - price/strike/expiry/rate/vol is 1.5705/1.565/20141212/0.001/8.06072745282904E-02</t>
  </si>
  <si>
    <t>2014-12-11 17:34:20.362: BSGamma - price/strike/expiry/rate/vol is 1.5705/1.565/20141212/0.001/8.06072745282904E-02</t>
  </si>
  <si>
    <t>2014-12-11 17:34:20.403: BSGamma - price/strike/expiry/rate/vol is 1.5705/1.57/20141212/0.001/7.62321810910862E-02</t>
  </si>
  <si>
    <t>2014-12-11 17:34:20.423: BSGamma - price/strike/expiry/rate/vol is 1.5705/1.55/20141212/0.001/0.125338020255469</t>
  </si>
  <si>
    <t>2014-12-11 17:34:25.231: BSGamma - price/strike/expiry/rate/vol is 1.5705/1.56/20141212/0.001/9.02499455347083E-02</t>
  </si>
  <si>
    <t>2014-12-11 17:34:26.322: DirectionIndicator - notify - price/longMA/ShortMA/prevDirection are 1.5716/1.57178691474997/1.57173202849246/-1</t>
  </si>
  <si>
    <t>2014-12-11 17:34:27.9: Util - logStaleData - Data is stale!</t>
  </si>
  <si>
    <t>2014-12-11 17:34:27.205: DirectionIndicator - notify - price/longMA/ShortMA/prevDirection are 1.57165/1.57176202115907/1.57170468566164/-1</t>
  </si>
  <si>
    <t>2014-12-11 17:34:27.418: BSGamma - price/strike/expiry/rate/vol is 1.5705/1.56/20141212/0.001/9.02499455347083E-02</t>
  </si>
  <si>
    <t>2014-12-11 17:34:27.528: BSGamma - price/strike/expiry/rate/vol is 1.5705/1.55/20141212/0.001/0.125338020255469</t>
  </si>
  <si>
    <t>2014-12-11 17:34:27.576: BSGamma - price/strike/expiry/rate/vol is 1.5705/1.56/20141212/0.001/0.092419252977038</t>
  </si>
  <si>
    <t>2014-12-11 17:34:27.649: BSGamma - price/strike/expiry/rate/vol is 1.5705/1.56/20141212/0.001/0.092419252977038</t>
  </si>
  <si>
    <t>2014-12-11 17:34:27.693: BSGamma - price/strike/expiry/rate/vol is 1.5705/1.565/20141212/0.001/8.16799798708985E-02</t>
  </si>
  <si>
    <t>2014-12-11 17:34:27.736: BSGamma - price/strike/expiry/rate/vol is 1.5705/1.565/20141212/0.001/8.16799798708985E-02</t>
  </si>
  <si>
    <t>2014-12-11 17:34:27.778: BSGamma - price/strike/expiry/rate/vol is 1.5705/1.57/20141212/0.001/7.66463399876898E-02</t>
  </si>
  <si>
    <t>2014-12-11 17:34:27.818: BSGamma - price/strike/expiry/rate/vol is 1.5705/1.55/20141212/0.001/0.131014698857769</t>
  </si>
  <si>
    <t>2014-12-11 17:34:27.947: DirectionIndicator - notify - price/longMA/ShortMA/prevDirection are 1.5716/1.57173256276651/1.57166979044109/-1</t>
  </si>
  <si>
    <t>2014-12-11 17:34:29.206: BSGamma - price/strike/expiry/rate/vol is 1.5705/1.56/20141212/0.001/0.092419252977038</t>
  </si>
  <si>
    <t>2014-12-11 17:34:29.466: BSGamma - price/strike/expiry/rate/vol is 1.5705/1.55/20141212/0.001/0.131014698857769</t>
  </si>
  <si>
    <t>2014-12-11 17:34:29.540: DirectionIndicator - notify - price/longMA/ShortMA/prevDirection are 1.57155/1.57169936953624/1.57162986029406/-1</t>
  </si>
  <si>
    <t>2014-12-11 17:34:29.711: DirectionIndicator - notify - price/longMA/ShortMA/prevDirection are 1.5716/1.57168130234783/1.57161990686271/-1</t>
  </si>
  <si>
    <t>2014-12-11 17:34:31.61: BSGamma - price/strike/expiry/rate/vol is 1.5705/1.56/20141212/0.001/9.25296874565902E-02</t>
  </si>
  <si>
    <t>2014-12-11 17:34:31.276: BSGamma - price/strike/expiry/rate/vol is 1.5705/1.56/20141212/0.001/9.25296874565902E-02</t>
  </si>
  <si>
    <t>2014-12-11 17:34:31.314: BSGamma - price/strike/expiry/rate/vol is 1.5705/1.565/20141212/0.001/0.081815463677458</t>
  </si>
  <si>
    <t>2014-12-11 17:34:31.359: BSGamma - price/strike/expiry/rate/vol is 1.5705/1.565/20141212/0.001/0.081815463677458</t>
  </si>
  <si>
    <t>2014-12-11 17:34:31.405: BSGamma - price/strike/expiry/rate/vol is 1.5705/1.57/20141212/0.001/7.65698868409004E-02</t>
  </si>
  <si>
    <t>2014-12-11 17:34:31.421: BSGamma - price/strike/expiry/rate/vol is 1.5705/1.55/20141212/0.001/0.130364075842692</t>
  </si>
  <si>
    <t>2014-12-11 17:34:33.8: Util - logStaleData - Data is stale!</t>
  </si>
  <si>
    <t>2014-12-11 17:34:33.39: DirectionIndicator - notify - price/longMA/ShortMA/prevDirection are 1.57155/1.57165742919368/1.57159660457514/-1</t>
  </si>
  <si>
    <t>2014-12-11 17:34:33.429: BSGamma - price/strike/expiry/rate/vol is 1.5704/1.56/20141212/0.001/3.88494332988045E-02</t>
  </si>
  <si>
    <t>2014-12-11 17:34:33.476: BSGamma - price/strike/expiry/rate/vol is 1.5704/1.56/20141212/0.001/0.10176006551435</t>
  </si>
  <si>
    <t>2014-12-11 17:34:33.507: BSGamma - price/strike/expiry/rate/vol is 1.5704/1.56/20141212/0.001/8.04042562168163E-02</t>
  </si>
  <si>
    <t>2014-12-11 17:34:33.523: BSGamma - price/strike/expiry/rate/vol is 1.5704/1.56/20141212/0.001/8.86566944537566E-02</t>
  </si>
  <si>
    <t>2014-12-11 17:34:33.569: BSGamma - price/strike/expiry/rate/vol is 1.5704/1.565/20141212/0.001/6.96065457767129E-02</t>
  </si>
  <si>
    <t>2014-12-11 17:34:33.601: BSGamma - price/strike/expiry/rate/vol is 1.5704/1.565/20141212/0.001/8.91279228392621E-02</t>
  </si>
  <si>
    <t>2014-12-11 17:34:33.663: BSGamma - price/strike/expiry/rate/vol is 1.5704/1.565/20141212/0.001/7.79388441707673E-02</t>
  </si>
  <si>
    <t>2014-12-11 17:34:33.679: BSGamma - price/strike/expiry/rate/vol is 1.5704/1.565/20141212/0.001/8.53893809989069E-02</t>
  </si>
  <si>
    <t>2014-12-11 17:34:33.725: BSGamma - price/strike/expiry/rate/vol is 1.5704/1.57/20141212/0.001/0.072356890277034</t>
  </si>
  <si>
    <t>2014-12-11 17:34:33.741: BSGamma - price/strike/expiry/rate/vol is 1.5704/1.57/20141212/0.001/7.82070754136759E-02</t>
  </si>
  <si>
    <t>2014-12-11 17:34:33.788: BSGamma - price/strike/expiry/rate/vol is 1.5704/1.55/20141212/0.001/0.130364075842692</t>
  </si>
  <si>
    <t>2014-12-11 17:34:33.803: BSGamma - price/strike/expiry/rate/vol is 1.5704/1.55/20141212/0.001/0.122594270191352</t>
  </si>
  <si>
    <t>2014-12-11 17:34:33.850: BSGamma - price/strike/expiry/rate/vol is 1.5704/1.56/20141212/0.001/9.25296874565902E-02</t>
  </si>
  <si>
    <t>2014-12-11 17:34:33.897: BSGamma - price/strike/expiry/rate/vol is 1.5704/1.56/20141212/0.001/9.25296874565902E-02</t>
  </si>
  <si>
    <t>2014-12-11 17:34:33.913: BSGamma - price/strike/expiry/rate/vol is 1.5704/1.565/20141212/0.001/0.081815463677458</t>
  </si>
  <si>
    <t>2014-12-11 17:34:33.946: BSGamma - price/strike/expiry/rate/vol is 1.5704/1.565/20141212/0.001/0.081815463677458</t>
  </si>
  <si>
    <t>2014-12-11 17:34:33.978: BSGamma - price/strike/expiry/rate/vol is 1.5704/1.57/20141212/0.001/7.65698868409004E-02</t>
  </si>
  <si>
    <t>2014-12-11 17:34:33.994: BSGamma - price/strike/expiry/rate/vol is 1.5704/1.55/20141212/0.001/0.130364075842692</t>
  </si>
  <si>
    <t>2014-12-11 17:34:34.83: DirectionIndicator - notify - price/longMA/ShortMA/prevDirection are 1.5715/1.57162880570392/1.57156440305009/-1</t>
  </si>
  <si>
    <t>2014-12-11 17:34:34.421: DirectionIndicator - notify - price/longMA/ShortMA/prevDirection are 1.57145/1.57159629557593/1.57152626870006/-1</t>
  </si>
  <si>
    <t>2014-12-11 17:34:34.653: DirectionIndicator - notify - price/longMA/ShortMA/prevDirection are 1.5715/1.5715787872894/1.57151751246671/-1</t>
  </si>
  <si>
    <t>2014-12-11 17:34:34.860: DirectionIndicator - notify - price/longMA/ShortMA/prevDirection are 1.57155/1.57157355323678/1.57152834164447/-1</t>
  </si>
  <si>
    <t>2014-12-11 17:34:35.298: BSGamma - price/strike/expiry/rate/vol is 1.5704/1.56/20141212/0.001/9.19588130338411E-02</t>
  </si>
  <si>
    <t>2014-12-11 17:34:35.365: BSGamma - price/strike/expiry/rate/vol is 1.5704/1.56/20141212/0.001/9.19588130338411E-02</t>
  </si>
  <si>
    <t>2014-12-11 17:34:35.428: BSGamma - price/strike/expiry/rate/vol is 1.5704/1.565/20141212/0.001/8.14583472004529E-02</t>
  </si>
  <si>
    <t>2014-12-11 17:34:35.475: BSGamma - price/strike/expiry/rate/vol is 1.5704/1.565/20141212/0.001/8.14583472004529E-02</t>
  </si>
  <si>
    <t>2014-12-11 17:34:35.491: BSGamma - price/strike/expiry/rate/vol is 1.5704/1.57/20141212/0.001/7.66195803048504E-02</t>
  </si>
  <si>
    <t>2014-12-11 17:34:35.538: BSGamma - price/strike/expiry/rate/vol is 1.5704/1.55/20141212/0.001/0.129944841514089</t>
  </si>
  <si>
    <t>2014-12-11 17:34:35.553: BSGamma - price/strike/expiry/rate/vol is 1.5704/1.55/20141212/0.001/0.129944841514089</t>
  </si>
  <si>
    <t>2014-12-11 17:34:35.662: DirectionIndicator - notify - price/longMA/ShortMA/prevDirection are 1.5715/1.571560179921/1.57151889442965/-1</t>
  </si>
  <si>
    <t>2014-12-11 17:34:37.471: DirectionIndicator - notify - price/longMA/ShortMA/prevDirection are 1.57145/1.57154014720809/1.57149592961977/-1</t>
  </si>
  <si>
    <t>2014-12-11 17:34:37.658: BSGamma - price/strike/expiry/rate/vol is 1.5704/1.56/20141212/0.001/9.19588130338411E-02</t>
  </si>
  <si>
    <t>2014-12-11 17:34:37.705: BSGamma - price/strike/expiry/rate/vol is 1.5704/1.565/20141212/0.001/6.48716371665756E-02</t>
  </si>
  <si>
    <t>2014-12-11 17:34:37.736: BSGamma - price/strike/expiry/rate/vol is 1.5704/1.55/20141212/0.001/0.129944841514089</t>
  </si>
  <si>
    <t>2014-12-11 17:34:39.67: BSGamma - price/strike/expiry/rate/vol is 1.5704/1.56/20141212/0.001/9.05718288948947E-02</t>
  </si>
  <si>
    <t>2014-12-11 17:34:39.280: BSGamma - price/strike/expiry/rate/vol is 1.5704/1.56/20141212/0.001/9.05718288948947E-02</t>
  </si>
  <si>
    <t>2014-12-11 17:34:39.360: BSGamma - price/strike/expiry/rate/vol is 1.5704/1.565/20141212/0.001/0.080579790131651</t>
  </si>
  <si>
    <t>2014-12-11 17:34:39.406: BSGamma - price/strike/expiry/rate/vol is 1.5704/1.565/20141212/0.001/0.080579790131651</t>
  </si>
  <si>
    <t>2014-12-11 17:34:39.426: BSGamma - price/strike/expiry/rate/vol is 1.5704/1.57/20141212/0.001/7.59880860415478E-02</t>
  </si>
  <si>
    <t>2014-12-11 17:34:39.455: BSGamma - price/strike/expiry/rate/vol is 1.5704/1.55/20141212/0.001/0.126756910440577</t>
  </si>
  <si>
    <t>2014-12-11 17:34:39.485: BSGamma - price/strike/expiry/rate/vol is 1.5704/1.56/20141212/0.001/9.05718288948947E-02</t>
  </si>
  <si>
    <t>2014-12-11 17:34:39.528: BSGamma - price/strike/expiry/rate/vol is 1.5704/1.565/20141212/0.001/8.54123297692804E-02</t>
  </si>
  <si>
    <t>2014-12-11 17:34:39.568: BSGamma - price/strike/expiry/rate/vol is 1.5704/1.55/20141212/0.001/0.126756910440577</t>
  </si>
  <si>
    <t>2014-12-11 17:34:43.75: BSGamma - price/strike/expiry/rate/vol is 1.5704/1.565/20141212/0.001/8.91279228392621E-02</t>
  </si>
  <si>
    <t>2014-12-11 17:34:46.954: DirectionIndicator - notify - price/longMA/ShortMA/prevDirection are 1.5715/1.57153284771571/1.57149728641318/-1</t>
  </si>
  <si>
    <t>2014-12-11 17:34:47.266: BSGamma - price/strike/expiry/rate/vol is 1.5704/1.56/20141212/0.001/9.04182218254732E-02</t>
  </si>
  <si>
    <t>2014-12-11 17:34:47.344: BSGamma - price/strike/expiry/rate/vol is 1.5704/1.56/20141212/0.001/9.04182218254732E-02</t>
  </si>
  <si>
    <t>2014-12-11 17:34:47.375: BSGamma - price/strike/expiry/rate/vol is 1.5704/1.565/20141212/0.001/8.02382811878033E-02</t>
  </si>
  <si>
    <t>2014-12-11 17:34:47.406: BSGamma - price/strike/expiry/rate/vol is 1.5704/1.565/20141212/0.001/8.02382811878033E-02</t>
  </si>
  <si>
    <t>2014-12-11 17:34:47.438: BSGamma - price/strike/expiry/rate/vol is 1.5704/1.57/20141212/0.001/7.60425684683241E-02</t>
  </si>
  <si>
    <t>2014-12-11 17:34:47.453: BSGamma - price/strike/expiry/rate/vol is 1.5704/1.55/20141212/0.001/0.128730786855328</t>
  </si>
  <si>
    <t>2014-12-11 17:34:47.484: BSGamma - price/strike/expiry/rate/vol is 1.5704/1.56/20141212/0.001/9.04182218254732E-02</t>
  </si>
  <si>
    <t>2014-12-11 17:34:47.531: BSGamma - price/strike/expiry/rate/vol is 1.5704/1.57/20141212/0.001/6.94408235580414E-02</t>
  </si>
  <si>
    <t>2014-12-11 17:34:47.562: BSGamma - price/strike/expiry/rate/vol is 1.5704/1.55/20141212/0.001/0.128730786855328</t>
  </si>
  <si>
    <t>2014-12-11 17:34:52.57: BSGamma - price/strike/expiry/rate/vol is 1.5704/1.56/20141212/0.001/8.66952283238618E-02</t>
  </si>
  <si>
    <t>2014-12-11 17:34:52.271: BSGamma - price/strike/expiry/rate/vol is 1.5704/1.56/20141212/0.001/8.66952283238618E-02</t>
  </si>
  <si>
    <t>2014-12-11 17:34:52.307: BSGamma - price/strike/expiry/rate/vol is 1.5704/1.565/20141212/0.001/7.95095505196457E-02</t>
  </si>
  <si>
    <t>2014-12-11 17:34:52.322: BSGamma - price/strike/expiry/rate/vol is 1.5704/1.565/20141212/0.001/7.95095505196457E-02</t>
  </si>
  <si>
    <t>2014-12-11 17:34:52.374: BSGamma - price/strike/expiry/rate/vol is 1.5704/1.57/20141212/0.001/7.67057656220231E-02</t>
  </si>
  <si>
    <t>2014-12-11 17:34:52.406: BSGamma - price/strike/expiry/rate/vol is 1.5704/1.55/20141212/0.001/0.114212262651932</t>
  </si>
  <si>
    <t>2014-12-11 17:34:53.60: BSGamma - price/strike/expiry/rate/vol is 1.5704/1.565/20141212/0.001/8.54123297692804E-02</t>
  </si>
  <si>
    <t>2014-12-11 17:34:57.123: Util - logStaleData - Data is stale!</t>
  </si>
  <si>
    <t>2014-12-11 17:34:57.140: BSGamma - price/strike/expiry/rate/vol is 1.5704/1.56/20141212/0.001/3.88494332988045E-02</t>
  </si>
  <si>
    <t>2014-12-11 17:34:57.205: BSGamma - price/strike/expiry/rate/vol is 1.5704/1.565/20141212/0.001/6.96065457767129E-02</t>
  </si>
  <si>
    <t>2014-12-11 17:34:57.245: BSGamma - price/strike/expiry/rate/vol is 1.5704/1.565/20141212/0.001/8.91279228392621E-02</t>
  </si>
  <si>
    <t>2014-12-11 17:34:57.283: BSGamma - price/strike/expiry/rate/vol is 1.5704/1.57/20141212/0.001/0.072356890277034</t>
  </si>
  <si>
    <t>2014-12-11 17:34:57.320: BSGamma - price/strike/expiry/rate/vol is 1.5704/1.55/20141212/0.001/0.114212262651932</t>
  </si>
  <si>
    <t>2014-12-11 17:35:31.524: Util - logStaleData - Data is stale!</t>
  </si>
  <si>
    <t>2014-12-11 17:35:31.528: Util - logStaleData - Data is stale!</t>
  </si>
  <si>
    <t>2014-12-11 17:35:31.530: Util - logStaleData - Data is stale!</t>
  </si>
  <si>
    <t>2014-12-11 17:36:2.834: Util - logStaleData - Data is stale!</t>
  </si>
  <si>
    <t>2014-12-11 17:36:3.53: BSGamma - price/strike/expiry/rate/vol is 1.5704/1.56/20141212/0.001/0.10176006551435</t>
  </si>
  <si>
    <t>2014-12-11 17:36:3.287: BSGamma - price/strike/expiry/rate/vol is 1.5704/1.56/20141212/0.001/9.01488725658623E-02</t>
  </si>
  <si>
    <t>2014-12-11 17:36:3.396: BSGamma - price/strike/expiry/rate/vol is 1.5704/1.56/20141212/0.001/9.01488725658623E-02</t>
  </si>
  <si>
    <t>2014-12-11 17:36:3.458: BSGamma - price/strike/expiry/rate/vol is 1.5704/1.565/20141212/0.001/8.06072512363016E-02</t>
  </si>
  <si>
    <t>2014-12-11 17:36:3.490: BSGamma - price/strike/expiry/rate/vol is 1.5704/1.565/20141212/0.001/8.06072512363016E-02</t>
  </si>
  <si>
    <t>2014-12-11 17:36:3.505: BSGamma - price/strike/expiry/rate/vol is 1.5704/1.57/20141212/0.001/7.62948774923302E-02</t>
  </si>
  <si>
    <t>2014-12-11 17:36:3.536: BSGamma - price/strike/expiry/rate/vol is 1.5704/1.55/20141212/0.001/0.124919857981638</t>
  </si>
  <si>
    <t>2014-12-11 17:36:3.599: BSGamma - price/strike/expiry/rate/vol is 1.5704/1.55/20141212/0.001/0.124919857981638</t>
  </si>
  <si>
    <t>2014-12-11 17:36:7.314: BSGamma - price/strike/expiry/rate/vol is 1.5704/1.55/20141212/0.001/0.124919857981638</t>
  </si>
  <si>
    <t>2014-12-11 17:36:9.337: BSGamma - price/strike/expiry/rate/vol is 1.5704/1.55/20141212/0.001/0.124919857981638</t>
  </si>
  <si>
    <t>2014-12-11 17:36:17.494: BSGamma - price/strike/expiry/rate/vol is 1.5704/1.55/20141212/0.001/0.124919857981638</t>
  </si>
  <si>
    <t>2014-12-11 17:36:55.304: BSGamma - price/strike/expiry/rate/vol is 1.5704/1.56/20141212/0.001/9.03901873583095E-02</t>
  </si>
  <si>
    <t>2014-12-11 17:36:55.518: BSGamma - price/strike/expiry/rate/vol is 1.5704/1.56/20141212/0.001/9.03901873583095E-02</t>
  </si>
  <si>
    <t>2014-12-11 17:36:55.569: BSGamma - price/strike/expiry/rate/vol is 1.5704/1.565/20141212/0.001/8.06770719024712E-02</t>
  </si>
  <si>
    <t>2014-12-11 17:36:55.589: BSGamma - price/strike/expiry/rate/vol is 1.5704/1.565/20141212/0.001/8.06770719024712E-02</t>
  </si>
  <si>
    <t>2014-12-11 17:36:55.634: BSGamma - price/strike/expiry/rate/vol is 1.5704/1.57/20141212/0.001/7.61888114669205E-02</t>
  </si>
  <si>
    <t>2014-12-11 17:36:55.666: BSGamma - price/strike/expiry/rate/vol is 1.5704/1.55/20141212/0.001/0.125490983330849</t>
  </si>
  <si>
    <t>2014-12-11 17:37:3.163: BSGamma - price/strike/expiry/rate/vol is 1.5704/1.56/20141212/0.001/9.04225225900177E-02</t>
  </si>
  <si>
    <t>2014-12-11 17:37:3.216: BSGamma - price/strike/expiry/rate/vol is 1.5704/1.56/20141212/0.001/9.04225225900177E-02</t>
  </si>
  <si>
    <t>2014-12-11 17:37:3.251: BSGamma - price/strike/expiry/rate/vol is 1.5704/1.565/20141212/0.001/8.06876611146663E-02</t>
  </si>
  <si>
    <t>2014-12-11 17:37:3.287: BSGamma - price/strike/expiry/rate/vol is 1.5704/1.565/20141212/0.001/8.06876611146663E-02</t>
  </si>
  <si>
    <t>2014-12-11 17:37:3.307: BSGamma - price/strike/expiry/rate/vol is 1.5704/1.57/20141212/0.001/7.61880474071859E-02</t>
  </si>
  <si>
    <t>2014-12-11 17:37:3.343: BSGamma - price/strike/expiry/rate/vol is 1.5704/1.56/20141212/0.001/8.87516704339371E-02</t>
  </si>
  <si>
    <t>2014-12-11 17:37:3.373: BSGamma - price/strike/expiry/rate/vol is 1.5704/1.565/20141212/0.001/6.96673990001073E-02</t>
  </si>
  <si>
    <t>2014-12-11 17:37:3.405: BSGamma - price/strike/expiry/rate/vol is 1.5704/1.565/20141212/0.001/7.80430511801756E-02</t>
  </si>
  <si>
    <t>2014-12-11 17:37:3.452: BSGamma - price/strike/expiry/rate/vol is 1.5704/1.565/20141212/0.001/8.54883197539479E-02</t>
  </si>
  <si>
    <t>2014-12-11 17:37:3.483: BSGamma - price/strike/expiry/rate/vol is 1.5704/1.55/20141212/0.001/0.125597988844163</t>
  </si>
  <si>
    <t>2014-12-11 17:37:3.514: BSGamma - price/strike/expiry/rate/vol is 1.5704/1.55/20141212/0.001/0.125597988844163</t>
  </si>
  <si>
    <t>2014-12-11 17:37:42.126: DirectionIndicator - notify - price/longMA/ShortMA/prevDirection are 1.5715/1.57152687540377/1.57149819094212/-1</t>
  </si>
  <si>
    <t>2014-12-11 17:37:42.217: DirectionIndicator - notify - price/longMA/ShortMA/prevDirection are 1.57145/1.57151289805763/1.57148212729475/-1</t>
  </si>
  <si>
    <t>2014-12-11 17:37:47.242: BSGamma - price/strike/expiry/rate/vol is 1.5703/1.56/20141212/0.001/8.55081190485123E-02</t>
  </si>
  <si>
    <t>2014-12-11 17:37:47.354: BSGamma - price/strike/expiry/rate/vol is 1.5703/1.56/20141212/0.001/8.55081190485123E-02</t>
  </si>
  <si>
    <t>2014-12-11 17:37:47.386: BSGamma - price/strike/expiry/rate/vol is 1.5703/1.565/20141212/0.001/7.91116717281852E-02</t>
  </si>
  <si>
    <t>2014-12-11 17:37:47.425: BSGamma - price/strike/expiry/rate/vol is 1.5703/1.565/20141212/0.001/7.91116717281852E-02</t>
  </si>
  <si>
    <t>2014-12-11 17:37:47.466: BSGamma - price/strike/expiry/rate/vol is 1.5703/1.57/20141212/0.001/0.076613338083888</t>
  </si>
  <si>
    <t>2014-12-11 17:37:47.539: BSGamma - price/strike/expiry/rate/vol is 1.5703/1.55/20141212/0.001/0.109995354717256</t>
  </si>
  <si>
    <t>2014-12-11 17:37:47.589: BSGamma - price/strike/expiry/rate/vol is 1.5703/1.55/20141212/0.001/0.109995354717256</t>
  </si>
  <si>
    <t>2014-12-11 17:37:49.292: BSGamma - price/strike/expiry/rate/vol is 1.5703/1.55/20141212/0.001/0.109995354717256</t>
  </si>
  <si>
    <t>2014-12-11 17:37:55.305: BSGamma - price/strike/expiry/rate/vol is 1.5703/1.565/20141212/0.001/7.91116717281852E-02</t>
  </si>
  <si>
    <t>2014-12-11 17:37:55.529: BSGamma - price/strike/expiry/rate/vol is 1.5703/1.565/20141212/0.001/9.20445386979798E-02</t>
  </si>
  <si>
    <t>2014-12-11 17:38:9.401: BSGamma - price/strike/expiry/rate/vol is 1.5704/1.55/20141212/0.001/0.109995354717256</t>
  </si>
  <si>
    <t>2014-12-11 17:38:11.65: BSGamma - price/strike/expiry/rate/vol is 1.5704/1.56/20141212/0.001/8.63151970706895E-02</t>
  </si>
  <si>
    <t>2014-12-11 17:38:11.270: BSGamma - price/strike/expiry/rate/vol is 1.5704/1.56/20141212/0.001/8.63151970706895E-02</t>
  </si>
  <si>
    <t>2014-12-11 17:38:11.330: BSGamma - price/strike/expiry/rate/vol is 1.5704/1.565/20141212/0.001/7.98950278390009E-02</t>
  </si>
  <si>
    <t>2014-12-11 17:38:11.389: BSGamma - price/strike/expiry/rate/vol is 1.5704/1.565/20141212/0.001/7.98950278390009E-02</t>
  </si>
  <si>
    <t>2014-12-11 17:38:11.416: BSGamma - price/strike/expiry/rate/vol is 1.5704/1.57/20141212/0.001/0.077029595184996</t>
  </si>
  <si>
    <t>2014-12-11 17:38:11.465: BSGamma - price/strike/expiry/rate/vol is 1.5704/1.55/20141212/0.001/0.109819745267032</t>
  </si>
  <si>
    <t>2014-12-11 17:38:13.574: BSGamma - price/strike/expiry/rate/vol is 1.5704/1.56/20141212/0.001/8.63151970706895E-02</t>
  </si>
  <si>
    <t>2014-12-11 17:38:13.605: BSGamma - price/strike/expiry/rate/vol is 1.5704/1.565/20141212/0.001/6.49521145971428E-02</t>
  </si>
  <si>
    <t>2014-12-11 17:38:13.652: BSGamma - price/strike/expiry/rate/vol is 1.5704/1.57/20141212/0.001/7.83015525016185E-02</t>
  </si>
  <si>
    <t>2014-12-11 17:38:13.667: BSGamma - price/strike/expiry/rate/vol is 1.5704/1.55/20141212/0.001/0.109819745267032</t>
  </si>
  <si>
    <t>2014-12-11 17:38:13.870: DirectionIndicator - notify - price/longMA/ShortMA/prevDirection are 1.5714/1.57149237113806/1.57145475152983/-1</t>
  </si>
  <si>
    <t>2014-12-11 17:38:13.948: DirectionIndicator - notify - price/longMA/ShortMA/prevDirection are 1.57135/1.57146648547659/1.57141983435322/-1</t>
  </si>
  <si>
    <t>2014-12-11 17:38:14.790: BSGamma - price/strike/expiry/rate/vol is 1.5703/1.56/20141212/0.001/8.63151970706895E-02</t>
  </si>
  <si>
    <t>2014-12-11 17:38:14.837: BSGamma - price/strike/expiry/rate/vol is 1.5703/1.56/20141212/0.001/8.63151970706895E-02</t>
  </si>
  <si>
    <t>2014-12-11 17:38:14.868: BSGamma - price/strike/expiry/rate/vol is 1.5703/1.565/20141212/0.001/7.98950278390009E-02</t>
  </si>
  <si>
    <t>2014-12-11 17:38:14.915: BSGamma - price/strike/expiry/rate/vol is 1.5703/1.565/20141212/0.001/7.98950278390009E-02</t>
  </si>
  <si>
    <t>2014-12-11 17:38:14.931: BSGamma - price/strike/expiry/rate/vol is 1.5703/1.57/20141212/0.001/0.077029595184996</t>
  </si>
  <si>
    <t>2014-12-11 17:38:14.962: BSGamma - price/strike/expiry/rate/vol is 1.5703/1.55/20141212/0.001/0.109819745267032</t>
  </si>
  <si>
    <t>2014-12-11 17:38:15.274: BSGamma - price/strike/expiry/rate/vol is 1.5703/1.56/20141212/0.001/0.084867319394931</t>
  </si>
  <si>
    <t>2014-12-11 17:38:15.290: BSGamma - price/strike/expiry/rate/vol is 1.5703/1.56/20141212/0.001/0.084867319394931</t>
  </si>
  <si>
    <t>2014-12-11 17:38:15.336: BSGamma - price/strike/expiry/rate/vol is 1.5703/1.56/20141212/0.001/0.101227417345184</t>
  </si>
  <si>
    <t>2014-12-11 17:38:15.368: BSGamma - price/strike/expiry/rate/vol is 1.5703/1.56/20141212/0.001/0.084867319394931</t>
  </si>
  <si>
    <t>2014-12-11 17:38:15.399: BSGamma - price/strike/expiry/rate/vol is 1.5703/1.56/20141212/0.001/7.98643331248517E-02</t>
  </si>
  <si>
    <t>2014-12-11 17:38:15.414: BSGamma - price/strike/expiry/rate/vol is 1.5703/1.56/20141212/0.001/8.80514832768767E-02</t>
  </si>
  <si>
    <t>2014-12-11 17:38:15.461: BSGamma - price/strike/expiry/rate/vol is 1.5703/1.565/20141212/0.001/7.82769754098638E-02</t>
  </si>
  <si>
    <t>2014-12-11 17:38:15.477: BSGamma - price/strike/expiry/rate/vol is 1.5703/1.565/20141212/0.001/6.41487993358536E-02</t>
  </si>
  <si>
    <t>2014-12-11 17:38:15.524: BSGamma - price/strike/expiry/rate/vol is 1.5703/1.565/20141212/0.001/8.83220780539892E-02</t>
  </si>
  <si>
    <t>2014-12-11 17:38:15.570: BSGamma - price/strike/expiry/rate/vol is 1.5703/1.565/20141212/0.001/7.82769754098638E-02</t>
  </si>
  <si>
    <t>2014-12-11 17:38:15.586: BSGamma - price/strike/expiry/rate/vol is 1.5703/1.565/20141212/0.001/7.71764472790082E-02</t>
  </si>
  <si>
    <t>2014-12-11 17:38:15.633: BSGamma - price/strike/expiry/rate/vol is 1.5703/1.565/20141212/0.001/0.084623887977768</t>
  </si>
  <si>
    <t>2014-12-11 17:38:15.664: BSGamma - price/strike/expiry/rate/vol is 1.5703/1.57/20141212/0.001/7.60316481130587E-02</t>
  </si>
  <si>
    <t>2014-12-11 17:38:15.695: BSGamma - price/strike/expiry/rate/vol is 1.5703/1.57/20141212/0.001/0.071129682785795</t>
  </si>
  <si>
    <t>2014-12-11 17:38:15.758: BSGamma - price/strike/expiry/rate/vol is 1.5703/1.57/20141212/0.001/0.077006125959233</t>
  </si>
  <si>
    <t>2014-12-11 17:38:15.820: BSGamma - price/strike/expiry/rate/vol is 1.5703/1.55/20141212/0.001/0.111083057429994</t>
  </si>
  <si>
    <t>2014-12-11 17:38:15.882: BSGamma - price/strike/expiry/rate/vol is 1.5703/1.55/20141212/0.001/0.111083057429994</t>
  </si>
  <si>
    <t>2014-12-11 17:38:15.948: BSGamma - price/strike/expiry/rate/vol is 1.5703/1.55/20141212/0.001/0.122207640535049</t>
  </si>
  <si>
    <t>2014-12-11 17:38:16.218: DirectionIndicator - notify - price/longMA/ShortMA/prevDirection are 1.5713/1.57143621538994/1.57137988956881/-1</t>
  </si>
  <si>
    <t>2014-12-11 17:38:16.338: DirectionIndicator - notify - price/longMA/ShortMA/prevDirection are 1.57125/1.57140235804631/1.57133659304588/-1</t>
  </si>
  <si>
    <t>2014-12-11 17:38:16.835: DirectionIndicator - notify - price/longMA/ShortMA/prevDirection are 1.5713/1.57138374749244/1.57132439536392/-1</t>
  </si>
  <si>
    <t>2014-12-11 17:38:17.95: DirectionIndicator - notify - price/longMA/ShortMA/prevDirection are 1.57135/1.57137761158472/1.57133293024261/-1</t>
  </si>
  <si>
    <t>2014-12-11 17:38:17.206: BSGamma - price/strike/expiry/rate/vol is 1.5702/1.56/20141212/0.001/0.084867319394931</t>
  </si>
  <si>
    <t>2014-12-11 17:38:17.255: BSGamma - price/strike/expiry/rate/vol is 1.5702/1.56/20141212/0.001/0.084867319394931</t>
  </si>
  <si>
    <t>2014-12-11 17:38:17.270: BSGamma - price/strike/expiry/rate/vol is 1.5702/1.565/20141212/0.001/7.82769754098638E-02</t>
  </si>
  <si>
    <t>2014-12-11 17:38:17.300: BSGamma - price/strike/expiry/rate/vol is 1.5702/1.565/20141212/0.001/7.82769754098638E-02</t>
  </si>
  <si>
    <t>2014-12-11 17:38:17.333: BSGamma - price/strike/expiry/rate/vol is 1.5702/1.57/20141212/0.001/7.60316481130587E-02</t>
  </si>
  <si>
    <t>2014-12-11 17:38:17.347: BSGamma - price/strike/expiry/rate/vol is 1.5702/1.55/20141212/0.001/0.111083057429994</t>
  </si>
  <si>
    <t>2014-12-11 17:38:17.580: BSGamma - price/strike/expiry/rate/vol is 1.5702/1.56/20141212/0.001/0.084867319394931</t>
  </si>
  <si>
    <t>2014-12-11 17:38:17.597: BSGamma - price/strike/expiry/rate/vol is 1.5702/1.56/20141212/0.001/0.106558316736509</t>
  </si>
  <si>
    <t>2014-12-11 17:38:17.643: BSGamma - price/strike/expiry/rate/vol is 1.5702/1.56/20141212/0.001/7.93324551407225E-02</t>
  </si>
  <si>
    <t>2014-12-11 17:38:17.669: BSGamma - price/strike/expiry/rate/vol is 1.5702/1.56/20141212/0.001/0.08744550046865</t>
  </si>
  <si>
    <t>2014-12-11 17:38:17.747: BSGamma - price/strike/expiry/rate/vol is 1.5702/1.565/20141212/0.001/6.34596895241279E-02</t>
  </si>
  <si>
    <t>2014-12-11 17:38:17.763: BSGamma - price/strike/expiry/rate/vol is 1.5702/1.565/20141212/0.001/9.11522227342916E-02</t>
  </si>
  <si>
    <t>2014-12-11 17:38:17.805: BSGamma - price/strike/expiry/rate/vol is 1.5702/1.565/20141212/0.001/7.62813326781409E-02</t>
  </si>
  <si>
    <t>2014-12-11 17:38:17.839: BSGamma - price/strike/expiry/rate/vol is 1.5702/1.565/20141212/0.001/8.37367965955657E-02</t>
  </si>
  <si>
    <t>2014-12-11 17:38:17.880: BSGamma - price/strike/expiry/rate/vol is 1.5702/1.57/20141212/0.001/7.27785055678883E-02</t>
  </si>
  <si>
    <t>2014-12-11 17:38:17.913: BSGamma - price/strike/expiry/rate/vol is 1.5702/1.57/20141212/0.001/7.86276436615081E-02</t>
  </si>
  <si>
    <t>2014-12-11 17:38:17.944: BSGamma - price/strike/expiry/rate/vol is 1.5702/1.55/20141212/0.001/0.111083057429994</t>
  </si>
  <si>
    <t>2014-12-11 17:38:17.976: BSGamma - price/strike/expiry/rate/vol is 1.5702/1.55/20141212/0.001/0.121559057373147</t>
  </si>
  <si>
    <t>2014-12-11 17:38:19.38: DirectionIndicator - notify - price/longMA/ShortMA/prevDirection are 1.5714/1.57138168220568/1.57135528682841/-1</t>
  </si>
  <si>
    <t>2014-12-11 17:38:19.246: BSGamma - price/strike/expiry/rate/vol is 1.5702/1.56/20141212/0.001/8.47295618653163E-02</t>
  </si>
  <si>
    <t>2014-12-11 17:38:19.306: BSGamma - price/strike/expiry/rate/vol is 1.5702/1.56/20141212/0.001/8.47295618653163E-02</t>
  </si>
  <si>
    <t>2014-12-11 17:38:19.349: BSGamma - price/strike/expiry/rate/vol is 1.5702/1.56/20141212/0.001/8.47295618653163E-02</t>
  </si>
  <si>
    <t>2014-12-11 17:38:19.365: BSGamma - price/strike/expiry/rate/vol is 1.5702/1.565/20141212/0.001/0.078291286912247</t>
  </si>
  <si>
    <t>2014-12-11 17:38:19.389: BSGamma - price/strike/expiry/rate/vol is 1.5702/1.565/20141212/0.001/0.078291286912247</t>
  </si>
  <si>
    <t>2014-12-11 17:38:19.419: BSGamma - price/strike/expiry/rate/vol is 1.5702/1.57/20141212/0.001/7.60029832012208E-02</t>
  </si>
  <si>
    <t>2014-12-11 17:38:19.458: BSGamma - price/strike/expiry/rate/vol is 1.5702/1.55/20141212/0.001/0.110056025497641</t>
  </si>
  <si>
    <t>2014-12-11 17:38:19.483: BSGamma - price/strike/expiry/rate/vol is 1.5702/1.55/20141212/0.001/0.110056025497641</t>
  </si>
  <si>
    <t>2014-12-11 17:38:20.197: DirectionIndicator - notify - price/longMA/ShortMA/prevDirection are 1.57135/1.57137592180465/1.57135352455227/-1</t>
  </si>
  <si>
    <t>2014-12-11 17:38:26.457: Util - logStaleData - Data is stale!</t>
  </si>
  <si>
    <t>2014-12-11 17:38:27.431: BSGamma - price/strike/expiry/rate/vol is 1.5702/1.56/20141212/0.001/4.1746509546734E-03</t>
  </si>
  <si>
    <t>2014-12-11 17:38:27.523: BSGamma - price/strike/expiry/rate/vol is 1.5702/1.565/20141212/0.001/6.81871775430129E-02</t>
  </si>
  <si>
    <t>2014-12-11 17:38:28.53: BSGamma - price/strike/expiry/rate/vol is 1.5702/1.56/20141212/0.001/8.47652427529795E-02</t>
  </si>
  <si>
    <t>2014-12-11 17:38:28.265: BSGamma - price/strike/expiry/rate/vol is 1.5702/1.56/20141212/0.001/8.47652427529795E-02</t>
  </si>
  <si>
    <t>2014-12-11 17:38:28.326: BSGamma - price/strike/expiry/rate/vol is 1.5702/1.565/20141212/0.001/7.83542653224742E-02</t>
  </si>
  <si>
    <t>2014-12-11 17:38:28.340: BSGamma - price/strike/expiry/rate/vol is 1.5702/1.565/20141212/0.001/7.83542653224742E-02</t>
  </si>
  <si>
    <t>2014-12-11 17:38:28.387: BSGamma - price/strike/expiry/rate/vol is 1.5702/1.57/20141212/0.001/7.60849769151548E-02</t>
  </si>
  <si>
    <t>2014-12-11 17:38:28.417: BSGamma - price/strike/expiry/rate/vol is 1.5702/1.55/20141212/0.001/0.110012264683434</t>
  </si>
  <si>
    <t>2014-12-11 17:39:7.59: BSGamma - price/strike/expiry/rate/vol is 1.5704/1.56/20141212/0.001/0.101920832863988</t>
  </si>
  <si>
    <t>2014-12-11 17:39:11.49: BSGamma - price/strike/expiry/rate/vol is 1.5704/1.56/20141212/0.001/9.00289004827073E-02</t>
  </si>
  <si>
    <t>2014-12-11 17:39:11.265: BSGamma - price/strike/expiry/rate/vol is 1.5704/1.56/20141212/0.001/9.00289004827073E-02</t>
  </si>
  <si>
    <t>2014-12-11 17:39:11.306: BSGamma - price/strike/expiry/rate/vol is 1.5704/1.565/20141212/0.001/7.99296033650876E-02</t>
  </si>
  <si>
    <t>2014-12-11 17:39:11.353: BSGamma - price/strike/expiry/rate/vol is 1.5704/1.565/20141212/0.001/7.99296033650876E-02</t>
  </si>
  <si>
    <t>2014-12-11 17:39:11.380: BSGamma - price/strike/expiry/rate/vol is 1.5704/1.57/20141212/0.001/7.54956548447012E-02</t>
  </si>
  <si>
    <t>2014-12-11 17:39:11.396: BSGamma - price/strike/expiry/rate/vol is 1.5704/1.55/20141212/0.001/0.12722354050959</t>
  </si>
  <si>
    <t>2014-12-11 17:39:33.295: BSGamma - price/strike/expiry/rate/vol is 1.5704/1.55/20141212/0.001/0.12722354050959</t>
  </si>
  <si>
    <t>2014-12-11 17:39:35.227: BSGamma - price/strike/expiry/rate/vol is 1.5704/1.56/20141212/0.001/9.00289004825936E-02</t>
  </si>
  <si>
    <t>2014-12-11 17:39:35.445: BSGamma - price/strike/expiry/rate/vol is 1.5704/1.56/20141212/0.001/9.00289004825936E-02</t>
  </si>
  <si>
    <t>2014-12-11 17:39:35.498: BSGamma - price/strike/expiry/rate/vol is 1.5704/1.565/20141212/0.001/7.99296033649171E-02</t>
  </si>
  <si>
    <t>2014-12-11 17:39:35.553: BSGamma - price/strike/expiry/rate/vol is 1.5704/1.565/20141212/0.001/7.99296033649171E-02</t>
  </si>
  <si>
    <t>2014-12-11 17:39:35.576: BSGamma - price/strike/expiry/rate/vol is 1.5704/1.57/20141212/0.001/7.54956548444738E-02</t>
  </si>
  <si>
    <t>2014-12-11 17:39:35.597: BSGamma - price/strike/expiry/rate/vol is 1.5704/1.55/20141212/0.001/0.127223540509704</t>
  </si>
  <si>
    <t>2014-12-11 17:39:37.368: BSGamma - price/strike/expiry/rate/vol is 1.5704/1.55/20141212/0.001/0.127223540509704</t>
  </si>
  <si>
    <t>2014-12-11 17:39:39.290: BSGamma - price/strike/expiry/rate/vol is 1.5704/1.55/20141212/0.001/0.127223540509704</t>
  </si>
  <si>
    <t>2014-12-11 17:39:39.787: DirectionIndicator - notify - price/longMA/ShortMA/prevDirection are 1.5715/1.57139848147653/1.57140234970151/-1</t>
  </si>
  <si>
    <t>2014-12-11 17:39:39.837: DirectionIndicator - notify - price/longMA/ShortMA/prevDirection are 1.57165/1.57144421211716/1.57148489980101/-1</t>
  </si>
  <si>
    <t>2014-12-11 17:39:40.304: DirectionIndicator - notify - price/longMA/ShortMA/prevDirection are 1.5717/1.57149071900495/1.57155659986734/1</t>
  </si>
  <si>
    <t>2014-12-11 17:39:40.350: DirectionIndicator - notify - price/longMA/ShortMA/prevDirection are 1.57175/1.57153786100405/1.57162106657823/1</t>
  </si>
  <si>
    <t>2014-12-11 17:39:41.140: BSGamma - price/strike/expiry/rate/vol is 1.5705/1.56/20141212/0.001/9.00289004825936E-02</t>
  </si>
  <si>
    <t>2014-12-11 17:39:41.178: BSGamma - price/strike/expiry/rate/vol is 1.5705/1.56/20141212/0.001/9.00289004825936E-02</t>
  </si>
  <si>
    <t>2014-12-11 17:39:41.211: BSGamma - price/strike/expiry/rate/vol is 1.5705/1.565/20141212/0.001/7.99296033649171E-02</t>
  </si>
  <si>
    <t>2014-12-11 17:39:41.252: BSGamma - price/strike/expiry/rate/vol is 1.5705/1.565/20141212/0.001/7.99296033649171E-02</t>
  </si>
  <si>
    <t>2014-12-11 17:39:41.268: BSGamma - price/strike/expiry/rate/vol is 1.5705/1.57/20141212/0.001/7.54956548444738E-02</t>
  </si>
  <si>
    <t>2014-12-11 17:39:41.301: BSGamma - price/strike/expiry/rate/vol is 1.5705/1.55/20141212/0.001/0.127223540509704</t>
  </si>
  <si>
    <t>2014-12-11 17:39:41.428: DirectionIndicator - notify - price/longMA/ShortMA/prevDirection are 1.5717/1.5715673408215/1.57164737771882/1</t>
  </si>
  <si>
    <t>2014-12-11 17:39:41.472: DirectionIndicator - notify - price/longMA/ShortMA/prevDirection are 1.57165/1.57158236976304/1.57164825181255/1</t>
  </si>
  <si>
    <t>2014-12-11 17:39:41.833: DirectionIndicator - notify - price/longMA/ShortMA/prevDirection are 1.5717/1.57160375707885/1.57166550120836/1</t>
  </si>
  <si>
    <t>2014-12-11 17:39:41.887: DirectionIndicator - notify - price/longMA/ShortMA/prevDirection are 1.57175/1.57163034670088/1.57169366747224/1</t>
  </si>
  <si>
    <t>2014-12-11 17:39:42.125: BSGamma - price/strike/expiry/rate/vol is 1.5705/1.56/20141212/0.001/0.102525738191309</t>
  </si>
  <si>
    <t>2014-12-11 17:39:42.142: BSGamma - price/strike/expiry/rate/vol is 1.5705/1.56/20141212/0.001/8.10953065077612E-02</t>
  </si>
  <si>
    <t>2014-12-11 17:39:42.168: BSGamma - price/strike/expiry/rate/vol is 1.5705/1.56/20141212/0.001/8.94818118763873E-02</t>
  </si>
  <si>
    <t>2014-12-11 17:39:42.182: BSGamma - price/strike/expiry/rate/vol is 1.5705/1.565/20141212/0.001/6.57361424169888E-02</t>
  </si>
  <si>
    <t>2014-12-11 17:39:42.212: BSGamma - price/strike/expiry/rate/vol is 1.5705/1.565/20141212/0.001/9.01695244689883E-02</t>
  </si>
  <si>
    <t>2014-12-11 17:39:42.249: BSGamma - price/strike/expiry/rate/vol is 1.5705/1.565/20141212/0.001/7.89933353060961E-02</t>
  </si>
  <si>
    <t>2014-12-11 17:39:42.259: BSGamma - price/strike/expiry/rate/vol is 1.5705/1.565/20141212/0.001/8.27151403183597E-02</t>
  </si>
  <si>
    <t>2014-12-11 17:39:42.296: BSGamma - price/strike/expiry/rate/vol is 1.5705/1.57/20141212/0.001/0.073769634470535</t>
  </si>
  <si>
    <t>2014-12-11 17:39:42.336: BSGamma - price/strike/expiry/rate/vol is 1.5705/1.57/20141212/0.001/7.96194372243089E-02</t>
  </si>
  <si>
    <t>2014-12-11 17:39:42.376: BSGamma - price/strike/expiry/rate/vol is 1.5705/1.55/20141212/0.001/0.127223540509704</t>
  </si>
  <si>
    <t>2014-12-11 17:39:42.391: BSGamma - price/strike/expiry/rate/vol is 1.5705/1.55/20141212/0.001/0.12328895333126</t>
  </si>
  <si>
    <t>2014-12-11 17:39:42.501: DirectionIndicator - notify - price/longMA/ShortMA/prevDirection are 1.5718/1.57166119275527/1.57172911164816/1</t>
  </si>
  <si>
    <t>2014-12-11 17:39:42.541: DirectionIndicator - notify - price/longMA/ShortMA/prevDirection are 1.57185/1.57169552134522/1.57176940776544/1</t>
  </si>
  <si>
    <t>2014-12-11 17:39:42.683: DirectionIndicator - notify - price/longMA/ShortMA/prevDirection are 1.5718/1.57171451746427/1.57177960517696/1</t>
  </si>
  <si>
    <t>2014-12-11 17:39:42.718: DirectionIndicator - notify - price/longMA/ShortMA/prevDirection are 1.57175/1.5717209688344/1.57176973678464/1</t>
  </si>
  <si>
    <t>2014-12-11 17:39:44.262: DirectionIndicator - notify - price/longMA/ShortMA/prevDirection are 1.5717/1.57171715631906/1.57174649118976/1</t>
  </si>
  <si>
    <t>2014-12-11 17:39:44.333: DirectionIndicator - notify - price/longMA/ShortMA/prevDirection are 1.57165/1.57170494607923/1.57171432745984/1</t>
  </si>
  <si>
    <t>2014-12-11 17:39:45.48: BSGamma - price/strike/expiry/rate/vol is 1.5706/1.56/20141212/0.001/9.00289004825936E-02</t>
  </si>
  <si>
    <t>2014-12-11 17:39:45.84: BSGamma - price/strike/expiry/rate/vol is 1.5706/1.56/20141212/0.001/9.00289004825936E-02</t>
  </si>
  <si>
    <t>2014-12-11 17:39:45.136: BSGamma - price/strike/expiry/rate/vol is 1.5706/1.565/20141212/0.001/7.99296033649171E-02</t>
  </si>
  <si>
    <t>2014-12-11 17:39:45.215: BSGamma - price/strike/expiry/rate/vol is 1.5706/1.565/20141212/0.001/7.99296033649171E-02</t>
  </si>
  <si>
    <t>2014-12-11 17:39:45.294: BSGamma - price/strike/expiry/rate/vol is 1.5706/1.57/20141212/0.001/7.54956548444738E-02</t>
  </si>
  <si>
    <t>2014-12-11 17:39:45.345: DirectionIndicator - notify - price/longMA/ShortMA/prevDirection are 1.5717/1.5717040467921/1.57170955163989/1</t>
  </si>
  <si>
    <t>2014-12-11 17:39:45.589: BSGamma - price/strike/expiry/rate/vol is 1.5706/1.55/20141212/0.001/0.127223540509704</t>
  </si>
  <si>
    <t>2014-12-11 17:39:45.626: DirectionIndicator - notify - price/longMA/ShortMA/prevDirection are 1.57175/1.57171240192081/1.5717230344266/1</t>
  </si>
  <si>
    <t>2014-12-11 17:39:46.42: DirectionIndicator - notify - price/longMA/ShortMA/prevDirection are 1.5717/1.57171014702611/1.5717153562844/1</t>
  </si>
  <si>
    <t>2014-12-11 17:39:46.134: BSGamma - price/strike/expiry/rate/vol is 1.5705/1.56/20141212/0.001/9.35136881379321E-02</t>
  </si>
  <si>
    <t>2014-12-11 17:39:46.172: BSGamma - price/strike/expiry/rate/vol is 1.5705/1.56/20141212/0.001/9.35136881379321E-02</t>
  </si>
  <si>
    <t>2014-12-11 17:39:46.210: BSGamma - price/strike/expiry/rate/vol is 1.5705/1.56/20141212/0.001/0.132606122422406</t>
  </si>
  <si>
    <t>2014-12-11 17:39:46.252: BSGamma - price/strike/expiry/rate/vol is 1.5705/1.56/20141212/0.001/9.35136881379321E-02</t>
  </si>
  <si>
    <t>2014-12-11 17:39:46.265: BSGamma - price/strike/expiry/rate/vol is 1.5705/1.565/20141212/0.001/8.24600518394334E-02</t>
  </si>
  <si>
    <t>2014-12-11 17:39:46.296: BSGamma - price/strike/expiry/rate/vol is 1.5705/1.565/20141212/0.001/6.09939045778691E-02</t>
  </si>
  <si>
    <t>2014-12-11 17:39:46.333: BSGamma - price/strike/expiry/rate/vol is 1.5705/1.565/20141212/0.001/0.105064198420358</t>
  </si>
  <si>
    <t>2014-12-11 17:39:46.382: BSGamma - price/strike/expiry/rate/vol is 1.5705/1.565/20141212/0.001/8.24600518394334E-02</t>
  </si>
  <si>
    <t>2014-12-11 17:39:46.395: BSGamma - price/strike/expiry/rate/vol is 1.5705/1.57/20141212/0.001/7.63453747081257E-02</t>
  </si>
  <si>
    <t>2014-12-11 17:39:46.426: BSGamma - price/strike/expiry/rate/vol is 1.5705/1.57/20141212/0.001/8.25476110291027E-02</t>
  </si>
  <si>
    <t>2014-12-11 17:39:46.460: DirectionIndicator - notify - price/longMA/ShortMA/prevDirection are 1.57175/1.57171739302137/1.5717269041896/1</t>
  </si>
  <si>
    <t>2014-12-11 17:39:46.540: BSGamma - price/strike/expiry/rate/vol is 1.5705/1.55/20141212/0.001/0.130437838236389</t>
  </si>
  <si>
    <t>2014-12-11 17:39:46.561: BSGamma - price/strike/expiry/rate/vol is 1.5705/1.55/20141212/0.001/0.130437838236389</t>
  </si>
  <si>
    <t>2014-12-11 17:39:46.601: DirectionIndicator - notify - price/longMA/ShortMA/prevDirection are 1.5717/1.57171423065384/1.5717179361264/1</t>
  </si>
  <si>
    <t>2014-12-11 17:39:46.881: DirectionIndicator - notify - price/longMA/ShortMA/prevDirection are 1.57165/1.57170255235315/1.57169529075093/1</t>
  </si>
  <si>
    <t>2014-12-11 17:39:47.0: DirectionIndicator - notify - price/longMA/ShortMA/prevDirection are 1.5717/1.57170208828894/1.57169686050062/1</t>
  </si>
  <si>
    <t>2014-12-11 17:39:47.253: DirectionIndicator - notify - price/longMA/ShortMA/prevDirection are 1.57165/1.57169261769095/1.57168124033375/1</t>
  </si>
  <si>
    <t>2014-12-11 17:39:48.87: BSGamma - price/strike/expiry/rate/vol is 1.5705/1.56/20141212/0.001/3.82012409174157E-02</t>
  </si>
  <si>
    <t>2014-12-11 17:39:48.125: BSGamma - price/strike/expiry/rate/vol is 1.5705/1.56/20141212/0.001/0.102525738191309</t>
  </si>
  <si>
    <t>2014-12-11 17:39:48.167: BSGamma - price/strike/expiry/rate/vol is 1.5705/1.565/20141212/0.001/6.57361424169888E-02</t>
  </si>
  <si>
    <t>2014-12-11 17:39:48.180: BSGamma - price/strike/expiry/rate/vol is 1.5705/1.565/20141212/0.001/9.01695244689883E-02</t>
  </si>
  <si>
    <t>2014-12-11 17:39:48.218: BSGamma - price/strike/expiry/rate/vol is 1.5705/1.565/20141212/0.001/8.64363908325087E-02</t>
  </si>
  <si>
    <t>2014-12-11 17:39:48.254: BSGamma - price/strike/expiry/rate/vol is 1.5705/1.57/20141212/0.001/7.08467342580869E-02</t>
  </si>
  <si>
    <t>2014-12-11 17:39:48.292: BSGamma - price/strike/expiry/rate/vol is 1.5705/1.57/20141212/0.001/7.96194372243089E-02</t>
  </si>
  <si>
    <t>2014-12-11 17:39:48.307: BSGamma - price/strike/expiry/rate/vol is 1.5705/1.55/20141212/0.001/0.130437838236389</t>
  </si>
  <si>
    <t>2014-12-11 17:39:48.459: BSGamma - price/strike/expiry/rate/vol is 1.5705/1.56/20141212/0.001/8.60915831490559E-02</t>
  </si>
  <si>
    <t>2014-12-11 17:39:48.471: BSGamma - price/strike/expiry/rate/vol is 1.5705/1.56/20141212/0.001/8.60915831490559E-02</t>
  </si>
  <si>
    <t>2014-12-11 17:39:48.509: BSGamma - price/strike/expiry/rate/vol is 1.5705/1.565/20141212/0.001/7.91642548187212E-02</t>
  </si>
  <si>
    <t>2014-12-11 17:39:48.547: BSGamma - price/strike/expiry/rate/vol is 1.5705/1.565/20141212/0.001/7.91642548187212E-02</t>
  </si>
  <si>
    <t>2014-12-11 17:39:48.584: BSGamma - price/strike/expiry/rate/vol is 1.5705/1.57/20141212/0.001/7.61868041792013E-02</t>
  </si>
  <si>
    <t>2014-12-11 17:39:48.597: BSGamma - price/strike/expiry/rate/vol is 1.5705/1.55/20141212/0.001/0.130437838236389</t>
  </si>
  <si>
    <t>2014-12-11 17:39:48.633: BSGamma - price/strike/expiry/rate/vol is 1.5705/1.55/20141212/0.001/0.111795872882368</t>
  </si>
  <si>
    <t>2014-12-11 17:39:49.414: BSGamma - price/strike/expiry/rate/vol is 1.5705/1.55/20141212/0.001/0.111795872882368</t>
  </si>
  <si>
    <t>2014-12-11 17:39:51.301: BSGamma - price/strike/expiry/rate/vol is 1.5705/1.55/20141212/0.001/0.111795872882368</t>
  </si>
  <si>
    <t>2014-12-11 17:39:53.284: BSGamma - price/strike/expiry/rate/vol is 1.5705/1.55/20141212/0.001/0.111795872882368</t>
  </si>
  <si>
    <t>2014-12-11 17:39:55.307: BSGamma - price/strike/expiry/rate/vol is 1.5705/1.56/20141212/0.001/0.102606414344713</t>
  </si>
  <si>
    <t>2014-12-11 17:39:55.517: BSGamma - price/strike/expiry/rate/vol is 1.5705/1.56/20141212/0.001/8.60921714670155E-02</t>
  </si>
  <si>
    <t>2014-12-11 17:39:55.542: BSGamma - price/strike/expiry/rate/vol is 1.5705/1.56/20141212/0.001/8.60921714670155E-02</t>
  </si>
  <si>
    <t>2014-12-11 17:39:55.598: BSGamma - price/strike/expiry/rate/vol is 1.5705/1.565/20141212/0.001/7.91650530431127E-02</t>
  </si>
  <si>
    <t>2014-12-11 17:39:55.633: BSGamma - price/strike/expiry/rate/vol is 1.5705/1.565/20141212/0.001/7.91650530431127E-02</t>
  </si>
  <si>
    <t>2014-12-11 17:39:55.671: BSGamma - price/strike/expiry/rate/vol is 1.5705/1.57/20141212/0.001/7.61874338986956E-02</t>
  </si>
  <si>
    <t>2014-12-11 17:39:55.686: BSGamma - price/strike/expiry/rate/vol is 1.5705/1.55/20141212/0.001/0.111795872882368</t>
  </si>
  <si>
    <t>2014-12-11 17:39:55.722: BSGamma - price/strike/expiry/rate/vol is 1.5705/1.55/20141212/0.001/0.111794906153335</t>
  </si>
  <si>
    <t>2014-12-11 17:39:57.84: BSGamma - price/strike/expiry/rate/vol is 1.5705/1.55/20141212/0.001/0.111794906153335</t>
  </si>
  <si>
    <t>2014-12-11 17:39:59.310: BSGamma - price/strike/expiry/rate/vol is 1.5705/1.55/20141212/0.001/0.111794906153335</t>
  </si>
  <si>
    <t>2014-12-11 17:40:1.492: BSGamma - price/strike/expiry/rate/vol is 1.5705/1.55/20141212/0.001/0.111794906153335</t>
  </si>
  <si>
    <t>2014-12-11 17:40:3.43: BSGamma - price/strike/expiry/rate/vol is 1.5705/1.56/20141212/0.001/0.086079280908109</t>
  </si>
  <si>
    <t>2014-12-11 17:40:3.276: BSGamma - price/strike/expiry/rate/vol is 1.5705/1.56/20141212/0.001/0.086079280908109</t>
  </si>
  <si>
    <t>2014-12-11 17:40:3.322: BSGamma - price/strike/expiry/rate/vol is 1.5705/1.565/20141212/0.001/7.91051763587234E-02</t>
  </si>
  <si>
    <t>2014-12-11 17:40:3.381: BSGamma - price/strike/expiry/rate/vol is 1.5705/1.565/20141212/0.001/7.91051763587234E-02</t>
  </si>
  <si>
    <t>2014-12-11 17:40:3.419: BSGamma - price/strike/expiry/rate/vol is 1.5705/1.57/20141212/0.001/7.60464755280168E-02</t>
  </si>
  <si>
    <t>2014-12-11 17:40:3.432: BSGamma - price/strike/expiry/rate/vol is 1.5705/1.55/20141212/0.001/0.111773701162946</t>
  </si>
  <si>
    <t>2014-12-11 17:40:3.500: BSGamma - price/strike/expiry/rate/vol is 1.5705/1.55/20141212/0.001/0.111773701162946</t>
  </si>
  <si>
    <t>2014-12-11 17:40:7.511: BSGamma - price/strike/expiry/rate/vol is 1.5705/1.55/20141212/0.001/0.111773701162946</t>
  </si>
  <si>
    <t>2014-12-11 17:40:9.496: BSGamma - price/strike/expiry/rate/vol is 1.5705/1.55/20141212/0.001/0.111773701162946</t>
  </si>
  <si>
    <t>2014-12-11 17:40:11.280: BSGamma - price/strike/expiry/rate/vol is 1.5705/1.55/20141212/0.001/0.111773701162946</t>
  </si>
  <si>
    <t>2014-12-11 17:40:13.283: BSGamma - price/strike/expiry/rate/vol is 1.5705/1.55/20141212/0.001/0.111773701162946</t>
  </si>
  <si>
    <t>2014-12-11 17:40:19.471: BSGamma - price/strike/expiry/rate/vol is 1.5705/1.55/20141212/0.001/0.111773701162946</t>
  </si>
  <si>
    <t>2014-12-11 17:40:21.284: BSGamma - price/strike/expiry/rate/vol is 1.5705/1.55/20141212/0.001/0.111773701162946</t>
  </si>
  <si>
    <t>2014-12-11 17:40:25.345: BSGamma - price/strike/expiry/rate/vol is 1.5705/1.55/20141212/0.001/0.111773701162946</t>
  </si>
  <si>
    <t>2014-12-11 17:40:25.662: DirectionIndicator - notify - price/longMA/ShortMA/prevDirection are 1.5717/1.57169395992896/1.57168749355583/1</t>
  </si>
  <si>
    <t>2014-12-11 17:40:25.727: DirectionIndicator - notify - price/longMA/ShortMA/prevDirection are 1.57175/1.57170414903278/1.57170832903722/1</t>
  </si>
  <si>
    <t>2014-12-11 17:40:26.548: DirectionIndicator - notify - price/longMA/ShortMA/prevDirection are 1.5717/1.57170339466319/1.57170555269148/1</t>
  </si>
  <si>
    <t>2014-12-11 17:40:26.591: DirectionIndicator - notify - price/longMA/ShortMA/prevDirection are 1.57165/1.57169368654261/1.57168703512765/1</t>
  </si>
  <si>
    <t>2014-12-11 17:40:27.426: BSGamma - price/strike/expiry/rate/vol is 1.5704/1.56/20141212/0.001/8.57635786663309E-02</t>
  </si>
  <si>
    <t>2014-12-11 17:40:27.471: BSGamma - price/strike/expiry/rate/vol is 1.5704/1.56/20141212/0.001/7.02720571060187E-02</t>
  </si>
  <si>
    <t>2014-12-11 17:40:27.515: BSGamma - price/strike/expiry/rate/vol is 1.5704/1.56/20141212/0.001/0.112880663157479</t>
  </si>
  <si>
    <t>2014-12-11 17:40:27.595: BSGamma - price/strike/expiry/rate/vol is 1.5704/1.56/20141212/0.001/8.57635786663309E-02</t>
  </si>
  <si>
    <t>2014-12-11 17:40:27.631: BSGamma - price/strike/expiry/rate/vol is 1.5704/1.56/20141212/0.001/8.05135085939233E-02</t>
  </si>
  <si>
    <t>2014-12-11 17:40:27.645: BSGamma - price/strike/expiry/rate/vol is 1.5704/1.56/20141212/0.001/8.88344470983969E-02</t>
  </si>
  <si>
    <t>2014-12-11 17:40:27.677: BSGamma - price/strike/expiry/rate/vol is 1.5704/1.565/20141212/0.001/7.89360441345934E-02</t>
  </si>
  <si>
    <t>2014-12-11 17:40:27.715: BSGamma - price/strike/expiry/rate/vol is 1.5704/1.565/20141212/0.001/6.97165194793571E-02</t>
  </si>
  <si>
    <t>2014-12-11 17:40:27.752: BSGamma - price/strike/expiry/rate/vol is 1.5704/1.565/20141212/0.001/9.67221312133058E-02</t>
  </si>
  <si>
    <t>2014-12-11 17:40:27.795: BSGamma - price/strike/expiry/rate/vol is 1.5704/1.565/20141212/0.001/7.89360441345934E-02</t>
  </si>
  <si>
    <t>2014-12-11 17:40:27.807: BSGamma - price/strike/expiry/rate/vol is 1.5704/1.565/20141212/0.001/7.80924455399949E-02</t>
  </si>
  <si>
    <t>2014-12-11 17:40:27.839: BSGamma - price/strike/expiry/rate/vol is 1.5704/1.565/20141212/0.001/0.081843281928125</t>
  </si>
  <si>
    <t>2014-12-11 17:40:27.891: BSGamma - price/strike/expiry/rate/vol is 1.5704/1.57/20141212/0.001/7.59972072089852E-02</t>
  </si>
  <si>
    <t>2014-12-11 17:40:27.966: BSGamma - price/strike/expiry/rate/vol is 1.5704/1.57/20141212/0.001/7.54250162128215E-02</t>
  </si>
  <si>
    <t>2014-12-11 17:40:27.989: BSGamma - price/strike/expiry/rate/vol is 1.5704/1.57/20141212/0.001/0.081250754800752</t>
  </si>
  <si>
    <t>2014-12-11 17:40:28.1: BSGamma - price/strike/expiry/rate/vol is 1.5704/1.55/20141212/0.001/0.111084740548279</t>
  </si>
  <si>
    <t>2014-12-11 17:40:28.46: BSGamma - price/strike/expiry/rate/vol is 1.5704/1.55/20141212/0.001/0.111084740548279</t>
  </si>
  <si>
    <t>2014-12-11 17:40:28.64: BSGamma - price/strike/expiry/rate/vol is 1.5704/1.55/20141212/0.001/0.122806417328252</t>
  </si>
  <si>
    <t>2014-12-11 17:42:42.15: Util - logStaleData - Data is stale!</t>
  </si>
  <si>
    <t>Portfolio Delta Up</t>
  </si>
  <si>
    <t>Portfolio Delta Down</t>
  </si>
  <si>
    <t>Ticks To Loss Up</t>
  </si>
  <si>
    <t>Ticks To Loss Down</t>
  </si>
  <si>
    <t>2014-12-11 17:45:28.670: Util - logStaleData - Data is stale!</t>
  </si>
  <si>
    <t>2014-12-11 17:45:28.674: Util - logStaleData - Data is stale!</t>
  </si>
  <si>
    <t>Target Change</t>
  </si>
  <si>
    <t>6BH5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</si>
</sst>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7" formatCode="_-[$$-409]* #,##0_ ;_-[$$-409]* \-#,##0\ ;_-[$$-409]* &quot;-&quot;??_ ;_-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4" fillId="0" borderId="0" xfId="0" quotePrefix="1" applyFont="1"/>
    <xf numFmtId="0" fontId="14" fillId="0" borderId="0" xfId="0" quotePrefix="1" applyFont="1" applyAlignment="1">
      <alignment wrapText="1"/>
    </xf>
    <xf numFmtId="172" fontId="0" fillId="0" borderId="0" xfId="0" applyNumberFormat="1"/>
    <xf numFmtId="172" fontId="14" fillId="0" borderId="0" xfId="0" applyNumberFormat="1" applyFont="1"/>
    <xf numFmtId="0" fontId="16" fillId="0" borderId="0" xfId="0" quotePrefix="1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1" fillId="9" borderId="0" xfId="0" applyFont="1" applyFill="1" applyAlignment="1">
      <alignment horizontal="center"/>
    </xf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7" fillId="0" borderId="0" xfId="0" applyFont="1"/>
    <xf numFmtId="0" fontId="18" fillId="0" borderId="0" xfId="0" applyFont="1"/>
    <xf numFmtId="0" fontId="3" fillId="13" borderId="1" xfId="0" applyFont="1" applyFill="1" applyBorder="1"/>
    <xf numFmtId="0" fontId="3" fillId="10" borderId="1" xfId="0" applyFont="1" applyFill="1" applyBorder="1"/>
    <xf numFmtId="165" fontId="0" fillId="13" borderId="0" xfId="0" applyNumberFormat="1" applyFill="1"/>
    <xf numFmtId="169" fontId="0" fillId="13" borderId="0" xfId="0" applyNumberFormat="1" applyFill="1"/>
    <xf numFmtId="171" fontId="0" fillId="13" borderId="0" xfId="0" applyNumberFormat="1" applyFill="1"/>
    <xf numFmtId="173" fontId="0" fillId="13" borderId="0" xfId="0" applyNumberFormat="1" applyFill="1"/>
    <xf numFmtId="169" fontId="19" fillId="15" borderId="0" xfId="0" applyNumberFormat="1" applyFont="1" applyFill="1"/>
    <xf numFmtId="2" fontId="19" fillId="15" borderId="0" xfId="0" applyNumberFormat="1" applyFont="1" applyFill="1"/>
    <xf numFmtId="165" fontId="19" fillId="15" borderId="0" xfId="0" applyNumberFormat="1" applyFont="1" applyFill="1"/>
    <xf numFmtId="171" fontId="19" fillId="15" borderId="0" xfId="0" applyNumberFormat="1" applyFont="1" applyFill="1"/>
    <xf numFmtId="0" fontId="20" fillId="15" borderId="0" xfId="0" applyFont="1" applyFill="1"/>
    <xf numFmtId="177" fontId="19" fillId="15" borderId="0" xfId="0" applyNumberFormat="1" applyFont="1" applyFill="1"/>
    <xf numFmtId="173" fontId="19" fillId="15" borderId="0" xfId="0" applyNumberFormat="1" applyFont="1" applyFill="1" applyAlignment="1">
      <alignment wrapText="1"/>
    </xf>
    <xf numFmtId="1" fontId="19" fillId="15" borderId="0" xfId="0" applyNumberFormat="1" applyFont="1" applyFill="1" applyAlignment="1">
      <alignment wrapText="1"/>
    </xf>
    <xf numFmtId="0" fontId="0" fillId="15" borderId="0" xfId="0" applyFill="1"/>
    <xf numFmtId="0" fontId="19" fillId="14" borderId="0" xfId="0" applyFont="1" applyFill="1" applyAlignment="1">
      <alignment wrapText="1"/>
    </xf>
    <xf numFmtId="0" fontId="12" fillId="15" borderId="0" xfId="0" applyFont="1" applyFill="1"/>
    <xf numFmtId="165" fontId="12" fillId="15" borderId="0" xfId="0" applyNumberFormat="1" applyFont="1" applyFill="1"/>
    <xf numFmtId="1" fontId="12" fillId="15" borderId="0" xfId="0" applyNumberFormat="1" applyFont="1" applyFill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1</xdr:col>
          <xdr:colOff>815975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660400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555625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777875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5:AK1005"/>
  <sheetViews>
    <sheetView tabSelected="1" topLeftCell="A22" zoomScale="75" zoomScaleNormal="75" workbookViewId="0">
      <selection activeCell="A37" sqref="A37:XFD37"/>
    </sheetView>
  </sheetViews>
  <sheetFormatPr defaultRowHeight="15" x14ac:dyDescent="0.25"/>
  <cols>
    <col min="1" max="1" width="17.7109375" customWidth="1"/>
    <col min="2" max="2" width="13.5703125" customWidth="1"/>
    <col min="3" max="3" width="19.5703125" customWidth="1"/>
    <col min="4" max="4" width="15" customWidth="1"/>
    <col min="5" max="5" width="19" customWidth="1"/>
    <col min="6" max="6" width="16" customWidth="1"/>
    <col min="7" max="7" width="18.5703125" customWidth="1"/>
    <col min="8" max="8" width="12.5703125" customWidth="1"/>
    <col min="9" max="9" width="14" customWidth="1"/>
    <col min="10" max="10" width="18.140625" customWidth="1"/>
    <col min="11" max="11" width="12.85546875" customWidth="1"/>
    <col min="12" max="12" width="15.140625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14.7109375" customWidth="1"/>
    <col min="28" max="28" width="18.4257812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5" spans="1:32" x14ac:dyDescent="0.25">
      <c r="A5" s="65" t="s">
        <v>14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AF5" s="39"/>
    </row>
    <row r="6" spans="1:32" x14ac:dyDescent="0.25">
      <c r="A6" s="76" t="s">
        <v>122</v>
      </c>
      <c r="B6" s="76"/>
      <c r="C6" s="76" t="s">
        <v>123</v>
      </c>
      <c r="D6" s="76"/>
      <c r="E6" s="76" t="s">
        <v>124</v>
      </c>
      <c r="F6" s="76"/>
      <c r="G6" s="76" t="s">
        <v>125</v>
      </c>
      <c r="H6" s="76"/>
      <c r="I6" s="76" t="s">
        <v>126</v>
      </c>
      <c r="J6" s="76"/>
      <c r="K6" s="76" t="s">
        <v>127</v>
      </c>
      <c r="L6" s="76"/>
      <c r="M6" s="76" t="s">
        <v>128</v>
      </c>
      <c r="N6" s="76"/>
      <c r="O6" s="76"/>
      <c r="P6" s="76"/>
      <c r="Q6" s="76"/>
      <c r="R6" s="76"/>
      <c r="S6" s="76"/>
      <c r="T6" s="76"/>
      <c r="U6" s="66"/>
      <c r="V6" s="66"/>
      <c r="W6" s="66"/>
      <c r="AF6" s="39"/>
    </row>
    <row r="7" spans="1:32" x14ac:dyDescent="0.25">
      <c r="A7" s="77" t="s">
        <v>129</v>
      </c>
      <c r="B7" s="77"/>
      <c r="C7" s="77">
        <v>7497</v>
      </c>
      <c r="D7" s="77"/>
      <c r="E7" s="77">
        <v>6</v>
      </c>
      <c r="F7" s="77"/>
      <c r="G7" s="77">
        <v>5</v>
      </c>
      <c r="H7" s="77"/>
      <c r="I7" s="78">
        <v>0.96388888888888891</v>
      </c>
      <c r="J7" s="79"/>
      <c r="K7" s="80" t="s">
        <v>205</v>
      </c>
      <c r="L7" s="81"/>
      <c r="M7" s="82"/>
      <c r="N7" s="83"/>
      <c r="O7" s="82"/>
      <c r="P7" s="83"/>
      <c r="Q7" s="82"/>
      <c r="R7" s="83"/>
      <c r="S7" s="82"/>
      <c r="T7" s="83"/>
      <c r="U7" s="67"/>
      <c r="V7" s="68"/>
      <c r="W7" s="68"/>
      <c r="AF7" s="39"/>
    </row>
    <row r="11" spans="1:32" ht="23.25" x14ac:dyDescent="0.35">
      <c r="A11" s="17" t="s">
        <v>130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2"/>
    </row>
    <row r="12" spans="1:32" ht="23.25" x14ac:dyDescent="0.35">
      <c r="A12" s="84" t="s">
        <v>132</v>
      </c>
      <c r="B12" s="84"/>
      <c r="C12" s="84" t="s">
        <v>133</v>
      </c>
      <c r="D12" s="84"/>
      <c r="E12" s="70" t="s">
        <v>134</v>
      </c>
      <c r="F12" s="70"/>
      <c r="G12" s="84" t="s">
        <v>135</v>
      </c>
      <c r="H12" s="84"/>
      <c r="I12" s="84" t="s">
        <v>136</v>
      </c>
      <c r="J12" s="84"/>
      <c r="K12" s="76" t="s">
        <v>137</v>
      </c>
      <c r="L12" s="76"/>
      <c r="M12" s="76" t="s">
        <v>138</v>
      </c>
      <c r="N12" s="76"/>
      <c r="O12" s="66" t="s">
        <v>139</v>
      </c>
      <c r="P12" s="66"/>
      <c r="Q12" s="66" t="s">
        <v>140</v>
      </c>
      <c r="R12" s="66"/>
      <c r="S12" s="66"/>
      <c r="T12" s="66"/>
      <c r="U12" s="66"/>
      <c r="V12" s="66"/>
      <c r="W12" s="66"/>
      <c r="AB12" s="42"/>
    </row>
    <row r="13" spans="1:32" ht="23.25" x14ac:dyDescent="0.35">
      <c r="A13" s="5">
        <v>1198968.08</v>
      </c>
      <c r="B13" s="3"/>
      <c r="C13" s="5">
        <v>159587.66</v>
      </c>
      <c r="D13" s="3"/>
      <c r="E13" s="5">
        <v>139068.65</v>
      </c>
      <c r="F13" s="5"/>
      <c r="G13" s="5">
        <v>1039380.41</v>
      </c>
      <c r="H13" s="5"/>
      <c r="I13" s="5">
        <v>5313</v>
      </c>
      <c r="J13" s="5"/>
      <c r="K13" s="6">
        <v>-176</v>
      </c>
      <c r="L13" s="4"/>
      <c r="M13" s="67" t="s">
        <v>206</v>
      </c>
      <c r="N13" s="68"/>
      <c r="O13" s="67" t="b">
        <v>1</v>
      </c>
      <c r="P13" s="68"/>
      <c r="Q13" s="71"/>
      <c r="R13" s="72"/>
      <c r="S13" s="67"/>
      <c r="T13" s="68"/>
      <c r="U13" s="67"/>
      <c r="V13" s="68"/>
      <c r="W13" s="68"/>
      <c r="Y13" s="42"/>
      <c r="Z13" s="42"/>
      <c r="AA13" s="42"/>
      <c r="AB13" s="42"/>
    </row>
    <row r="14" spans="1:32" ht="23.25" x14ac:dyDescent="0.35">
      <c r="Y14" s="42"/>
      <c r="Z14" s="42"/>
      <c r="AA14" s="42"/>
      <c r="AB14" s="42"/>
    </row>
    <row r="15" spans="1:32" ht="23.25" x14ac:dyDescent="0.35">
      <c r="Y15" s="42"/>
      <c r="Z15" s="42"/>
      <c r="AA15" s="42"/>
      <c r="AB15" s="42"/>
    </row>
    <row r="16" spans="1:32" ht="23.25" x14ac:dyDescent="0.35">
      <c r="Y16" s="42"/>
      <c r="Z16" s="42"/>
      <c r="AA16" s="42"/>
      <c r="AB16" s="42"/>
    </row>
    <row r="17" spans="1:37" ht="23.25" x14ac:dyDescent="0.35">
      <c r="Y17" s="42"/>
      <c r="Z17" s="42"/>
      <c r="AA17" s="42"/>
      <c r="AB17" s="42"/>
    </row>
    <row r="18" spans="1:37" ht="23.25" x14ac:dyDescent="0.35">
      <c r="Y18" s="42"/>
      <c r="Z18" s="42"/>
      <c r="AA18" s="42"/>
      <c r="AB18" s="42"/>
    </row>
    <row r="19" spans="1:37" ht="23.25" x14ac:dyDescent="0.35">
      <c r="A19" s="85" t="s">
        <v>142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Y19" s="42"/>
      <c r="Z19" s="42"/>
      <c r="AA19" s="42"/>
      <c r="AB19" s="42"/>
    </row>
    <row r="20" spans="1:37" s="11" customFormat="1" ht="46.5" x14ac:dyDescent="0.35">
      <c r="A20" s="10" t="s">
        <v>143</v>
      </c>
      <c r="B20" s="10" t="s">
        <v>144</v>
      </c>
      <c r="C20" s="10"/>
      <c r="D20" s="10"/>
      <c r="E20" s="10" t="s">
        <v>145</v>
      </c>
      <c r="F20" s="10"/>
      <c r="G20" s="10" t="s">
        <v>146</v>
      </c>
      <c r="H20" s="10" t="s">
        <v>147</v>
      </c>
      <c r="I20" s="10" t="s">
        <v>148</v>
      </c>
      <c r="J20" s="10"/>
      <c r="K20" s="10" t="s">
        <v>149</v>
      </c>
      <c r="L20" s="10"/>
      <c r="M20" s="10" t="s">
        <v>150</v>
      </c>
      <c r="N20" s="10" t="s">
        <v>151</v>
      </c>
      <c r="Y20" s="42"/>
      <c r="Z20" s="42"/>
      <c r="AA20" s="42"/>
      <c r="AB20" s="43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77">
        <v>5</v>
      </c>
      <c r="F21" s="77"/>
      <c r="G21" s="69">
        <v>5</v>
      </c>
      <c r="H21" s="69">
        <v>10</v>
      </c>
      <c r="I21" s="69">
        <v>0.2</v>
      </c>
      <c r="J21" s="69"/>
      <c r="K21" s="82">
        <v>8</v>
      </c>
      <c r="L21" s="83"/>
      <c r="M21" s="67">
        <v>1</v>
      </c>
      <c r="N21" s="68" t="s">
        <v>100</v>
      </c>
    </row>
    <row r="23" spans="1:37" ht="18.75" x14ac:dyDescent="0.3">
      <c r="Y23" s="40"/>
      <c r="Z23" s="40"/>
      <c r="AA23" s="40"/>
      <c r="AB23" s="40"/>
    </row>
    <row r="24" spans="1:37" ht="18.75" x14ac:dyDescent="0.3">
      <c r="Y24" s="40"/>
      <c r="Z24" s="40"/>
      <c r="AA24" s="40"/>
      <c r="AB24" s="40"/>
    </row>
    <row r="25" spans="1:37" ht="18.75" x14ac:dyDescent="0.3">
      <c r="A25" s="17" t="s">
        <v>152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0"/>
      <c r="Z25" s="49"/>
      <c r="AA25" s="40"/>
      <c r="AB25" s="40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153</v>
      </c>
      <c r="Q26" s="10"/>
      <c r="R26" s="10" t="s">
        <v>154</v>
      </c>
      <c r="S26" s="10" t="s">
        <v>155</v>
      </c>
      <c r="T26" s="10" t="s">
        <v>156</v>
      </c>
      <c r="U26" s="10" t="s">
        <v>157</v>
      </c>
      <c r="V26" s="10" t="s">
        <v>158</v>
      </c>
      <c r="W26" s="10"/>
      <c r="X26" s="11" t="s">
        <v>159</v>
      </c>
      <c r="Y26" s="41"/>
      <c r="Z26" s="41"/>
      <c r="AA26" s="41"/>
      <c r="AB26" s="41"/>
      <c r="AC26"/>
      <c r="AD26"/>
      <c r="AE26"/>
      <c r="AF26"/>
      <c r="AG26"/>
      <c r="AH26"/>
      <c r="AI26"/>
      <c r="AJ26"/>
    </row>
    <row r="27" spans="1:37" ht="18.75" x14ac:dyDescent="0.3">
      <c r="A27" s="69" t="s">
        <v>15</v>
      </c>
      <c r="B27" s="69" t="s">
        <v>24</v>
      </c>
      <c r="C27" s="69">
        <v>20150316</v>
      </c>
      <c r="D27" s="69">
        <v>62500</v>
      </c>
      <c r="E27" s="69"/>
      <c r="F27" s="69" t="s">
        <v>17</v>
      </c>
      <c r="G27" s="69" t="s">
        <v>16</v>
      </c>
      <c r="H27" s="69" t="s">
        <v>1287</v>
      </c>
      <c r="I27" s="69" t="s">
        <v>25</v>
      </c>
      <c r="J27" s="69">
        <v>0</v>
      </c>
      <c r="K27" s="69"/>
      <c r="L27" s="69"/>
      <c r="M27" s="69"/>
      <c r="N27" s="69"/>
      <c r="O27" s="69"/>
      <c r="P27" s="69"/>
      <c r="Q27" s="69"/>
      <c r="R27" s="69">
        <v>1.57194995</v>
      </c>
      <c r="S27" s="69">
        <v>0</v>
      </c>
      <c r="T27" s="69">
        <v>0</v>
      </c>
      <c r="U27" s="69">
        <v>0</v>
      </c>
      <c r="V27" s="69">
        <v>-175.93</v>
      </c>
      <c r="W27" s="69"/>
      <c r="X27">
        <f>IF(N27="",R27,(N27+O27)/2)</f>
        <v>1.57194995</v>
      </c>
      <c r="Y27" s="40"/>
      <c r="Z27" s="40"/>
      <c r="AA27" s="40"/>
      <c r="AB27" s="40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0"/>
      <c r="Z28" s="40"/>
      <c r="AA28" s="40"/>
      <c r="AB28" s="40"/>
      <c r="AC28" s="40"/>
      <c r="AD28" s="40"/>
      <c r="AE28" s="40"/>
    </row>
    <row r="29" spans="1:37" ht="18.75" x14ac:dyDescent="0.3">
      <c r="C29" s="87" t="s">
        <v>161</v>
      </c>
      <c r="D29" s="88"/>
      <c r="E29" s="12">
        <v>1.57</v>
      </c>
      <c r="F29" s="12"/>
      <c r="G29" s="88" t="s">
        <v>162</v>
      </c>
      <c r="H29" s="88"/>
      <c r="I29" s="12">
        <v>9999</v>
      </c>
      <c r="J29" s="12"/>
      <c r="K29" s="88" t="s">
        <v>163</v>
      </c>
      <c r="L29" s="88"/>
      <c r="M29" s="12">
        <v>30</v>
      </c>
      <c r="N29" s="13"/>
      <c r="O29" s="88" t="s">
        <v>164</v>
      </c>
      <c r="P29" s="88"/>
      <c r="Q29" s="34">
        <v>1.571687035127654</v>
      </c>
      <c r="R29" s="13"/>
      <c r="S29" s="12"/>
      <c r="T29" s="13"/>
      <c r="U29" s="12"/>
      <c r="V29" s="13"/>
      <c r="W29" s="13"/>
      <c r="Y29" s="40"/>
      <c r="Z29" s="40"/>
      <c r="AA29" s="40"/>
      <c r="AB29" s="40"/>
      <c r="AC29" s="40"/>
      <c r="AD29" s="40"/>
      <c r="AE29" s="40"/>
    </row>
    <row r="30" spans="1:37" ht="18.75" x14ac:dyDescent="0.3">
      <c r="C30" s="87" t="s">
        <v>165</v>
      </c>
      <c r="D30" s="88"/>
      <c r="E30" s="12">
        <v>16</v>
      </c>
      <c r="F30" s="12"/>
      <c r="G30" s="88" t="s">
        <v>166</v>
      </c>
      <c r="H30" s="88"/>
      <c r="I30" s="12">
        <v>99974283</v>
      </c>
      <c r="J30" s="12"/>
      <c r="K30" s="88" t="s">
        <v>167</v>
      </c>
      <c r="L30" s="88"/>
      <c r="M30" s="12">
        <v>0</v>
      </c>
      <c r="N30" s="13"/>
      <c r="O30" s="88" t="s">
        <v>168</v>
      </c>
      <c r="P30" s="88"/>
      <c r="Q30" s="34">
        <v>1.5716936865426074</v>
      </c>
      <c r="R30" s="13"/>
      <c r="S30" s="12"/>
      <c r="T30" s="13"/>
      <c r="U30" s="12"/>
      <c r="V30" s="13"/>
      <c r="W30" s="13"/>
      <c r="Y30" s="40"/>
      <c r="Z30" s="40"/>
      <c r="AA30" s="40"/>
      <c r="AB30" s="40"/>
      <c r="AC30" s="40"/>
      <c r="AD30" s="40"/>
      <c r="AE30" s="40"/>
      <c r="AI30" s="45"/>
      <c r="AK30" s="45"/>
    </row>
    <row r="31" spans="1:37" ht="18.75" x14ac:dyDescent="0.3">
      <c r="C31" s="87" t="s">
        <v>169</v>
      </c>
      <c r="D31" s="88"/>
      <c r="E31" s="12">
        <v>15</v>
      </c>
      <c r="F31" s="12"/>
      <c r="G31" s="88" t="s">
        <v>170</v>
      </c>
      <c r="H31" s="88"/>
      <c r="I31" s="12">
        <v>99974282</v>
      </c>
      <c r="J31" s="12"/>
      <c r="K31" s="88" t="s">
        <v>171</v>
      </c>
      <c r="L31" s="88"/>
      <c r="M31" s="12">
        <v>30</v>
      </c>
      <c r="N31" s="13"/>
      <c r="O31" s="88" t="s">
        <v>99</v>
      </c>
      <c r="P31" s="88"/>
      <c r="Q31" s="12">
        <v>1</v>
      </c>
      <c r="R31" s="13"/>
      <c r="S31" s="12"/>
      <c r="T31" s="13"/>
      <c r="U31" s="12"/>
      <c r="V31" s="13"/>
      <c r="W31" s="13"/>
      <c r="Y31" s="40"/>
      <c r="Z31" s="40"/>
      <c r="AA31" s="40"/>
      <c r="AB31" s="40"/>
      <c r="AC31" s="40"/>
      <c r="AD31" s="40"/>
      <c r="AE31" s="40"/>
      <c r="AI31" s="44"/>
    </row>
    <row r="32" spans="1:37" ht="2.25" customHeight="1" x14ac:dyDescent="0.3">
      <c r="C32" s="95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90"/>
      <c r="O32" s="89"/>
      <c r="P32" s="89"/>
      <c r="Q32" s="89"/>
      <c r="R32" s="90"/>
      <c r="S32" s="89"/>
      <c r="T32" s="90"/>
      <c r="U32" s="89"/>
      <c r="V32" s="90"/>
      <c r="W32" s="28"/>
      <c r="Y32" s="40"/>
      <c r="Z32" s="40"/>
      <c r="AA32" s="40"/>
      <c r="AB32" s="40"/>
      <c r="AC32" s="40"/>
      <c r="AD32" s="40"/>
      <c r="AE32" s="40"/>
      <c r="AI32" s="48"/>
    </row>
    <row r="33" spans="1:34" ht="18.75" x14ac:dyDescent="0.3">
      <c r="Y33" s="40"/>
      <c r="Z33" s="40"/>
      <c r="AA33" s="40"/>
      <c r="AB33" s="40"/>
      <c r="AC33" s="40"/>
      <c r="AD33" s="40"/>
      <c r="AE33" s="40"/>
    </row>
    <row r="34" spans="1:34" ht="18.75" customHeight="1" x14ac:dyDescent="0.3">
      <c r="A34" s="17" t="s">
        <v>172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46"/>
      <c r="Z34" s="46"/>
      <c r="AA34" s="46"/>
      <c r="AB34" s="40"/>
      <c r="AC34" s="40"/>
      <c r="AD34" s="40"/>
      <c r="AE34" s="40"/>
    </row>
    <row r="35" spans="1:34" s="11" customFormat="1" ht="39" customHeight="1" x14ac:dyDescent="0.3">
      <c r="A35" s="92" t="s">
        <v>26</v>
      </c>
      <c r="B35" s="93"/>
      <c r="C35" s="93"/>
      <c r="D35" s="93" t="s">
        <v>27</v>
      </c>
      <c r="E35" s="93"/>
      <c r="F35" s="93"/>
      <c r="G35" s="93"/>
      <c r="H35" s="20"/>
      <c r="I35" s="93" t="s">
        <v>28</v>
      </c>
      <c r="J35" s="93"/>
      <c r="K35" s="93"/>
      <c r="L35" s="93"/>
      <c r="M35" s="93"/>
      <c r="N35" s="20"/>
      <c r="O35" s="93" t="s">
        <v>173</v>
      </c>
      <c r="P35" s="93"/>
      <c r="Q35" s="94"/>
      <c r="Y35" s="47"/>
      <c r="Z35" s="41"/>
      <c r="AA35" s="41"/>
      <c r="AE35" s="41"/>
    </row>
    <row r="36" spans="1:34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174</v>
      </c>
      <c r="O36" s="1" t="s">
        <v>175</v>
      </c>
      <c r="P36" s="1" t="s">
        <v>176</v>
      </c>
      <c r="Q36" s="1" t="s">
        <v>177</v>
      </c>
      <c r="Y36" s="50"/>
      <c r="Z36" s="51"/>
      <c r="AA36" s="51"/>
      <c r="AE36" s="41"/>
    </row>
    <row r="37" spans="1:34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40"/>
      <c r="Z37" s="40"/>
      <c r="AA37" s="40"/>
      <c r="AB37" s="40"/>
      <c r="AC37" s="40"/>
      <c r="AD37" s="40"/>
      <c r="AE37" s="40"/>
    </row>
    <row r="39" spans="1:34" ht="26.25" customHeight="1" x14ac:dyDescent="0.25"/>
    <row r="40" spans="1:34" ht="44.25" customHeight="1" x14ac:dyDescent="0.35">
      <c r="B40" s="123" t="s">
        <v>103</v>
      </c>
      <c r="C40" s="123" t="s">
        <v>104</v>
      </c>
      <c r="D40" s="123" t="s">
        <v>105</v>
      </c>
      <c r="E40" s="123" t="s">
        <v>109</v>
      </c>
      <c r="F40" s="123" t="s">
        <v>118</v>
      </c>
      <c r="G40" s="123" t="s">
        <v>110</v>
      </c>
      <c r="H40" s="123" t="s">
        <v>1286</v>
      </c>
      <c r="I40" s="123" t="s">
        <v>1280</v>
      </c>
      <c r="J40" s="123" t="s">
        <v>1281</v>
      </c>
      <c r="K40" s="123" t="s">
        <v>1282</v>
      </c>
      <c r="L40" s="123" t="s">
        <v>1283</v>
      </c>
    </row>
    <row r="41" spans="1:34" ht="21" x14ac:dyDescent="0.35">
      <c r="B41" s="114">
        <f>SUM(V47:V67)+J27</f>
        <v>-16.273519326133247</v>
      </c>
      <c r="C41" s="115">
        <f>SUM(W47:W67)</f>
        <v>-2198.6771366542639</v>
      </c>
      <c r="D41" s="116">
        <f>SUM(X47:X67)</f>
        <v>6.3711852427430021E-2</v>
      </c>
      <c r="E41" s="117">
        <f>D41*62500</f>
        <v>3981.9907767143764</v>
      </c>
      <c r="F41" s="117">
        <f>SUM(AC47:AC67)</f>
        <v>1187.5</v>
      </c>
      <c r="G41" s="118">
        <v>1</v>
      </c>
      <c r="H41" s="119">
        <f>-1*G41*F41</f>
        <v>-1187.5</v>
      </c>
      <c r="I41" s="120">
        <f>B41+C41*(K41*0.0001)</f>
        <v>-18.664864383404833</v>
      </c>
      <c r="J41" s="120">
        <f>B41+C41*(L41*0.0001)</f>
        <v>18.664864383404833</v>
      </c>
      <c r="K41" s="121">
        <f>ticksUpToLoss(H41,B41,C41)</f>
        <v>10.876290190157277</v>
      </c>
      <c r="L41" s="121">
        <f>ticksDownToLoss(H41,B41,C41)</f>
        <v>-158.90638569473626</v>
      </c>
    </row>
    <row r="42" spans="1:34" ht="23.25" x14ac:dyDescent="0.35">
      <c r="B42" s="124" t="s">
        <v>131</v>
      </c>
      <c r="C42" s="122"/>
      <c r="D42" s="125">
        <f>$X$27+K41/10000</f>
        <v>1.5730375790190159</v>
      </c>
      <c r="E42" s="126">
        <f>ROUND(-I41,0)</f>
        <v>19</v>
      </c>
      <c r="F42" s="122"/>
      <c r="G42" s="124" t="s">
        <v>141</v>
      </c>
      <c r="H42" s="125">
        <f>$X$27+L41/10000</f>
        <v>1.5560593114305263</v>
      </c>
      <c r="I42" s="126">
        <f>ROUND(-J41,0)</f>
        <v>-19</v>
      </c>
      <c r="J42" s="122"/>
      <c r="K42" s="122"/>
      <c r="L42" s="122"/>
    </row>
    <row r="43" spans="1:34" ht="23.25" x14ac:dyDescent="0.35">
      <c r="E43" s="42"/>
    </row>
    <row r="45" spans="1:34" x14ac:dyDescent="0.25">
      <c r="A45" s="86" t="s">
        <v>13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91" t="s">
        <v>101</v>
      </c>
      <c r="O45" s="91"/>
      <c r="P45" s="91"/>
      <c r="Q45" s="91"/>
      <c r="R45" s="91"/>
      <c r="S45" s="91"/>
      <c r="T45" s="91"/>
      <c r="U45" s="91" t="s">
        <v>108</v>
      </c>
      <c r="V45" s="91"/>
      <c r="W45" s="91"/>
      <c r="X45" s="91"/>
      <c r="Y45" s="91" t="s">
        <v>654</v>
      </c>
      <c r="Z45" s="91"/>
      <c r="AA45" s="91"/>
      <c r="AB45" s="91"/>
      <c r="AC45" s="91"/>
      <c r="AH45" s="53">
        <f>SUM(AC47:AC67)</f>
        <v>1187.5</v>
      </c>
    </row>
    <row r="46" spans="1:34" ht="30" x14ac:dyDescent="0.25">
      <c r="A46" s="1" t="s">
        <v>9</v>
      </c>
      <c r="B46" s="1" t="s">
        <v>11</v>
      </c>
      <c r="C46" s="1" t="s">
        <v>178</v>
      </c>
      <c r="D46" s="1" t="s">
        <v>155</v>
      </c>
      <c r="E46" s="1" t="s">
        <v>156</v>
      </c>
      <c r="F46" s="1" t="s">
        <v>204</v>
      </c>
      <c r="G46" s="1" t="s">
        <v>179</v>
      </c>
      <c r="H46" s="66" t="s">
        <v>19</v>
      </c>
      <c r="I46" s="66" t="s">
        <v>21</v>
      </c>
      <c r="J46" s="66" t="s">
        <v>22</v>
      </c>
      <c r="K46" s="66" t="s">
        <v>18</v>
      </c>
      <c r="L46" s="66" t="s">
        <v>20</v>
      </c>
      <c r="M46" s="66" t="s">
        <v>23</v>
      </c>
      <c r="N46" s="35" t="s">
        <v>45</v>
      </c>
      <c r="O46" s="35" t="s">
        <v>102</v>
      </c>
      <c r="P46" s="35" t="s">
        <v>103</v>
      </c>
      <c r="Q46" s="35" t="s">
        <v>104</v>
      </c>
      <c r="R46" s="35" t="s">
        <v>105</v>
      </c>
      <c r="S46" s="35" t="s">
        <v>106</v>
      </c>
      <c r="T46" s="35" t="s">
        <v>107</v>
      </c>
      <c r="U46" s="38" t="s">
        <v>111</v>
      </c>
      <c r="V46" s="35" t="s">
        <v>103</v>
      </c>
      <c r="W46" s="35" t="s">
        <v>104</v>
      </c>
      <c r="X46" s="35" t="s">
        <v>105</v>
      </c>
      <c r="Y46" s="38" t="s">
        <v>113</v>
      </c>
      <c r="Z46" s="55" t="s">
        <v>117</v>
      </c>
      <c r="AA46" s="55" t="s">
        <v>114</v>
      </c>
      <c r="AB46" s="55" t="s">
        <v>115</v>
      </c>
      <c r="AC46" s="55" t="s">
        <v>116</v>
      </c>
    </row>
    <row r="47" spans="1:34" x14ac:dyDescent="0.25">
      <c r="A47" s="2" t="s">
        <v>207</v>
      </c>
      <c r="B47" s="2">
        <v>-10</v>
      </c>
      <c r="C47" s="2">
        <v>4.4249999999999998E-5</v>
      </c>
      <c r="D47" s="2">
        <v>-27.66</v>
      </c>
      <c r="E47" s="2">
        <v>79.19</v>
      </c>
      <c r="F47" s="30">
        <v>764.24</v>
      </c>
      <c r="G47" s="2">
        <v>0</v>
      </c>
      <c r="H47" s="2">
        <v>0</v>
      </c>
      <c r="I47" s="2">
        <v>0</v>
      </c>
      <c r="J47" s="2">
        <v>0</v>
      </c>
      <c r="K47" s="2">
        <v>-1</v>
      </c>
      <c r="L47" s="2">
        <v>1E-4</v>
      </c>
      <c r="M47" s="2">
        <v>69</v>
      </c>
      <c r="N47" s="2"/>
      <c r="O47" s="57">
        <v>0.12280641732825245</v>
      </c>
      <c r="P47" s="2">
        <v>-2.4752374272327373E-2</v>
      </c>
      <c r="Q47" s="2">
        <v>0</v>
      </c>
      <c r="R47" s="36">
        <v>-2.7995016160514794E-4</v>
      </c>
      <c r="S47" s="2">
        <v>6.2071667792863686E-5</v>
      </c>
      <c r="T47" s="2">
        <v>1.5704</v>
      </c>
      <c r="U47" s="109">
        <v>8.3557351153891943</v>
      </c>
      <c r="V47" s="109">
        <f>P47*B47</f>
        <v>0.24752374272327374</v>
      </c>
      <c r="W47" s="109">
        <f>U47*B47</f>
        <v>-83.557351153891943</v>
      </c>
      <c r="X47" s="109">
        <f>R47*B47</f>
        <v>2.7995016160514792E-3</v>
      </c>
      <c r="Y47" s="108">
        <f>X47/W47</f>
        <v>-3.3503953600629234E-5</v>
      </c>
      <c r="Z47" s="110">
        <f>IF(rightFromSymbol(A47)="C",MAX(0,T47-strikeFromSymbol(A47)),MAX(0,strikeFromSymbol(A47)-T47))*10000</f>
        <v>0</v>
      </c>
      <c r="AA47" s="110">
        <f>MAX(0,L47-Z47)</f>
        <v>1E-4</v>
      </c>
      <c r="AB47" s="111">
        <f>-AA47*B47</f>
        <v>1E-3</v>
      </c>
      <c r="AC47" s="112">
        <f>MAX(0,AB47*6.25) * 10000</f>
        <v>62.5</v>
      </c>
    </row>
    <row r="48" spans="1:34" x14ac:dyDescent="0.25">
      <c r="A48" s="2" t="s">
        <v>208</v>
      </c>
      <c r="B48" s="2">
        <v>-10</v>
      </c>
      <c r="C48" s="2">
        <v>1.1203599999999999E-2</v>
      </c>
      <c r="D48" s="2">
        <v>-7002.25</v>
      </c>
      <c r="E48" s="2">
        <v>385.44</v>
      </c>
      <c r="F48" s="30">
        <v>-3147.85</v>
      </c>
      <c r="G48" s="2">
        <v>0</v>
      </c>
      <c r="H48" s="2">
        <v>0</v>
      </c>
      <c r="I48" s="2">
        <v>0</v>
      </c>
      <c r="J48" s="2">
        <v>10</v>
      </c>
      <c r="K48" s="2">
        <v>1.0500000000000001E-2</v>
      </c>
      <c r="L48" s="2">
        <v>1.11E-2</v>
      </c>
      <c r="M48" s="2">
        <v>10</v>
      </c>
      <c r="N48" s="2"/>
      <c r="O48" s="57">
        <v>0.1128806631574788</v>
      </c>
      <c r="P48" s="2">
        <v>0.86008170978472642</v>
      </c>
      <c r="Q48" s="2">
        <v>0.5839389399210948</v>
      </c>
      <c r="R48" s="36">
        <v>-9.9103041663531777E-4</v>
      </c>
      <c r="S48" s="2">
        <v>2.1045933489157939E-4</v>
      </c>
      <c r="T48" s="2">
        <v>1.5704</v>
      </c>
      <c r="U48" s="109">
        <v>22.858384774945424</v>
      </c>
      <c r="V48" s="109">
        <f t="shared" ref="V48:V67" si="0">P48*B48</f>
        <v>-8.6008170978472638</v>
      </c>
      <c r="W48" s="109">
        <f t="shared" ref="W48:W67" si="1">U48*B48</f>
        <v>-228.58384774945424</v>
      </c>
      <c r="X48" s="109">
        <f t="shared" ref="X48:X67" si="2">R48*B48</f>
        <v>9.9103041663531777E-3</v>
      </c>
      <c r="Y48" s="108">
        <f t="shared" ref="Y48:Y67" si="3">X48/W48</f>
        <v>-4.3355225069164316E-5</v>
      </c>
      <c r="Z48" s="110">
        <f>IF(rightFromSymbol(A48)="C",MAX(0,T48-strikeFromSymbol(A48)),MAX(0,strikeFromSymbol(A48)-T48))*10000</f>
        <v>103.99999999999964</v>
      </c>
      <c r="AA48" s="110">
        <f t="shared" ref="AA48:AA52" si="4">MAX(0,L48-Z48)</f>
        <v>0</v>
      </c>
      <c r="AB48" s="111">
        <f>-AA48*B48</f>
        <v>0</v>
      </c>
      <c r="AC48" s="112">
        <f t="shared" ref="AC48:AC52" si="5">MAX(0,AB48*6.25) * 10000</f>
        <v>0</v>
      </c>
    </row>
    <row r="49" spans="1:29" x14ac:dyDescent="0.25">
      <c r="A49" s="2" t="s">
        <v>209</v>
      </c>
      <c r="B49" s="2">
        <v>-10</v>
      </c>
      <c r="C49" s="2">
        <v>6.8291999999999997E-3</v>
      </c>
      <c r="D49" s="2">
        <v>-4268.25</v>
      </c>
      <c r="E49" s="2">
        <v>222.94</v>
      </c>
      <c r="F49" s="30">
        <v>-2038.85</v>
      </c>
      <c r="G49" s="2">
        <v>0</v>
      </c>
      <c r="H49" s="2">
        <v>3.8E-3</v>
      </c>
      <c r="I49" s="2">
        <v>1</v>
      </c>
      <c r="J49" s="2">
        <v>30</v>
      </c>
      <c r="K49" s="2">
        <v>6.0000000000000001E-3</v>
      </c>
      <c r="L49" s="2">
        <v>6.7000000000000002E-3</v>
      </c>
      <c r="M49" s="2">
        <v>10</v>
      </c>
      <c r="N49" s="2"/>
      <c r="O49" s="57">
        <v>9.6722131213305751E-2</v>
      </c>
      <c r="P49" s="2">
        <v>0.74293949261705239</v>
      </c>
      <c r="Q49" s="2">
        <v>0</v>
      </c>
      <c r="R49" s="36">
        <v>-1.2315725370741441E-3</v>
      </c>
      <c r="S49" s="2">
        <v>2.6828662125806535E-4</v>
      </c>
      <c r="T49" s="2">
        <v>1.5704</v>
      </c>
      <c r="U49" s="109">
        <v>34.532144789544567</v>
      </c>
      <c r="V49" s="109">
        <f t="shared" si="0"/>
        <v>-7.4293949261705237</v>
      </c>
      <c r="W49" s="109">
        <f t="shared" si="1"/>
        <v>-345.32144789544566</v>
      </c>
      <c r="X49" s="109">
        <f t="shared" si="2"/>
        <v>1.2315725370741441E-2</v>
      </c>
      <c r="Y49" s="108">
        <f t="shared" si="3"/>
        <v>-3.5664524881959608E-5</v>
      </c>
      <c r="Z49" s="110">
        <f>IF(rightFromSymbol(A49)="C",MAX(0,T49-strikeFromSymbol(A49)),MAX(0,strikeFromSymbol(A49)-T49))*10000</f>
        <v>54.000000000000711</v>
      </c>
      <c r="AA49" s="110">
        <f t="shared" si="4"/>
        <v>0</v>
      </c>
      <c r="AB49" s="111">
        <f>-AA49*B49</f>
        <v>0</v>
      </c>
      <c r="AC49" s="112">
        <f t="shared" si="5"/>
        <v>0</v>
      </c>
    </row>
    <row r="50" spans="1:29" x14ac:dyDescent="0.25">
      <c r="A50" s="2" t="s">
        <v>210</v>
      </c>
      <c r="B50" s="2">
        <v>-30</v>
      </c>
      <c r="C50" s="2">
        <v>3.0640000000000002E-4</v>
      </c>
      <c r="D50" s="2">
        <v>-574.5</v>
      </c>
      <c r="E50" s="2">
        <v>260.44</v>
      </c>
      <c r="F50" s="30">
        <v>7238.7</v>
      </c>
      <c r="G50" s="2">
        <v>0</v>
      </c>
      <c r="H50" s="2">
        <v>6.9999999999999999E-4</v>
      </c>
      <c r="I50" s="2">
        <v>9</v>
      </c>
      <c r="J50" s="2">
        <v>5</v>
      </c>
      <c r="K50" s="2">
        <v>2.0000000000000001E-4</v>
      </c>
      <c r="L50" s="2">
        <v>2.9999999999999997E-4</v>
      </c>
      <c r="M50" s="2">
        <v>20</v>
      </c>
      <c r="N50" s="2"/>
      <c r="O50" s="57">
        <v>8.8834447098396899E-2</v>
      </c>
      <c r="P50" s="2">
        <v>-8.4704835502671175E-2</v>
      </c>
      <c r="Q50" s="2">
        <v>0</v>
      </c>
      <c r="R50" s="36">
        <v>-5.4369058420939516E-4</v>
      </c>
      <c r="S50" s="2">
        <v>1.5240194736005838E-4</v>
      </c>
      <c r="T50" s="2">
        <v>1.5704</v>
      </c>
      <c r="U50" s="109">
        <v>22.647324100180455</v>
      </c>
      <c r="V50" s="109">
        <f t="shared" si="0"/>
        <v>2.5411450650801353</v>
      </c>
      <c r="W50" s="109">
        <f t="shared" si="1"/>
        <v>-679.41972300541363</v>
      </c>
      <c r="X50" s="109">
        <f t="shared" si="2"/>
        <v>1.6310717526281854E-2</v>
      </c>
      <c r="Y50" s="108">
        <f t="shared" si="3"/>
        <v>-2.4006835500935096E-5</v>
      </c>
      <c r="Z50" s="110">
        <f>IF(rightFromSymbol(A50)="C",MAX(0,T50-strikeFromSymbol(A50)),MAX(0,strikeFromSymbol(A50)-T50))*10000</f>
        <v>0</v>
      </c>
      <c r="AA50" s="110">
        <f t="shared" si="4"/>
        <v>2.9999999999999997E-4</v>
      </c>
      <c r="AB50" s="111">
        <f>-AA50*B50</f>
        <v>8.9999999999999993E-3</v>
      </c>
      <c r="AC50" s="112">
        <f t="shared" si="5"/>
        <v>562.5</v>
      </c>
    </row>
    <row r="51" spans="1:29" x14ac:dyDescent="0.25">
      <c r="A51" s="2" t="s">
        <v>211</v>
      </c>
      <c r="B51" s="2">
        <v>-10</v>
      </c>
      <c r="C51" s="2">
        <v>9.3199999999999999E-4</v>
      </c>
      <c r="D51" s="2">
        <v>-582.5</v>
      </c>
      <c r="E51" s="2">
        <v>391.69</v>
      </c>
      <c r="F51" s="30">
        <v>3334.4</v>
      </c>
      <c r="G51" s="2">
        <v>0</v>
      </c>
      <c r="H51" s="2">
        <v>8.9999999999999998E-4</v>
      </c>
      <c r="I51" s="2">
        <v>5</v>
      </c>
      <c r="J51" s="2">
        <v>30</v>
      </c>
      <c r="K51" s="2">
        <v>8.0000000000000004E-4</v>
      </c>
      <c r="L51" s="2">
        <v>8.9999999999999998E-4</v>
      </c>
      <c r="M51" s="2">
        <v>5</v>
      </c>
      <c r="N51" s="2"/>
      <c r="O51" s="57">
        <v>8.184328192812497E-2</v>
      </c>
      <c r="P51" s="2">
        <v>-0.22038646863197917</v>
      </c>
      <c r="Q51" s="37">
        <v>0</v>
      </c>
      <c r="R51" s="36">
        <v>-9.5690006443320476E-4</v>
      </c>
      <c r="S51" s="2">
        <v>2.6828706209999287E-4</v>
      </c>
      <c r="T51" s="2">
        <v>1.5704</v>
      </c>
      <c r="U51" s="109">
        <v>38.477754244399982</v>
      </c>
      <c r="V51" s="109">
        <f t="shared" si="0"/>
        <v>2.2038646863197915</v>
      </c>
      <c r="W51" s="109">
        <f t="shared" si="1"/>
        <v>-384.77754244399983</v>
      </c>
      <c r="X51" s="109">
        <f t="shared" si="2"/>
        <v>9.5690006443320472E-3</v>
      </c>
      <c r="Y51" s="108">
        <f t="shared" si="3"/>
        <v>-2.4868916682487286E-5</v>
      </c>
      <c r="Z51" s="110">
        <f>IF(rightFromSymbol(A51)="C",MAX(0,T51-strikeFromSymbol(A51)),MAX(0,strikeFromSymbol(A51)-T51))*10000</f>
        <v>0</v>
      </c>
      <c r="AA51" s="110">
        <f t="shared" si="4"/>
        <v>8.9999999999999998E-4</v>
      </c>
      <c r="AB51" s="111">
        <f>-AA51*B51</f>
        <v>8.9999999999999993E-3</v>
      </c>
      <c r="AC51" s="112">
        <f t="shared" si="5"/>
        <v>562.5</v>
      </c>
    </row>
    <row r="52" spans="1:29" x14ac:dyDescent="0.25">
      <c r="A52" s="2" t="s">
        <v>212</v>
      </c>
      <c r="B52" s="2">
        <v>-10</v>
      </c>
      <c r="C52" s="2">
        <v>3.2066500000000001E-3</v>
      </c>
      <c r="D52" s="2">
        <v>-2004.17</v>
      </c>
      <c r="E52" s="2">
        <v>116.69</v>
      </c>
      <c r="F52" s="30">
        <v>-837.27</v>
      </c>
      <c r="G52" s="2">
        <v>0</v>
      </c>
      <c r="H52" s="2">
        <v>2.3E-3</v>
      </c>
      <c r="I52" s="2">
        <v>8</v>
      </c>
      <c r="J52" s="2">
        <v>35</v>
      </c>
      <c r="K52" s="2">
        <v>2.8E-3</v>
      </c>
      <c r="L52" s="2">
        <v>3.0000000000000001E-3</v>
      </c>
      <c r="M52" s="2">
        <v>9</v>
      </c>
      <c r="N52" s="2"/>
      <c r="O52" s="57">
        <v>8.1250754800751959E-2</v>
      </c>
      <c r="P52" s="2">
        <v>0.52358407962386588</v>
      </c>
      <c r="Q52" s="2">
        <v>0</v>
      </c>
      <c r="R52" s="36">
        <v>-1.2806603103670022E-3</v>
      </c>
      <c r="S52" s="2">
        <v>3.4173556976594115E-4</v>
      </c>
      <c r="T52" s="2">
        <v>1.5704</v>
      </c>
      <c r="U52" s="109">
        <v>47.701722440605856</v>
      </c>
      <c r="V52" s="109">
        <f t="shared" si="0"/>
        <v>-5.2358407962386586</v>
      </c>
      <c r="W52" s="109">
        <f t="shared" si="1"/>
        <v>-477.01722440605857</v>
      </c>
      <c r="X52" s="109">
        <f t="shared" si="2"/>
        <v>1.2806603103670022E-2</v>
      </c>
      <c r="Y52" s="108">
        <f t="shared" si="3"/>
        <v>-2.6847255085213578E-5</v>
      </c>
      <c r="Z52" s="110">
        <f>IF(rightFromSymbol(A52)="C",MAX(0,T52-strikeFromSymbol(A52)),MAX(0,strikeFromSymbol(A52)-T52))*10000</f>
        <v>3.9999999999995595</v>
      </c>
      <c r="AA52" s="110">
        <f t="shared" si="4"/>
        <v>0</v>
      </c>
      <c r="AB52" s="111">
        <f>-AA52*B52</f>
        <v>0</v>
      </c>
      <c r="AC52" s="112">
        <f t="shared" si="5"/>
        <v>0</v>
      </c>
    </row>
    <row r="53" spans="1:29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36"/>
      <c r="S53" s="2"/>
      <c r="T53" s="2"/>
      <c r="U53" s="109"/>
      <c r="V53" s="109">
        <f t="shared" si="0"/>
        <v>0</v>
      </c>
      <c r="W53" s="109">
        <f t="shared" si="1"/>
        <v>0</v>
      </c>
      <c r="X53" s="109">
        <f t="shared" si="2"/>
        <v>0</v>
      </c>
      <c r="Y53" s="108" t="e">
        <f t="shared" si="3"/>
        <v>#DIV/0!</v>
      </c>
      <c r="Z53" s="110" t="e">
        <f>IF(A47="",0,IF(rightFromSymbol(A53)="C",MAX(0,T53-strikeFromSymbol(A53)),MAX(0,strikeFromSymbol(A53)-T53))*10000)</f>
        <v>#VALUE!</v>
      </c>
      <c r="AA53" s="110">
        <f>IF(ISERR(Z53),0,MAX(0,strikeFromSymbol(A53)-Z53))</f>
        <v>0</v>
      </c>
      <c r="AB53" s="113">
        <f>-AA53*B53</f>
        <v>0</v>
      </c>
      <c r="AC53" s="112">
        <f>IF(ISERR(AB53),0,MAX(0,AB53*6.25))</f>
        <v>0</v>
      </c>
    </row>
    <row r="54" spans="1:29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36"/>
      <c r="S54" s="2"/>
      <c r="T54" s="2"/>
      <c r="U54" s="109"/>
      <c r="V54" s="109">
        <f t="shared" si="0"/>
        <v>0</v>
      </c>
      <c r="W54" s="109">
        <f t="shared" si="1"/>
        <v>0</v>
      </c>
      <c r="X54" s="109">
        <f t="shared" si="2"/>
        <v>0</v>
      </c>
      <c r="Y54" s="108" t="e">
        <f t="shared" si="3"/>
        <v>#DIV/0!</v>
      </c>
      <c r="Z54" s="110" t="e">
        <f>IF(rightFromSymbol(A54)="C",MAX(0,T54-strikeFromSymbol(A54)),MAX(0,strikeFromSymbol(A54)-T54))*10000</f>
        <v>#VALUE!</v>
      </c>
      <c r="AA54" s="110">
        <f t="shared" ref="AA54:AA67" si="6">IF(ISERR(Z54),0,MAX(0,strikeFromSymbol(A54)-Z54))</f>
        <v>0</v>
      </c>
      <c r="AB54" s="113">
        <f>-AA54*B54</f>
        <v>0</v>
      </c>
      <c r="AC54" s="112">
        <f t="shared" ref="AC54:AC67" si="7">IF(ISERR(AB54),0,MAX(0,AB54*6.25))</f>
        <v>0</v>
      </c>
    </row>
    <row r="55" spans="1:29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36"/>
      <c r="S55" s="2"/>
      <c r="T55" s="2"/>
      <c r="U55" s="109"/>
      <c r="V55" s="109">
        <f t="shared" si="0"/>
        <v>0</v>
      </c>
      <c r="W55" s="109">
        <f t="shared" si="1"/>
        <v>0</v>
      </c>
      <c r="X55" s="109">
        <f t="shared" si="2"/>
        <v>0</v>
      </c>
      <c r="Y55" s="108" t="e">
        <f t="shared" si="3"/>
        <v>#DIV/0!</v>
      </c>
      <c r="Z55" s="110" t="e">
        <f>IF(rightFromSymbol(A55)="C",MAX(0,T55-strikeFromSymbol(A55)),MAX(0,strikeFromSymbol(A55)-T55))*10000</f>
        <v>#VALUE!</v>
      </c>
      <c r="AA55" s="110">
        <f t="shared" si="6"/>
        <v>0</v>
      </c>
      <c r="AB55" s="113">
        <f>-AA55*B55</f>
        <v>0</v>
      </c>
      <c r="AC55" s="112">
        <f t="shared" si="7"/>
        <v>0</v>
      </c>
    </row>
    <row r="56" spans="1:29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36"/>
      <c r="S56" s="2"/>
      <c r="T56" s="2"/>
      <c r="U56" s="109"/>
      <c r="V56" s="109">
        <f t="shared" si="0"/>
        <v>0</v>
      </c>
      <c r="W56" s="109">
        <f t="shared" si="1"/>
        <v>0</v>
      </c>
      <c r="X56" s="109">
        <f t="shared" si="2"/>
        <v>0</v>
      </c>
      <c r="Y56" s="108" t="e">
        <f t="shared" si="3"/>
        <v>#DIV/0!</v>
      </c>
      <c r="Z56" s="110" t="e">
        <f>IF(rightFromSymbol(A56)="C",MAX(0,T56-strikeFromSymbol(A56)),MAX(0,strikeFromSymbol(A56)-T56))*10000</f>
        <v>#VALUE!</v>
      </c>
      <c r="AA56" s="110">
        <f t="shared" si="6"/>
        <v>0</v>
      </c>
      <c r="AB56" s="113">
        <f>-AA56*B56</f>
        <v>0</v>
      </c>
      <c r="AC56" s="112">
        <f t="shared" si="7"/>
        <v>0</v>
      </c>
    </row>
    <row r="57" spans="1:29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36"/>
      <c r="S57" s="2"/>
      <c r="T57" s="2"/>
      <c r="U57" s="109"/>
      <c r="V57" s="109">
        <f t="shared" si="0"/>
        <v>0</v>
      </c>
      <c r="W57" s="109">
        <f t="shared" si="1"/>
        <v>0</v>
      </c>
      <c r="X57" s="109">
        <f t="shared" si="2"/>
        <v>0</v>
      </c>
      <c r="Y57" s="108" t="e">
        <f t="shared" si="3"/>
        <v>#DIV/0!</v>
      </c>
      <c r="Z57" s="110" t="e">
        <f>IF(rightFromSymbol(A57)="C",MAX(0,T57-strikeFromSymbol(A57)),MAX(0,strikeFromSymbol(A57)-T57))*10000</f>
        <v>#VALUE!</v>
      </c>
      <c r="AA57" s="110">
        <f t="shared" si="6"/>
        <v>0</v>
      </c>
      <c r="AB57" s="113">
        <f>-AA57*B57</f>
        <v>0</v>
      </c>
      <c r="AC57" s="112">
        <f t="shared" si="7"/>
        <v>0</v>
      </c>
    </row>
    <row r="58" spans="1:29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36"/>
      <c r="S58" s="2"/>
      <c r="T58" s="2"/>
      <c r="U58" s="109"/>
      <c r="V58" s="109">
        <f t="shared" si="0"/>
        <v>0</v>
      </c>
      <c r="W58" s="109">
        <f t="shared" si="1"/>
        <v>0</v>
      </c>
      <c r="X58" s="109">
        <f t="shared" si="2"/>
        <v>0</v>
      </c>
      <c r="Y58" s="108" t="e">
        <f t="shared" si="3"/>
        <v>#DIV/0!</v>
      </c>
      <c r="Z58" s="110" t="e">
        <f>IF(rightFromSymbol(A58)="C",MAX(0,T58-strikeFromSymbol(A58)),MAX(0,strikeFromSymbol(A58)-T58))*10000</f>
        <v>#VALUE!</v>
      </c>
      <c r="AA58" s="110">
        <f t="shared" si="6"/>
        <v>0</v>
      </c>
      <c r="AB58" s="113">
        <f>-AA58*B58</f>
        <v>0</v>
      </c>
      <c r="AC58" s="112">
        <f t="shared" si="7"/>
        <v>0</v>
      </c>
    </row>
    <row r="59" spans="1:29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36"/>
      <c r="S59" s="2"/>
      <c r="T59" s="2"/>
      <c r="U59" s="109"/>
      <c r="V59" s="109">
        <f t="shared" si="0"/>
        <v>0</v>
      </c>
      <c r="W59" s="109">
        <f t="shared" si="1"/>
        <v>0</v>
      </c>
      <c r="X59" s="109">
        <f t="shared" si="2"/>
        <v>0</v>
      </c>
      <c r="Y59" s="108" t="e">
        <f t="shared" si="3"/>
        <v>#DIV/0!</v>
      </c>
      <c r="Z59" s="110" t="e">
        <f>IF(rightFromSymbol(A59)="C",MAX(0,T59-strikeFromSymbol(A59)),MAX(0,strikeFromSymbol(A59)-T59))*10000</f>
        <v>#VALUE!</v>
      </c>
      <c r="AA59" s="110">
        <f t="shared" si="6"/>
        <v>0</v>
      </c>
      <c r="AB59" s="113">
        <f>-AA59*B59</f>
        <v>0</v>
      </c>
      <c r="AC59" s="112">
        <f t="shared" si="7"/>
        <v>0</v>
      </c>
    </row>
    <row r="60" spans="1:29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36"/>
      <c r="S60" s="2"/>
      <c r="T60" s="2"/>
      <c r="U60" s="109"/>
      <c r="V60" s="109">
        <f t="shared" si="0"/>
        <v>0</v>
      </c>
      <c r="W60" s="109">
        <f t="shared" si="1"/>
        <v>0</v>
      </c>
      <c r="X60" s="109">
        <f t="shared" si="2"/>
        <v>0</v>
      </c>
      <c r="Y60" s="108" t="e">
        <f t="shared" si="3"/>
        <v>#DIV/0!</v>
      </c>
      <c r="Z60" s="110" t="e">
        <f>IF(rightFromSymbol(A60)="C",MAX(0,T60-strikeFromSymbol(A60)),MAX(0,strikeFromSymbol(A60)-T60))*10000</f>
        <v>#VALUE!</v>
      </c>
      <c r="AA60" s="110">
        <f t="shared" si="6"/>
        <v>0</v>
      </c>
      <c r="AB60" s="113">
        <f>-AA60*B60</f>
        <v>0</v>
      </c>
      <c r="AC60" s="112">
        <f t="shared" si="7"/>
        <v>0</v>
      </c>
    </row>
    <row r="61" spans="1:29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36"/>
      <c r="S61" s="2"/>
      <c r="T61" s="2"/>
      <c r="U61" s="109"/>
      <c r="V61" s="109">
        <f t="shared" si="0"/>
        <v>0</v>
      </c>
      <c r="W61" s="109">
        <f t="shared" si="1"/>
        <v>0</v>
      </c>
      <c r="X61" s="109">
        <f t="shared" si="2"/>
        <v>0</v>
      </c>
      <c r="Y61" s="108" t="e">
        <f t="shared" si="3"/>
        <v>#DIV/0!</v>
      </c>
      <c r="Z61" s="110" t="e">
        <f>IF(rightFromSymbol(A61)="C",MAX(0,T61-strikeFromSymbol(A61)),MAX(0,strikeFromSymbol(A61)-T61))*10000</f>
        <v>#VALUE!</v>
      </c>
      <c r="AA61" s="110">
        <f t="shared" si="6"/>
        <v>0</v>
      </c>
      <c r="AB61" s="113">
        <f>-AA61*B61</f>
        <v>0</v>
      </c>
      <c r="AC61" s="112">
        <f t="shared" si="7"/>
        <v>0</v>
      </c>
    </row>
    <row r="62" spans="1:29" x14ac:dyDescent="0.25">
      <c r="A62" s="2"/>
      <c r="B62" s="2"/>
      <c r="C62" s="2"/>
      <c r="D62" s="2"/>
      <c r="E62" s="2"/>
      <c r="F62" s="3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36"/>
      <c r="S62" s="2"/>
      <c r="T62" s="2"/>
      <c r="U62" s="109"/>
      <c r="V62" s="109">
        <f t="shared" si="0"/>
        <v>0</v>
      </c>
      <c r="W62" s="109">
        <f t="shared" si="1"/>
        <v>0</v>
      </c>
      <c r="X62" s="109">
        <f t="shared" si="2"/>
        <v>0</v>
      </c>
      <c r="Y62" s="108" t="e">
        <f t="shared" si="3"/>
        <v>#DIV/0!</v>
      </c>
      <c r="Z62" s="110" t="e">
        <f>IF(rightFromSymbol(A62)="C",MAX(0,T62-strikeFromSymbol(A62)),MAX(0,strikeFromSymbol(A62)-T62))*10000</f>
        <v>#VALUE!</v>
      </c>
      <c r="AA62" s="110">
        <f t="shared" si="6"/>
        <v>0</v>
      </c>
      <c r="AB62" s="113">
        <f>-AA62*B62</f>
        <v>0</v>
      </c>
      <c r="AC62" s="112">
        <f t="shared" si="7"/>
        <v>0</v>
      </c>
    </row>
    <row r="63" spans="1:29" x14ac:dyDescent="0.25">
      <c r="A63" s="2"/>
      <c r="B63" s="2"/>
      <c r="C63" s="2"/>
      <c r="D63" s="2"/>
      <c r="E63" s="2"/>
      <c r="F63" s="30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36"/>
      <c r="S63" s="2"/>
      <c r="T63" s="2"/>
      <c r="U63" s="109"/>
      <c r="V63" s="109">
        <f t="shared" si="0"/>
        <v>0</v>
      </c>
      <c r="W63" s="109">
        <f t="shared" si="1"/>
        <v>0</v>
      </c>
      <c r="X63" s="109">
        <f t="shared" si="2"/>
        <v>0</v>
      </c>
      <c r="Y63" s="108" t="e">
        <f t="shared" si="3"/>
        <v>#DIV/0!</v>
      </c>
      <c r="Z63" s="110" t="e">
        <f>IF(rightFromSymbol(A63)="C",MAX(0,T63-strikeFromSymbol(A63)),MAX(0,strikeFromSymbol(A63)-T63))*10000</f>
        <v>#VALUE!</v>
      </c>
      <c r="AA63" s="110">
        <f t="shared" si="6"/>
        <v>0</v>
      </c>
      <c r="AB63" s="113">
        <f>-AA63*B63</f>
        <v>0</v>
      </c>
      <c r="AC63" s="112">
        <f t="shared" si="7"/>
        <v>0</v>
      </c>
    </row>
    <row r="64" spans="1:29" x14ac:dyDescent="0.25">
      <c r="A64" s="2"/>
      <c r="B64" s="2"/>
      <c r="C64" s="2"/>
      <c r="D64" s="2"/>
      <c r="E64" s="2"/>
      <c r="F64" s="30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109"/>
      <c r="V64" s="109">
        <f t="shared" si="0"/>
        <v>0</v>
      </c>
      <c r="W64" s="109">
        <f t="shared" si="1"/>
        <v>0</v>
      </c>
      <c r="X64" s="109">
        <f t="shared" si="2"/>
        <v>0</v>
      </c>
      <c r="Y64" s="108" t="e">
        <f t="shared" si="3"/>
        <v>#DIV/0!</v>
      </c>
      <c r="Z64" s="110" t="e">
        <f>IF(rightFromSymbol(A64)="C",MAX(0,T64-strikeFromSymbol(A64)),MAX(0,strikeFromSymbol(A64)-T64))*10000</f>
        <v>#VALUE!</v>
      </c>
      <c r="AA64" s="110">
        <f t="shared" si="6"/>
        <v>0</v>
      </c>
      <c r="AB64" s="113">
        <f>-AA64*B64</f>
        <v>0</v>
      </c>
      <c r="AC64" s="112">
        <f t="shared" si="7"/>
        <v>0</v>
      </c>
    </row>
    <row r="65" spans="1:29" x14ac:dyDescent="0.25">
      <c r="A65" s="2"/>
      <c r="B65" s="2"/>
      <c r="C65" s="2"/>
      <c r="D65" s="2"/>
      <c r="E65" s="2"/>
      <c r="F65" s="30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109"/>
      <c r="V65" s="109">
        <f t="shared" si="0"/>
        <v>0</v>
      </c>
      <c r="W65" s="109">
        <f t="shared" si="1"/>
        <v>0</v>
      </c>
      <c r="X65" s="109">
        <f t="shared" si="2"/>
        <v>0</v>
      </c>
      <c r="Y65" s="108" t="e">
        <f t="shared" si="3"/>
        <v>#DIV/0!</v>
      </c>
      <c r="Z65" s="110" t="e">
        <f>IF(rightFromSymbol(A65)="C",MAX(0,T65-strikeFromSymbol(A65)),MAX(0,strikeFromSymbol(A65)-T65))*10000</f>
        <v>#VALUE!</v>
      </c>
      <c r="AA65" s="110">
        <f t="shared" si="6"/>
        <v>0</v>
      </c>
      <c r="AB65" s="113">
        <f>-AA65*B65</f>
        <v>0</v>
      </c>
      <c r="AC65" s="112">
        <f t="shared" si="7"/>
        <v>0</v>
      </c>
    </row>
    <row r="66" spans="1:29" x14ac:dyDescent="0.25">
      <c r="A66" s="2"/>
      <c r="B66" s="2"/>
      <c r="C66" s="2"/>
      <c r="D66" s="2"/>
      <c r="E66" s="2"/>
      <c r="F66" s="30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109"/>
      <c r="V66" s="109">
        <f t="shared" si="0"/>
        <v>0</v>
      </c>
      <c r="W66" s="109">
        <f t="shared" si="1"/>
        <v>0</v>
      </c>
      <c r="X66" s="109">
        <f t="shared" si="2"/>
        <v>0</v>
      </c>
      <c r="Y66" s="108" t="e">
        <f t="shared" si="3"/>
        <v>#DIV/0!</v>
      </c>
      <c r="Z66" s="110" t="e">
        <f>IF(rightFromSymbol(A66)="C",MAX(0,T66-strikeFromSymbol(A66)),MAX(0,strikeFromSymbol(A66)-T66))*10000</f>
        <v>#VALUE!</v>
      </c>
      <c r="AA66" s="110">
        <f t="shared" si="6"/>
        <v>0</v>
      </c>
      <c r="AB66" s="113">
        <f>-AA66*B66</f>
        <v>0</v>
      </c>
      <c r="AC66" s="112">
        <f t="shared" si="7"/>
        <v>0</v>
      </c>
    </row>
    <row r="67" spans="1:29" x14ac:dyDescent="0.25">
      <c r="A67" s="2"/>
      <c r="B67" s="2"/>
      <c r="C67" s="2"/>
      <c r="D67" s="2"/>
      <c r="E67" s="2"/>
      <c r="F67" s="30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109"/>
      <c r="V67" s="109">
        <f t="shared" si="0"/>
        <v>0</v>
      </c>
      <c r="W67" s="109">
        <f t="shared" si="1"/>
        <v>0</v>
      </c>
      <c r="X67" s="109">
        <f t="shared" si="2"/>
        <v>0</v>
      </c>
      <c r="Y67" s="108" t="e">
        <f t="shared" si="3"/>
        <v>#DIV/0!</v>
      </c>
      <c r="Z67" s="110" t="e">
        <f>IF(rightFromSymbol(A67)="C",MAX(0,T67-strikeFromSymbol(A67)),MAX(0,strikeFromSymbol(A67)-T67))*10000</f>
        <v>#VALUE!</v>
      </c>
      <c r="AA67" s="110">
        <f t="shared" si="6"/>
        <v>0</v>
      </c>
      <c r="AB67" s="113">
        <f>-AA67*B67</f>
        <v>0</v>
      </c>
      <c r="AC67" s="112">
        <f t="shared" si="7"/>
        <v>0</v>
      </c>
    </row>
    <row r="69" spans="1:29" x14ac:dyDescent="0.25">
      <c r="A69" s="96" t="s">
        <v>180</v>
      </c>
      <c r="B69" s="97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</row>
    <row r="70" spans="1:29" x14ac:dyDescent="0.25">
      <c r="A70" s="98" t="s">
        <v>41</v>
      </c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</row>
    <row r="71" spans="1:29" x14ac:dyDescent="0.25">
      <c r="A71" s="75" t="s">
        <v>9</v>
      </c>
      <c r="B71" s="74" t="s">
        <v>42</v>
      </c>
      <c r="C71" s="74" t="s">
        <v>43</v>
      </c>
      <c r="D71" s="74" t="s">
        <v>44</v>
      </c>
      <c r="E71" s="74" t="s">
        <v>45</v>
      </c>
      <c r="F71" s="74" t="s">
        <v>33</v>
      </c>
      <c r="G71" s="74" t="s">
        <v>46</v>
      </c>
      <c r="H71" s="74" t="s">
        <v>47</v>
      </c>
      <c r="I71" s="74" t="s">
        <v>48</v>
      </c>
      <c r="J71" s="74" t="s">
        <v>49</v>
      </c>
      <c r="K71" s="74" t="s">
        <v>50</v>
      </c>
      <c r="L71" s="74" t="s">
        <v>51</v>
      </c>
      <c r="M71" s="74" t="s">
        <v>52</v>
      </c>
    </row>
    <row r="72" spans="1:29" x14ac:dyDescent="0.25">
      <c r="A72" s="2" t="s">
        <v>160</v>
      </c>
      <c r="B72" s="16">
        <v>8</v>
      </c>
      <c r="C72" s="22" t="s">
        <v>184</v>
      </c>
      <c r="D72" s="16" t="s">
        <v>185</v>
      </c>
      <c r="E72" s="16" t="s">
        <v>183</v>
      </c>
      <c r="F72" s="16">
        <v>4</v>
      </c>
      <c r="G72" s="16">
        <v>4</v>
      </c>
      <c r="H72" s="16">
        <v>1.5686</v>
      </c>
      <c r="I72" s="16">
        <v>1.5686</v>
      </c>
      <c r="J72" s="16">
        <v>135369119</v>
      </c>
      <c r="K72" s="16">
        <v>0</v>
      </c>
      <c r="L72" s="16">
        <v>6</v>
      </c>
      <c r="M72" s="16"/>
    </row>
    <row r="73" spans="1:29" x14ac:dyDescent="0.25">
      <c r="A73" s="2" t="s">
        <v>160</v>
      </c>
      <c r="B73" s="16">
        <v>8</v>
      </c>
      <c r="C73" s="22" t="s">
        <v>186</v>
      </c>
      <c r="D73" s="16" t="s">
        <v>185</v>
      </c>
      <c r="E73" s="16" t="s">
        <v>183</v>
      </c>
      <c r="F73" s="16">
        <v>1</v>
      </c>
      <c r="G73" s="16">
        <v>5</v>
      </c>
      <c r="H73" s="16">
        <v>1.5686</v>
      </c>
      <c r="I73" s="16">
        <v>1.5686</v>
      </c>
      <c r="J73" s="16">
        <v>135369119</v>
      </c>
      <c r="K73" s="16">
        <v>0</v>
      </c>
      <c r="L73" s="16">
        <v>6</v>
      </c>
      <c r="M73" s="16"/>
    </row>
    <row r="74" spans="1:29" x14ac:dyDescent="0.25">
      <c r="A74" s="2" t="s">
        <v>160</v>
      </c>
      <c r="B74" s="16">
        <v>9</v>
      </c>
      <c r="C74" s="22" t="s">
        <v>187</v>
      </c>
      <c r="D74" s="16" t="s">
        <v>188</v>
      </c>
      <c r="E74" s="16" t="s">
        <v>183</v>
      </c>
      <c r="F74" s="16">
        <v>5</v>
      </c>
      <c r="G74" s="16">
        <v>5</v>
      </c>
      <c r="H74" s="16">
        <v>1.5687</v>
      </c>
      <c r="I74" s="16">
        <v>1.5687</v>
      </c>
      <c r="J74" s="16">
        <v>135369120</v>
      </c>
      <c r="K74" s="16">
        <v>0</v>
      </c>
      <c r="L74" s="16">
        <v>6</v>
      </c>
      <c r="M74" s="16"/>
    </row>
    <row r="75" spans="1:29" x14ac:dyDescent="0.25">
      <c r="A75" s="2" t="s">
        <v>160</v>
      </c>
      <c r="B75" s="16">
        <v>10</v>
      </c>
      <c r="C75" s="22" t="s">
        <v>189</v>
      </c>
      <c r="D75" s="16" t="s">
        <v>190</v>
      </c>
      <c r="E75" s="16" t="s">
        <v>183</v>
      </c>
      <c r="F75" s="16">
        <v>5</v>
      </c>
      <c r="G75" s="16">
        <v>5</v>
      </c>
      <c r="H75" s="16">
        <v>1.5686</v>
      </c>
      <c r="I75" s="16">
        <v>1.5686</v>
      </c>
      <c r="J75" s="16">
        <v>135369121</v>
      </c>
      <c r="K75" s="16">
        <v>0</v>
      </c>
      <c r="L75" s="16">
        <v>6</v>
      </c>
      <c r="M75" s="16"/>
    </row>
    <row r="76" spans="1:29" x14ac:dyDescent="0.25">
      <c r="A76" s="2" t="s">
        <v>160</v>
      </c>
      <c r="B76" s="16">
        <v>11</v>
      </c>
      <c r="C76" s="24" t="s">
        <v>191</v>
      </c>
      <c r="D76" s="16" t="s">
        <v>192</v>
      </c>
      <c r="E76" s="16" t="s">
        <v>183</v>
      </c>
      <c r="F76" s="16">
        <v>1</v>
      </c>
      <c r="G76" s="16">
        <v>1</v>
      </c>
      <c r="H76" s="16">
        <v>1.5686</v>
      </c>
      <c r="I76" s="16">
        <v>1.5686</v>
      </c>
      <c r="J76" s="16">
        <v>135369122</v>
      </c>
      <c r="K76" s="16">
        <v>0</v>
      </c>
      <c r="L76" s="16">
        <v>6</v>
      </c>
      <c r="M76" s="16"/>
    </row>
    <row r="77" spans="1:29" x14ac:dyDescent="0.25">
      <c r="A77" s="2" t="s">
        <v>160</v>
      </c>
      <c r="B77" s="16">
        <v>11</v>
      </c>
      <c r="C77" s="24" t="s">
        <v>193</v>
      </c>
      <c r="D77" s="16" t="s">
        <v>192</v>
      </c>
      <c r="E77" s="16" t="s">
        <v>183</v>
      </c>
      <c r="F77" s="16">
        <v>4</v>
      </c>
      <c r="G77" s="16">
        <v>5</v>
      </c>
      <c r="H77" s="16">
        <v>1.5686</v>
      </c>
      <c r="I77" s="16">
        <v>1.5686</v>
      </c>
      <c r="J77" s="16">
        <v>135369122</v>
      </c>
      <c r="K77" s="16">
        <v>0</v>
      </c>
      <c r="L77" s="16">
        <v>6</v>
      </c>
      <c r="M77" s="16"/>
    </row>
    <row r="78" spans="1:29" x14ac:dyDescent="0.25">
      <c r="A78" s="2" t="s">
        <v>160</v>
      </c>
      <c r="B78" s="16">
        <v>12</v>
      </c>
      <c r="C78" s="24" t="s">
        <v>194</v>
      </c>
      <c r="D78" s="16" t="s">
        <v>195</v>
      </c>
      <c r="E78" s="16" t="s">
        <v>183</v>
      </c>
      <c r="F78" s="16">
        <v>3</v>
      </c>
      <c r="G78" s="16">
        <v>3</v>
      </c>
      <c r="H78" s="16">
        <v>1.5686</v>
      </c>
      <c r="I78" s="16">
        <v>1.5686</v>
      </c>
      <c r="J78" s="16">
        <v>135369123</v>
      </c>
      <c r="K78" s="16">
        <v>0</v>
      </c>
      <c r="L78" s="16">
        <v>6</v>
      </c>
      <c r="M78" s="16"/>
    </row>
    <row r="79" spans="1:29" x14ac:dyDescent="0.25">
      <c r="A79" s="2" t="s">
        <v>160</v>
      </c>
      <c r="B79" s="16">
        <v>12</v>
      </c>
      <c r="C79" s="22" t="s">
        <v>196</v>
      </c>
      <c r="D79" s="16" t="s">
        <v>197</v>
      </c>
      <c r="E79" s="16" t="s">
        <v>183</v>
      </c>
      <c r="F79" s="16">
        <v>2</v>
      </c>
      <c r="G79" s="16">
        <v>5</v>
      </c>
      <c r="H79" s="16">
        <v>1.5686</v>
      </c>
      <c r="I79" s="16">
        <v>1.5686</v>
      </c>
      <c r="J79" s="16">
        <v>135369123</v>
      </c>
      <c r="K79" s="16">
        <v>0</v>
      </c>
      <c r="L79" s="16">
        <v>6</v>
      </c>
      <c r="M79" s="16"/>
    </row>
    <row r="80" spans="1:29" x14ac:dyDescent="0.25">
      <c r="A80" s="2" t="s">
        <v>160</v>
      </c>
      <c r="B80" s="16">
        <v>13</v>
      </c>
      <c r="C80" s="24" t="s">
        <v>198</v>
      </c>
      <c r="D80" s="16" t="s">
        <v>199</v>
      </c>
      <c r="E80" s="16" t="s">
        <v>183</v>
      </c>
      <c r="F80" s="16">
        <v>2</v>
      </c>
      <c r="G80" s="16">
        <v>2</v>
      </c>
      <c r="H80" s="16">
        <v>1.5685</v>
      </c>
      <c r="I80" s="16">
        <v>1.5685</v>
      </c>
      <c r="J80" s="16">
        <v>135369124</v>
      </c>
      <c r="K80" s="16">
        <v>0</v>
      </c>
      <c r="L80" s="16">
        <v>6</v>
      </c>
      <c r="M80" s="16"/>
    </row>
    <row r="81" spans="1:13" x14ac:dyDescent="0.25">
      <c r="A81" s="2" t="s">
        <v>160</v>
      </c>
      <c r="B81" s="16">
        <v>13</v>
      </c>
      <c r="C81" s="22" t="s">
        <v>200</v>
      </c>
      <c r="D81" s="16" t="s">
        <v>201</v>
      </c>
      <c r="E81" s="16" t="s">
        <v>183</v>
      </c>
      <c r="F81" s="16">
        <v>1</v>
      </c>
      <c r="G81" s="16">
        <v>3</v>
      </c>
      <c r="H81" s="16">
        <v>1.5686</v>
      </c>
      <c r="I81" s="16">
        <v>1.568533</v>
      </c>
      <c r="J81" s="16">
        <v>135369124</v>
      </c>
      <c r="K81" s="16">
        <v>0</v>
      </c>
      <c r="L81" s="16">
        <v>6</v>
      </c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2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4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4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4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4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4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4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4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4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23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23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4"/>
      <c r="D1004" s="16"/>
      <c r="E1004" s="23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4"/>
      <c r="D1005" s="16"/>
      <c r="E1005" s="23"/>
      <c r="F1005" s="16"/>
      <c r="G1005" s="16"/>
      <c r="H1005" s="16"/>
      <c r="I1005" s="16"/>
      <c r="J1005" s="16"/>
      <c r="K1005" s="16"/>
      <c r="L1005" s="16"/>
      <c r="M1005" s="16"/>
    </row>
  </sheetData>
  <dataConsolidate/>
  <mergeCells count="61">
    <mergeCell ref="N45:T45"/>
    <mergeCell ref="U45:X45"/>
    <mergeCell ref="Y45:AC45"/>
    <mergeCell ref="A69:M69"/>
    <mergeCell ref="A70:M70"/>
    <mergeCell ref="A45:M45"/>
    <mergeCell ref="O32:P32"/>
    <mergeCell ref="Q32:R32"/>
    <mergeCell ref="S32:T32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B41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1</xdr:col>
                <xdr:colOff>771525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561975</xdr:colOff>
                <xdr:row>1</xdr:row>
                <xdr:rowOff>114300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autoPict="0" r:id="rId17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657225</xdr:colOff>
                <xdr:row>1</xdr:row>
                <xdr:rowOff>114300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1</xdr:col>
                <xdr:colOff>809625</xdr:colOff>
                <xdr:row>1</xdr:row>
                <xdr:rowOff>114300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autoPict="0" r:id="rId21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61" customWidth="1"/>
    <col min="24" max="24" width="12.140625" customWidth="1"/>
    <col min="26" max="26" width="16.28515625" customWidth="1"/>
    <col min="31" max="31" width="10.42578125" customWidth="1"/>
    <col min="32" max="32" width="9.140625" style="63"/>
    <col min="33" max="33" width="9.5703125" bestFit="1" customWidth="1"/>
    <col min="34" max="34" width="9.85546875" customWidth="1"/>
  </cols>
  <sheetData>
    <row r="1" spans="2:37" x14ac:dyDescent="0.25">
      <c r="AE1" s="101" t="s">
        <v>121</v>
      </c>
      <c r="AF1" s="101"/>
      <c r="AG1" s="101"/>
      <c r="AH1" s="101"/>
      <c r="AI1" s="101"/>
      <c r="AJ1" s="101"/>
      <c r="AK1" s="101"/>
    </row>
    <row r="4" spans="2:37" x14ac:dyDescent="0.25">
      <c r="B4" s="85" t="s">
        <v>13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85"/>
      <c r="R4" s="86"/>
      <c r="S4" s="86"/>
      <c r="T4" s="91" t="s">
        <v>101</v>
      </c>
      <c r="U4" s="91"/>
      <c r="V4" s="91"/>
      <c r="W4" s="91"/>
      <c r="X4" s="91"/>
      <c r="Y4" s="91"/>
      <c r="Z4" s="91"/>
      <c r="AA4" s="91"/>
      <c r="AB4" s="91" t="s">
        <v>108</v>
      </c>
      <c r="AC4" s="91"/>
      <c r="AD4" s="91"/>
      <c r="AF4" s="63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52" t="s">
        <v>19</v>
      </c>
      <c r="O5" s="52" t="s">
        <v>21</v>
      </c>
      <c r="P5" s="52" t="s">
        <v>22</v>
      </c>
      <c r="Q5" s="52" t="s">
        <v>18</v>
      </c>
      <c r="R5" s="52" t="s">
        <v>20</v>
      </c>
      <c r="S5" s="52" t="s">
        <v>23</v>
      </c>
      <c r="T5" s="35" t="s">
        <v>45</v>
      </c>
      <c r="U5" s="35" t="s">
        <v>119</v>
      </c>
      <c r="V5" s="60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8" t="s">
        <v>111</v>
      </c>
      <c r="AF5" s="64" t="s">
        <v>112</v>
      </c>
      <c r="AG5" s="38" t="s">
        <v>113</v>
      </c>
      <c r="AH5" s="55" t="s">
        <v>117</v>
      </c>
      <c r="AI5" s="55" t="s">
        <v>114</v>
      </c>
      <c r="AJ5" s="55" t="s">
        <v>115</v>
      </c>
      <c r="AK5" s="55" t="s">
        <v>116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6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8">
        <v>8.1199351145806584E-5</v>
      </c>
      <c r="V6" s="57">
        <v>0.26420497997470704</v>
      </c>
      <c r="W6" s="2">
        <v>-9.6878701869559432E-3</v>
      </c>
      <c r="X6" s="58">
        <v>0.84191308475782911</v>
      </c>
      <c r="Y6" s="36">
        <v>-2.4950003905054767E-4</v>
      </c>
      <c r="Z6" s="37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62" t="e">
        <f>BSGamma($AA$17,E6,D6,0.001,V6)</f>
        <v>#VALUE!</v>
      </c>
      <c r="AF6" s="63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54">
        <f>MAX(0,(U6*10000)-AH6)</f>
        <v>0.81199351145806586</v>
      </c>
      <c r="AJ6" s="54">
        <f>AI6*M6</f>
        <v>8.1199351145806595</v>
      </c>
      <c r="AK6" s="53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6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8">
        <v>7.4421382497728584E-5</v>
      </c>
      <c r="V7" s="57">
        <v>0.24014391877688013</v>
      </c>
      <c r="W7" s="2">
        <v>-9.7672371887170713E-3</v>
      </c>
      <c r="X7" s="58">
        <v>0.96797095253886623</v>
      </c>
      <c r="Y7" s="36">
        <v>-2.2846199736357761E-4</v>
      </c>
      <c r="Z7" s="37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62" t="e">
        <f t="shared" ref="AE7:AE70" si="7">BSGamma($AA$17,E7,D7,0.001,V7)</f>
        <v>#VALUE!</v>
      </c>
      <c r="AF7" s="63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54">
        <f t="shared" ref="AI7:AI70" si="10">MAX(0,(U7*10000)-AH7)</f>
        <v>0.74421382497728583</v>
      </c>
      <c r="AJ7" s="54">
        <f t="shared" ref="AJ7:AJ70" si="11">AI7*M7</f>
        <v>0</v>
      </c>
      <c r="AK7" s="53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6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8">
        <v>7.1611499573167992E-5</v>
      </c>
      <c r="V8" s="57">
        <v>0.21823570997051434</v>
      </c>
      <c r="W8" s="2">
        <v>-1.0310207742769443E-2</v>
      </c>
      <c r="X8" s="58">
        <v>0</v>
      </c>
      <c r="Y8" s="36">
        <v>-2.1819140367112388E-4</v>
      </c>
      <c r="Z8" s="37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62" t="e">
        <f t="shared" si="7"/>
        <v>#VALUE!</v>
      </c>
      <c r="AF8" s="63">
        <f t="shared" si="0"/>
        <v>0</v>
      </c>
      <c r="AG8" s="31" t="e">
        <f t="shared" si="8"/>
        <v>#VALUE!</v>
      </c>
      <c r="AH8">
        <f t="shared" si="9"/>
        <v>0</v>
      </c>
      <c r="AI8" s="54">
        <f t="shared" si="10"/>
        <v>0.71611499573167992</v>
      </c>
      <c r="AJ8" s="54">
        <f t="shared" si="11"/>
        <v>0</v>
      </c>
      <c r="AK8" s="53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6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8">
        <v>8.0178960996781138E-5</v>
      </c>
      <c r="V9" s="57">
        <v>0.1984803535556523</v>
      </c>
      <c r="W9" s="2">
        <v>-1.2365932135729427E-2</v>
      </c>
      <c r="X9" s="58">
        <v>0</v>
      </c>
      <c r="Y9" s="36">
        <v>-2.3096374601349581E-4</v>
      </c>
      <c r="Z9" s="37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62" t="e">
        <f t="shared" si="7"/>
        <v>#VALUE!</v>
      </c>
      <c r="AF9" s="63">
        <f t="shared" si="0"/>
        <v>0</v>
      </c>
      <c r="AG9" s="31" t="e">
        <f t="shared" si="8"/>
        <v>#VALUE!</v>
      </c>
      <c r="AH9">
        <f t="shared" si="9"/>
        <v>0</v>
      </c>
      <c r="AI9" s="54">
        <f t="shared" si="10"/>
        <v>0.80178960996781135</v>
      </c>
      <c r="AJ9" s="54">
        <f t="shared" si="11"/>
        <v>0</v>
      </c>
      <c r="AK9" s="53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6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8">
        <v>9.787043407957923E-5</v>
      </c>
      <c r="V10" s="57">
        <v>0.18087784953227981</v>
      </c>
      <c r="W10" s="2">
        <v>-1.6053871129648158E-2</v>
      </c>
      <c r="X10" s="59">
        <v>0</v>
      </c>
      <c r="Y10" s="36">
        <v>-2.6307424795380687E-4</v>
      </c>
      <c r="Z10" s="37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62" t="e">
        <f t="shared" si="7"/>
        <v>#VALUE!</v>
      </c>
      <c r="AF10" s="63">
        <f t="shared" si="0"/>
        <v>0</v>
      </c>
      <c r="AG10" s="31" t="e">
        <f t="shared" si="8"/>
        <v>#VALUE!</v>
      </c>
      <c r="AH10">
        <f t="shared" si="9"/>
        <v>0</v>
      </c>
      <c r="AI10" s="54">
        <f t="shared" si="10"/>
        <v>0.97870434079579227</v>
      </c>
      <c r="AJ10" s="54">
        <f t="shared" si="11"/>
        <v>0</v>
      </c>
      <c r="AK10" s="53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6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8">
        <v>1.2338459576258055E-4</v>
      </c>
      <c r="V11" s="57">
        <v>0.16542819790035423</v>
      </c>
      <c r="W11" s="2">
        <v>-2.1560138228549582E-2</v>
      </c>
      <c r="X11" s="58">
        <v>0</v>
      </c>
      <c r="Y11" s="36">
        <v>-3.1239254104964881E-4</v>
      </c>
      <c r="Z11" s="37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62" t="e">
        <f t="shared" si="7"/>
        <v>#VALUE!</v>
      </c>
      <c r="AF11" s="63">
        <f t="shared" si="0"/>
        <v>0</v>
      </c>
      <c r="AG11" s="31" t="e">
        <f t="shared" si="8"/>
        <v>#VALUE!</v>
      </c>
      <c r="AH11">
        <f t="shared" si="9"/>
        <v>0</v>
      </c>
      <c r="AI11" s="54">
        <f t="shared" si="10"/>
        <v>1.2338459576258056</v>
      </c>
      <c r="AJ11" s="54">
        <f t="shared" si="11"/>
        <v>0</v>
      </c>
      <c r="AK11" s="53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6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8">
        <v>1.9676249128862636E-4</v>
      </c>
      <c r="V12" s="57">
        <v>0.15213139865993242</v>
      </c>
      <c r="W12" s="2">
        <v>-3.4836869172406915E-2</v>
      </c>
      <c r="X12" s="58">
        <v>0</v>
      </c>
      <c r="Y12" s="36">
        <v>-4.2589234528331163E-4</v>
      </c>
      <c r="Z12" s="37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62" t="e">
        <f t="shared" si="7"/>
        <v>#VALUE!</v>
      </c>
      <c r="AF12" s="63">
        <f t="shared" si="0"/>
        <v>0</v>
      </c>
      <c r="AG12" s="31" t="e">
        <f t="shared" si="8"/>
        <v>#VALUE!</v>
      </c>
      <c r="AH12">
        <f t="shared" si="9"/>
        <v>0</v>
      </c>
      <c r="AI12" s="54">
        <f t="shared" si="10"/>
        <v>1.9676249128862635</v>
      </c>
      <c r="AJ12" s="54">
        <f t="shared" si="11"/>
        <v>0</v>
      </c>
      <c r="AK12" s="53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6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8">
        <v>3.3657321716550412E-4</v>
      </c>
      <c r="V13" s="57">
        <v>0.14098745181098593</v>
      </c>
      <c r="W13" s="2">
        <v>-5.9208535931378342E-2</v>
      </c>
      <c r="X13" s="58">
        <v>0</v>
      </c>
      <c r="Y13" s="36">
        <v>-6.0446077599329222E-4</v>
      </c>
      <c r="Z13" s="37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62" t="e">
        <f t="shared" si="7"/>
        <v>#VALUE!</v>
      </c>
      <c r="AF13" s="63">
        <f t="shared" si="0"/>
        <v>0</v>
      </c>
      <c r="AG13" s="31" t="e">
        <f t="shared" si="8"/>
        <v>#VALUE!</v>
      </c>
      <c r="AH13">
        <f t="shared" si="9"/>
        <v>0</v>
      </c>
      <c r="AI13" s="54">
        <f t="shared" si="10"/>
        <v>3.3657321716550412</v>
      </c>
      <c r="AJ13" s="54">
        <f t="shared" si="11"/>
        <v>0</v>
      </c>
      <c r="AK13" s="53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6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8">
        <v>6.2461154282803021E-4</v>
      </c>
      <c r="V14" s="57">
        <v>0.13199635735350057</v>
      </c>
      <c r="W14" s="2">
        <v>-0.10560974891081049</v>
      </c>
      <c r="X14" s="58">
        <v>0</v>
      </c>
      <c r="Y14" s="36">
        <v>-8.7852672117392106E-4</v>
      </c>
      <c r="Z14" s="37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62" t="e">
        <f t="shared" si="7"/>
        <v>#VALUE!</v>
      </c>
      <c r="AF14" s="63">
        <f t="shared" si="0"/>
        <v>0</v>
      </c>
      <c r="AG14" s="31" t="e">
        <f t="shared" si="8"/>
        <v>#VALUE!</v>
      </c>
      <c r="AH14">
        <f t="shared" si="9"/>
        <v>0</v>
      </c>
      <c r="AI14" s="54">
        <f t="shared" si="10"/>
        <v>6.2461154282803024</v>
      </c>
      <c r="AJ14" s="54">
        <f t="shared" si="11"/>
        <v>0</v>
      </c>
      <c r="AK14" s="53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6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8">
        <v>1.1984139041402108E-3</v>
      </c>
      <c r="V15" s="57">
        <v>0.12515811528751897</v>
      </c>
      <c r="W15" s="2">
        <v>-0.18793765586023906</v>
      </c>
      <c r="X15" s="58">
        <v>0</v>
      </c>
      <c r="Y15" s="36">
        <v>-1.2388664701268209E-3</v>
      </c>
      <c r="Z15" s="37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62" t="e">
        <f t="shared" si="7"/>
        <v>#VALUE!</v>
      </c>
      <c r="AF15" s="63">
        <f t="shared" si="0"/>
        <v>0</v>
      </c>
      <c r="AG15" s="31" t="e">
        <f t="shared" si="8"/>
        <v>#VALUE!</v>
      </c>
      <c r="AH15">
        <f t="shared" si="9"/>
        <v>0</v>
      </c>
      <c r="AI15" s="54">
        <f t="shared" si="10"/>
        <v>11.984139041402107</v>
      </c>
      <c r="AJ15" s="54">
        <f t="shared" si="11"/>
        <v>0</v>
      </c>
      <c r="AK15" s="53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6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8">
        <v>2.3571633551261869E-3</v>
      </c>
      <c r="V16" s="57">
        <v>0.1204727256130127</v>
      </c>
      <c r="W16" s="2">
        <v>-0.32187740475039894</v>
      </c>
      <c r="X16" s="58">
        <v>0</v>
      </c>
      <c r="Y16" s="36">
        <v>-1.5770148129181599E-3</v>
      </c>
      <c r="Z16" s="37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62" t="e">
        <f t="shared" si="7"/>
        <v>#VALUE!</v>
      </c>
      <c r="AF16" s="63">
        <f t="shared" si="0"/>
        <v>0</v>
      </c>
      <c r="AG16" s="31" t="e">
        <f t="shared" si="8"/>
        <v>#VALUE!</v>
      </c>
      <c r="AH16">
        <f t="shared" si="9"/>
        <v>0</v>
      </c>
      <c r="AI16" s="54">
        <f t="shared" si="10"/>
        <v>23.571633551261868</v>
      </c>
      <c r="AJ16" s="54">
        <f t="shared" si="11"/>
        <v>0</v>
      </c>
      <c r="AK16" s="53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6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8">
        <v>7.1000000461935997E-3</v>
      </c>
      <c r="V17" s="57">
        <v>0.19486266952716297</v>
      </c>
      <c r="W17" s="2">
        <v>-0.49550698962638023</v>
      </c>
      <c r="X17" s="58">
        <v>0</v>
      </c>
      <c r="Y17" s="36">
        <v>-2.8652366511571609E-3</v>
      </c>
      <c r="Z17" s="37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62" t="e">
        <f t="shared" si="7"/>
        <v>#VALUE!</v>
      </c>
      <c r="AF17" s="63">
        <f t="shared" si="0"/>
        <v>0</v>
      </c>
      <c r="AG17" s="31" t="e">
        <f t="shared" si="8"/>
        <v>#VALUE!</v>
      </c>
      <c r="AH17">
        <f t="shared" si="9"/>
        <v>0</v>
      </c>
      <c r="AI17" s="54">
        <f t="shared" si="10"/>
        <v>71.000000461935997</v>
      </c>
      <c r="AJ17" s="54">
        <f t="shared" si="11"/>
        <v>0</v>
      </c>
      <c r="AK17" s="53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6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8">
        <v>7.2386292668941759E-3</v>
      </c>
      <c r="V18" s="57">
        <v>0.11756050343842617</v>
      </c>
      <c r="W18" s="2">
        <v>-0.67253122920548303</v>
      </c>
      <c r="X18" s="58">
        <v>0</v>
      </c>
      <c r="Y18" s="36">
        <v>-1.5495704596294006E-3</v>
      </c>
      <c r="Z18" s="37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62" t="e">
        <f t="shared" si="7"/>
        <v>#VALUE!</v>
      </c>
      <c r="AF18" s="63">
        <f t="shared" si="0"/>
        <v>0</v>
      </c>
      <c r="AG18" s="31" t="e">
        <f t="shared" si="8"/>
        <v>#VALUE!</v>
      </c>
      <c r="AH18">
        <f t="shared" si="9"/>
        <v>49.000000000001265</v>
      </c>
      <c r="AI18" s="54">
        <f t="shared" si="10"/>
        <v>23.386292668940499</v>
      </c>
      <c r="AJ18" s="54">
        <f t="shared" si="11"/>
        <v>0</v>
      </c>
      <c r="AK18" s="53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6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8">
        <v>1.1016346548179045E-2</v>
      </c>
      <c r="V19" s="57">
        <v>0.11933367093836011</v>
      </c>
      <c r="W19" s="2">
        <v>-0.81481940558608035</v>
      </c>
      <c r="X19" s="58">
        <v>0</v>
      </c>
      <c r="Y19" s="36">
        <v>-1.168430220345048E-3</v>
      </c>
      <c r="Z19" s="37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62" t="e">
        <f t="shared" si="7"/>
        <v>#VALUE!</v>
      </c>
      <c r="AF19" s="63">
        <f t="shared" si="0"/>
        <v>0</v>
      </c>
      <c r="AG19" s="31" t="e">
        <f t="shared" si="8"/>
        <v>#VALUE!</v>
      </c>
      <c r="AH19">
        <f t="shared" si="9"/>
        <v>99.000000000000199</v>
      </c>
      <c r="AI19" s="54">
        <f t="shared" si="10"/>
        <v>11.163465481790254</v>
      </c>
      <c r="AJ19" s="54">
        <f t="shared" si="11"/>
        <v>0</v>
      </c>
      <c r="AK19" s="53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6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8">
        <v>1.5421554579886813E-2</v>
      </c>
      <c r="V20" s="57">
        <v>0.1232596908297694</v>
      </c>
      <c r="W20" s="2">
        <v>-0.9034281906599263</v>
      </c>
      <c r="X20" s="58">
        <v>0.45586362429465982</v>
      </c>
      <c r="Y20" s="36">
        <v>-7.6797840683540336E-4</v>
      </c>
      <c r="Z20" s="37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62" t="e">
        <f t="shared" si="7"/>
        <v>#VALUE!</v>
      </c>
      <c r="AF20" s="63">
        <f t="shared" si="0"/>
        <v>0</v>
      </c>
      <c r="AG20" s="31" t="e">
        <f t="shared" si="8"/>
        <v>#VALUE!</v>
      </c>
      <c r="AH20">
        <f t="shared" si="9"/>
        <v>149.00000000000136</v>
      </c>
      <c r="AI20" s="54">
        <f t="shared" si="10"/>
        <v>5.2155457988667706</v>
      </c>
      <c r="AJ20" s="54">
        <f t="shared" si="11"/>
        <v>0</v>
      </c>
      <c r="AK20" s="53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6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8">
        <v>2.0139865568373858E-2</v>
      </c>
      <c r="V21" s="57">
        <v>0.1293385631126398</v>
      </c>
      <c r="W21" s="2">
        <v>-0.95204286396793458</v>
      </c>
      <c r="X21" s="58">
        <v>0</v>
      </c>
      <c r="Y21" s="36">
        <v>-4.7107727011627768E-4</v>
      </c>
      <c r="Z21" s="37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62" t="e">
        <f t="shared" si="7"/>
        <v>#VALUE!</v>
      </c>
      <c r="AF21" s="63">
        <f t="shared" si="0"/>
        <v>0</v>
      </c>
      <c r="AG21" s="31" t="e">
        <f t="shared" si="8"/>
        <v>#VALUE!</v>
      </c>
      <c r="AH21">
        <f t="shared" si="9"/>
        <v>199.00000000000028</v>
      </c>
      <c r="AI21" s="54">
        <f t="shared" si="10"/>
        <v>2.3986556837382977</v>
      </c>
      <c r="AJ21" s="54">
        <f t="shared" si="11"/>
        <v>0</v>
      </c>
      <c r="AK21" s="53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6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8">
        <v>2.5021042245330444E-2</v>
      </c>
      <c r="V22" s="57">
        <v>0.13757028778701397</v>
      </c>
      <c r="W22" s="2">
        <v>-0.97506282275406442</v>
      </c>
      <c r="X22" s="58">
        <v>0</v>
      </c>
      <c r="Y22" s="36">
        <v>-2.928207005908077E-4</v>
      </c>
      <c r="Z22" s="37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62" t="e">
        <f t="shared" si="7"/>
        <v>#VALUE!</v>
      </c>
      <c r="AF22" s="63">
        <f t="shared" si="0"/>
        <v>0</v>
      </c>
      <c r="AG22" s="31" t="e">
        <f t="shared" si="8"/>
        <v>#VALUE!</v>
      </c>
      <c r="AH22">
        <f t="shared" si="9"/>
        <v>249.00000000000145</v>
      </c>
      <c r="AI22" s="54">
        <f t="shared" si="10"/>
        <v>1.2104224533029821</v>
      </c>
      <c r="AJ22" s="54">
        <f t="shared" si="11"/>
        <v>0</v>
      </c>
      <c r="AK22" s="53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6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8">
        <v>2.9971969328718363E-2</v>
      </c>
      <c r="V23" s="57">
        <v>0.14795486485286347</v>
      </c>
      <c r="W23" s="2">
        <v>-0.98537525388845271</v>
      </c>
      <c r="X23" s="58">
        <v>0</v>
      </c>
      <c r="Y23" s="2">
        <v>-1.9919460149662467E-4</v>
      </c>
      <c r="Z23" s="37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62" t="e">
        <f t="shared" si="7"/>
        <v>#VALUE!</v>
      </c>
      <c r="AF23" s="63">
        <f t="shared" si="0"/>
        <v>0</v>
      </c>
      <c r="AG23" s="31" t="e">
        <f t="shared" si="8"/>
        <v>#VALUE!</v>
      </c>
      <c r="AH23">
        <f t="shared" si="9"/>
        <v>299.0000000000004</v>
      </c>
      <c r="AI23" s="54">
        <f t="shared" si="10"/>
        <v>0.71969328718324732</v>
      </c>
      <c r="AJ23" s="54">
        <f t="shared" si="11"/>
        <v>0</v>
      </c>
      <c r="AK23" s="53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6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8">
        <v>3.4947170242700727E-2</v>
      </c>
      <c r="V24" s="57">
        <v>0.16049229431017409</v>
      </c>
      <c r="W24" s="2">
        <v>-0.99069384771629254</v>
      </c>
      <c r="X24" s="58">
        <v>0.96000685239764894</v>
      </c>
      <c r="Y24" s="2">
        <v>-1.4673614098978258E-4</v>
      </c>
      <c r="Z24" s="37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62" t="e">
        <f t="shared" si="7"/>
        <v>#VALUE!</v>
      </c>
      <c r="AF24" s="63">
        <f t="shared" si="0"/>
        <v>0</v>
      </c>
      <c r="AG24" s="31" t="e">
        <f t="shared" si="8"/>
        <v>#VALUE!</v>
      </c>
      <c r="AH24">
        <f t="shared" si="9"/>
        <v>349.00000000000153</v>
      </c>
      <c r="AI24" s="54">
        <f t="shared" si="10"/>
        <v>0.47170242700570952</v>
      </c>
      <c r="AJ24" s="54">
        <f t="shared" si="11"/>
        <v>0</v>
      </c>
      <c r="AK24" s="53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6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8">
        <v>3.9938167651417097E-2</v>
      </c>
      <c r="V25" s="57">
        <v>0.17518257615898847</v>
      </c>
      <c r="W25" s="2">
        <v>-0.99295163726063207</v>
      </c>
      <c r="X25" s="58">
        <v>0.96459820214130731</v>
      </c>
      <c r="Y25" s="2">
        <v>-1.2498221345756254E-4</v>
      </c>
      <c r="Z25" s="37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62" t="e">
        <f t="shared" si="7"/>
        <v>#VALUE!</v>
      </c>
      <c r="AF25" s="63">
        <f t="shared" si="0"/>
        <v>0</v>
      </c>
      <c r="AG25" s="31" t="e">
        <f t="shared" si="8"/>
        <v>#VALUE!</v>
      </c>
      <c r="AH25">
        <f t="shared" si="9"/>
        <v>399.00000000000045</v>
      </c>
      <c r="AI25" s="54">
        <f t="shared" si="10"/>
        <v>0.38167651417052184</v>
      </c>
      <c r="AJ25" s="54">
        <f t="shared" si="11"/>
        <v>0</v>
      </c>
      <c r="AK25" s="53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6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8">
        <v>4.4933497038128635E-2</v>
      </c>
      <c r="V26" s="57">
        <v>0.19202571039927818</v>
      </c>
      <c r="W26" s="2">
        <v>-0.99424128479175922</v>
      </c>
      <c r="X26" s="58">
        <v>0.93178526449189381</v>
      </c>
      <c r="Y26" s="2">
        <v>-1.1497841994031873E-4</v>
      </c>
      <c r="Z26" s="37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62" t="e">
        <f t="shared" si="7"/>
        <v>#VALUE!</v>
      </c>
      <c r="AF26" s="63">
        <f t="shared" si="0"/>
        <v>0</v>
      </c>
      <c r="AG26" s="31" t="e">
        <f t="shared" si="8"/>
        <v>#VALUE!</v>
      </c>
      <c r="AH26">
        <f t="shared" si="9"/>
        <v>449.00000000000159</v>
      </c>
      <c r="AI26" s="54">
        <f t="shared" si="10"/>
        <v>0.33497038128473378</v>
      </c>
      <c r="AJ26" s="54">
        <f t="shared" si="11"/>
        <v>0</v>
      </c>
      <c r="AK26" s="53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6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8">
        <v>4.9933175905381037E-2</v>
      </c>
      <c r="V27" s="57">
        <v>0.21102169703104323</v>
      </c>
      <c r="W27" s="2">
        <v>-0.99475196361446627</v>
      </c>
      <c r="X27" s="58">
        <v>0.78384519397573749</v>
      </c>
      <c r="Y27" s="2">
        <v>-1.1677813097680746E-4</v>
      </c>
      <c r="Z27" s="37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62" t="e">
        <f t="shared" si="7"/>
        <v>#VALUE!</v>
      </c>
      <c r="AF27" s="63">
        <f t="shared" si="0"/>
        <v>0</v>
      </c>
      <c r="AG27" s="31" t="e">
        <f t="shared" si="8"/>
        <v>#VALUE!</v>
      </c>
      <c r="AH27">
        <f t="shared" si="9"/>
        <v>499.00000000000057</v>
      </c>
      <c r="AI27" s="54">
        <f t="shared" si="10"/>
        <v>0.33175905380977611</v>
      </c>
      <c r="AJ27" s="54">
        <f t="shared" si="11"/>
        <v>0</v>
      </c>
      <c r="AK27" s="53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6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8">
        <v>5.4937219892936658E-2</v>
      </c>
      <c r="V28" s="57">
        <v>0.23217053605428362</v>
      </c>
      <c r="W28" s="2">
        <v>-0.99465768629688212</v>
      </c>
      <c r="X28" s="58">
        <v>0.72323851067159062</v>
      </c>
      <c r="Y28" s="2">
        <v>-1.3043410533604931E-4</v>
      </c>
      <c r="Z28" s="37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62" t="e">
        <f t="shared" si="7"/>
        <v>#VALUE!</v>
      </c>
      <c r="AF28" s="63">
        <f t="shared" si="0"/>
        <v>0</v>
      </c>
      <c r="AG28" s="31" t="e">
        <f t="shared" si="8"/>
        <v>#VALUE!</v>
      </c>
      <c r="AH28">
        <f t="shared" si="9"/>
        <v>549.00000000000171</v>
      </c>
      <c r="AI28" s="54">
        <f t="shared" si="10"/>
        <v>0.37219892936491306</v>
      </c>
      <c r="AJ28" s="54">
        <f t="shared" si="11"/>
        <v>0</v>
      </c>
      <c r="AK28" s="53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6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8">
        <v>5.9945648867460698E-2</v>
      </c>
      <c r="V29" s="57">
        <v>0.25547222746899934</v>
      </c>
      <c r="W29" s="2">
        <v>-0.99410840163359981</v>
      </c>
      <c r="X29" s="58">
        <v>0.71422133303684943</v>
      </c>
      <c r="Y29" s="2">
        <v>-1.5599872907370662E-4</v>
      </c>
      <c r="Z29" s="37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62" t="e">
        <f t="shared" si="7"/>
        <v>#VALUE!</v>
      </c>
      <c r="AF29" s="63">
        <f t="shared" si="0"/>
        <v>0</v>
      </c>
      <c r="AG29" s="31" t="e">
        <f t="shared" si="8"/>
        <v>#VALUE!</v>
      </c>
      <c r="AH29">
        <f t="shared" si="9"/>
        <v>599.00000000000068</v>
      </c>
      <c r="AI29" s="54">
        <f t="shared" si="10"/>
        <v>0.45648867460624842</v>
      </c>
      <c r="AJ29" s="54">
        <f t="shared" si="11"/>
        <v>0</v>
      </c>
      <c r="AK29" s="53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6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8">
        <v>6.4958485315866926E-2</v>
      </c>
      <c r="V30" s="57">
        <v>0.2809267712752046</v>
      </c>
      <c r="W30" s="2">
        <v>-0.99322759936178417</v>
      </c>
      <c r="X30" s="58">
        <v>0.73250794366057015</v>
      </c>
      <c r="Y30" s="2">
        <v>-1.9352554713736398E-4</v>
      </c>
      <c r="Z30" s="37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62" t="e">
        <f t="shared" si="7"/>
        <v>#VALUE!</v>
      </c>
      <c r="AF30" s="63">
        <f t="shared" si="0"/>
        <v>0</v>
      </c>
      <c r="AG30" s="31" t="e">
        <f t="shared" si="8"/>
        <v>#VALUE!</v>
      </c>
      <c r="AH30">
        <f t="shared" si="9"/>
        <v>648.99999999999955</v>
      </c>
      <c r="AI30" s="54">
        <f t="shared" si="10"/>
        <v>0.58485315866971632</v>
      </c>
      <c r="AJ30" s="54">
        <f t="shared" si="11"/>
        <v>0</v>
      </c>
      <c r="AK30" s="53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6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8">
        <v>6.9975749618210112E-2</v>
      </c>
      <c r="V31" s="57">
        <v>0.30853416747289941</v>
      </c>
      <c r="W31" s="2">
        <v>-0.99211342707809069</v>
      </c>
      <c r="X31" s="58">
        <v>0.76249876297262764</v>
      </c>
      <c r="Y31" s="2">
        <v>-2.4306472003765922E-4</v>
      </c>
      <c r="Z31" s="37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62" t="e">
        <f t="shared" si="7"/>
        <v>#VALUE!</v>
      </c>
      <c r="AF31" s="63">
        <f t="shared" si="0"/>
        <v>0</v>
      </c>
      <c r="AG31" s="31" t="e">
        <f t="shared" si="8"/>
        <v>#VALUE!</v>
      </c>
      <c r="AH31">
        <f t="shared" si="9"/>
        <v>699.00000000000068</v>
      </c>
      <c r="AI31" s="54">
        <f t="shared" si="10"/>
        <v>0.75749618210045355</v>
      </c>
      <c r="AJ31" s="54">
        <f t="shared" si="11"/>
        <v>0</v>
      </c>
      <c r="AK31" s="53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6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8">
        <v>7.4997461117907296E-2</v>
      </c>
      <c r="V32" s="57">
        <v>0.33829441606204114</v>
      </c>
      <c r="W32" s="2">
        <v>-0.99084222167956415</v>
      </c>
      <c r="X32" s="58">
        <v>0.79477854501055389</v>
      </c>
      <c r="Y32" s="2">
        <v>-3.0467123538908616E-4</v>
      </c>
      <c r="Z32" s="37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62" t="e">
        <f t="shared" si="7"/>
        <v>#VALUE!</v>
      </c>
      <c r="AF32" s="63">
        <f t="shared" si="0"/>
        <v>0</v>
      </c>
      <c r="AG32" s="31" t="e">
        <f t="shared" si="8"/>
        <v>#VALUE!</v>
      </c>
      <c r="AH32">
        <f t="shared" si="9"/>
        <v>749.00000000000193</v>
      </c>
      <c r="AI32" s="54">
        <f t="shared" si="10"/>
        <v>0.97461117907107564</v>
      </c>
      <c r="AJ32" s="54">
        <f t="shared" si="11"/>
        <v>0</v>
      </c>
      <c r="AK32" s="53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6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8">
        <v>8.0023639217036438E-2</v>
      </c>
      <c r="V33" s="57">
        <v>0.37020751704270083</v>
      </c>
      <c r="W33" s="2">
        <v>-0.98947196305720375</v>
      </c>
      <c r="X33" s="58">
        <v>0.82406090664307019</v>
      </c>
      <c r="Y33" s="2">
        <v>-3.7839448819390126E-4</v>
      </c>
      <c r="Z33" s="37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62" t="e">
        <f t="shared" si="7"/>
        <v>#VALUE!</v>
      </c>
      <c r="AF33" s="63">
        <f t="shared" si="0"/>
        <v>0</v>
      </c>
      <c r="AG33" s="31" t="e">
        <f t="shared" si="8"/>
        <v>#VALUE!</v>
      </c>
      <c r="AH33">
        <f t="shared" si="9"/>
        <v>799.0000000000008</v>
      </c>
      <c r="AI33" s="54">
        <f t="shared" si="10"/>
        <v>1.2363921703636152</v>
      </c>
      <c r="AJ33" s="54">
        <f t="shared" si="11"/>
        <v>0</v>
      </c>
      <c r="AK33" s="53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6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8">
        <v>8.5070516615054173E-2</v>
      </c>
      <c r="V34" s="57">
        <v>0.40427347041482165</v>
      </c>
      <c r="W34" s="2">
        <v>-0.98705691075711555</v>
      </c>
      <c r="X34" s="58">
        <v>0.8966998586038698</v>
      </c>
      <c r="Y34" s="2">
        <v>-4.9113662857176266E-4</v>
      </c>
      <c r="Z34" s="37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62" t="e">
        <f t="shared" si="7"/>
        <v>#VALUE!</v>
      </c>
      <c r="AF34" s="63">
        <f t="shared" si="0"/>
        <v>0</v>
      </c>
      <c r="AG34" s="31" t="e">
        <f t="shared" si="8"/>
        <v>#VALUE!</v>
      </c>
      <c r="AH34">
        <f t="shared" si="9"/>
        <v>848.99999999999977</v>
      </c>
      <c r="AI34" s="54">
        <f t="shared" si="10"/>
        <v>1.7051661505419133</v>
      </c>
      <c r="AJ34" s="54">
        <f t="shared" si="11"/>
        <v>0</v>
      </c>
      <c r="AK34" s="53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6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8">
        <v>9.0131182289735531E-2</v>
      </c>
      <c r="V35" s="57">
        <v>0.44049227617840359</v>
      </c>
      <c r="W35" s="2">
        <v>-0.98426134336016369</v>
      </c>
      <c r="X35" s="58">
        <v>0.97085895907125108</v>
      </c>
      <c r="Y35" s="2">
        <v>-6.3142971592561868E-4</v>
      </c>
      <c r="Z35" s="37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62" t="e">
        <f t="shared" si="7"/>
        <v>#VALUE!</v>
      </c>
      <c r="AF35" s="63">
        <f t="shared" si="0"/>
        <v>0</v>
      </c>
      <c r="AG35" s="31" t="e">
        <f t="shared" si="8"/>
        <v>#VALUE!</v>
      </c>
      <c r="AH35">
        <f t="shared" si="9"/>
        <v>899.00000000000091</v>
      </c>
      <c r="AI35" s="54">
        <f t="shared" si="10"/>
        <v>2.3118228973544319</v>
      </c>
      <c r="AJ35" s="54">
        <f t="shared" si="11"/>
        <v>0</v>
      </c>
      <c r="AK35" s="53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6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8">
        <v>5.5180738412799829E-2</v>
      </c>
      <c r="V36" s="57">
        <v>0.26420497997470704</v>
      </c>
      <c r="W36" s="2">
        <v>0.9903783911365891</v>
      </c>
      <c r="X36" s="58">
        <v>8.4867609479617076E-7</v>
      </c>
      <c r="Y36" s="2">
        <v>-2.4913728829400539E-4</v>
      </c>
      <c r="Z36" s="37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62" t="e">
        <f t="shared" si="7"/>
        <v>#VALUE!</v>
      </c>
      <c r="AF36" s="63">
        <f t="shared" si="0"/>
        <v>0</v>
      </c>
      <c r="AG36" s="31" t="e">
        <f t="shared" si="8"/>
        <v>#VALUE!</v>
      </c>
      <c r="AH36">
        <f t="shared" si="9"/>
        <v>550.99999999999932</v>
      </c>
      <c r="AI36" s="54">
        <f t="shared" si="10"/>
        <v>0.80738412799894377</v>
      </c>
      <c r="AJ36" s="54">
        <f t="shared" si="11"/>
        <v>0</v>
      </c>
      <c r="AK36" s="53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6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8">
        <v>5.0174002271439908E-2</v>
      </c>
      <c r="V37" s="57">
        <v>0.24014391877688013</v>
      </c>
      <c r="W37" s="2">
        <v>0.99029902415853122</v>
      </c>
      <c r="X37" s="58">
        <v>0</v>
      </c>
      <c r="Y37" s="2">
        <v>-2.2813216354481477E-4</v>
      </c>
      <c r="Z37" s="37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62" t="e">
        <f t="shared" si="7"/>
        <v>#VALUE!</v>
      </c>
      <c r="AF37" s="63">
        <f t="shared" si="0"/>
        <v>0</v>
      </c>
      <c r="AG37" s="31" t="e">
        <f t="shared" si="8"/>
        <v>#VALUE!</v>
      </c>
      <c r="AH37">
        <f t="shared" si="9"/>
        <v>501.00000000000034</v>
      </c>
      <c r="AI37" s="54">
        <f t="shared" si="10"/>
        <v>0.74002271439871947</v>
      </c>
      <c r="AJ37" s="54">
        <f t="shared" si="11"/>
        <v>0</v>
      </c>
      <c r="AK37" s="53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6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8">
        <v>4.5171234214798316E-2</v>
      </c>
      <c r="V38" s="57">
        <v>0.21823570997051434</v>
      </c>
      <c r="W38" s="2">
        <v>0.98975605375086417</v>
      </c>
      <c r="X38" s="58">
        <v>0</v>
      </c>
      <c r="Y38" s="2">
        <v>-2.1789448305739866E-4</v>
      </c>
      <c r="Z38" s="37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62" t="e">
        <f t="shared" si="7"/>
        <v>#VALUE!</v>
      </c>
      <c r="AF38" s="63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54">
        <f t="shared" si="10"/>
        <v>0.71234214798397488</v>
      </c>
      <c r="AJ38" s="54">
        <f t="shared" si="11"/>
        <v>0</v>
      </c>
      <c r="AK38" s="53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6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8">
        <v>4.017984348371216E-2</v>
      </c>
      <c r="V39" s="57">
        <v>0.1984803535556523</v>
      </c>
      <c r="W39" s="2">
        <v>0.98770033251658362</v>
      </c>
      <c r="X39" s="58">
        <v>0</v>
      </c>
      <c r="Y39" s="2">
        <v>-2.3069967905503622E-4</v>
      </c>
      <c r="Z39" s="37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62" t="e">
        <f t="shared" si="7"/>
        <v>#VALUE!</v>
      </c>
      <c r="AF39" s="63">
        <f t="shared" si="13"/>
        <v>0</v>
      </c>
      <c r="AG39" s="31" t="e">
        <f t="shared" si="8"/>
        <v>#VALUE!</v>
      </c>
      <c r="AH39">
        <f t="shared" si="9"/>
        <v>401.00000000000023</v>
      </c>
      <c r="AI39" s="54">
        <f t="shared" si="10"/>
        <v>0.79843483712136276</v>
      </c>
      <c r="AJ39" s="54">
        <f t="shared" si="11"/>
        <v>0</v>
      </c>
      <c r="AK39" s="53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6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8">
        <v>3.5197576778754069E-2</v>
      </c>
      <c r="V40" s="57">
        <v>0.18087784953227981</v>
      </c>
      <c r="W40" s="2">
        <v>0.98401239466735069</v>
      </c>
      <c r="X40" s="58">
        <v>0</v>
      </c>
      <c r="Y40" s="2">
        <v>-2.6284308136189993E-4</v>
      </c>
      <c r="Z40" s="37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62" t="e">
        <f t="shared" si="7"/>
        <v>#VALUE!</v>
      </c>
      <c r="AF40" s="63">
        <f t="shared" si="13"/>
        <v>0</v>
      </c>
      <c r="AG40" s="31" t="e">
        <f t="shared" si="8"/>
        <v>#VALUE!</v>
      </c>
      <c r="AH40">
        <f t="shared" si="9"/>
        <v>350.99999999999909</v>
      </c>
      <c r="AI40" s="54">
        <f t="shared" si="10"/>
        <v>0.97576778754159932</v>
      </c>
      <c r="AJ40" s="54">
        <f t="shared" si="11"/>
        <v>0</v>
      </c>
      <c r="AK40" s="53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6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8">
        <v>3.0223132760095989E-2</v>
      </c>
      <c r="V41" s="57">
        <v>0.16542819790035423</v>
      </c>
      <c r="W41" s="2">
        <v>0.97850612927498648</v>
      </c>
      <c r="X41" s="58">
        <v>0</v>
      </c>
      <c r="Y41" s="2">
        <v>-3.1219426754247582E-4</v>
      </c>
      <c r="Z41" s="37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62" t="e">
        <f t="shared" si="7"/>
        <v>#VALUE!</v>
      </c>
      <c r="AF41" s="63">
        <f t="shared" si="13"/>
        <v>0</v>
      </c>
      <c r="AG41" s="31" t="e">
        <f t="shared" si="8"/>
        <v>#VALUE!</v>
      </c>
      <c r="AH41">
        <f t="shared" si="9"/>
        <v>301.00000000000017</v>
      </c>
      <c r="AI41" s="54">
        <f t="shared" si="10"/>
        <v>1.2313276009597303</v>
      </c>
      <c r="AJ41" s="54">
        <f t="shared" si="11"/>
        <v>0</v>
      </c>
      <c r="AK41" s="53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6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8">
        <v>2.52965524313538E-2</v>
      </c>
      <c r="V42" s="57">
        <v>0.15213139865993242</v>
      </c>
      <c r="W42" s="2">
        <v>0.96522940856043193</v>
      </c>
      <c r="X42" s="58">
        <v>0</v>
      </c>
      <c r="Y42" s="2">
        <v>-4.2572685371954631E-4</v>
      </c>
      <c r="Z42" s="37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62" t="e">
        <f t="shared" si="7"/>
        <v>#VALUE!</v>
      </c>
      <c r="AF42" s="63">
        <f t="shared" si="13"/>
        <v>0</v>
      </c>
      <c r="AG42" s="31" t="e">
        <f t="shared" si="8"/>
        <v>#VALUE!</v>
      </c>
      <c r="AH42">
        <f t="shared" si="9"/>
        <v>250.99999999999901</v>
      </c>
      <c r="AI42" s="54">
        <f t="shared" si="10"/>
        <v>1.9655243135389924</v>
      </c>
      <c r="AJ42" s="54">
        <f t="shared" si="11"/>
        <v>0</v>
      </c>
      <c r="AK42" s="53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6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8">
        <v>2.0436404881690615E-2</v>
      </c>
      <c r="V43" s="57">
        <v>0.14098745181098593</v>
      </c>
      <c r="W43" s="2">
        <v>0.9408577625029193</v>
      </c>
      <c r="X43" s="58">
        <v>0</v>
      </c>
      <c r="Y43" s="2">
        <v>-6.0432797633985607E-4</v>
      </c>
      <c r="Z43" s="37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62" t="e">
        <f t="shared" si="7"/>
        <v>#VALUE!</v>
      </c>
      <c r="AF43" s="63">
        <f t="shared" si="13"/>
        <v>0</v>
      </c>
      <c r="AG43" s="31" t="e">
        <f t="shared" si="8"/>
        <v>#VALUE!</v>
      </c>
      <c r="AH43">
        <f t="shared" si="9"/>
        <v>201.00000000000006</v>
      </c>
      <c r="AI43" s="54">
        <f t="shared" si="10"/>
        <v>3.3640488169060916</v>
      </c>
      <c r="AJ43" s="54">
        <f t="shared" si="11"/>
        <v>0</v>
      </c>
      <c r="AK43" s="53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6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8">
        <v>1.5724484820930949E-2</v>
      </c>
      <c r="V44" s="57">
        <v>0.13199635735350057</v>
      </c>
      <c r="W44" s="2">
        <v>0.89445659155028767</v>
      </c>
      <c r="X44" s="58">
        <v>0</v>
      </c>
      <c r="Y44" s="2">
        <v>-8.7842645993631025E-4</v>
      </c>
      <c r="Z44" s="37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62" t="e">
        <f t="shared" si="7"/>
        <v>#VALUE!</v>
      </c>
      <c r="AF44" s="63">
        <f t="shared" si="13"/>
        <v>0</v>
      </c>
      <c r="AG44" s="31" t="e">
        <f t="shared" si="8"/>
        <v>#VALUE!</v>
      </c>
      <c r="AH44">
        <f t="shared" si="9"/>
        <v>150.99999999999892</v>
      </c>
      <c r="AI44" s="54">
        <f t="shared" si="10"/>
        <v>6.2448482093105611</v>
      </c>
      <c r="AJ44" s="54">
        <f t="shared" si="11"/>
        <v>0</v>
      </c>
      <c r="AK44" s="53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6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8">
        <v>1.1298328568095721E-2</v>
      </c>
      <c r="V45" s="57">
        <v>0.12515811528751897</v>
      </c>
      <c r="W45" s="2">
        <v>0.81212876673398537</v>
      </c>
      <c r="X45" s="58">
        <v>0</v>
      </c>
      <c r="Y45" s="2">
        <v>-1.2387985114968151E-3</v>
      </c>
      <c r="Z45" s="37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62" t="e">
        <f t="shared" si="7"/>
        <v>#VALUE!</v>
      </c>
      <c r="AF45" s="63">
        <f t="shared" si="13"/>
        <v>0</v>
      </c>
      <c r="AG45" s="31" t="e">
        <f t="shared" si="8"/>
        <v>#VALUE!</v>
      </c>
      <c r="AH45">
        <f t="shared" si="9"/>
        <v>100.99999999999997</v>
      </c>
      <c r="AI45" s="54">
        <f t="shared" si="10"/>
        <v>11.983285680957238</v>
      </c>
      <c r="AJ45" s="54">
        <f t="shared" si="11"/>
        <v>0</v>
      </c>
      <c r="AK45" s="53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6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8">
        <v>7.4571183521020025E-3</v>
      </c>
      <c r="V46" s="57">
        <v>0.1204727256130127</v>
      </c>
      <c r="W46" s="2">
        <v>0.67818925711837008</v>
      </c>
      <c r="X46" s="58">
        <v>0</v>
      </c>
      <c r="Y46" s="2">
        <v>-1.5769783665466137E-3</v>
      </c>
      <c r="Z46" s="37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62" t="e">
        <f t="shared" si="7"/>
        <v>#VALUE!</v>
      </c>
      <c r="AF46" s="63">
        <f t="shared" si="13"/>
        <v>0</v>
      </c>
      <c r="AG46" s="31" t="e">
        <f t="shared" si="8"/>
        <v>#VALUE!</v>
      </c>
      <c r="AH46">
        <f t="shared" si="9"/>
        <v>50.99999999999882</v>
      </c>
      <c r="AI46" s="54">
        <f t="shared" si="10"/>
        <v>23.571183521021212</v>
      </c>
      <c r="AJ46" s="54">
        <f t="shared" si="11"/>
        <v>0</v>
      </c>
      <c r="AK46" s="53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6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8">
        <v>7.4000000022351742E-3</v>
      </c>
      <c r="V47" s="57">
        <v>0.20033945498258379</v>
      </c>
      <c r="W47" s="2">
        <v>0.50448938338421789</v>
      </c>
      <c r="X47" s="58">
        <v>0</v>
      </c>
      <c r="Y47" s="2">
        <v>-2.9458189595816023E-3</v>
      </c>
      <c r="Z47" s="37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62" t="e">
        <f t="shared" si="7"/>
        <v>#VALUE!</v>
      </c>
      <c r="AF47" s="63">
        <f t="shared" si="13"/>
        <v>0</v>
      </c>
      <c r="AG47" s="31" t="e">
        <f t="shared" si="8"/>
        <v>#VALUE!</v>
      </c>
      <c r="AH47">
        <f t="shared" si="9"/>
        <v>0.99999999999988987</v>
      </c>
      <c r="AI47" s="54">
        <f t="shared" si="10"/>
        <v>73.000000022351855</v>
      </c>
      <c r="AJ47" s="54">
        <f t="shared" si="11"/>
        <v>0</v>
      </c>
      <c r="AK47" s="53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6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8">
        <v>2.3386601062499526E-3</v>
      </c>
      <c r="V48" s="57">
        <v>0.11756050343842617</v>
      </c>
      <c r="W48" s="2">
        <v>0.32753638011934455</v>
      </c>
      <c r="X48" s="58">
        <v>0</v>
      </c>
      <c r="Y48" s="2">
        <v>-1.5495961318951479E-3</v>
      </c>
      <c r="Z48" s="37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62" t="e">
        <f t="shared" si="7"/>
        <v>#VALUE!</v>
      </c>
      <c r="AF48" s="63">
        <f t="shared" si="13"/>
        <v>0</v>
      </c>
      <c r="AG48" s="31" t="e">
        <f t="shared" si="8"/>
        <v>#VALUE!</v>
      </c>
      <c r="AH48">
        <f t="shared" si="9"/>
        <v>0</v>
      </c>
      <c r="AI48" s="54">
        <f t="shared" si="10"/>
        <v>23.386601062499526</v>
      </c>
      <c r="AJ48" s="54">
        <f t="shared" si="11"/>
        <v>0</v>
      </c>
      <c r="AK48" s="53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6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8">
        <v>1.1164091165729115E-3</v>
      </c>
      <c r="V49" s="57">
        <v>0.11933367093836011</v>
      </c>
      <c r="W49" s="2">
        <v>0.18524911076303147</v>
      </c>
      <c r="X49" s="58">
        <v>0</v>
      </c>
      <c r="Y49" s="2">
        <v>-1.1684861695963273E-3</v>
      </c>
      <c r="Z49" s="37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62" t="e">
        <f t="shared" si="7"/>
        <v>#VALUE!</v>
      </c>
      <c r="AF49" s="63">
        <f t="shared" si="13"/>
        <v>0</v>
      </c>
      <c r="AG49" s="31" t="e">
        <f t="shared" si="8"/>
        <v>#VALUE!</v>
      </c>
      <c r="AH49">
        <f t="shared" si="9"/>
        <v>0</v>
      </c>
      <c r="AI49" s="54">
        <f t="shared" si="10"/>
        <v>11.164091165729115</v>
      </c>
      <c r="AJ49" s="54">
        <f t="shared" si="11"/>
        <v>0</v>
      </c>
      <c r="AK49" s="53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6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8">
        <v>5.216474251880307E-4</v>
      </c>
      <c r="V50" s="57">
        <v>0.1232596908297694</v>
      </c>
      <c r="W50" s="2">
        <v>9.6641212812860214E-2</v>
      </c>
      <c r="X50" s="58">
        <v>0</v>
      </c>
      <c r="Y50" s="2">
        <v>-7.6806409255681253E-4</v>
      </c>
      <c r="Z50" s="37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62" t="e">
        <f t="shared" si="7"/>
        <v>#VALUE!</v>
      </c>
      <c r="AF50" s="63">
        <f t="shared" si="13"/>
        <v>0</v>
      </c>
      <c r="AG50" s="31" t="e">
        <f t="shared" si="8"/>
        <v>#VALUE!</v>
      </c>
      <c r="AH50">
        <f t="shared" si="9"/>
        <v>0</v>
      </c>
      <c r="AI50" s="54">
        <f t="shared" si="10"/>
        <v>5.2164742518803067</v>
      </c>
      <c r="AJ50" s="54">
        <f t="shared" si="11"/>
        <v>0</v>
      </c>
      <c r="AK50" s="53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6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8">
        <v>2.3998364970128798E-4</v>
      </c>
      <c r="V51" s="57">
        <v>0.1293385631126398</v>
      </c>
      <c r="W51" s="2">
        <v>4.8027688265695208E-2</v>
      </c>
      <c r="X51" s="58">
        <v>0</v>
      </c>
      <c r="Y51" s="2">
        <v>-4.7119122755980345E-4</v>
      </c>
      <c r="Z51" s="37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62" t="e">
        <f t="shared" si="7"/>
        <v>#VALUE!</v>
      </c>
      <c r="AF51" s="63">
        <f t="shared" si="13"/>
        <v>0</v>
      </c>
      <c r="AG51" s="31" t="e">
        <f t="shared" si="8"/>
        <v>#VALUE!</v>
      </c>
      <c r="AH51">
        <f t="shared" si="9"/>
        <v>0</v>
      </c>
      <c r="AI51" s="54">
        <f t="shared" si="10"/>
        <v>2.3998364970128798</v>
      </c>
      <c r="AJ51" s="54">
        <f t="shared" si="11"/>
        <v>0</v>
      </c>
      <c r="AK51" s="53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6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8">
        <v>1.2118092944529462E-4</v>
      </c>
      <c r="V52" s="57">
        <v>0.13757028778701397</v>
      </c>
      <c r="W52" s="2">
        <v>2.5008897404942047E-2</v>
      </c>
      <c r="X52" s="58">
        <v>0</v>
      </c>
      <c r="Y52" s="2">
        <v>-2.9296286178520485E-4</v>
      </c>
      <c r="Z52" s="37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62" t="e">
        <f t="shared" si="7"/>
        <v>#VALUE!</v>
      </c>
      <c r="AF52" s="63">
        <f t="shared" si="13"/>
        <v>0</v>
      </c>
      <c r="AG52" s="31" t="e">
        <f t="shared" si="8"/>
        <v>#VALUE!</v>
      </c>
      <c r="AH52">
        <f t="shared" si="9"/>
        <v>0</v>
      </c>
      <c r="AI52" s="54">
        <f t="shared" si="10"/>
        <v>1.2118092944529462</v>
      </c>
      <c r="AJ52" s="54">
        <f t="shared" si="11"/>
        <v>0</v>
      </c>
      <c r="AK52" s="53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6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8">
        <v>7.2126364204528251E-5</v>
      </c>
      <c r="V53" s="57">
        <v>0.14795486485286347</v>
      </c>
      <c r="W53" s="2">
        <v>1.469739074729449E-2</v>
      </c>
      <c r="X53" s="58">
        <v>0</v>
      </c>
      <c r="Y53" s="2">
        <v>-1.9936522724189968E-4</v>
      </c>
      <c r="Z53" s="37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62" t="e">
        <f t="shared" si="7"/>
        <v>#VALUE!</v>
      </c>
      <c r="AF53" s="63">
        <f t="shared" si="13"/>
        <v>0</v>
      </c>
      <c r="AG53" s="31" t="e">
        <f t="shared" si="8"/>
        <v>#VALUE!</v>
      </c>
      <c r="AH53">
        <f t="shared" si="9"/>
        <v>0</v>
      </c>
      <c r="AI53" s="54">
        <f t="shared" si="10"/>
        <v>0.72126364204528248</v>
      </c>
      <c r="AJ53" s="54">
        <f t="shared" si="11"/>
        <v>0</v>
      </c>
      <c r="AK53" s="53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6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8">
        <v>4.7341293692565039E-5</v>
      </c>
      <c r="V54" s="57">
        <v>0.16049229431017409</v>
      </c>
      <c r="W54" s="2">
        <v>9.3796575175678007E-3</v>
      </c>
      <c r="X54" s="58">
        <v>0.95954405647310892</v>
      </c>
      <c r="Y54" s="2">
        <v>-1.4693501410608861E-4</v>
      </c>
      <c r="Z54" s="37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62" t="e">
        <f t="shared" si="7"/>
        <v>#VALUE!</v>
      </c>
      <c r="AF54" s="63">
        <f t="shared" si="13"/>
        <v>0</v>
      </c>
      <c r="AG54" s="31" t="e">
        <f t="shared" si="8"/>
        <v>#VALUE!</v>
      </c>
      <c r="AH54">
        <f t="shared" si="9"/>
        <v>0</v>
      </c>
      <c r="AI54" s="54">
        <f t="shared" si="10"/>
        <v>0.4734129369256504</v>
      </c>
      <c r="AJ54" s="54">
        <f t="shared" si="11"/>
        <v>0</v>
      </c>
      <c r="AK54" s="53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6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8">
        <v>3.8359639553938722E-5</v>
      </c>
      <c r="V55" s="57">
        <v>0.17518257615898847</v>
      </c>
      <c r="W55" s="2">
        <v>7.1224100425666325E-3</v>
      </c>
      <c r="X55" s="58">
        <v>0.96421830226224814</v>
      </c>
      <c r="Y55" s="2">
        <v>-1.252089076573424E-4</v>
      </c>
      <c r="Z55" s="37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62" t="e">
        <f t="shared" si="7"/>
        <v>#VALUE!</v>
      </c>
      <c r="AF55" s="63">
        <f t="shared" si="13"/>
        <v>0</v>
      </c>
      <c r="AG55" s="31" t="e">
        <f t="shared" si="8"/>
        <v>#VALUE!</v>
      </c>
      <c r="AH55">
        <f t="shared" si="9"/>
        <v>0</v>
      </c>
      <c r="AI55" s="54">
        <f t="shared" si="10"/>
        <v>0.38359639553938724</v>
      </c>
      <c r="AJ55" s="54">
        <f t="shared" si="11"/>
        <v>0</v>
      </c>
      <c r="AK55" s="53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6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8">
        <v>3.3708268785229029E-5</v>
      </c>
      <c r="V56" s="57">
        <v>0.19202571039927818</v>
      </c>
      <c r="W56" s="2">
        <v>5.8332014101459308E-3</v>
      </c>
      <c r="X56" s="58">
        <v>0.93145623559933899</v>
      </c>
      <c r="Y56" s="2">
        <v>-1.1523321629706423E-4</v>
      </c>
      <c r="Z56" s="37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62" t="e">
        <f t="shared" si="7"/>
        <v>#VALUE!</v>
      </c>
      <c r="AF56" s="63">
        <f t="shared" si="13"/>
        <v>0</v>
      </c>
      <c r="AG56" s="31" t="e">
        <f t="shared" si="8"/>
        <v>#VALUE!</v>
      </c>
      <c r="AH56">
        <f t="shared" si="9"/>
        <v>0</v>
      </c>
      <c r="AI56" s="54">
        <f t="shared" si="10"/>
        <v>0.33708268785229029</v>
      </c>
      <c r="AJ56" s="54">
        <f t="shared" si="11"/>
        <v>0</v>
      </c>
      <c r="AK56" s="53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6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8">
        <v>3.3406769725283334E-5</v>
      </c>
      <c r="V57" s="57">
        <v>0.21102169703104323</v>
      </c>
      <c r="W57" s="2">
        <v>5.3227665009588747E-3</v>
      </c>
      <c r="X57" s="58">
        <v>0.78354081495236994</v>
      </c>
      <c r="Y57" s="2">
        <v>-1.170610648750622E-4</v>
      </c>
      <c r="Z57" s="37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62" t="e">
        <f t="shared" si="7"/>
        <v>#VALUE!</v>
      </c>
      <c r="AF57" s="63">
        <f t="shared" si="13"/>
        <v>0</v>
      </c>
      <c r="AG57" s="31" t="e">
        <f t="shared" si="8"/>
        <v>#VALUE!</v>
      </c>
      <c r="AH57">
        <f t="shared" si="9"/>
        <v>0</v>
      </c>
      <c r="AI57" s="54">
        <f t="shared" si="10"/>
        <v>0.33406769725283336</v>
      </c>
      <c r="AJ57" s="54">
        <f t="shared" si="11"/>
        <v>0</v>
      </c>
      <c r="AK57" s="53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6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8">
        <v>3.7474658669514331E-5</v>
      </c>
      <c r="V58" s="57">
        <v>0.23217053605428362</v>
      </c>
      <c r="W58" s="2">
        <v>5.4170141095194035E-3</v>
      </c>
      <c r="X58" s="58">
        <v>0.72296178194305927</v>
      </c>
      <c r="Y58" s="2">
        <v>-1.307453745865314E-4</v>
      </c>
      <c r="Z58" s="37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62" t="e">
        <f t="shared" si="7"/>
        <v>#VALUE!</v>
      </c>
      <c r="AF58" s="63">
        <f t="shared" si="13"/>
        <v>0</v>
      </c>
      <c r="AG58" s="31" t="e">
        <f t="shared" si="8"/>
        <v>#VALUE!</v>
      </c>
      <c r="AH58">
        <f t="shared" si="9"/>
        <v>0</v>
      </c>
      <c r="AI58" s="54">
        <f t="shared" si="10"/>
        <v>0.37474658669514332</v>
      </c>
      <c r="AJ58" s="54">
        <f t="shared" si="11"/>
        <v>0</v>
      </c>
      <c r="AK58" s="53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6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8">
        <v>4.5931375836816548E-5</v>
      </c>
      <c r="V59" s="57">
        <v>0.25547222746899934</v>
      </c>
      <c r="W59" s="2">
        <v>5.9660562201696056E-3</v>
      </c>
      <c r="X59" s="58">
        <v>0.71397426698489763</v>
      </c>
      <c r="Y59" s="2">
        <v>-1.5633885042448125E-4</v>
      </c>
      <c r="Z59" s="37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62" t="e">
        <f t="shared" si="7"/>
        <v>#VALUE!</v>
      </c>
      <c r="AF59" s="63">
        <f t="shared" si="13"/>
        <v>0</v>
      </c>
      <c r="AG59" s="31" t="e">
        <f t="shared" si="8"/>
        <v>#VALUE!</v>
      </c>
      <c r="AH59">
        <f t="shared" si="9"/>
        <v>0</v>
      </c>
      <c r="AI59" s="54">
        <f t="shared" si="10"/>
        <v>0.45931375836816546</v>
      </c>
      <c r="AJ59" s="54">
        <f t="shared" si="11"/>
        <v>0</v>
      </c>
      <c r="AK59" s="53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6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8">
        <v>5.879628266652186E-5</v>
      </c>
      <c r="V60" s="57">
        <v>0.2809267712752046</v>
      </c>
      <c r="W60" s="2">
        <v>6.8465843625261889E-3</v>
      </c>
      <c r="X60" s="58">
        <v>0.73228623779271962</v>
      </c>
      <c r="Y60" s="2">
        <v>-1.9389397205251652E-4</v>
      </c>
      <c r="Z60" s="37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62" t="e">
        <f t="shared" si="7"/>
        <v>#VALUE!</v>
      </c>
      <c r="AF60" s="63">
        <f t="shared" si="13"/>
        <v>0</v>
      </c>
      <c r="AG60" s="31" t="e">
        <f t="shared" si="8"/>
        <v>#VALUE!</v>
      </c>
      <c r="AH60">
        <f t="shared" si="9"/>
        <v>0</v>
      </c>
      <c r="AI60" s="54">
        <f t="shared" si="10"/>
        <v>0.5879628266652186</v>
      </c>
      <c r="AJ60" s="54">
        <f t="shared" si="11"/>
        <v>0</v>
      </c>
      <c r="AK60" s="53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6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8">
        <v>7.6088660456964788E-5</v>
      </c>
      <c r="V61" s="57">
        <v>0.30853416747289941</v>
      </c>
      <c r="W61" s="2">
        <v>7.9604370634031359E-3</v>
      </c>
      <c r="X61" s="58">
        <v>0.76230536640109481</v>
      </c>
      <c r="Y61" s="2">
        <v>-2.4346298812732108E-4</v>
      </c>
      <c r="Z61" s="37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62" t="e">
        <f t="shared" si="7"/>
        <v>#VALUE!</v>
      </c>
      <c r="AF61" s="63">
        <f t="shared" si="13"/>
        <v>0</v>
      </c>
      <c r="AG61" s="31" t="e">
        <f t="shared" si="8"/>
        <v>#VALUE!</v>
      </c>
      <c r="AH61">
        <f t="shared" si="9"/>
        <v>0</v>
      </c>
      <c r="AI61" s="54">
        <f t="shared" si="10"/>
        <v>0.76088660456964785</v>
      </c>
      <c r="AJ61" s="54">
        <f t="shared" si="11"/>
        <v>0</v>
      </c>
      <c r="AK61" s="53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6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8">
        <v>9.782771035915851E-5</v>
      </c>
      <c r="V62" s="57">
        <v>0.33829441606204114</v>
      </c>
      <c r="W62" s="2">
        <v>9.231386342049331E-3</v>
      </c>
      <c r="X62" s="58">
        <v>0.79460596919069038</v>
      </c>
      <c r="Y62" s="2">
        <v>-3.0509791410599559E-4</v>
      </c>
      <c r="Z62" s="37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62" t="e">
        <f t="shared" si="7"/>
        <v>#VALUE!</v>
      </c>
      <c r="AF62" s="63">
        <f t="shared" si="13"/>
        <v>0</v>
      </c>
      <c r="AG62" s="31" t="e">
        <f t="shared" si="8"/>
        <v>#VALUE!</v>
      </c>
      <c r="AH62">
        <f t="shared" si="9"/>
        <v>0</v>
      </c>
      <c r="AI62" s="54">
        <f t="shared" si="10"/>
        <v>0.97827710359158515</v>
      </c>
      <c r="AJ62" s="54">
        <f t="shared" si="11"/>
        <v>0</v>
      </c>
      <c r="AK62" s="53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6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8">
        <v>1.2403255473835201E-4</v>
      </c>
      <c r="V63" s="57">
        <v>0.37020751704270083</v>
      </c>
      <c r="W63" s="2">
        <v>1.0601392863491977E-2</v>
      </c>
      <c r="X63" s="58">
        <v>0.82390910321157418</v>
      </c>
      <c r="Y63" s="2">
        <v>-3.7885053357087256E-4</v>
      </c>
      <c r="Z63" s="37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62" t="e">
        <f t="shared" si="7"/>
        <v>#VALUE!</v>
      </c>
      <c r="AF63" s="63">
        <f t="shared" si="13"/>
        <v>0</v>
      </c>
      <c r="AG63" s="31" t="e">
        <f t="shared" si="8"/>
        <v>#VALUE!</v>
      </c>
      <c r="AH63">
        <f t="shared" si="9"/>
        <v>0</v>
      </c>
      <c r="AI63" s="54">
        <f t="shared" si="10"/>
        <v>1.2403255473835202</v>
      </c>
      <c r="AJ63" s="54">
        <f t="shared" si="11"/>
        <v>0</v>
      </c>
      <c r="AK63" s="53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6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8">
        <v>1.7095647955773504E-4</v>
      </c>
      <c r="V64" s="57">
        <v>0.40427347041482165</v>
      </c>
      <c r="W64" s="2">
        <v>1.3016096373638784E-2</v>
      </c>
      <c r="X64" s="58">
        <v>0.89656273865530178</v>
      </c>
      <c r="Y64" s="2">
        <v>-4.916201945875079E-4</v>
      </c>
      <c r="Z64" s="37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62" t="e">
        <f t="shared" si="7"/>
        <v>#VALUE!</v>
      </c>
      <c r="AF64" s="63">
        <f t="shared" si="13"/>
        <v>0</v>
      </c>
      <c r="AG64" s="31" t="e">
        <f t="shared" si="8"/>
        <v>#VALUE!</v>
      </c>
      <c r="AH64">
        <f t="shared" si="9"/>
        <v>0</v>
      </c>
      <c r="AI64" s="54">
        <f t="shared" si="10"/>
        <v>1.7095647955773505</v>
      </c>
      <c r="AJ64" s="54">
        <f t="shared" si="11"/>
        <v>0</v>
      </c>
      <c r="AK64" s="53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6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8">
        <v>2.3165590829105819E-4</v>
      </c>
      <c r="V65" s="57">
        <v>0.44049227617840359</v>
      </c>
      <c r="W65" s="2">
        <v>1.5811261977233655E-2</v>
      </c>
      <c r="X65" s="58">
        <v>0.97073908073251758</v>
      </c>
      <c r="Y65" s="2">
        <v>-6.3194333685412407E-4</v>
      </c>
      <c r="Z65" s="37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62" t="e">
        <f t="shared" si="7"/>
        <v>#VALUE!</v>
      </c>
      <c r="AF65" s="63">
        <f t="shared" si="13"/>
        <v>0</v>
      </c>
      <c r="AG65" s="31" t="e">
        <f t="shared" si="8"/>
        <v>#VALUE!</v>
      </c>
      <c r="AH65">
        <f t="shared" si="9"/>
        <v>0</v>
      </c>
      <c r="AI65" s="54">
        <f t="shared" si="10"/>
        <v>2.3165590829105818</v>
      </c>
      <c r="AJ65" s="54">
        <f t="shared" si="11"/>
        <v>0</v>
      </c>
      <c r="AK65" s="53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120</v>
      </c>
      <c r="M66" s="56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8">
        <v>1.4024361866305218E-4</v>
      </c>
      <c r="V66" s="57">
        <v>0.10908946559042221</v>
      </c>
      <c r="W66" s="2">
        <v>-1.5048388587889306E-2</v>
      </c>
      <c r="X66" s="58">
        <v>0</v>
      </c>
      <c r="Y66" s="2">
        <v>-5.8744395122650194E-5</v>
      </c>
      <c r="Z66" s="37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62">
        <f t="shared" si="7"/>
        <v>1.4713544937440756E-4</v>
      </c>
      <c r="AF66" s="63">
        <f t="shared" si="13"/>
        <v>0</v>
      </c>
      <c r="AG66" s="31">
        <f t="shared" si="8"/>
        <v>3992.538533196479</v>
      </c>
      <c r="AH66">
        <f t="shared" si="9"/>
        <v>0</v>
      </c>
      <c r="AI66" s="54">
        <f t="shared" si="10"/>
        <v>1.4024361866305217</v>
      </c>
      <c r="AJ66" s="54">
        <f t="shared" si="11"/>
        <v>0</v>
      </c>
      <c r="AK66" s="53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120</v>
      </c>
      <c r="M67" s="56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8">
        <v>1.7091252918472518E-4</v>
      </c>
      <c r="V67" s="57">
        <v>0.10347358242750815</v>
      </c>
      <c r="W67" s="2">
        <v>-1.8909580693521087E-2</v>
      </c>
      <c r="X67" s="58">
        <v>0</v>
      </c>
      <c r="Y67" s="2">
        <v>-6.8065663889373048E-5</v>
      </c>
      <c r="Z67" s="37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62">
        <f t="shared" si="7"/>
        <v>4.3965664601960567E-4</v>
      </c>
      <c r="AF67" s="63">
        <f t="shared" si="13"/>
        <v>0</v>
      </c>
      <c r="AG67" s="31">
        <f t="shared" si="8"/>
        <v>1548.1550092691602</v>
      </c>
      <c r="AH67">
        <f t="shared" si="9"/>
        <v>0</v>
      </c>
      <c r="AI67" s="54">
        <f t="shared" si="10"/>
        <v>1.7091252918472517</v>
      </c>
      <c r="AJ67" s="54">
        <f t="shared" si="11"/>
        <v>0</v>
      </c>
      <c r="AK67" s="53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120</v>
      </c>
      <c r="M68" s="56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8">
        <v>2.2087118979903026E-4</v>
      </c>
      <c r="V68" s="57">
        <v>9.8277391541415682E-2</v>
      </c>
      <c r="W68" s="2">
        <v>-2.485039263321118E-2</v>
      </c>
      <c r="X68" s="58">
        <v>0</v>
      </c>
      <c r="Y68" s="2">
        <v>-8.1461483749445217E-5</v>
      </c>
      <c r="Z68" s="37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62">
        <f t="shared" si="7"/>
        <v>1.5169498969442583E-3</v>
      </c>
      <c r="AF68" s="63">
        <f t="shared" si="13"/>
        <v>0</v>
      </c>
      <c r="AG68" s="31">
        <f t="shared" si="8"/>
        <v>537.00840030076881</v>
      </c>
      <c r="AH68">
        <f t="shared" si="9"/>
        <v>0</v>
      </c>
      <c r="AI68" s="54">
        <f t="shared" si="10"/>
        <v>2.2087118979903027</v>
      </c>
      <c r="AJ68" s="54">
        <f t="shared" si="11"/>
        <v>0</v>
      </c>
      <c r="AK68" s="53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120</v>
      </c>
      <c r="M69" s="56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8">
        <v>3.0525823040291824E-4</v>
      </c>
      <c r="V69" s="57">
        <v>9.3500892932148361E-2</v>
      </c>
      <c r="W69" s="2">
        <v>-3.4496333851781462E-2</v>
      </c>
      <c r="X69" s="58">
        <v>0</v>
      </c>
      <c r="Y69" s="2">
        <v>-1.0166154490831713E-4</v>
      </c>
      <c r="Z69" s="37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62">
        <f t="shared" si="7"/>
        <v>5.9380190522516649E-3</v>
      </c>
      <c r="AF69" s="63">
        <f t="shared" si="13"/>
        <v>0</v>
      </c>
      <c r="AG69" s="31">
        <f t="shared" si="8"/>
        <v>171.20447747598186</v>
      </c>
      <c r="AH69">
        <f t="shared" si="9"/>
        <v>0</v>
      </c>
      <c r="AI69" s="54">
        <f t="shared" si="10"/>
        <v>3.0525823040291824</v>
      </c>
      <c r="AJ69" s="54">
        <f t="shared" si="11"/>
        <v>0</v>
      </c>
      <c r="AK69" s="53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120</v>
      </c>
      <c r="M70" s="56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8">
        <v>4.2430784877228365E-4</v>
      </c>
      <c r="V70" s="57">
        <v>8.9144086599702632E-2</v>
      </c>
      <c r="W70" s="2">
        <v>-4.7955376057874304E-2</v>
      </c>
      <c r="X70" s="58">
        <v>0</v>
      </c>
      <c r="Y70" s="2">
        <v>-1.2692565479226184E-4</v>
      </c>
      <c r="Z70" s="37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62">
        <f t="shared" si="7"/>
        <v>2.5595804891595578E-2</v>
      </c>
      <c r="AF70" s="63">
        <f t="shared" ref="AF70:AF101" si="17">IF(ISERR(AE70),0,AE70*M70)</f>
        <v>0</v>
      </c>
      <c r="AG70" s="31">
        <f t="shared" si="8"/>
        <v>49.588460034690321</v>
      </c>
      <c r="AH70">
        <f t="shared" si="9"/>
        <v>0</v>
      </c>
      <c r="AI70" s="54">
        <f t="shared" si="10"/>
        <v>4.243078487722836</v>
      </c>
      <c r="AJ70" s="54">
        <f t="shared" si="11"/>
        <v>0</v>
      </c>
      <c r="AK70" s="53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120</v>
      </c>
      <c r="M71" s="56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8">
        <v>6.1686464319775445E-4</v>
      </c>
      <c r="V71" s="57">
        <v>8.5206972544082049E-2</v>
      </c>
      <c r="W71" s="2">
        <v>-6.889121112523823E-2</v>
      </c>
      <c r="X71" s="58">
        <v>0</v>
      </c>
      <c r="Y71" s="2">
        <v>-1.6176339292787062E-4</v>
      </c>
      <c r="Z71" s="37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62">
        <f t="shared" ref="AE71:AE125" si="21">BSGamma($AA$17,E71,D71,0.001,V71)</f>
        <v>0.11628969579833648</v>
      </c>
      <c r="AF71" s="63">
        <f t="shared" si="17"/>
        <v>0</v>
      </c>
      <c r="AG71" s="31">
        <f t="shared" ref="AG71:AG125" si="22">IF(AE71 = 0,0,(Y71*-10000)/AE71)</f>
        <v>13.910380607443695</v>
      </c>
      <c r="AH71">
        <f t="shared" ref="AH71:AH125" si="23">IF(F71="C",MAX(0,$AA$14-E71),MAX(0,E71-$AA$14))*10000</f>
        <v>0</v>
      </c>
      <c r="AI71" s="54">
        <f t="shared" ref="AI71:AI125" si="24">MAX(0,(U71*10000)-AH71)</f>
        <v>6.1686464319775443</v>
      </c>
      <c r="AJ71" s="54">
        <f t="shared" ref="AJ71:AJ125" si="25">AI71*M71</f>
        <v>0</v>
      </c>
      <c r="AK71" s="53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120</v>
      </c>
      <c r="M72" s="56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8">
        <v>9.375124077932583E-4</v>
      </c>
      <c r="V72" s="57">
        <v>8.1689550765279506E-2</v>
      </c>
      <c r="W72" s="2">
        <v>-0.1011482523224258</v>
      </c>
      <c r="X72" s="58">
        <v>0</v>
      </c>
      <c r="Y72" s="2">
        <v>-2.061677808913667E-4</v>
      </c>
      <c r="Z72" s="37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62">
        <f t="shared" si="21"/>
        <v>0.52524087217446302</v>
      </c>
      <c r="AF72" s="63">
        <f t="shared" si="17"/>
        <v>0</v>
      </c>
      <c r="AG72" s="31">
        <f t="shared" si="22"/>
        <v>3.9252044502524246</v>
      </c>
      <c r="AH72">
        <f t="shared" si="23"/>
        <v>0</v>
      </c>
      <c r="AI72" s="54">
        <f t="shared" si="24"/>
        <v>9.3751240779325826</v>
      </c>
      <c r="AJ72" s="54">
        <f t="shared" si="25"/>
        <v>0</v>
      </c>
      <c r="AK72" s="53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120</v>
      </c>
      <c r="M73" s="56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8">
        <v>1.416978241784104E-3</v>
      </c>
      <c r="V73" s="57">
        <v>7.8591821263305661E-2</v>
      </c>
      <c r="W73" s="2">
        <v>-0.14660509614944628</v>
      </c>
      <c r="X73" s="58">
        <v>0</v>
      </c>
      <c r="Y73" s="2">
        <v>-2.5777221457805126E-4</v>
      </c>
      <c r="Z73" s="37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62">
        <f t="shared" si="21"/>
        <v>2.1935972565468878</v>
      </c>
      <c r="AF73" s="63">
        <f t="shared" si="17"/>
        <v>0</v>
      </c>
      <c r="AG73" s="31">
        <f t="shared" si="22"/>
        <v>1.1751118570590782</v>
      </c>
      <c r="AH73">
        <f t="shared" si="23"/>
        <v>0</v>
      </c>
      <c r="AI73" s="54">
        <f t="shared" si="24"/>
        <v>14.16978241784104</v>
      </c>
      <c r="AJ73" s="54">
        <f t="shared" si="25"/>
        <v>0</v>
      </c>
      <c r="AK73" s="53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120</v>
      </c>
      <c r="M74" s="56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8">
        <v>2.6000000070780516E-3</v>
      </c>
      <c r="V74" s="57">
        <v>8.2106750773082798E-2</v>
      </c>
      <c r="W74" s="2">
        <v>-0.22845899713945739</v>
      </c>
      <c r="X74" s="58">
        <v>0</v>
      </c>
      <c r="Y74" s="2">
        <v>-3.5504937711312948E-4</v>
      </c>
      <c r="Z74" s="37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62">
        <f t="shared" si="21"/>
        <v>9.4513762874641287</v>
      </c>
      <c r="AF74" s="63">
        <f t="shared" si="17"/>
        <v>0</v>
      </c>
      <c r="AG74" s="31">
        <f t="shared" si="22"/>
        <v>0.37565891602903445</v>
      </c>
      <c r="AH74">
        <f t="shared" si="23"/>
        <v>0</v>
      </c>
      <c r="AI74" s="54">
        <f t="shared" si="24"/>
        <v>26.000000070780516</v>
      </c>
      <c r="AJ74" s="54">
        <f t="shared" si="25"/>
        <v>0</v>
      </c>
      <c r="AK74" s="53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120</v>
      </c>
      <c r="M75" s="56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8">
        <v>3.7000000011175871E-3</v>
      </c>
      <c r="V75" s="57">
        <v>7.8934224134678738E-2</v>
      </c>
      <c r="W75" s="2">
        <v>-0.30734476741151529</v>
      </c>
      <c r="X75" s="58">
        <v>0</v>
      </c>
      <c r="Y75" s="2">
        <v>-3.9760947845931372E-4</v>
      </c>
      <c r="Z75" s="37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62">
        <f t="shared" si="21"/>
        <v>22.518412033028905</v>
      </c>
      <c r="AF75" s="63">
        <f t="shared" si="17"/>
        <v>0</v>
      </c>
      <c r="AG75" s="31">
        <f t="shared" si="22"/>
        <v>0.17657083362544373</v>
      </c>
      <c r="AH75">
        <f t="shared" si="23"/>
        <v>0</v>
      </c>
      <c r="AI75" s="54">
        <f t="shared" si="24"/>
        <v>37.000000011175871</v>
      </c>
      <c r="AJ75" s="54">
        <f t="shared" si="25"/>
        <v>0</v>
      </c>
      <c r="AK75" s="53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120</v>
      </c>
      <c r="M76" s="56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8">
        <v>5.2999998442828655E-3</v>
      </c>
      <c r="V76" s="57">
        <v>7.6751744999702859E-2</v>
      </c>
      <c r="W76" s="2">
        <v>-0.40536358511188464</v>
      </c>
      <c r="X76" s="58">
        <v>0</v>
      </c>
      <c r="Y76" s="2">
        <v>-4.2732813817634654E-4</v>
      </c>
      <c r="Z76" s="37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62">
        <f t="shared" si="21"/>
        <v>40.777996647714801</v>
      </c>
      <c r="AF76" s="63">
        <f t="shared" si="17"/>
        <v>0</v>
      </c>
      <c r="AG76" s="31">
        <f t="shared" si="22"/>
        <v>0.10479380384183096</v>
      </c>
      <c r="AH76">
        <f t="shared" si="23"/>
        <v>0</v>
      </c>
      <c r="AI76" s="54">
        <f t="shared" si="24"/>
        <v>52.999998442828655</v>
      </c>
      <c r="AJ76" s="54">
        <f t="shared" si="25"/>
        <v>0</v>
      </c>
      <c r="AK76" s="53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120</v>
      </c>
      <c r="M77" s="56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8">
        <v>7.4000000022351742E-3</v>
      </c>
      <c r="V77" s="57">
        <v>7.4396303419425852E-2</v>
      </c>
      <c r="W77" s="2">
        <v>-0.5158690329125325</v>
      </c>
      <c r="X77" s="58">
        <v>0</v>
      </c>
      <c r="Y77" s="2">
        <v>-4.2621403421939149E-4</v>
      </c>
      <c r="Z77" s="37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62">
        <f t="shared" si="21"/>
        <v>51.863077617289491</v>
      </c>
      <c r="AF77" s="63">
        <f t="shared" si="17"/>
        <v>0</v>
      </c>
      <c r="AG77" s="31">
        <f t="shared" si="22"/>
        <v>8.2180629033342473E-2</v>
      </c>
      <c r="AH77">
        <f t="shared" si="23"/>
        <v>0</v>
      </c>
      <c r="AI77" s="54">
        <f t="shared" si="24"/>
        <v>74.000000022351742</v>
      </c>
      <c r="AJ77" s="54">
        <f t="shared" si="25"/>
        <v>0</v>
      </c>
      <c r="AK77" s="53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120</v>
      </c>
      <c r="M78" s="56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8">
        <v>9.849963790279654E-3</v>
      </c>
      <c r="V78" s="57">
        <v>6.9398557905767433E-2</v>
      </c>
      <c r="W78" s="2">
        <v>-0.63690171392061634</v>
      </c>
      <c r="X78" s="58">
        <v>0</v>
      </c>
      <c r="Y78" s="2">
        <v>-3.7354043882210003E-4</v>
      </c>
      <c r="Z78" s="37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62">
        <f t="shared" si="21"/>
        <v>44.167533795582891</v>
      </c>
      <c r="AF78" s="63">
        <f t="shared" si="17"/>
        <v>0</v>
      </c>
      <c r="AG78" s="31">
        <f t="shared" si="22"/>
        <v>8.4573533254296632E-2</v>
      </c>
      <c r="AH78">
        <f t="shared" si="23"/>
        <v>49.000000000001265</v>
      </c>
      <c r="AI78" s="54">
        <f t="shared" si="24"/>
        <v>49.499637902795271</v>
      </c>
      <c r="AJ78" s="54">
        <f t="shared" si="25"/>
        <v>0</v>
      </c>
      <c r="AK78" s="53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120</v>
      </c>
      <c r="M79" s="56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8">
        <v>1.3283389033889077E-2</v>
      </c>
      <c r="V79" s="57">
        <v>6.881898206473025E-2</v>
      </c>
      <c r="W79" s="2">
        <v>-0.74548194298778125</v>
      </c>
      <c r="X79" s="58">
        <v>0</v>
      </c>
      <c r="Y79" s="2">
        <v>-3.1622184771077586E-4</v>
      </c>
      <c r="Z79" s="37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62">
        <f t="shared" si="21"/>
        <v>21.522370125206084</v>
      </c>
      <c r="AF79" s="63">
        <f t="shared" si="17"/>
        <v>0</v>
      </c>
      <c r="AG79" s="31">
        <f t="shared" si="22"/>
        <v>0.14692705583593246</v>
      </c>
      <c r="AH79">
        <f t="shared" si="23"/>
        <v>99.000000000000199</v>
      </c>
      <c r="AI79" s="54">
        <f t="shared" si="24"/>
        <v>33.833890338890569</v>
      </c>
      <c r="AJ79" s="54">
        <f t="shared" si="25"/>
        <v>0</v>
      </c>
      <c r="AK79" s="53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120</v>
      </c>
      <c r="M80" s="56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8">
        <v>1.7238446061206374E-2</v>
      </c>
      <c r="V80" s="57">
        <v>6.8659098500514659E-2</v>
      </c>
      <c r="W80" s="2">
        <v>-0.83383467431171088</v>
      </c>
      <c r="X80" s="58">
        <v>0</v>
      </c>
      <c r="Y80" s="2">
        <v>-2.4504692679877814E-4</v>
      </c>
      <c r="Z80" s="37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62">
        <f t="shared" si="21"/>
        <v>6.3807817955017851</v>
      </c>
      <c r="AF80" s="63">
        <f t="shared" si="17"/>
        <v>0</v>
      </c>
      <c r="AG80" s="31">
        <f t="shared" si="22"/>
        <v>0.38403903260181554</v>
      </c>
      <c r="AH80">
        <f t="shared" si="23"/>
        <v>149.00000000000136</v>
      </c>
      <c r="AI80" s="54">
        <f t="shared" si="24"/>
        <v>23.384460612062384</v>
      </c>
      <c r="AJ80" s="54">
        <f t="shared" si="25"/>
        <v>0</v>
      </c>
      <c r="AK80" s="53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120</v>
      </c>
      <c r="M81" s="56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8">
        <v>2.1592768441763846E-2</v>
      </c>
      <c r="V81" s="57">
        <v>6.8918907213120661E-2</v>
      </c>
      <c r="W81" s="2">
        <v>-0.89843898729750027</v>
      </c>
      <c r="X81" s="58">
        <v>0.31230709313196536</v>
      </c>
      <c r="Y81" s="2">
        <v>-1.7512937547703081E-4</v>
      </c>
      <c r="Z81" s="37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62">
        <f t="shared" si="21"/>
        <v>1.2005283845031696</v>
      </c>
      <c r="AF81" s="63">
        <f t="shared" si="17"/>
        <v>0</v>
      </c>
      <c r="AG81" s="31">
        <f t="shared" si="22"/>
        <v>1.4587691364707458</v>
      </c>
      <c r="AH81">
        <f t="shared" si="23"/>
        <v>199.00000000000028</v>
      </c>
      <c r="AI81" s="54">
        <f t="shared" si="24"/>
        <v>16.927684417638176</v>
      </c>
      <c r="AJ81" s="54">
        <f t="shared" si="25"/>
        <v>0</v>
      </c>
      <c r="AK81" s="53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120</v>
      </c>
      <c r="M82" s="56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8">
        <v>2.6221137682861727E-2</v>
      </c>
      <c r="V82" s="57">
        <v>6.9598408202555362E-2</v>
      </c>
      <c r="W82" s="2">
        <v>-0.941242699965532</v>
      </c>
      <c r="X82" s="58">
        <v>1.4557493288944705E-10</v>
      </c>
      <c r="Y82" s="2">
        <v>-1.1700372223668011E-4</v>
      </c>
      <c r="Z82" s="37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62">
        <f t="shared" si="21"/>
        <v>0.15449398986153612</v>
      </c>
      <c r="AF82" s="63">
        <f t="shared" si="17"/>
        <v>0</v>
      </c>
      <c r="AG82" s="31">
        <f t="shared" si="22"/>
        <v>7.5733510631412688</v>
      </c>
      <c r="AH82">
        <f t="shared" si="23"/>
        <v>249.00000000000145</v>
      </c>
      <c r="AI82" s="54">
        <f t="shared" si="24"/>
        <v>13.21137682861584</v>
      </c>
      <c r="AJ82" s="54">
        <f t="shared" si="25"/>
        <v>0</v>
      </c>
      <c r="AK82" s="53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120</v>
      </c>
      <c r="M83" s="56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8">
        <v>3.101912880198604E-2</v>
      </c>
      <c r="V83" s="57">
        <v>7.0697601468808102E-2</v>
      </c>
      <c r="W83" s="2">
        <v>-0.96735155062787792</v>
      </c>
      <c r="X83" s="58">
        <v>0.95512081462560372</v>
      </c>
      <c r="Y83" s="2">
        <v>-7.4427053950772829E-5</v>
      </c>
      <c r="Z83" s="37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62">
        <f t="shared" si="21"/>
        <v>1.502793492587021E-2</v>
      </c>
      <c r="AF83" s="63">
        <f t="shared" si="17"/>
        <v>0</v>
      </c>
      <c r="AG83" s="31">
        <f t="shared" si="22"/>
        <v>49.525802658786162</v>
      </c>
      <c r="AH83">
        <f t="shared" si="23"/>
        <v>299.0000000000004</v>
      </c>
      <c r="AI83" s="54">
        <f t="shared" si="24"/>
        <v>11.191288019859996</v>
      </c>
      <c r="AJ83" s="54">
        <f t="shared" si="25"/>
        <v>0</v>
      </c>
      <c r="AK83" s="53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120</v>
      </c>
      <c r="M84" s="56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8">
        <v>3.5913001313962231E-2</v>
      </c>
      <c r="V84" s="57">
        <v>7.2216487011885988E-2</v>
      </c>
      <c r="W84" s="2">
        <v>-0.98238765674169393</v>
      </c>
      <c r="X84" s="58">
        <v>8.8368733316568249E-2</v>
      </c>
      <c r="Y84" s="2">
        <v>-4.5882789192456088E-5</v>
      </c>
      <c r="Z84" s="37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62">
        <f t="shared" si="21"/>
        <v>1.2388551461482056E-3</v>
      </c>
      <c r="AF84" s="63">
        <f t="shared" si="17"/>
        <v>0</v>
      </c>
      <c r="AG84" s="31">
        <f t="shared" si="22"/>
        <v>370.36443958046954</v>
      </c>
      <c r="AH84">
        <f t="shared" si="23"/>
        <v>349.00000000000153</v>
      </c>
      <c r="AI84" s="54">
        <f t="shared" si="24"/>
        <v>10.130013139620758</v>
      </c>
      <c r="AJ84" s="54">
        <f t="shared" si="25"/>
        <v>0</v>
      </c>
      <c r="AK84" s="53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120</v>
      </c>
      <c r="M85" s="56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8">
        <v>4.0857647090208234E-2</v>
      </c>
      <c r="V85" s="57">
        <v>7.4155064831785467E-2</v>
      </c>
      <c r="W85" s="2">
        <v>-0.99081709690255992</v>
      </c>
      <c r="X85" s="58">
        <v>0.96871027631197282</v>
      </c>
      <c r="Y85" s="2">
        <v>-2.7631934819026774E-5</v>
      </c>
      <c r="Z85" s="37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62">
        <f t="shared" si="21"/>
        <v>9.7317972864467388E-5</v>
      </c>
      <c r="AF85" s="63">
        <f t="shared" si="17"/>
        <v>0</v>
      </c>
      <c r="AG85" s="31">
        <f t="shared" si="22"/>
        <v>2839.3454986479387</v>
      </c>
      <c r="AH85">
        <f t="shared" si="23"/>
        <v>399.00000000000045</v>
      </c>
      <c r="AI85" s="54">
        <f t="shared" si="24"/>
        <v>9.5764709020818941</v>
      </c>
      <c r="AJ85" s="54">
        <f t="shared" si="25"/>
        <v>0</v>
      </c>
      <c r="AK85" s="53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120</v>
      </c>
      <c r="M86" s="56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8">
        <v>4.5831666032853526E-2</v>
      </c>
      <c r="V86" s="57">
        <v>7.6513334928510091E-2</v>
      </c>
      <c r="W86" s="2">
        <v>-0.99506620802919665</v>
      </c>
      <c r="X86" s="58">
        <v>0.89302224548306097</v>
      </c>
      <c r="Y86" s="2">
        <v>-1.7196847431938451E-5</v>
      </c>
      <c r="Z86" s="37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62">
        <f t="shared" si="21"/>
        <v>8.1269972547009137E-6</v>
      </c>
      <c r="AF86" s="63">
        <f t="shared" si="17"/>
        <v>0</v>
      </c>
      <c r="AG86" s="31">
        <f t="shared" si="22"/>
        <v>21160.149183010057</v>
      </c>
      <c r="AH86">
        <f t="shared" si="23"/>
        <v>449.00000000000159</v>
      </c>
      <c r="AI86" s="54">
        <f t="shared" si="24"/>
        <v>9.3166603285336578</v>
      </c>
      <c r="AJ86" s="54">
        <f t="shared" si="25"/>
        <v>0</v>
      </c>
      <c r="AK86" s="53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120</v>
      </c>
      <c r="M87" s="56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8">
        <v>5.0818822908783166E-2</v>
      </c>
      <c r="V87" s="57">
        <v>7.9291297302056307E-2</v>
      </c>
      <c r="W87" s="2">
        <v>-0.99725158365350686</v>
      </c>
      <c r="X87" s="58">
        <v>0.55577517275093047</v>
      </c>
      <c r="Y87" s="2">
        <v>-1.1360915932008898E-5</v>
      </c>
      <c r="Z87" s="37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62">
        <f t="shared" si="21"/>
        <v>7.920577694981276E-7</v>
      </c>
      <c r="AF87" s="63">
        <f t="shared" si="17"/>
        <v>0</v>
      </c>
      <c r="AG87" s="31">
        <f t="shared" si="22"/>
        <v>143435.4458666257</v>
      </c>
      <c r="AH87">
        <f t="shared" si="23"/>
        <v>499.00000000000057</v>
      </c>
      <c r="AI87" s="54">
        <f t="shared" si="24"/>
        <v>9.1882290878310755</v>
      </c>
      <c r="AJ87" s="54">
        <f t="shared" si="25"/>
        <v>0</v>
      </c>
      <c r="AK87" s="53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120</v>
      </c>
      <c r="M88" s="56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8">
        <v>5.5810241044231573E-2</v>
      </c>
      <c r="V88" s="57">
        <v>8.2488951952424117E-2</v>
      </c>
      <c r="W88" s="2">
        <v>-0.99872032790875331</v>
      </c>
      <c r="X88" s="58">
        <v>0.32862269706191033</v>
      </c>
      <c r="Y88" s="2">
        <v>-7.1170250806483598E-6</v>
      </c>
      <c r="Z88" s="37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62">
        <f t="shared" si="21"/>
        <v>9.6831136067196731E-8</v>
      </c>
      <c r="AF88" s="63">
        <f t="shared" si="17"/>
        <v>0</v>
      </c>
      <c r="AG88" s="31">
        <f t="shared" si="22"/>
        <v>734993.45042378141</v>
      </c>
      <c r="AH88">
        <f t="shared" si="23"/>
        <v>549.00000000000171</v>
      </c>
      <c r="AI88" s="54">
        <f t="shared" si="24"/>
        <v>9.102410442314067</v>
      </c>
      <c r="AJ88" s="54">
        <f t="shared" si="25"/>
        <v>0</v>
      </c>
      <c r="AK88" s="53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120</v>
      </c>
      <c r="M89" s="56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8">
        <v>6.080730140755982E-2</v>
      </c>
      <c r="V89" s="57">
        <v>8.6106298879613519E-2</v>
      </c>
      <c r="W89" s="2">
        <v>-0.99927152965490784</v>
      </c>
      <c r="X89" s="58">
        <v>0.23426743885702728</v>
      </c>
      <c r="Y89" s="2">
        <v>-5.4134136970684019E-6</v>
      </c>
      <c r="Z89" s="37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62">
        <f t="shared" si="21"/>
        <v>1.5598092714219807E-8</v>
      </c>
      <c r="AF89" s="63">
        <f t="shared" si="17"/>
        <v>0</v>
      </c>
      <c r="AG89" s="31">
        <f t="shared" si="22"/>
        <v>3470561.3027503872</v>
      </c>
      <c r="AH89">
        <f t="shared" si="23"/>
        <v>599.00000000000068</v>
      </c>
      <c r="AI89" s="54">
        <f t="shared" si="24"/>
        <v>9.0730140755974844</v>
      </c>
      <c r="AJ89" s="54">
        <f t="shared" si="25"/>
        <v>0</v>
      </c>
      <c r="AK89" s="53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120</v>
      </c>
      <c r="M90" s="56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8">
        <v>6.5805048176177078E-2</v>
      </c>
      <c r="V90" s="57">
        <v>9.0143338083628066E-2</v>
      </c>
      <c r="W90" s="2">
        <v>-0.99968592676117185</v>
      </c>
      <c r="X90" s="58">
        <v>0.16573057236891009</v>
      </c>
      <c r="Y90" s="2">
        <v>-4.0743950792055731E-6</v>
      </c>
      <c r="Z90" s="37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62">
        <f t="shared" si="21"/>
        <v>3.4017712309907298E-9</v>
      </c>
      <c r="AF90" s="63">
        <f t="shared" si="17"/>
        <v>0</v>
      </c>
      <c r="AG90" s="31">
        <f t="shared" si="22"/>
        <v>11977275.373743899</v>
      </c>
      <c r="AH90">
        <f t="shared" si="23"/>
        <v>648.99999999999955</v>
      </c>
      <c r="AI90" s="54">
        <f t="shared" si="24"/>
        <v>9.0504817617712661</v>
      </c>
      <c r="AJ90" s="54">
        <f t="shared" si="25"/>
        <v>0</v>
      </c>
      <c r="AK90" s="53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120</v>
      </c>
      <c r="M91" s="56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8">
        <v>7.0803294364885874E-2</v>
      </c>
      <c r="V91" s="57">
        <v>9.4600069564467759E-2</v>
      </c>
      <c r="W91" s="2">
        <v>-0.999999999999999</v>
      </c>
      <c r="X91" s="58">
        <v>0.11570355845254587</v>
      </c>
      <c r="Y91" s="2">
        <v>-2.9997405643752208E-6</v>
      </c>
      <c r="Z91" s="37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62">
        <f t="shared" si="21"/>
        <v>1.0123212856324256E-9</v>
      </c>
      <c r="AF91" s="63">
        <f t="shared" si="17"/>
        <v>0</v>
      </c>
      <c r="AG91" s="31">
        <f t="shared" si="22"/>
        <v>29632297.640577599</v>
      </c>
      <c r="AH91">
        <f t="shared" si="23"/>
        <v>699.00000000000068</v>
      </c>
      <c r="AI91" s="54">
        <f t="shared" si="24"/>
        <v>9.0329436488580086</v>
      </c>
      <c r="AJ91" s="54">
        <f t="shared" si="25"/>
        <v>0</v>
      </c>
      <c r="AK91" s="53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120</v>
      </c>
      <c r="M92" s="56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8">
        <v>7.5802867299009688E-2</v>
      </c>
      <c r="V92" s="57">
        <v>9.9476493322129045E-2</v>
      </c>
      <c r="W92" s="2">
        <v>-0.999999999999999</v>
      </c>
      <c r="X92" s="58">
        <v>9.717201547329514E-2</v>
      </c>
      <c r="Y92" s="2">
        <v>-2.7195614108035901E-6</v>
      </c>
      <c r="Z92" s="37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62">
        <f t="shared" si="21"/>
        <v>4.0794330520254523E-10</v>
      </c>
      <c r="AF92" s="63">
        <f t="shared" si="17"/>
        <v>0</v>
      </c>
      <c r="AG92" s="31">
        <f t="shared" si="22"/>
        <v>66665180.580750518</v>
      </c>
      <c r="AH92">
        <f t="shared" si="23"/>
        <v>749.00000000000193</v>
      </c>
      <c r="AI92" s="54">
        <f t="shared" si="24"/>
        <v>9.0286729900949467</v>
      </c>
      <c r="AJ92" s="54">
        <f t="shared" si="25"/>
        <v>0</v>
      </c>
      <c r="AK92" s="53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120</v>
      </c>
      <c r="M93" s="56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8">
        <v>8.0802648662578025E-2</v>
      </c>
      <c r="V93" s="57">
        <v>0.10477260935661192</v>
      </c>
      <c r="W93" s="2">
        <v>-0.999999999999999</v>
      </c>
      <c r="X93" s="58">
        <v>8.4850529324475107E-2</v>
      </c>
      <c r="Y93" s="2">
        <v>-2.5857661098615359E-6</v>
      </c>
      <c r="Z93" s="37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62">
        <f t="shared" si="21"/>
        <v>2.1843178061270768E-10</v>
      </c>
      <c r="AF93" s="63">
        <f t="shared" si="17"/>
        <v>0</v>
      </c>
      <c r="AG93" s="31">
        <f t="shared" si="22"/>
        <v>118378658.20662107</v>
      </c>
      <c r="AH93">
        <f t="shared" si="23"/>
        <v>799.0000000000008</v>
      </c>
      <c r="AI93" s="54">
        <f t="shared" si="24"/>
        <v>9.0264866257793983</v>
      </c>
      <c r="AJ93" s="54">
        <f t="shared" si="25"/>
        <v>0</v>
      </c>
      <c r="AK93" s="53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120</v>
      </c>
      <c r="M94" s="56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8">
        <v>8.5802592579225401E-2</v>
      </c>
      <c r="V94" s="57">
        <v>0.11048841766791995</v>
      </c>
      <c r="W94" s="2">
        <v>-0.999999999999999</v>
      </c>
      <c r="X94" s="58">
        <v>7.6854006162068209E-2</v>
      </c>
      <c r="Y94" s="2">
        <v>-2.5755545616893304E-6</v>
      </c>
      <c r="Z94" s="37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62">
        <f t="shared" si="21"/>
        <v>1.513562229299916E-10</v>
      </c>
      <c r="AF94" s="63">
        <f t="shared" si="17"/>
        <v>0</v>
      </c>
      <c r="AG94" s="31">
        <f t="shared" si="22"/>
        <v>170165092.11389539</v>
      </c>
      <c r="AH94">
        <f t="shared" si="23"/>
        <v>848.99999999999977</v>
      </c>
      <c r="AI94" s="54">
        <f t="shared" si="24"/>
        <v>9.0259257922542702</v>
      </c>
      <c r="AJ94" s="54">
        <f t="shared" si="25"/>
        <v>0</v>
      </c>
      <c r="AK94" s="53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120</v>
      </c>
      <c r="M95" s="56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8">
        <v>9.0802697769349655E-2</v>
      </c>
      <c r="V95" s="57">
        <v>0.11662391825604956</v>
      </c>
      <c r="W95" s="2">
        <v>-0.999999999999999</v>
      </c>
      <c r="X95" s="58">
        <v>7.2216037511528886E-2</v>
      </c>
      <c r="Y95" s="2">
        <v>-2.6899540681410207E-6</v>
      </c>
      <c r="Z95" s="37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62">
        <f t="shared" si="21"/>
        <v>1.3164474252893165E-10</v>
      </c>
      <c r="AF95" s="63">
        <f t="shared" si="17"/>
        <v>0</v>
      </c>
      <c r="AG95" s="31">
        <f t="shared" si="22"/>
        <v>204334333.18082169</v>
      </c>
      <c r="AH95">
        <f t="shared" si="23"/>
        <v>899.00000000000091</v>
      </c>
      <c r="AI95" s="54">
        <f t="shared" si="24"/>
        <v>9.0269776934956099</v>
      </c>
      <c r="AJ95" s="54">
        <f t="shared" si="25"/>
        <v>0</v>
      </c>
      <c r="AK95" s="53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120</v>
      </c>
      <c r="M96" s="56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8">
        <v>5.4319785196485774E-2</v>
      </c>
      <c r="V96" s="57">
        <v>0.10723529180589253</v>
      </c>
      <c r="W96" s="2">
        <v>0.98707203057288928</v>
      </c>
      <c r="X96" s="58">
        <v>0</v>
      </c>
      <c r="Y96" s="2">
        <v>-5.2469350336438748E-5</v>
      </c>
      <c r="Z96" s="37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62">
        <f t="shared" si="21"/>
        <v>9.7217376861312394E-5</v>
      </c>
      <c r="AF96" s="63">
        <f t="shared" si="17"/>
        <v>0</v>
      </c>
      <c r="AG96" s="31">
        <f t="shared" si="22"/>
        <v>5397.1164446547518</v>
      </c>
      <c r="AH96">
        <f t="shared" si="23"/>
        <v>550.99999999999932</v>
      </c>
      <c r="AI96" s="54">
        <f t="shared" si="24"/>
        <v>0</v>
      </c>
      <c r="AJ96" s="54">
        <f t="shared" si="25"/>
        <v>0</v>
      </c>
      <c r="AK96" s="53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120</v>
      </c>
      <c r="M97" s="56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8">
        <v>4.9356611380239168E-2</v>
      </c>
      <c r="V97" s="57">
        <v>0.10224471891346454</v>
      </c>
      <c r="W97" s="2">
        <v>0.98271392014671832</v>
      </c>
      <c r="X97" s="58">
        <v>0</v>
      </c>
      <c r="Y97" s="2">
        <v>-6.3812852870000851E-5</v>
      </c>
      <c r="Z97" s="37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62">
        <f t="shared" si="21"/>
        <v>3.3829138270259569E-4</v>
      </c>
      <c r="AF97" s="63">
        <f t="shared" si="17"/>
        <v>0</v>
      </c>
      <c r="AG97" s="31">
        <f t="shared" si="22"/>
        <v>1886.3280631094601</v>
      </c>
      <c r="AH97">
        <f t="shared" si="23"/>
        <v>501.00000000000034</v>
      </c>
      <c r="AI97" s="54">
        <f t="shared" si="24"/>
        <v>0</v>
      </c>
      <c r="AJ97" s="54">
        <f t="shared" si="25"/>
        <v>0</v>
      </c>
      <c r="AK97" s="53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120</v>
      </c>
      <c r="M98" s="56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8">
        <v>4.440670335962453E-2</v>
      </c>
      <c r="V98" s="57">
        <v>9.7579074379925856E-2</v>
      </c>
      <c r="W98" s="2">
        <v>0.9767743652221681</v>
      </c>
      <c r="X98" s="58">
        <v>0</v>
      </c>
      <c r="Y98" s="2">
        <v>-7.8007163637898805E-5</v>
      </c>
      <c r="Z98" s="37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62">
        <f t="shared" si="21"/>
        <v>1.320596759991352E-3</v>
      </c>
      <c r="AF98" s="63">
        <f t="shared" si="17"/>
        <v>0</v>
      </c>
      <c r="AG98" s="31">
        <f t="shared" si="22"/>
        <v>590.69631246414417</v>
      </c>
      <c r="AH98">
        <f t="shared" si="23"/>
        <v>450.9999999999992</v>
      </c>
      <c r="AI98" s="54">
        <f t="shared" si="24"/>
        <v>0</v>
      </c>
      <c r="AJ98" s="54">
        <f t="shared" si="25"/>
        <v>0</v>
      </c>
      <c r="AK98" s="53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120</v>
      </c>
      <c r="M99" s="56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8">
        <v>3.9498694572012154E-2</v>
      </c>
      <c r="V99" s="57">
        <v>9.3238358205276484E-2</v>
      </c>
      <c r="W99" s="2">
        <v>0.96650233880327663</v>
      </c>
      <c r="X99" s="58">
        <v>0</v>
      </c>
      <c r="Y99" s="2">
        <v>-1.0021199337090616E-4</v>
      </c>
      <c r="Z99" s="37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62">
        <f t="shared" si="21"/>
        <v>5.6653650066951049E-3</v>
      </c>
      <c r="AF99" s="63">
        <f t="shared" si="17"/>
        <v>0</v>
      </c>
      <c r="AG99" s="31">
        <f t="shared" si="22"/>
        <v>176.8853255747504</v>
      </c>
      <c r="AH99">
        <f t="shared" si="23"/>
        <v>401.00000000000023</v>
      </c>
      <c r="AI99" s="54">
        <f t="shared" si="24"/>
        <v>0</v>
      </c>
      <c r="AJ99" s="54">
        <f t="shared" si="25"/>
        <v>0</v>
      </c>
      <c r="AK99" s="53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120</v>
      </c>
      <c r="M100" s="56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8">
        <v>3.4624608160590938E-2</v>
      </c>
      <c r="V100" s="57">
        <v>8.9222570389523526E-2</v>
      </c>
      <c r="W100" s="2">
        <v>0.95251170745195557</v>
      </c>
      <c r="X100" s="58">
        <v>0</v>
      </c>
      <c r="Y100" s="2">
        <v>-1.271536281950097E-4</v>
      </c>
      <c r="Z100" s="37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62">
        <f t="shared" si="21"/>
        <v>2.5909244823622581E-2</v>
      </c>
      <c r="AF100" s="63">
        <f t="shared" si="17"/>
        <v>0</v>
      </c>
      <c r="AG100" s="31">
        <f t="shared" si="22"/>
        <v>49.076547410242632</v>
      </c>
      <c r="AH100">
        <f t="shared" si="23"/>
        <v>350.99999999999909</v>
      </c>
      <c r="AI100" s="54">
        <f t="shared" si="24"/>
        <v>0</v>
      </c>
      <c r="AJ100" s="54">
        <f t="shared" si="25"/>
        <v>0</v>
      </c>
      <c r="AK100" s="53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120</v>
      </c>
      <c r="M101" s="56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8">
        <v>2.9824240434176308E-2</v>
      </c>
      <c r="V101" s="57">
        <v>8.5531710932656324E-2</v>
      </c>
      <c r="W101" s="2">
        <v>0.93109328133273772</v>
      </c>
      <c r="X101" s="58">
        <v>0</v>
      </c>
      <c r="Y101" s="2">
        <v>-1.6345104842675119E-4</v>
      </c>
      <c r="Z101" s="37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62">
        <f t="shared" si="21"/>
        <v>0.12119653880588489</v>
      </c>
      <c r="AF101" s="63">
        <f t="shared" si="17"/>
        <v>0</v>
      </c>
      <c r="AG101" s="31">
        <f t="shared" si="22"/>
        <v>13.486445243171794</v>
      </c>
      <c r="AH101">
        <f t="shared" si="23"/>
        <v>301.00000000000017</v>
      </c>
      <c r="AI101" s="54">
        <f t="shared" si="24"/>
        <v>0</v>
      </c>
      <c r="AJ101" s="54">
        <f t="shared" si="25"/>
        <v>0</v>
      </c>
      <c r="AK101" s="53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120</v>
      </c>
      <c r="M102" s="56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8">
        <v>2.5155949349616805E-2</v>
      </c>
      <c r="V102" s="57">
        <v>8.2165779834681985E-2</v>
      </c>
      <c r="W102" s="2">
        <v>0.89819873517080717</v>
      </c>
      <c r="X102" s="58">
        <v>0</v>
      </c>
      <c r="Y102" s="2">
        <v>-2.0917589293509284E-4</v>
      </c>
      <c r="Z102" s="37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62">
        <f t="shared" si="21"/>
        <v>0.55001900834609918</v>
      </c>
      <c r="AF102" s="63">
        <f t="shared" ref="AF102:AF125" si="26">IF(ISERR(AE102),0,AE102*M102)</f>
        <v>0</v>
      </c>
      <c r="AG102" s="31">
        <f t="shared" si="22"/>
        <v>3.8030666169898804</v>
      </c>
      <c r="AH102">
        <f t="shared" si="23"/>
        <v>250.99999999999901</v>
      </c>
      <c r="AI102" s="54">
        <f t="shared" si="24"/>
        <v>0.55949349616903987</v>
      </c>
      <c r="AJ102" s="54">
        <f t="shared" si="25"/>
        <v>0</v>
      </c>
      <c r="AK102" s="53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120</v>
      </c>
      <c r="M103" s="56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8">
        <v>2.0646510785923843E-2</v>
      </c>
      <c r="V103" s="57">
        <v>7.9124777095596954E-2</v>
      </c>
      <c r="W103" s="2">
        <v>0.85232660263713667</v>
      </c>
      <c r="X103" s="58">
        <v>0</v>
      </c>
      <c r="Y103" s="2">
        <v>-2.6134138565999206E-4</v>
      </c>
      <c r="Z103" s="37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62">
        <f t="shared" si="21"/>
        <v>2.2714756821367961</v>
      </c>
      <c r="AF103" s="63">
        <f t="shared" si="26"/>
        <v>0</v>
      </c>
      <c r="AG103" s="31">
        <f t="shared" si="22"/>
        <v>1.150535696750872</v>
      </c>
      <c r="AH103">
        <f t="shared" si="23"/>
        <v>201.00000000000006</v>
      </c>
      <c r="AI103" s="54">
        <f t="shared" si="24"/>
        <v>5.4651078592383726</v>
      </c>
      <c r="AJ103" s="54">
        <f t="shared" si="25"/>
        <v>0</v>
      </c>
      <c r="AK103" s="53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120</v>
      </c>
      <c r="M104" s="56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8">
        <v>1.7200000584125519E-2</v>
      </c>
      <c r="V104" s="57">
        <v>8.7588735445913224E-2</v>
      </c>
      <c r="W104" s="2">
        <v>0.75726981248408365</v>
      </c>
      <c r="X104" s="58">
        <v>0</v>
      </c>
      <c r="Y104" s="2">
        <v>-3.9156215779300965E-4</v>
      </c>
      <c r="Z104" s="37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62">
        <f t="shared" si="21"/>
        <v>10.755674720624199</v>
      </c>
      <c r="AF104" s="63">
        <f t="shared" si="26"/>
        <v>0</v>
      </c>
      <c r="AG104" s="31">
        <f t="shared" si="22"/>
        <v>0.36405169174759644</v>
      </c>
      <c r="AH104">
        <f t="shared" si="23"/>
        <v>150.99999999999892</v>
      </c>
      <c r="AI104" s="54">
        <f t="shared" si="24"/>
        <v>21.000005841256268</v>
      </c>
      <c r="AJ104" s="54">
        <f t="shared" si="25"/>
        <v>0</v>
      </c>
      <c r="AK104" s="53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120</v>
      </c>
      <c r="M105" s="56"/>
      <c r="N105" s="2"/>
      <c r="O105" s="2"/>
      <c r="P105" s="2"/>
      <c r="Q105" s="2"/>
      <c r="R105" s="2"/>
      <c r="S105" s="2"/>
      <c r="T105" s="2"/>
      <c r="U105" s="58"/>
      <c r="V105" s="57"/>
      <c r="W105" s="2"/>
      <c r="X105" s="58"/>
      <c r="Y105" s="2"/>
      <c r="Z105" s="37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62" t="e">
        <f t="shared" si="21"/>
        <v>#VALUE!</v>
      </c>
      <c r="AF105" s="63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54">
        <f t="shared" si="24"/>
        <v>0</v>
      </c>
      <c r="AJ105" s="54">
        <f t="shared" si="25"/>
        <v>0</v>
      </c>
      <c r="AK105" s="53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120</v>
      </c>
      <c r="M106" s="56"/>
      <c r="N106" s="2"/>
      <c r="O106" s="2"/>
      <c r="P106" s="2"/>
      <c r="Q106" s="2"/>
      <c r="R106" s="2"/>
      <c r="S106" s="2"/>
      <c r="T106" s="2"/>
      <c r="U106" s="58"/>
      <c r="V106" s="57"/>
      <c r="W106" s="2"/>
      <c r="X106" s="58"/>
      <c r="Y106" s="2"/>
      <c r="Z106" s="37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62" t="e">
        <f t="shared" si="21"/>
        <v>#VALUE!</v>
      </c>
      <c r="AF106" s="63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54">
        <f t="shared" si="24"/>
        <v>0</v>
      </c>
      <c r="AJ106" s="54">
        <f t="shared" si="25"/>
        <v>0</v>
      </c>
      <c r="AK106" s="53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120</v>
      </c>
      <c r="M107" s="56"/>
      <c r="N107" s="2"/>
      <c r="O107" s="2"/>
      <c r="P107" s="2"/>
      <c r="Q107" s="2"/>
      <c r="R107" s="2"/>
      <c r="S107" s="2"/>
      <c r="T107" s="2"/>
      <c r="U107" s="58"/>
      <c r="V107" s="57"/>
      <c r="W107" s="2"/>
      <c r="X107" s="58"/>
      <c r="Y107" s="2"/>
      <c r="Z107" s="37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62" t="e">
        <f t="shared" si="21"/>
        <v>#VALUE!</v>
      </c>
      <c r="AF107" s="63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54">
        <f t="shared" si="24"/>
        <v>0</v>
      </c>
      <c r="AJ107" s="54">
        <f t="shared" si="25"/>
        <v>0</v>
      </c>
      <c r="AK107" s="53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120</v>
      </c>
      <c r="M108" s="56"/>
      <c r="N108" s="2"/>
      <c r="O108" s="2"/>
      <c r="P108" s="2"/>
      <c r="Q108" s="2"/>
      <c r="R108" s="2"/>
      <c r="S108" s="2"/>
      <c r="T108" s="2"/>
      <c r="U108" s="58"/>
      <c r="V108" s="57"/>
      <c r="W108" s="2"/>
      <c r="X108" s="58"/>
      <c r="Y108" s="2"/>
      <c r="Z108" s="37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62" t="e">
        <f t="shared" si="21"/>
        <v>#VALUE!</v>
      </c>
      <c r="AF108" s="63">
        <f t="shared" si="26"/>
        <v>0</v>
      </c>
      <c r="AG108" s="31" t="e">
        <f t="shared" si="22"/>
        <v>#VALUE!</v>
      </c>
      <c r="AH108">
        <f t="shared" si="23"/>
        <v>0</v>
      </c>
      <c r="AI108" s="54">
        <f t="shared" si="24"/>
        <v>0</v>
      </c>
      <c r="AJ108" s="54">
        <f t="shared" si="25"/>
        <v>0</v>
      </c>
      <c r="AK108" s="53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120</v>
      </c>
      <c r="M109" s="56"/>
      <c r="N109" s="2"/>
      <c r="O109" s="2"/>
      <c r="P109" s="2"/>
      <c r="Q109" s="2"/>
      <c r="R109" s="2"/>
      <c r="S109" s="2"/>
      <c r="T109" s="2"/>
      <c r="U109" s="58"/>
      <c r="V109" s="57"/>
      <c r="W109" s="2"/>
      <c r="X109" s="58"/>
      <c r="Y109" s="2"/>
      <c r="Z109" s="37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62" t="e">
        <f t="shared" si="21"/>
        <v>#VALUE!</v>
      </c>
      <c r="AF109" s="63">
        <f t="shared" si="26"/>
        <v>0</v>
      </c>
      <c r="AG109" s="31" t="e">
        <f t="shared" si="22"/>
        <v>#VALUE!</v>
      </c>
      <c r="AH109">
        <f t="shared" si="23"/>
        <v>0</v>
      </c>
      <c r="AI109" s="54">
        <f t="shared" si="24"/>
        <v>0</v>
      </c>
      <c r="AJ109" s="54">
        <f t="shared" si="25"/>
        <v>0</v>
      </c>
      <c r="AK109" s="53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120</v>
      </c>
      <c r="M110" s="56"/>
      <c r="N110" s="2"/>
      <c r="O110" s="2"/>
      <c r="P110" s="2"/>
      <c r="Q110" s="2"/>
      <c r="R110" s="2"/>
      <c r="S110" s="2"/>
      <c r="T110" s="2"/>
      <c r="U110" s="58"/>
      <c r="V110" s="57"/>
      <c r="W110" s="2"/>
      <c r="X110" s="58"/>
      <c r="Y110" s="2"/>
      <c r="Z110" s="37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62" t="e">
        <f t="shared" si="21"/>
        <v>#VALUE!</v>
      </c>
      <c r="AF110" s="63">
        <f t="shared" si="26"/>
        <v>0</v>
      </c>
      <c r="AG110" s="31" t="e">
        <f t="shared" si="22"/>
        <v>#VALUE!</v>
      </c>
      <c r="AH110">
        <f t="shared" si="23"/>
        <v>0</v>
      </c>
      <c r="AI110" s="54">
        <f t="shared" si="24"/>
        <v>0</v>
      </c>
      <c r="AJ110" s="54">
        <f t="shared" si="25"/>
        <v>0</v>
      </c>
      <c r="AK110" s="53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120</v>
      </c>
      <c r="M111" s="56"/>
      <c r="N111" s="2"/>
      <c r="O111" s="2"/>
      <c r="P111" s="2"/>
      <c r="Q111" s="2"/>
      <c r="R111" s="2"/>
      <c r="S111" s="2"/>
      <c r="T111" s="2"/>
      <c r="U111" s="58"/>
      <c r="V111" s="57"/>
      <c r="W111" s="2"/>
      <c r="X111" s="58"/>
      <c r="Y111" s="2"/>
      <c r="Z111" s="37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62" t="e">
        <f t="shared" si="21"/>
        <v>#VALUE!</v>
      </c>
      <c r="AF111" s="63">
        <f t="shared" si="26"/>
        <v>0</v>
      </c>
      <c r="AG111" s="31" t="e">
        <f t="shared" si="22"/>
        <v>#VALUE!</v>
      </c>
      <c r="AH111">
        <f t="shared" si="23"/>
        <v>0</v>
      </c>
      <c r="AI111" s="54">
        <f t="shared" si="24"/>
        <v>0</v>
      </c>
      <c r="AJ111" s="54">
        <f t="shared" si="25"/>
        <v>0</v>
      </c>
      <c r="AK111" s="53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120</v>
      </c>
      <c r="M112" s="56"/>
      <c r="N112" s="2"/>
      <c r="O112" s="2"/>
      <c r="P112" s="2"/>
      <c r="Q112" s="2"/>
      <c r="R112" s="2"/>
      <c r="S112" s="2"/>
      <c r="T112" s="2"/>
      <c r="U112" s="58"/>
      <c r="V112" s="57"/>
      <c r="W112" s="2"/>
      <c r="X112" s="58"/>
      <c r="Y112" s="2"/>
      <c r="Z112" s="37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62" t="e">
        <f t="shared" si="21"/>
        <v>#VALUE!</v>
      </c>
      <c r="AF112" s="63">
        <f t="shared" si="26"/>
        <v>0</v>
      </c>
      <c r="AG112" s="31" t="e">
        <f t="shared" si="22"/>
        <v>#VALUE!</v>
      </c>
      <c r="AH112">
        <f t="shared" si="23"/>
        <v>0</v>
      </c>
      <c r="AI112" s="54">
        <f t="shared" si="24"/>
        <v>0</v>
      </c>
      <c r="AJ112" s="54">
        <f t="shared" si="25"/>
        <v>0</v>
      </c>
      <c r="AK112" s="53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120</v>
      </c>
      <c r="M113" s="56"/>
      <c r="N113" s="2"/>
      <c r="O113" s="2"/>
      <c r="P113" s="2"/>
      <c r="Q113" s="2"/>
      <c r="R113" s="2"/>
      <c r="S113" s="2"/>
      <c r="T113" s="2"/>
      <c r="U113" s="58"/>
      <c r="V113" s="57"/>
      <c r="W113" s="2"/>
      <c r="X113" s="58"/>
      <c r="Y113" s="2"/>
      <c r="Z113" s="37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62" t="e">
        <f t="shared" si="21"/>
        <v>#VALUE!</v>
      </c>
      <c r="AF113" s="63">
        <f t="shared" si="26"/>
        <v>0</v>
      </c>
      <c r="AG113" s="31" t="e">
        <f t="shared" si="22"/>
        <v>#VALUE!</v>
      </c>
      <c r="AH113">
        <f t="shared" si="23"/>
        <v>0</v>
      </c>
      <c r="AI113" s="54">
        <f t="shared" si="24"/>
        <v>0</v>
      </c>
      <c r="AJ113" s="54">
        <f t="shared" si="25"/>
        <v>0</v>
      </c>
      <c r="AK113" s="53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120</v>
      </c>
      <c r="M114" s="56"/>
      <c r="N114" s="2"/>
      <c r="O114" s="2"/>
      <c r="P114" s="2"/>
      <c r="Q114" s="2"/>
      <c r="R114" s="2"/>
      <c r="S114" s="2"/>
      <c r="T114" s="2"/>
      <c r="U114" s="58"/>
      <c r="V114" s="57"/>
      <c r="W114" s="2"/>
      <c r="X114" s="58"/>
      <c r="Y114" s="2"/>
      <c r="Z114" s="37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62" t="e">
        <f t="shared" si="21"/>
        <v>#VALUE!</v>
      </c>
      <c r="AF114" s="63">
        <f t="shared" si="26"/>
        <v>0</v>
      </c>
      <c r="AG114" s="31" t="e">
        <f t="shared" si="22"/>
        <v>#VALUE!</v>
      </c>
      <c r="AH114">
        <f t="shared" si="23"/>
        <v>0</v>
      </c>
      <c r="AI114" s="54">
        <f t="shared" si="24"/>
        <v>0</v>
      </c>
      <c r="AJ114" s="54">
        <f t="shared" si="25"/>
        <v>0</v>
      </c>
      <c r="AK114" s="53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120</v>
      </c>
      <c r="M115" s="56"/>
      <c r="N115" s="2"/>
      <c r="O115" s="2"/>
      <c r="P115" s="2"/>
      <c r="Q115" s="2"/>
      <c r="R115" s="2"/>
      <c r="S115" s="2"/>
      <c r="T115" s="2"/>
      <c r="U115" s="58"/>
      <c r="V115" s="57"/>
      <c r="W115" s="2"/>
      <c r="X115" s="58"/>
      <c r="Y115" s="2"/>
      <c r="Z115" s="37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62" t="e">
        <f t="shared" si="21"/>
        <v>#VALUE!</v>
      </c>
      <c r="AF115" s="63">
        <f t="shared" si="26"/>
        <v>0</v>
      </c>
      <c r="AG115" s="31" t="e">
        <f t="shared" si="22"/>
        <v>#VALUE!</v>
      </c>
      <c r="AH115">
        <f t="shared" si="23"/>
        <v>0</v>
      </c>
      <c r="AI115" s="54">
        <f t="shared" si="24"/>
        <v>0</v>
      </c>
      <c r="AJ115" s="54">
        <f t="shared" si="25"/>
        <v>0</v>
      </c>
      <c r="AK115" s="53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120</v>
      </c>
      <c r="M116" s="56"/>
      <c r="N116" s="2"/>
      <c r="O116" s="2"/>
      <c r="P116" s="2"/>
      <c r="Q116" s="2"/>
      <c r="R116" s="2"/>
      <c r="S116" s="2"/>
      <c r="T116" s="2"/>
      <c r="U116" s="58"/>
      <c r="V116" s="57"/>
      <c r="W116" s="2"/>
      <c r="X116" s="58"/>
      <c r="Y116" s="2"/>
      <c r="Z116" s="37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62" t="e">
        <f t="shared" si="21"/>
        <v>#VALUE!</v>
      </c>
      <c r="AF116" s="63">
        <f t="shared" si="26"/>
        <v>0</v>
      </c>
      <c r="AG116" s="31" t="e">
        <f t="shared" si="22"/>
        <v>#VALUE!</v>
      </c>
      <c r="AH116">
        <f t="shared" si="23"/>
        <v>0</v>
      </c>
      <c r="AI116" s="54">
        <f t="shared" si="24"/>
        <v>0</v>
      </c>
      <c r="AJ116" s="54">
        <f t="shared" si="25"/>
        <v>0</v>
      </c>
      <c r="AK116" s="53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120</v>
      </c>
      <c r="M117" s="56"/>
      <c r="N117" s="2"/>
      <c r="O117" s="2"/>
      <c r="P117" s="2"/>
      <c r="Q117" s="2"/>
      <c r="R117" s="2"/>
      <c r="S117" s="2"/>
      <c r="T117" s="2"/>
      <c r="U117" s="58"/>
      <c r="V117" s="57"/>
      <c r="W117" s="2"/>
      <c r="X117" s="58"/>
      <c r="Y117" s="2"/>
      <c r="Z117" s="37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62" t="e">
        <f t="shared" si="21"/>
        <v>#VALUE!</v>
      </c>
      <c r="AF117" s="63">
        <f t="shared" si="26"/>
        <v>0</v>
      </c>
      <c r="AG117" s="31" t="e">
        <f t="shared" si="22"/>
        <v>#VALUE!</v>
      </c>
      <c r="AH117">
        <f t="shared" si="23"/>
        <v>0</v>
      </c>
      <c r="AI117" s="54">
        <f t="shared" si="24"/>
        <v>0</v>
      </c>
      <c r="AJ117" s="54">
        <f t="shared" si="25"/>
        <v>0</v>
      </c>
      <c r="AK117" s="53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120</v>
      </c>
      <c r="M118" s="56"/>
      <c r="N118" s="2"/>
      <c r="O118" s="2"/>
      <c r="P118" s="2"/>
      <c r="Q118" s="2"/>
      <c r="R118" s="2"/>
      <c r="S118" s="2"/>
      <c r="T118" s="2"/>
      <c r="U118" s="58"/>
      <c r="V118" s="57"/>
      <c r="W118" s="2"/>
      <c r="X118" s="58"/>
      <c r="Y118" s="2"/>
      <c r="Z118" s="37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62" t="e">
        <f t="shared" si="21"/>
        <v>#VALUE!</v>
      </c>
      <c r="AF118" s="63">
        <f t="shared" si="26"/>
        <v>0</v>
      </c>
      <c r="AG118" s="31" t="e">
        <f t="shared" si="22"/>
        <v>#VALUE!</v>
      </c>
      <c r="AH118">
        <f t="shared" si="23"/>
        <v>0</v>
      </c>
      <c r="AI118" s="54">
        <f t="shared" si="24"/>
        <v>0</v>
      </c>
      <c r="AJ118" s="54">
        <f t="shared" si="25"/>
        <v>0</v>
      </c>
      <c r="AK118" s="53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120</v>
      </c>
      <c r="M119" s="56"/>
      <c r="N119" s="2"/>
      <c r="O119" s="2"/>
      <c r="P119" s="2"/>
      <c r="Q119" s="2"/>
      <c r="R119" s="2"/>
      <c r="S119" s="2"/>
      <c r="T119" s="2"/>
      <c r="U119" s="58"/>
      <c r="V119" s="57"/>
      <c r="W119" s="2"/>
      <c r="X119" s="58"/>
      <c r="Y119" s="2"/>
      <c r="Z119" s="37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62" t="e">
        <f t="shared" si="21"/>
        <v>#VALUE!</v>
      </c>
      <c r="AF119" s="63">
        <f t="shared" si="26"/>
        <v>0</v>
      </c>
      <c r="AG119" s="31" t="e">
        <f t="shared" si="22"/>
        <v>#VALUE!</v>
      </c>
      <c r="AH119">
        <f t="shared" si="23"/>
        <v>0</v>
      </c>
      <c r="AI119" s="54">
        <f t="shared" si="24"/>
        <v>0</v>
      </c>
      <c r="AJ119" s="54">
        <f t="shared" si="25"/>
        <v>0</v>
      </c>
      <c r="AK119" s="53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120</v>
      </c>
      <c r="M120" s="56"/>
      <c r="N120" s="2"/>
      <c r="O120" s="2"/>
      <c r="P120" s="2"/>
      <c r="Q120" s="2"/>
      <c r="R120" s="2"/>
      <c r="S120" s="2"/>
      <c r="T120" s="2"/>
      <c r="U120" s="58"/>
      <c r="V120" s="57"/>
      <c r="W120" s="2"/>
      <c r="X120" s="58"/>
      <c r="Y120" s="2"/>
      <c r="Z120" s="37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62" t="e">
        <f t="shared" si="21"/>
        <v>#VALUE!</v>
      </c>
      <c r="AF120" s="63">
        <f t="shared" si="26"/>
        <v>0</v>
      </c>
      <c r="AG120" s="31" t="e">
        <f t="shared" si="22"/>
        <v>#VALUE!</v>
      </c>
      <c r="AH120">
        <f t="shared" si="23"/>
        <v>0</v>
      </c>
      <c r="AI120" s="54">
        <f t="shared" si="24"/>
        <v>0</v>
      </c>
      <c r="AJ120" s="54">
        <f t="shared" si="25"/>
        <v>0</v>
      </c>
      <c r="AK120" s="53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120</v>
      </c>
      <c r="M121" s="56"/>
      <c r="N121" s="2"/>
      <c r="O121" s="2"/>
      <c r="P121" s="2"/>
      <c r="Q121" s="2"/>
      <c r="R121" s="2"/>
      <c r="S121" s="2"/>
      <c r="T121" s="2"/>
      <c r="U121" s="58"/>
      <c r="V121" s="57"/>
      <c r="W121" s="2"/>
      <c r="X121" s="58"/>
      <c r="Y121" s="2"/>
      <c r="Z121" s="37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62" t="e">
        <f t="shared" si="21"/>
        <v>#VALUE!</v>
      </c>
      <c r="AF121" s="63">
        <f t="shared" si="26"/>
        <v>0</v>
      </c>
      <c r="AG121" s="31" t="e">
        <f t="shared" si="22"/>
        <v>#VALUE!</v>
      </c>
      <c r="AH121">
        <f t="shared" si="23"/>
        <v>0</v>
      </c>
      <c r="AI121" s="54">
        <f t="shared" si="24"/>
        <v>0</v>
      </c>
      <c r="AJ121" s="54">
        <f t="shared" si="25"/>
        <v>0</v>
      </c>
      <c r="AK121" s="53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120</v>
      </c>
      <c r="M122" s="56"/>
      <c r="N122" s="2"/>
      <c r="O122" s="2"/>
      <c r="P122" s="2"/>
      <c r="Q122" s="2"/>
      <c r="R122" s="2"/>
      <c r="S122" s="2"/>
      <c r="T122" s="2"/>
      <c r="U122" s="58"/>
      <c r="V122" s="57"/>
      <c r="W122" s="2"/>
      <c r="X122" s="58"/>
      <c r="Y122" s="2"/>
      <c r="Z122" s="37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62" t="e">
        <f t="shared" si="21"/>
        <v>#VALUE!</v>
      </c>
      <c r="AF122" s="63">
        <f t="shared" si="26"/>
        <v>0</v>
      </c>
      <c r="AG122" s="31" t="e">
        <f t="shared" si="22"/>
        <v>#VALUE!</v>
      </c>
      <c r="AH122">
        <f t="shared" si="23"/>
        <v>0</v>
      </c>
      <c r="AI122" s="54">
        <f t="shared" si="24"/>
        <v>0</v>
      </c>
      <c r="AJ122" s="54">
        <f t="shared" si="25"/>
        <v>0</v>
      </c>
      <c r="AK122" s="53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120</v>
      </c>
      <c r="M123" s="56"/>
      <c r="N123" s="2"/>
      <c r="O123" s="2"/>
      <c r="P123" s="2"/>
      <c r="Q123" s="2"/>
      <c r="R123" s="2"/>
      <c r="S123" s="2"/>
      <c r="T123" s="2"/>
      <c r="U123" s="58"/>
      <c r="V123" s="57"/>
      <c r="W123" s="2"/>
      <c r="X123" s="58"/>
      <c r="Y123" s="2"/>
      <c r="Z123" s="37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62" t="e">
        <f t="shared" si="21"/>
        <v>#VALUE!</v>
      </c>
      <c r="AF123" s="63">
        <f t="shared" si="26"/>
        <v>0</v>
      </c>
      <c r="AG123" s="31" t="e">
        <f t="shared" si="22"/>
        <v>#VALUE!</v>
      </c>
      <c r="AH123">
        <f t="shared" si="23"/>
        <v>0</v>
      </c>
      <c r="AI123" s="54">
        <f t="shared" si="24"/>
        <v>0</v>
      </c>
      <c r="AJ123" s="54">
        <f t="shared" si="25"/>
        <v>0</v>
      </c>
      <c r="AK123" s="53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120</v>
      </c>
      <c r="M124" s="56"/>
      <c r="N124" s="2"/>
      <c r="O124" s="2"/>
      <c r="P124" s="2"/>
      <c r="Q124" s="2"/>
      <c r="R124" s="2"/>
      <c r="S124" s="2"/>
      <c r="T124" s="2"/>
      <c r="U124" s="58"/>
      <c r="V124" s="57"/>
      <c r="W124" s="2"/>
      <c r="X124" s="58"/>
      <c r="Y124" s="2"/>
      <c r="Z124" s="37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62" t="e">
        <f t="shared" si="21"/>
        <v>#VALUE!</v>
      </c>
      <c r="AF124" s="63">
        <f t="shared" si="26"/>
        <v>0</v>
      </c>
      <c r="AG124" s="31" t="e">
        <f t="shared" si="22"/>
        <v>#VALUE!</v>
      </c>
      <c r="AH124">
        <f t="shared" si="23"/>
        <v>0</v>
      </c>
      <c r="AI124" s="54">
        <f t="shared" si="24"/>
        <v>0</v>
      </c>
      <c r="AJ124" s="54">
        <f t="shared" si="25"/>
        <v>0</v>
      </c>
      <c r="AK124" s="53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120</v>
      </c>
      <c r="M125" s="56"/>
      <c r="N125" s="2"/>
      <c r="O125" s="2"/>
      <c r="P125" s="2"/>
      <c r="Q125" s="2"/>
      <c r="R125" s="2"/>
      <c r="S125" s="2"/>
      <c r="T125" s="2"/>
      <c r="U125" s="58"/>
      <c r="V125" s="57"/>
      <c r="W125" s="2"/>
      <c r="X125" s="58"/>
      <c r="Y125" s="2"/>
      <c r="Z125" s="37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62" t="e">
        <f t="shared" si="21"/>
        <v>#VALUE!</v>
      </c>
      <c r="AF125" s="63">
        <f t="shared" si="26"/>
        <v>0</v>
      </c>
      <c r="AG125" s="31" t="e">
        <f t="shared" si="22"/>
        <v>#VALUE!</v>
      </c>
      <c r="AH125">
        <f t="shared" si="23"/>
        <v>0</v>
      </c>
      <c r="AI125" s="54">
        <f t="shared" si="24"/>
        <v>0</v>
      </c>
      <c r="AJ125" s="54">
        <f t="shared" si="25"/>
        <v>0</v>
      </c>
      <c r="AK125" s="53">
        <f t="shared" si="27"/>
        <v>0</v>
      </c>
    </row>
  </sheetData>
  <dataConsolidate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"/>
  <sheetViews>
    <sheetView workbookViewId="0">
      <selection activeCell="B1" sqref="B1"/>
    </sheetView>
  </sheetViews>
  <sheetFormatPr defaultRowHeight="15" x14ac:dyDescent="0.25"/>
  <cols>
    <col min="1" max="1" width="17.42578125" customWidth="1"/>
  </cols>
  <sheetData>
    <row r="1" spans="1:2" x14ac:dyDescent="0.25">
      <c r="A1" t="s">
        <v>181</v>
      </c>
      <c r="B1">
        <v>73</v>
      </c>
    </row>
    <row r="2" spans="1:2" x14ac:dyDescent="0.25">
      <c r="A2" t="s">
        <v>182</v>
      </c>
      <c r="B2">
        <v>1003</v>
      </c>
    </row>
    <row r="3" spans="1:2" x14ac:dyDescent="0.25">
      <c r="A3" t="s">
        <v>202</v>
      </c>
      <c r="B3">
        <v>48</v>
      </c>
    </row>
    <row r="4" spans="1:2" x14ac:dyDescent="0.25">
      <c r="A4" t="s">
        <v>203</v>
      </c>
      <c r="B4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27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213</v>
      </c>
    </row>
    <row r="2" spans="1:1" x14ac:dyDescent="0.25">
      <c r="A2" s="29" t="s">
        <v>214</v>
      </c>
    </row>
    <row r="3" spans="1:1" x14ac:dyDescent="0.25">
      <c r="A3" s="29" t="s">
        <v>215</v>
      </c>
    </row>
    <row r="4" spans="1:1" x14ac:dyDescent="0.25">
      <c r="A4" s="29" t="s">
        <v>216</v>
      </c>
    </row>
    <row r="5" spans="1:1" x14ac:dyDescent="0.25">
      <c r="A5" s="29" t="s">
        <v>217</v>
      </c>
    </row>
    <row r="6" spans="1:1" x14ac:dyDescent="0.25">
      <c r="A6" s="29" t="s">
        <v>218</v>
      </c>
    </row>
    <row r="7" spans="1:1" x14ac:dyDescent="0.25">
      <c r="A7" s="29" t="s">
        <v>219</v>
      </c>
    </row>
    <row r="8" spans="1:1" x14ac:dyDescent="0.25">
      <c r="A8" t="s">
        <v>220</v>
      </c>
    </row>
    <row r="9" spans="1:1" x14ac:dyDescent="0.25">
      <c r="A9" t="s">
        <v>221</v>
      </c>
    </row>
    <row r="10" spans="1:1" x14ac:dyDescent="0.25">
      <c r="A10" s="29" t="s">
        <v>222</v>
      </c>
    </row>
    <row r="11" spans="1:1" x14ac:dyDescent="0.25">
      <c r="A11" s="29" t="s">
        <v>223</v>
      </c>
    </row>
    <row r="12" spans="1:1" x14ac:dyDescent="0.25">
      <c r="A12" s="29" t="s">
        <v>224</v>
      </c>
    </row>
    <row r="13" spans="1:1" x14ac:dyDescent="0.25">
      <c r="A13" s="29" t="s">
        <v>225</v>
      </c>
    </row>
    <row r="14" spans="1:1" x14ac:dyDescent="0.25">
      <c r="A14" s="29" t="s">
        <v>226</v>
      </c>
    </row>
    <row r="15" spans="1:1" x14ac:dyDescent="0.25">
      <c r="A15" s="29" t="s">
        <v>227</v>
      </c>
    </row>
    <row r="16" spans="1:1" x14ac:dyDescent="0.25">
      <c r="A16" t="s">
        <v>228</v>
      </c>
    </row>
    <row r="17" spans="1:1" x14ac:dyDescent="0.25">
      <c r="A17" t="s">
        <v>229</v>
      </c>
    </row>
    <row r="18" spans="1:1" x14ac:dyDescent="0.25">
      <c r="A18" t="s">
        <v>230</v>
      </c>
    </row>
    <row r="19" spans="1:1" x14ac:dyDescent="0.25">
      <c r="A19" t="s">
        <v>231</v>
      </c>
    </row>
    <row r="20" spans="1:1" x14ac:dyDescent="0.25">
      <c r="A20" t="s">
        <v>232</v>
      </c>
    </row>
    <row r="21" spans="1:1" x14ac:dyDescent="0.25">
      <c r="A21" t="s">
        <v>233</v>
      </c>
    </row>
    <row r="22" spans="1:1" x14ac:dyDescent="0.25">
      <c r="A22" t="s">
        <v>234</v>
      </c>
    </row>
    <row r="23" spans="1:1" x14ac:dyDescent="0.25">
      <c r="A23" t="s">
        <v>235</v>
      </c>
    </row>
    <row r="24" spans="1:1" x14ac:dyDescent="0.25">
      <c r="A24" t="s">
        <v>236</v>
      </c>
    </row>
    <row r="25" spans="1:1" x14ac:dyDescent="0.25">
      <c r="A25" t="s">
        <v>237</v>
      </c>
    </row>
    <row r="26" spans="1:1" x14ac:dyDescent="0.25">
      <c r="A26" t="s">
        <v>238</v>
      </c>
    </row>
    <row r="27" spans="1:1" x14ac:dyDescent="0.25">
      <c r="A27" t="s">
        <v>239</v>
      </c>
    </row>
    <row r="28" spans="1:1" x14ac:dyDescent="0.25">
      <c r="A28" s="106" t="s">
        <v>240</v>
      </c>
    </row>
    <row r="29" spans="1:1" x14ac:dyDescent="0.25">
      <c r="A29" s="106" t="s">
        <v>241</v>
      </c>
    </row>
    <row r="30" spans="1:1" x14ac:dyDescent="0.25">
      <c r="A30" s="106" t="s">
        <v>242</v>
      </c>
    </row>
    <row r="31" spans="1:1" x14ac:dyDescent="0.25">
      <c r="A31" s="107" t="s">
        <v>243</v>
      </c>
    </row>
    <row r="32" spans="1:1" x14ac:dyDescent="0.25">
      <c r="A32" s="107" t="s">
        <v>244</v>
      </c>
    </row>
    <row r="33" spans="1:1" x14ac:dyDescent="0.25">
      <c r="A33" s="106" t="s">
        <v>245</v>
      </c>
    </row>
    <row r="34" spans="1:1" x14ac:dyDescent="0.25">
      <c r="A34" s="106" t="s">
        <v>246</v>
      </c>
    </row>
    <row r="35" spans="1:1" x14ac:dyDescent="0.25">
      <c r="A35" s="29" t="s">
        <v>247</v>
      </c>
    </row>
    <row r="36" spans="1:1" x14ac:dyDescent="0.25">
      <c r="A36" s="29" t="s">
        <v>248</v>
      </c>
    </row>
    <row r="37" spans="1:1" x14ac:dyDescent="0.25">
      <c r="A37" s="29" t="s">
        <v>249</v>
      </c>
    </row>
    <row r="38" spans="1:1" x14ac:dyDescent="0.25">
      <c r="A38" s="29" t="s">
        <v>250</v>
      </c>
    </row>
    <row r="39" spans="1:1" x14ac:dyDescent="0.25">
      <c r="A39" s="29" t="s">
        <v>251</v>
      </c>
    </row>
    <row r="40" spans="1:1" x14ac:dyDescent="0.25">
      <c r="A40" s="29" t="s">
        <v>252</v>
      </c>
    </row>
    <row r="41" spans="1:1" x14ac:dyDescent="0.25">
      <c r="A41" s="29" t="s">
        <v>253</v>
      </c>
    </row>
    <row r="42" spans="1:1" x14ac:dyDescent="0.25">
      <c r="A42" s="29" t="s">
        <v>254</v>
      </c>
    </row>
    <row r="43" spans="1:1" x14ac:dyDescent="0.25">
      <c r="A43" s="29" t="s">
        <v>255</v>
      </c>
    </row>
    <row r="44" spans="1:1" x14ac:dyDescent="0.25">
      <c r="A44" s="29" t="s">
        <v>256</v>
      </c>
    </row>
    <row r="45" spans="1:1" x14ac:dyDescent="0.25">
      <c r="A45" s="29" t="s">
        <v>257</v>
      </c>
    </row>
    <row r="46" spans="1:1" x14ac:dyDescent="0.25">
      <c r="A46" s="29" t="s">
        <v>258</v>
      </c>
    </row>
    <row r="47" spans="1:1" x14ac:dyDescent="0.25">
      <c r="A47" s="106" t="s">
        <v>259</v>
      </c>
    </row>
    <row r="48" spans="1:1" x14ac:dyDescent="0.25">
      <c r="A48" s="106" t="s">
        <v>260</v>
      </c>
    </row>
    <row r="49" spans="1:1" x14ac:dyDescent="0.25">
      <c r="A49" s="29" t="s">
        <v>261</v>
      </c>
    </row>
    <row r="50" spans="1:1" x14ac:dyDescent="0.25">
      <c r="A50" s="29" t="s">
        <v>262</v>
      </c>
    </row>
    <row r="51" spans="1:1" x14ac:dyDescent="0.25">
      <c r="A51" s="29" t="s">
        <v>263</v>
      </c>
    </row>
    <row r="52" spans="1:1" x14ac:dyDescent="0.25">
      <c r="A52" s="29" t="s">
        <v>264</v>
      </c>
    </row>
    <row r="53" spans="1:1" x14ac:dyDescent="0.25">
      <c r="A53" s="29" t="s">
        <v>265</v>
      </c>
    </row>
    <row r="54" spans="1:1" x14ac:dyDescent="0.25">
      <c r="A54" s="29" t="s">
        <v>266</v>
      </c>
    </row>
    <row r="55" spans="1:1" x14ac:dyDescent="0.25">
      <c r="A55" s="29" t="s">
        <v>267</v>
      </c>
    </row>
    <row r="56" spans="1:1" x14ac:dyDescent="0.25">
      <c r="A56" s="29" t="s">
        <v>268</v>
      </c>
    </row>
    <row r="57" spans="1:1" x14ac:dyDescent="0.25">
      <c r="A57" s="29" t="s">
        <v>269</v>
      </c>
    </row>
    <row r="58" spans="1:1" x14ac:dyDescent="0.25">
      <c r="A58" s="29" t="s">
        <v>270</v>
      </c>
    </row>
    <row r="59" spans="1:1" x14ac:dyDescent="0.25">
      <c r="A59" s="29" t="s">
        <v>271</v>
      </c>
    </row>
    <row r="60" spans="1:1" x14ac:dyDescent="0.25">
      <c r="A60" s="29" t="s">
        <v>272</v>
      </c>
    </row>
    <row r="61" spans="1:1" x14ac:dyDescent="0.25">
      <c r="A61" s="29" t="s">
        <v>273</v>
      </c>
    </row>
    <row r="62" spans="1:1" x14ac:dyDescent="0.25">
      <c r="A62" s="29" t="s">
        <v>274</v>
      </c>
    </row>
    <row r="63" spans="1:1" x14ac:dyDescent="0.25">
      <c r="A63" s="29" t="s">
        <v>275</v>
      </c>
    </row>
    <row r="64" spans="1:1" x14ac:dyDescent="0.25">
      <c r="A64" s="106" t="s">
        <v>276</v>
      </c>
    </row>
    <row r="65" spans="1:1" x14ac:dyDescent="0.25">
      <c r="A65" s="106" t="s">
        <v>277</v>
      </c>
    </row>
    <row r="66" spans="1:1" x14ac:dyDescent="0.25">
      <c r="A66" s="106" t="s">
        <v>278</v>
      </c>
    </row>
    <row r="67" spans="1:1" x14ac:dyDescent="0.25">
      <c r="A67" s="106" t="s">
        <v>279</v>
      </c>
    </row>
    <row r="68" spans="1:1" x14ac:dyDescent="0.25">
      <c r="A68" s="29" t="s">
        <v>280</v>
      </c>
    </row>
    <row r="69" spans="1:1" x14ac:dyDescent="0.25">
      <c r="A69" s="29" t="s">
        <v>281</v>
      </c>
    </row>
    <row r="70" spans="1:1" x14ac:dyDescent="0.25">
      <c r="A70" s="29" t="s">
        <v>282</v>
      </c>
    </row>
    <row r="71" spans="1:1" x14ac:dyDescent="0.25">
      <c r="A71" s="29" t="s">
        <v>283</v>
      </c>
    </row>
    <row r="72" spans="1:1" x14ac:dyDescent="0.25">
      <c r="A72" s="29" t="s">
        <v>284</v>
      </c>
    </row>
    <row r="73" spans="1:1" x14ac:dyDescent="0.25">
      <c r="A73" s="29" t="s">
        <v>285</v>
      </c>
    </row>
    <row r="74" spans="1:1" x14ac:dyDescent="0.25">
      <c r="A74" s="29" t="s">
        <v>286</v>
      </c>
    </row>
    <row r="75" spans="1:1" x14ac:dyDescent="0.25">
      <c r="A75" s="29" t="s">
        <v>287</v>
      </c>
    </row>
    <row r="76" spans="1:1" x14ac:dyDescent="0.25">
      <c r="A76" s="29" t="s">
        <v>288</v>
      </c>
    </row>
    <row r="77" spans="1:1" x14ac:dyDescent="0.25">
      <c r="A77" s="29" t="s">
        <v>289</v>
      </c>
    </row>
    <row r="78" spans="1:1" x14ac:dyDescent="0.25">
      <c r="A78" s="29" t="s">
        <v>290</v>
      </c>
    </row>
    <row r="79" spans="1:1" x14ac:dyDescent="0.25">
      <c r="A79" s="29" t="s">
        <v>291</v>
      </c>
    </row>
    <row r="164" spans="1:1" x14ac:dyDescent="0.25">
      <c r="A164" s="106" t="s">
        <v>292</v>
      </c>
    </row>
    <row r="165" spans="1:1" x14ac:dyDescent="0.25">
      <c r="A165" s="106" t="s">
        <v>293</v>
      </c>
    </row>
    <row r="166" spans="1:1" x14ac:dyDescent="0.25">
      <c r="A166" s="29" t="s">
        <v>294</v>
      </c>
    </row>
    <row r="167" spans="1:1" x14ac:dyDescent="0.25">
      <c r="A167" s="29" t="s">
        <v>295</v>
      </c>
    </row>
    <row r="168" spans="1:1" x14ac:dyDescent="0.25">
      <c r="A168" s="29" t="s">
        <v>296</v>
      </c>
    </row>
    <row r="169" spans="1:1" x14ac:dyDescent="0.25">
      <c r="A169" s="29" t="s">
        <v>297</v>
      </c>
    </row>
    <row r="170" spans="1:1" x14ac:dyDescent="0.25">
      <c r="A170" s="29" t="s">
        <v>298</v>
      </c>
    </row>
    <row r="171" spans="1:1" x14ac:dyDescent="0.25">
      <c r="A171" s="29" t="s">
        <v>299</v>
      </c>
    </row>
    <row r="172" spans="1:1" x14ac:dyDescent="0.25">
      <c r="A172" s="106" t="s">
        <v>300</v>
      </c>
    </row>
    <row r="173" spans="1:1" x14ac:dyDescent="0.25">
      <c r="A173" s="106" t="s">
        <v>301</v>
      </c>
    </row>
    <row r="174" spans="1:1" x14ac:dyDescent="0.25">
      <c r="A174" s="29" t="s">
        <v>302</v>
      </c>
    </row>
    <row r="175" spans="1:1" x14ac:dyDescent="0.25">
      <c r="A175" s="29" t="s">
        <v>303</v>
      </c>
    </row>
    <row r="176" spans="1:1" x14ac:dyDescent="0.25">
      <c r="A176" s="29" t="s">
        <v>304</v>
      </c>
    </row>
    <row r="177" spans="1:1" x14ac:dyDescent="0.25">
      <c r="A177" s="29" t="s">
        <v>305</v>
      </c>
    </row>
    <row r="178" spans="1:1" x14ac:dyDescent="0.25">
      <c r="A178" s="29" t="s">
        <v>306</v>
      </c>
    </row>
    <row r="179" spans="1:1" x14ac:dyDescent="0.25">
      <c r="A179" s="29" t="s">
        <v>307</v>
      </c>
    </row>
    <row r="180" spans="1:1" x14ac:dyDescent="0.25">
      <c r="A180" s="29" t="s">
        <v>308</v>
      </c>
    </row>
    <row r="181" spans="1:1" x14ac:dyDescent="0.25">
      <c r="A181" s="29" t="s">
        <v>309</v>
      </c>
    </row>
    <row r="182" spans="1:1" x14ac:dyDescent="0.25">
      <c r="A182" s="29" t="s">
        <v>310</v>
      </c>
    </row>
    <row r="183" spans="1:1" x14ac:dyDescent="0.25">
      <c r="A183" s="29" t="s">
        <v>311</v>
      </c>
    </row>
    <row r="184" spans="1:1" x14ac:dyDescent="0.25">
      <c r="A184" s="29" t="s">
        <v>312</v>
      </c>
    </row>
    <row r="185" spans="1:1" x14ac:dyDescent="0.25">
      <c r="A185" s="29" t="s">
        <v>313</v>
      </c>
    </row>
    <row r="186" spans="1:1" x14ac:dyDescent="0.25">
      <c r="A186" s="29" t="s">
        <v>314</v>
      </c>
    </row>
    <row r="187" spans="1:1" x14ac:dyDescent="0.25">
      <c r="A187" s="29" t="s">
        <v>315</v>
      </c>
    </row>
    <row r="188" spans="1:1" x14ac:dyDescent="0.25">
      <c r="A188" s="29" t="s">
        <v>316</v>
      </c>
    </row>
    <row r="189" spans="1:1" x14ac:dyDescent="0.25">
      <c r="A189" s="29" t="s">
        <v>317</v>
      </c>
    </row>
    <row r="190" spans="1:1" x14ac:dyDescent="0.25">
      <c r="A190" s="29" t="s">
        <v>318</v>
      </c>
    </row>
    <row r="191" spans="1:1" x14ac:dyDescent="0.25">
      <c r="A191" s="29" t="s">
        <v>319</v>
      </c>
    </row>
    <row r="192" spans="1:1" x14ac:dyDescent="0.25">
      <c r="A192" s="29" t="s">
        <v>320</v>
      </c>
    </row>
    <row r="193" spans="1:1" x14ac:dyDescent="0.25">
      <c r="A193" s="29" t="s">
        <v>321</v>
      </c>
    </row>
    <row r="194" spans="1:1" x14ac:dyDescent="0.25">
      <c r="A194" s="29" t="s">
        <v>322</v>
      </c>
    </row>
    <row r="195" spans="1:1" x14ac:dyDescent="0.25">
      <c r="A195" s="29" t="s">
        <v>323</v>
      </c>
    </row>
    <row r="196" spans="1:1" x14ac:dyDescent="0.25">
      <c r="A196" s="29" t="s">
        <v>324</v>
      </c>
    </row>
    <row r="197" spans="1:1" x14ac:dyDescent="0.25">
      <c r="A197" s="29" t="s">
        <v>325</v>
      </c>
    </row>
    <row r="198" spans="1:1" x14ac:dyDescent="0.25">
      <c r="A198" s="29" t="s">
        <v>326</v>
      </c>
    </row>
    <row r="199" spans="1:1" x14ac:dyDescent="0.25">
      <c r="A199" s="106" t="s">
        <v>327</v>
      </c>
    </row>
    <row r="200" spans="1:1" x14ac:dyDescent="0.25">
      <c r="A200" s="29" t="s">
        <v>328</v>
      </c>
    </row>
    <row r="201" spans="1:1" x14ac:dyDescent="0.25">
      <c r="A201" s="29" t="s">
        <v>329</v>
      </c>
    </row>
    <row r="202" spans="1:1" x14ac:dyDescent="0.25">
      <c r="A202" s="29" t="s">
        <v>330</v>
      </c>
    </row>
    <row r="203" spans="1:1" x14ac:dyDescent="0.25">
      <c r="A203" s="29" t="s">
        <v>331</v>
      </c>
    </row>
    <row r="204" spans="1:1" x14ac:dyDescent="0.25">
      <c r="A204" s="29" t="s">
        <v>332</v>
      </c>
    </row>
    <row r="205" spans="1:1" x14ac:dyDescent="0.25">
      <c r="A205" s="29" t="s">
        <v>333</v>
      </c>
    </row>
    <row r="206" spans="1:1" x14ac:dyDescent="0.25">
      <c r="A206" s="29" t="s">
        <v>334</v>
      </c>
    </row>
    <row r="207" spans="1:1" x14ac:dyDescent="0.25">
      <c r="A207" s="29" t="s">
        <v>335</v>
      </c>
    </row>
    <row r="208" spans="1:1" x14ac:dyDescent="0.25">
      <c r="A208" s="106" t="s">
        <v>336</v>
      </c>
    </row>
    <row r="209" spans="1:1" x14ac:dyDescent="0.25">
      <c r="A209" s="29" t="s">
        <v>337</v>
      </c>
    </row>
    <row r="210" spans="1:1" x14ac:dyDescent="0.25">
      <c r="A210" s="29" t="s">
        <v>338</v>
      </c>
    </row>
    <row r="211" spans="1:1" x14ac:dyDescent="0.25">
      <c r="A211" s="106" t="s">
        <v>339</v>
      </c>
    </row>
    <row r="212" spans="1:1" x14ac:dyDescent="0.25">
      <c r="A212" s="106" t="s">
        <v>340</v>
      </c>
    </row>
    <row r="213" spans="1:1" x14ac:dyDescent="0.25">
      <c r="A213" s="29" t="s">
        <v>341</v>
      </c>
    </row>
    <row r="214" spans="1:1" x14ac:dyDescent="0.25">
      <c r="A214" s="29" t="s">
        <v>342</v>
      </c>
    </row>
    <row r="325" spans="1:1" x14ac:dyDescent="0.25">
      <c r="A325" s="29" t="s">
        <v>343</v>
      </c>
    </row>
    <row r="326" spans="1:1" x14ac:dyDescent="0.25">
      <c r="A326" s="29" t="s">
        <v>344</v>
      </c>
    </row>
    <row r="327" spans="1:1" x14ac:dyDescent="0.25">
      <c r="A327" s="29" t="s">
        <v>345</v>
      </c>
    </row>
    <row r="328" spans="1:1" x14ac:dyDescent="0.25">
      <c r="A328" s="106" t="s">
        <v>346</v>
      </c>
    </row>
    <row r="329" spans="1:1" x14ac:dyDescent="0.25">
      <c r="A329" s="29" t="s">
        <v>347</v>
      </c>
    </row>
    <row r="330" spans="1:1" x14ac:dyDescent="0.25">
      <c r="A330" s="29" t="s">
        <v>348</v>
      </c>
    </row>
    <row r="331" spans="1:1" x14ac:dyDescent="0.25">
      <c r="A331" s="29" t="s">
        <v>349</v>
      </c>
    </row>
    <row r="332" spans="1:1" x14ac:dyDescent="0.25">
      <c r="A332" s="29" t="s">
        <v>350</v>
      </c>
    </row>
    <row r="333" spans="1:1" x14ac:dyDescent="0.25">
      <c r="A333" s="106" t="s">
        <v>351</v>
      </c>
    </row>
    <row r="334" spans="1:1" x14ac:dyDescent="0.25">
      <c r="A334" s="106" t="s">
        <v>352</v>
      </c>
    </row>
    <row r="335" spans="1:1" x14ac:dyDescent="0.25">
      <c r="A335" s="29" t="s">
        <v>353</v>
      </c>
    </row>
    <row r="336" spans="1:1" x14ac:dyDescent="0.25">
      <c r="A336" s="29" t="s">
        <v>354</v>
      </c>
    </row>
    <row r="337" spans="1:1" x14ac:dyDescent="0.25">
      <c r="A337" s="29" t="s">
        <v>355</v>
      </c>
    </row>
    <row r="338" spans="1:1" x14ac:dyDescent="0.25">
      <c r="A338" s="29" t="s">
        <v>356</v>
      </c>
    </row>
    <row r="339" spans="1:1" x14ac:dyDescent="0.25">
      <c r="A339" s="29" t="s">
        <v>357</v>
      </c>
    </row>
    <row r="340" spans="1:1" x14ac:dyDescent="0.25">
      <c r="A340" s="29" t="s">
        <v>358</v>
      </c>
    </row>
    <row r="341" spans="1:1" x14ac:dyDescent="0.25">
      <c r="A341" s="29" t="s">
        <v>359</v>
      </c>
    </row>
    <row r="342" spans="1:1" x14ac:dyDescent="0.25">
      <c r="A342" s="29" t="s">
        <v>360</v>
      </c>
    </row>
    <row r="343" spans="1:1" x14ac:dyDescent="0.25">
      <c r="A343" s="29" t="s">
        <v>361</v>
      </c>
    </row>
    <row r="344" spans="1:1" x14ac:dyDescent="0.25">
      <c r="A344" s="29" t="s">
        <v>362</v>
      </c>
    </row>
    <row r="828" spans="1:1" x14ac:dyDescent="0.25">
      <c r="A828" s="29" t="s">
        <v>363</v>
      </c>
    </row>
    <row r="829" spans="1:1" x14ac:dyDescent="0.25">
      <c r="A829" s="29" t="s">
        <v>364</v>
      </c>
    </row>
    <row r="830" spans="1:1" x14ac:dyDescent="0.25">
      <c r="A830" s="29" t="s">
        <v>365</v>
      </c>
    </row>
    <row r="831" spans="1:1" x14ac:dyDescent="0.25">
      <c r="A831" s="29" t="s">
        <v>366</v>
      </c>
    </row>
    <row r="832" spans="1:1" x14ac:dyDescent="0.25">
      <c r="A832" s="29" t="s">
        <v>367</v>
      </c>
    </row>
    <row r="833" spans="1:1" x14ac:dyDescent="0.25">
      <c r="A833" s="29" t="s">
        <v>368</v>
      </c>
    </row>
    <row r="834" spans="1:1" x14ac:dyDescent="0.25">
      <c r="A834" s="29" t="s">
        <v>369</v>
      </c>
    </row>
    <row r="835" spans="1:1" x14ac:dyDescent="0.25">
      <c r="A835" s="29" t="s">
        <v>370</v>
      </c>
    </row>
    <row r="836" spans="1:1" x14ac:dyDescent="0.25">
      <c r="A836" s="29" t="s">
        <v>371</v>
      </c>
    </row>
    <row r="837" spans="1:1" x14ac:dyDescent="0.25">
      <c r="A837" s="29" t="s">
        <v>372</v>
      </c>
    </row>
    <row r="838" spans="1:1" x14ac:dyDescent="0.25">
      <c r="A838" s="29" t="s">
        <v>373</v>
      </c>
    </row>
    <row r="1018" spans="1:1" x14ac:dyDescent="0.25">
      <c r="A1018" s="29" t="s">
        <v>374</v>
      </c>
    </row>
    <row r="1019" spans="1:1" x14ac:dyDescent="0.25">
      <c r="A1019" s="29" t="s">
        <v>375</v>
      </c>
    </row>
    <row r="1020" spans="1:1" x14ac:dyDescent="0.25">
      <c r="A1020" s="29" t="s">
        <v>376</v>
      </c>
    </row>
    <row r="1021" spans="1:1" x14ac:dyDescent="0.25">
      <c r="A1021" s="29" t="s">
        <v>377</v>
      </c>
    </row>
    <row r="1022" spans="1:1" x14ac:dyDescent="0.25">
      <c r="A1022" s="29" t="s">
        <v>378</v>
      </c>
    </row>
    <row r="1023" spans="1:1" x14ac:dyDescent="0.25">
      <c r="A1023" s="29" t="s">
        <v>379</v>
      </c>
    </row>
    <row r="1024" spans="1:1" x14ac:dyDescent="0.25">
      <c r="A1024" s="29" t="s">
        <v>380</v>
      </c>
    </row>
    <row r="1025" spans="1:1" x14ac:dyDescent="0.25">
      <c r="A1025" s="106" t="s">
        <v>381</v>
      </c>
    </row>
    <row r="1026" spans="1:1" x14ac:dyDescent="0.25">
      <c r="A1026" s="29" t="s">
        <v>382</v>
      </c>
    </row>
    <row r="1027" spans="1:1" x14ac:dyDescent="0.25">
      <c r="A1027" s="29" t="s">
        <v>383</v>
      </c>
    </row>
    <row r="1028" spans="1:1" x14ac:dyDescent="0.25">
      <c r="A1028" s="29" t="s">
        <v>384</v>
      </c>
    </row>
    <row r="1029" spans="1:1" x14ac:dyDescent="0.25">
      <c r="A1029" s="29" t="s">
        <v>385</v>
      </c>
    </row>
    <row r="1030" spans="1:1" x14ac:dyDescent="0.25">
      <c r="A1030" s="29" t="s">
        <v>386</v>
      </c>
    </row>
    <row r="1031" spans="1:1" x14ac:dyDescent="0.25">
      <c r="A1031" s="29" t="s">
        <v>387</v>
      </c>
    </row>
    <row r="1032" spans="1:1" x14ac:dyDescent="0.25">
      <c r="A1032" s="29" t="s">
        <v>388</v>
      </c>
    </row>
    <row r="1033" spans="1:1" x14ac:dyDescent="0.25">
      <c r="A1033" s="29" t="s">
        <v>389</v>
      </c>
    </row>
    <row r="1034" spans="1:1" x14ac:dyDescent="0.25">
      <c r="A1034" s="29" t="s">
        <v>390</v>
      </c>
    </row>
    <row r="1035" spans="1:1" x14ac:dyDescent="0.25">
      <c r="A1035" s="29" t="s">
        <v>391</v>
      </c>
    </row>
    <row r="1036" spans="1:1" x14ac:dyDescent="0.25">
      <c r="A1036" s="29" t="s">
        <v>392</v>
      </c>
    </row>
    <row r="1037" spans="1:1" x14ac:dyDescent="0.25">
      <c r="A1037" s="106" t="s">
        <v>393</v>
      </c>
    </row>
    <row r="1038" spans="1:1" x14ac:dyDescent="0.25">
      <c r="A1038" s="29" t="s">
        <v>394</v>
      </c>
    </row>
    <row r="1039" spans="1:1" x14ac:dyDescent="0.25">
      <c r="A1039" s="29" t="s">
        <v>395</v>
      </c>
    </row>
    <row r="1040" spans="1:1" x14ac:dyDescent="0.25">
      <c r="A1040" s="29" t="s">
        <v>396</v>
      </c>
    </row>
    <row r="1041" spans="1:1" x14ac:dyDescent="0.25">
      <c r="A1041" s="29" t="s">
        <v>397</v>
      </c>
    </row>
    <row r="1042" spans="1:1" x14ac:dyDescent="0.25">
      <c r="A1042" s="29" t="s">
        <v>398</v>
      </c>
    </row>
    <row r="1043" spans="1:1" x14ac:dyDescent="0.25">
      <c r="A1043" s="29" t="s">
        <v>399</v>
      </c>
    </row>
    <row r="1044" spans="1:1" x14ac:dyDescent="0.25">
      <c r="A1044" s="29" t="s">
        <v>400</v>
      </c>
    </row>
    <row r="1045" spans="1:1" x14ac:dyDescent="0.25">
      <c r="A1045" s="29" t="s">
        <v>401</v>
      </c>
    </row>
    <row r="1046" spans="1:1" x14ac:dyDescent="0.25">
      <c r="A1046" s="29" t="s">
        <v>402</v>
      </c>
    </row>
    <row r="1047" spans="1:1" x14ac:dyDescent="0.25">
      <c r="A1047" s="29" t="s">
        <v>403</v>
      </c>
    </row>
    <row r="1048" spans="1:1" x14ac:dyDescent="0.25">
      <c r="A1048" s="29" t="s">
        <v>404</v>
      </c>
    </row>
    <row r="1049" spans="1:1" x14ac:dyDescent="0.25">
      <c r="A1049" s="29" t="s">
        <v>405</v>
      </c>
    </row>
    <row r="1050" spans="1:1" x14ac:dyDescent="0.25">
      <c r="A1050" s="29" t="s">
        <v>406</v>
      </c>
    </row>
    <row r="1051" spans="1:1" x14ac:dyDescent="0.25">
      <c r="A1051" s="29" t="s">
        <v>407</v>
      </c>
    </row>
    <row r="1052" spans="1:1" x14ac:dyDescent="0.25">
      <c r="A1052" s="29" t="s">
        <v>408</v>
      </c>
    </row>
    <row r="1053" spans="1:1" x14ac:dyDescent="0.25">
      <c r="A1053" s="29" t="s">
        <v>409</v>
      </c>
    </row>
    <row r="1054" spans="1:1" x14ac:dyDescent="0.25">
      <c r="A1054" s="29" t="s">
        <v>410</v>
      </c>
    </row>
    <row r="1055" spans="1:1" x14ac:dyDescent="0.25">
      <c r="A1055" s="29" t="s">
        <v>411</v>
      </c>
    </row>
    <row r="1056" spans="1:1" x14ac:dyDescent="0.25">
      <c r="A1056" s="29" t="s">
        <v>412</v>
      </c>
    </row>
    <row r="1057" spans="1:1" x14ac:dyDescent="0.25">
      <c r="A1057" s="29" t="s">
        <v>413</v>
      </c>
    </row>
    <row r="1058" spans="1:1" x14ac:dyDescent="0.25">
      <c r="A1058" s="29" t="s">
        <v>414</v>
      </c>
    </row>
    <row r="1059" spans="1:1" x14ac:dyDescent="0.25">
      <c r="A1059" s="106" t="s">
        <v>415</v>
      </c>
    </row>
    <row r="1060" spans="1:1" x14ac:dyDescent="0.25">
      <c r="A1060" s="106" t="s">
        <v>416</v>
      </c>
    </row>
    <row r="1083" spans="1:1" x14ac:dyDescent="0.25">
      <c r="A1083" s="29" t="s">
        <v>417</v>
      </c>
    </row>
    <row r="1084" spans="1:1" x14ac:dyDescent="0.25">
      <c r="A1084" s="106" t="s">
        <v>418</v>
      </c>
    </row>
    <row r="1085" spans="1:1" x14ac:dyDescent="0.25">
      <c r="A1085" s="29" t="s">
        <v>419</v>
      </c>
    </row>
    <row r="1086" spans="1:1" x14ac:dyDescent="0.25">
      <c r="A1086" s="29" t="s">
        <v>420</v>
      </c>
    </row>
    <row r="1087" spans="1:1" x14ac:dyDescent="0.25">
      <c r="A1087" s="29" t="s">
        <v>421</v>
      </c>
    </row>
    <row r="1088" spans="1:1" x14ac:dyDescent="0.25">
      <c r="A1088" s="29" t="s">
        <v>422</v>
      </c>
    </row>
    <row r="1089" spans="1:1" x14ac:dyDescent="0.25">
      <c r="A1089" s="29" t="s">
        <v>423</v>
      </c>
    </row>
    <row r="1090" spans="1:1" x14ac:dyDescent="0.25">
      <c r="A1090" s="29" t="s">
        <v>424</v>
      </c>
    </row>
    <row r="1091" spans="1:1" x14ac:dyDescent="0.25">
      <c r="A1091" s="29" t="s">
        <v>425</v>
      </c>
    </row>
    <row r="1092" spans="1:1" x14ac:dyDescent="0.25">
      <c r="A1092" s="29" t="s">
        <v>426</v>
      </c>
    </row>
    <row r="1093" spans="1:1" x14ac:dyDescent="0.25">
      <c r="A1093" s="29" t="s">
        <v>427</v>
      </c>
    </row>
    <row r="1094" spans="1:1" x14ac:dyDescent="0.25">
      <c r="A1094" s="29" t="s">
        <v>428</v>
      </c>
    </row>
    <row r="1095" spans="1:1" x14ac:dyDescent="0.25">
      <c r="A1095" s="29" t="s">
        <v>429</v>
      </c>
    </row>
    <row r="1096" spans="1:1" x14ac:dyDescent="0.25">
      <c r="A1096" s="29" t="s">
        <v>430</v>
      </c>
    </row>
    <row r="1097" spans="1:1" x14ac:dyDescent="0.25">
      <c r="A1097" s="29" t="s">
        <v>431</v>
      </c>
    </row>
    <row r="1098" spans="1:1" x14ac:dyDescent="0.25">
      <c r="A1098" s="29" t="s">
        <v>432</v>
      </c>
    </row>
    <row r="1099" spans="1:1" x14ac:dyDescent="0.25">
      <c r="A1099" s="29" t="s">
        <v>433</v>
      </c>
    </row>
    <row r="1100" spans="1:1" x14ac:dyDescent="0.25">
      <c r="A1100" s="29" t="s">
        <v>434</v>
      </c>
    </row>
    <row r="1101" spans="1:1" x14ac:dyDescent="0.25">
      <c r="A1101" s="29" t="s">
        <v>435</v>
      </c>
    </row>
    <row r="1102" spans="1:1" x14ac:dyDescent="0.25">
      <c r="A1102" s="29" t="s">
        <v>436</v>
      </c>
    </row>
    <row r="1103" spans="1:1" x14ac:dyDescent="0.25">
      <c r="A1103" s="29" t="s">
        <v>437</v>
      </c>
    </row>
    <row r="1104" spans="1:1" x14ac:dyDescent="0.25">
      <c r="A1104" s="29" t="s">
        <v>438</v>
      </c>
    </row>
    <row r="1105" spans="1:1" x14ac:dyDescent="0.25">
      <c r="A1105" s="29" t="s">
        <v>439</v>
      </c>
    </row>
    <row r="1106" spans="1:1" x14ac:dyDescent="0.25">
      <c r="A1106" s="29" t="s">
        <v>440</v>
      </c>
    </row>
    <row r="1107" spans="1:1" x14ac:dyDescent="0.25">
      <c r="A1107" s="29" t="s">
        <v>441</v>
      </c>
    </row>
    <row r="1108" spans="1:1" x14ac:dyDescent="0.25">
      <c r="A1108" s="29" t="s">
        <v>442</v>
      </c>
    </row>
    <row r="1109" spans="1:1" x14ac:dyDescent="0.25">
      <c r="A1109" s="29" t="s">
        <v>443</v>
      </c>
    </row>
    <row r="1110" spans="1:1" x14ac:dyDescent="0.25">
      <c r="A1110" s="29" t="s">
        <v>444</v>
      </c>
    </row>
    <row r="1111" spans="1:1" x14ac:dyDescent="0.25">
      <c r="A1111" s="29" t="s">
        <v>445</v>
      </c>
    </row>
    <row r="1112" spans="1:1" x14ac:dyDescent="0.25">
      <c r="A1112" s="29" t="s">
        <v>446</v>
      </c>
    </row>
    <row r="1113" spans="1:1" x14ac:dyDescent="0.25">
      <c r="A1113" s="29" t="s">
        <v>447</v>
      </c>
    </row>
    <row r="1114" spans="1:1" x14ac:dyDescent="0.25">
      <c r="A1114" s="29" t="s">
        <v>448</v>
      </c>
    </row>
    <row r="1115" spans="1:1" x14ac:dyDescent="0.25">
      <c r="A1115" s="29" t="s">
        <v>449</v>
      </c>
    </row>
    <row r="1116" spans="1:1" x14ac:dyDescent="0.25">
      <c r="A1116" s="29" t="s">
        <v>450</v>
      </c>
    </row>
    <row r="1117" spans="1:1" x14ac:dyDescent="0.25">
      <c r="A1117" s="29" t="s">
        <v>451</v>
      </c>
    </row>
    <row r="1118" spans="1:1" x14ac:dyDescent="0.25">
      <c r="A1118" s="29" t="s">
        <v>452</v>
      </c>
    </row>
    <row r="1119" spans="1:1" x14ac:dyDescent="0.25">
      <c r="A1119" s="29" t="s">
        <v>453</v>
      </c>
    </row>
    <row r="1120" spans="1:1" x14ac:dyDescent="0.25">
      <c r="A1120" s="29" t="s">
        <v>454</v>
      </c>
    </row>
    <row r="1121" spans="1:1" x14ac:dyDescent="0.25">
      <c r="A1121" s="106" t="s">
        <v>455</v>
      </c>
    </row>
    <row r="1122" spans="1:1" x14ac:dyDescent="0.25">
      <c r="A1122" s="106" t="s">
        <v>456</v>
      </c>
    </row>
    <row r="1188" spans="1:1" x14ac:dyDescent="0.25">
      <c r="A1188" s="29" t="s">
        <v>457</v>
      </c>
    </row>
    <row r="1189" spans="1:1" x14ac:dyDescent="0.25">
      <c r="A1189" s="29" t="s">
        <v>458</v>
      </c>
    </row>
    <row r="1190" spans="1:1" x14ac:dyDescent="0.25">
      <c r="A1190" s="29" t="s">
        <v>459</v>
      </c>
    </row>
    <row r="1191" spans="1:1" x14ac:dyDescent="0.25">
      <c r="A1191" s="29" t="s">
        <v>460</v>
      </c>
    </row>
    <row r="1192" spans="1:1" x14ac:dyDescent="0.25">
      <c r="A1192" s="29" t="s">
        <v>461</v>
      </c>
    </row>
    <row r="1193" spans="1:1" x14ac:dyDescent="0.25">
      <c r="A1193" s="29" t="s">
        <v>462</v>
      </c>
    </row>
    <row r="1194" spans="1:1" x14ac:dyDescent="0.25">
      <c r="A1194" s="29" t="s">
        <v>463</v>
      </c>
    </row>
    <row r="1195" spans="1:1" x14ac:dyDescent="0.25">
      <c r="A1195" s="29" t="s">
        <v>464</v>
      </c>
    </row>
    <row r="1196" spans="1:1" x14ac:dyDescent="0.25">
      <c r="A1196" s="29" t="s">
        <v>465</v>
      </c>
    </row>
    <row r="1197" spans="1:1" x14ac:dyDescent="0.25">
      <c r="A1197" s="29" t="s">
        <v>466</v>
      </c>
    </row>
    <row r="1198" spans="1:1" x14ac:dyDescent="0.25">
      <c r="A1198" s="29" t="s">
        <v>467</v>
      </c>
    </row>
    <row r="1199" spans="1:1" x14ac:dyDescent="0.25">
      <c r="A1199" s="29" t="s">
        <v>468</v>
      </c>
    </row>
    <row r="1200" spans="1:1" x14ac:dyDescent="0.25">
      <c r="A1200" s="29" t="s">
        <v>469</v>
      </c>
    </row>
    <row r="1201" spans="1:1" x14ac:dyDescent="0.25">
      <c r="A1201" s="29" t="s">
        <v>470</v>
      </c>
    </row>
    <row r="1202" spans="1:1" x14ac:dyDescent="0.25">
      <c r="A1202" s="29" t="s">
        <v>471</v>
      </c>
    </row>
    <row r="1203" spans="1:1" x14ac:dyDescent="0.25">
      <c r="A1203" s="29" t="s">
        <v>472</v>
      </c>
    </row>
    <row r="1206" spans="1:1" x14ac:dyDescent="0.25">
      <c r="A1206" s="29" t="s">
        <v>473</v>
      </c>
    </row>
    <row r="1207" spans="1:1" x14ac:dyDescent="0.25">
      <c r="A1207" s="29" t="s">
        <v>474</v>
      </c>
    </row>
    <row r="1208" spans="1:1" x14ac:dyDescent="0.25">
      <c r="A1208" s="29" t="s">
        <v>475</v>
      </c>
    </row>
    <row r="1209" spans="1:1" x14ac:dyDescent="0.25">
      <c r="A1209" s="29" t="s">
        <v>476</v>
      </c>
    </row>
    <row r="1210" spans="1:1" x14ac:dyDescent="0.25">
      <c r="A1210" s="29" t="s">
        <v>477</v>
      </c>
    </row>
    <row r="1211" spans="1:1" x14ac:dyDescent="0.25">
      <c r="A1211" s="29" t="s">
        <v>478</v>
      </c>
    </row>
    <row r="1212" spans="1:1" x14ac:dyDescent="0.25">
      <c r="A1212" s="29" t="s">
        <v>479</v>
      </c>
    </row>
    <row r="1213" spans="1:1" x14ac:dyDescent="0.25">
      <c r="A1213" s="29" t="s">
        <v>480</v>
      </c>
    </row>
    <row r="1214" spans="1:1" x14ac:dyDescent="0.25">
      <c r="A1214" s="106" t="s">
        <v>481</v>
      </c>
    </row>
    <row r="1215" spans="1:1" x14ac:dyDescent="0.25">
      <c r="A1215" s="29" t="s">
        <v>482</v>
      </c>
    </row>
    <row r="1216" spans="1:1" x14ac:dyDescent="0.25">
      <c r="A1216" s="29" t="s">
        <v>483</v>
      </c>
    </row>
    <row r="1217" spans="1:1" x14ac:dyDescent="0.25">
      <c r="A1217" s="29" t="s">
        <v>484</v>
      </c>
    </row>
    <row r="1218" spans="1:1" x14ac:dyDescent="0.25">
      <c r="A1218" s="29" t="s">
        <v>485</v>
      </c>
    </row>
    <row r="1219" spans="1:1" x14ac:dyDescent="0.25">
      <c r="A1219" s="29" t="s">
        <v>486</v>
      </c>
    </row>
    <row r="1220" spans="1:1" x14ac:dyDescent="0.25">
      <c r="A1220" s="29" t="s">
        <v>487</v>
      </c>
    </row>
    <row r="1221" spans="1:1" x14ac:dyDescent="0.25">
      <c r="A1221" s="29" t="s">
        <v>488</v>
      </c>
    </row>
    <row r="1222" spans="1:1" x14ac:dyDescent="0.25">
      <c r="A1222" s="29" t="s">
        <v>489</v>
      </c>
    </row>
    <row r="1223" spans="1:1" x14ac:dyDescent="0.25">
      <c r="A1223" s="29" t="s">
        <v>490</v>
      </c>
    </row>
    <row r="1224" spans="1:1" x14ac:dyDescent="0.25">
      <c r="A1224" s="29" t="s">
        <v>491</v>
      </c>
    </row>
    <row r="1225" spans="1:1" x14ac:dyDescent="0.25">
      <c r="A1225" s="29" t="s">
        <v>492</v>
      </c>
    </row>
    <row r="1226" spans="1:1" x14ac:dyDescent="0.25">
      <c r="A1226" s="29" t="s">
        <v>493</v>
      </c>
    </row>
    <row r="1227" spans="1:1" x14ac:dyDescent="0.25">
      <c r="A1227" s="29" t="s">
        <v>494</v>
      </c>
    </row>
    <row r="1228" spans="1:1" x14ac:dyDescent="0.25">
      <c r="A1228" s="29" t="s">
        <v>495</v>
      </c>
    </row>
    <row r="1229" spans="1:1" x14ac:dyDescent="0.25">
      <c r="A1229" s="29" t="s">
        <v>496</v>
      </c>
    </row>
    <row r="1230" spans="1:1" x14ac:dyDescent="0.25">
      <c r="A1230" s="29" t="s">
        <v>497</v>
      </c>
    </row>
    <row r="1231" spans="1:1" x14ac:dyDescent="0.25">
      <c r="A1231" s="29" t="s">
        <v>498</v>
      </c>
    </row>
    <row r="1232" spans="1:1" x14ac:dyDescent="0.25">
      <c r="A1232" s="29" t="s">
        <v>499</v>
      </c>
    </row>
    <row r="1233" spans="1:1" x14ac:dyDescent="0.25">
      <c r="A1233" s="29" t="s">
        <v>500</v>
      </c>
    </row>
    <row r="1234" spans="1:1" x14ac:dyDescent="0.25">
      <c r="A1234" s="29" t="s">
        <v>501</v>
      </c>
    </row>
    <row r="1235" spans="1:1" x14ac:dyDescent="0.25">
      <c r="A1235" s="29" t="s">
        <v>502</v>
      </c>
    </row>
    <row r="1236" spans="1:1" x14ac:dyDescent="0.25">
      <c r="A1236" s="29" t="s">
        <v>503</v>
      </c>
    </row>
    <row r="1237" spans="1:1" x14ac:dyDescent="0.25">
      <c r="A1237" s="29" t="s">
        <v>504</v>
      </c>
    </row>
    <row r="1238" spans="1:1" x14ac:dyDescent="0.25">
      <c r="A1238" s="29" t="s">
        <v>505</v>
      </c>
    </row>
    <row r="1239" spans="1:1" x14ac:dyDescent="0.25">
      <c r="A1239" s="29" t="s">
        <v>506</v>
      </c>
    </row>
    <row r="1257" spans="1:1" x14ac:dyDescent="0.25">
      <c r="A1257" s="106" t="s">
        <v>507</v>
      </c>
    </row>
    <row r="1258" spans="1:1" x14ac:dyDescent="0.25">
      <c r="A1258" s="106" t="s">
        <v>508</v>
      </c>
    </row>
    <row r="1259" spans="1:1" x14ac:dyDescent="0.25">
      <c r="A1259" s="106" t="s">
        <v>509</v>
      </c>
    </row>
    <row r="1260" spans="1:1" x14ac:dyDescent="0.25">
      <c r="A1260" s="106" t="s">
        <v>510</v>
      </c>
    </row>
    <row r="1261" spans="1:1" x14ac:dyDescent="0.25">
      <c r="A1261" s="106" t="s">
        <v>511</v>
      </c>
    </row>
    <row r="1262" spans="1:1" x14ac:dyDescent="0.25">
      <c r="A1262" s="29" t="s">
        <v>512</v>
      </c>
    </row>
    <row r="1263" spans="1:1" x14ac:dyDescent="0.25">
      <c r="A1263" s="29" t="s">
        <v>513</v>
      </c>
    </row>
    <row r="1264" spans="1:1" x14ac:dyDescent="0.25">
      <c r="A1264" s="29" t="s">
        <v>514</v>
      </c>
    </row>
    <row r="1265" spans="1:1" x14ac:dyDescent="0.25">
      <c r="A1265" s="29" t="s">
        <v>515</v>
      </c>
    </row>
    <row r="1266" spans="1:1" x14ac:dyDescent="0.25">
      <c r="A1266" s="29" t="s">
        <v>516</v>
      </c>
    </row>
    <row r="1267" spans="1:1" x14ac:dyDescent="0.25">
      <c r="A1267" s="29" t="s">
        <v>517</v>
      </c>
    </row>
    <row r="1268" spans="1:1" x14ac:dyDescent="0.25">
      <c r="A1268" s="29" t="s">
        <v>518</v>
      </c>
    </row>
    <row r="1269" spans="1:1" x14ac:dyDescent="0.25">
      <c r="A1269" s="29" t="s">
        <v>519</v>
      </c>
    </row>
    <row r="1270" spans="1:1" x14ac:dyDescent="0.25">
      <c r="A1270" s="29" t="s">
        <v>520</v>
      </c>
    </row>
    <row r="1271" spans="1:1" x14ac:dyDescent="0.25">
      <c r="A1271" s="29" t="s">
        <v>521</v>
      </c>
    </row>
    <row r="1272" spans="1:1" x14ac:dyDescent="0.25">
      <c r="A1272" s="29" t="s">
        <v>522</v>
      </c>
    </row>
    <row r="1273" spans="1:1" x14ac:dyDescent="0.25">
      <c r="A1273" s="29" t="s">
        <v>523</v>
      </c>
    </row>
    <row r="1274" spans="1:1" x14ac:dyDescent="0.25">
      <c r="A1274" s="29" t="s">
        <v>524</v>
      </c>
    </row>
    <row r="1275" spans="1:1" x14ac:dyDescent="0.25">
      <c r="A1275" s="29" t="s">
        <v>525</v>
      </c>
    </row>
    <row r="1276" spans="1:1" x14ac:dyDescent="0.25">
      <c r="A1276" s="29" t="s">
        <v>526</v>
      </c>
    </row>
    <row r="1277" spans="1:1" x14ac:dyDescent="0.25">
      <c r="A1277" s="29" t="s">
        <v>527</v>
      </c>
    </row>
    <row r="1278" spans="1:1" x14ac:dyDescent="0.25">
      <c r="A1278" s="29" t="s">
        <v>528</v>
      </c>
    </row>
    <row r="1280" spans="1:1" x14ac:dyDescent="0.25">
      <c r="A1280" s="106" t="s">
        <v>529</v>
      </c>
    </row>
    <row r="1281" spans="1:1" x14ac:dyDescent="0.25">
      <c r="A1281" s="106" t="s">
        <v>530</v>
      </c>
    </row>
    <row r="1282" spans="1:1" x14ac:dyDescent="0.25">
      <c r="A1282" s="107" t="s">
        <v>531</v>
      </c>
    </row>
    <row r="1283" spans="1:1" x14ac:dyDescent="0.25">
      <c r="A1283" s="106" t="s">
        <v>532</v>
      </c>
    </row>
    <row r="1284" spans="1:1" x14ac:dyDescent="0.25">
      <c r="A1284" s="106" t="s">
        <v>533</v>
      </c>
    </row>
    <row r="1285" spans="1:1" x14ac:dyDescent="0.25">
      <c r="A1285" s="107" t="s">
        <v>534</v>
      </c>
    </row>
    <row r="1286" spans="1:1" x14ac:dyDescent="0.25">
      <c r="A1286" s="29" t="s">
        <v>535</v>
      </c>
    </row>
    <row r="1287" spans="1:1" x14ac:dyDescent="0.25">
      <c r="A1287" s="106" t="s">
        <v>536</v>
      </c>
    </row>
    <row r="1288" spans="1:1" x14ac:dyDescent="0.25">
      <c r="A1288" s="106" t="s">
        <v>537</v>
      </c>
    </row>
    <row r="1289" spans="1:1" x14ac:dyDescent="0.25">
      <c r="A1289" s="107" t="s">
        <v>538</v>
      </c>
    </row>
    <row r="1290" spans="1:1" x14ac:dyDescent="0.25">
      <c r="A1290" s="29" t="s">
        <v>539</v>
      </c>
    </row>
    <row r="1291" spans="1:1" x14ac:dyDescent="0.25">
      <c r="A1291" s="106" t="s">
        <v>540</v>
      </c>
    </row>
    <row r="1292" spans="1:1" x14ac:dyDescent="0.25">
      <c r="A1292" s="106" t="s">
        <v>541</v>
      </c>
    </row>
    <row r="1293" spans="1:1" x14ac:dyDescent="0.25">
      <c r="A1293" s="107" t="s">
        <v>542</v>
      </c>
    </row>
    <row r="1294" spans="1:1" x14ac:dyDescent="0.25">
      <c r="A1294" s="29" t="s">
        <v>543</v>
      </c>
    </row>
    <row r="1295" spans="1:1" x14ac:dyDescent="0.25">
      <c r="A1295" s="106" t="s">
        <v>544</v>
      </c>
    </row>
    <row r="1296" spans="1:1" x14ac:dyDescent="0.25">
      <c r="A1296" s="106" t="s">
        <v>545</v>
      </c>
    </row>
    <row r="1297" spans="1:1" x14ac:dyDescent="0.25">
      <c r="A1297" s="107" t="s">
        <v>546</v>
      </c>
    </row>
    <row r="1298" spans="1:1" x14ac:dyDescent="0.25">
      <c r="A1298" s="29" t="s">
        <v>547</v>
      </c>
    </row>
    <row r="1299" spans="1:1" x14ac:dyDescent="0.25">
      <c r="A1299" s="106" t="s">
        <v>548</v>
      </c>
    </row>
    <row r="1300" spans="1:1" x14ac:dyDescent="0.25">
      <c r="A1300" s="106" t="s">
        <v>549</v>
      </c>
    </row>
    <row r="1301" spans="1:1" x14ac:dyDescent="0.25">
      <c r="A1301" s="107" t="s">
        <v>550</v>
      </c>
    </row>
    <row r="1302" spans="1:1" x14ac:dyDescent="0.25">
      <c r="A1302" s="29" t="s">
        <v>551</v>
      </c>
    </row>
    <row r="1303" spans="1:1" x14ac:dyDescent="0.25">
      <c r="A1303" s="106" t="s">
        <v>552</v>
      </c>
    </row>
    <row r="1304" spans="1:1" x14ac:dyDescent="0.25">
      <c r="A1304" s="106" t="s">
        <v>553</v>
      </c>
    </row>
    <row r="1305" spans="1:1" x14ac:dyDescent="0.25">
      <c r="A1305" s="107" t="s">
        <v>554</v>
      </c>
    </row>
    <row r="1306" spans="1:1" x14ac:dyDescent="0.25">
      <c r="A1306" s="29" t="s">
        <v>555</v>
      </c>
    </row>
    <row r="1307" spans="1:1" x14ac:dyDescent="0.25">
      <c r="A1307" s="106" t="s">
        <v>556</v>
      </c>
    </row>
    <row r="1308" spans="1:1" x14ac:dyDescent="0.25">
      <c r="A1308" s="106" t="s">
        <v>557</v>
      </c>
    </row>
    <row r="1309" spans="1:1" x14ac:dyDescent="0.25">
      <c r="A1309" s="107" t="s">
        <v>558</v>
      </c>
    </row>
    <row r="1310" spans="1:1" x14ac:dyDescent="0.25">
      <c r="A1310" s="29" t="s">
        <v>559</v>
      </c>
    </row>
    <row r="1311" spans="1:1" x14ac:dyDescent="0.25">
      <c r="A1311" s="29" t="s">
        <v>560</v>
      </c>
    </row>
    <row r="1312" spans="1:1" x14ac:dyDescent="0.25">
      <c r="A1312" s="29" t="s">
        <v>561</v>
      </c>
    </row>
    <row r="1313" spans="1:1" x14ac:dyDescent="0.25">
      <c r="A1313" s="29" t="s">
        <v>562</v>
      </c>
    </row>
    <row r="1314" spans="1:1" x14ac:dyDescent="0.25">
      <c r="A1314" s="29" t="s">
        <v>563</v>
      </c>
    </row>
    <row r="1315" spans="1:1" x14ac:dyDescent="0.25">
      <c r="A1315" s="29" t="s">
        <v>564</v>
      </c>
    </row>
    <row r="1316" spans="1:1" x14ac:dyDescent="0.25">
      <c r="A1316" s="29" t="s">
        <v>565</v>
      </c>
    </row>
    <row r="1317" spans="1:1" x14ac:dyDescent="0.25">
      <c r="A1317" s="29" t="s">
        <v>566</v>
      </c>
    </row>
    <row r="1318" spans="1:1" x14ac:dyDescent="0.25">
      <c r="A1318" s="29" t="s">
        <v>567</v>
      </c>
    </row>
    <row r="1319" spans="1:1" x14ac:dyDescent="0.25">
      <c r="A1319" s="29" t="s">
        <v>568</v>
      </c>
    </row>
    <row r="1320" spans="1:1" x14ac:dyDescent="0.25">
      <c r="A1320" s="29" t="s">
        <v>569</v>
      </c>
    </row>
    <row r="1321" spans="1:1" x14ac:dyDescent="0.25">
      <c r="A1321" s="29" t="s">
        <v>570</v>
      </c>
    </row>
    <row r="1322" spans="1:1" x14ac:dyDescent="0.25">
      <c r="A1322" s="29" t="s">
        <v>571</v>
      </c>
    </row>
    <row r="1323" spans="1:1" x14ac:dyDescent="0.25">
      <c r="A1323" s="29" t="s">
        <v>572</v>
      </c>
    </row>
    <row r="1324" spans="1:1" x14ac:dyDescent="0.25">
      <c r="A1324" s="29" t="s">
        <v>573</v>
      </c>
    </row>
    <row r="1325" spans="1:1" x14ac:dyDescent="0.25">
      <c r="A1325" s="29" t="s">
        <v>574</v>
      </c>
    </row>
    <row r="1326" spans="1:1" x14ac:dyDescent="0.25">
      <c r="A1326" s="29" t="s">
        <v>575</v>
      </c>
    </row>
    <row r="1327" spans="1:1" x14ac:dyDescent="0.25">
      <c r="A1327" s="29" t="s">
        <v>576</v>
      </c>
    </row>
    <row r="1328" spans="1:1" x14ac:dyDescent="0.25">
      <c r="A1328" s="29" t="s">
        <v>577</v>
      </c>
    </row>
    <row r="1329" spans="1:1" x14ac:dyDescent="0.25">
      <c r="A1329" s="29" t="s">
        <v>578</v>
      </c>
    </row>
    <row r="1330" spans="1:1" x14ac:dyDescent="0.25">
      <c r="A1330" s="29" t="s">
        <v>579</v>
      </c>
    </row>
    <row r="1889" spans="1:1" x14ac:dyDescent="0.25">
      <c r="A1889" s="29" t="s">
        <v>580</v>
      </c>
    </row>
    <row r="1890" spans="1:1" x14ac:dyDescent="0.25">
      <c r="A1890" s="29" t="s">
        <v>581</v>
      </c>
    </row>
    <row r="1891" spans="1:1" x14ac:dyDescent="0.25">
      <c r="A1891" s="29" t="s">
        <v>582</v>
      </c>
    </row>
    <row r="1892" spans="1:1" x14ac:dyDescent="0.25">
      <c r="A1892" s="29" t="s">
        <v>583</v>
      </c>
    </row>
    <row r="1893" spans="1:1" x14ac:dyDescent="0.25">
      <c r="A1893" s="106" t="s">
        <v>584</v>
      </c>
    </row>
    <row r="1894" spans="1:1" x14ac:dyDescent="0.25">
      <c r="A1894" s="29" t="s">
        <v>585</v>
      </c>
    </row>
    <row r="1895" spans="1:1" x14ac:dyDescent="0.25">
      <c r="A1895" s="29" t="s">
        <v>586</v>
      </c>
    </row>
    <row r="1896" spans="1:1" x14ac:dyDescent="0.25">
      <c r="A1896" s="29" t="s">
        <v>587</v>
      </c>
    </row>
    <row r="1897" spans="1:1" x14ac:dyDescent="0.25">
      <c r="A1897" s="29" t="s">
        <v>588</v>
      </c>
    </row>
    <row r="1898" spans="1:1" x14ac:dyDescent="0.25">
      <c r="A1898" s="29" t="s">
        <v>589</v>
      </c>
    </row>
    <row r="1899" spans="1:1" x14ac:dyDescent="0.25">
      <c r="A1899" s="29" t="s">
        <v>590</v>
      </c>
    </row>
    <row r="1900" spans="1:1" x14ac:dyDescent="0.25">
      <c r="A1900" s="106" t="s">
        <v>591</v>
      </c>
    </row>
    <row r="1901" spans="1:1" x14ac:dyDescent="0.25">
      <c r="A1901" s="106" t="s">
        <v>592</v>
      </c>
    </row>
    <row r="1902" spans="1:1" x14ac:dyDescent="0.25">
      <c r="A1902" s="106" t="s">
        <v>593</v>
      </c>
    </row>
    <row r="1903" spans="1:1" x14ac:dyDescent="0.25">
      <c r="A1903" s="106" t="s">
        <v>594</v>
      </c>
    </row>
    <row r="1904" spans="1:1" x14ac:dyDescent="0.25">
      <c r="A1904" s="106" t="s">
        <v>595</v>
      </c>
    </row>
    <row r="1905" spans="1:1" x14ac:dyDescent="0.25">
      <c r="A1905" s="106" t="s">
        <v>596</v>
      </c>
    </row>
    <row r="1906" spans="1:1" x14ac:dyDescent="0.25">
      <c r="A1906" s="106" t="s">
        <v>597</v>
      </c>
    </row>
    <row r="1907" spans="1:1" x14ac:dyDescent="0.25">
      <c r="A1907" s="29" t="s">
        <v>598</v>
      </c>
    </row>
    <row r="1908" spans="1:1" x14ac:dyDescent="0.25">
      <c r="A1908" s="29" t="s">
        <v>599</v>
      </c>
    </row>
    <row r="1909" spans="1:1" x14ac:dyDescent="0.25">
      <c r="A1909" s="29" t="s">
        <v>600</v>
      </c>
    </row>
    <row r="1910" spans="1:1" x14ac:dyDescent="0.25">
      <c r="A1910" s="29" t="s">
        <v>601</v>
      </c>
    </row>
    <row r="1911" spans="1:1" x14ac:dyDescent="0.25">
      <c r="A1911" s="29" t="s">
        <v>602</v>
      </c>
    </row>
    <row r="1912" spans="1:1" x14ac:dyDescent="0.25">
      <c r="A1912" s="29" t="s">
        <v>603</v>
      </c>
    </row>
    <row r="1913" spans="1:1" x14ac:dyDescent="0.25">
      <c r="A1913" s="106" t="s">
        <v>604</v>
      </c>
    </row>
    <row r="1914" spans="1:1" x14ac:dyDescent="0.25">
      <c r="A1914" s="106" t="s">
        <v>605</v>
      </c>
    </row>
    <row r="2414" spans="1:1" x14ac:dyDescent="0.25">
      <c r="A2414" s="29" t="s">
        <v>606</v>
      </c>
    </row>
    <row r="2415" spans="1:1" x14ac:dyDescent="0.25">
      <c r="A2415" s="29" t="s">
        <v>607</v>
      </c>
    </row>
    <row r="2416" spans="1:1" x14ac:dyDescent="0.25">
      <c r="A2416" s="29" t="s">
        <v>608</v>
      </c>
    </row>
    <row r="2417" spans="1:1" x14ac:dyDescent="0.25">
      <c r="A2417" s="29" t="s">
        <v>609</v>
      </c>
    </row>
    <row r="2418" spans="1:1" x14ac:dyDescent="0.25">
      <c r="A2418" s="29" t="s">
        <v>610</v>
      </c>
    </row>
    <row r="2419" spans="1:1" x14ac:dyDescent="0.25">
      <c r="A2419" s="29" t="s">
        <v>611</v>
      </c>
    </row>
    <row r="2420" spans="1:1" x14ac:dyDescent="0.25">
      <c r="A2420" s="29" t="s">
        <v>612</v>
      </c>
    </row>
    <row r="2421" spans="1:1" x14ac:dyDescent="0.25">
      <c r="A2421" s="29" t="s">
        <v>613</v>
      </c>
    </row>
    <row r="2422" spans="1:1" x14ac:dyDescent="0.25">
      <c r="A2422" s="29" t="s">
        <v>614</v>
      </c>
    </row>
    <row r="2423" spans="1:1" x14ac:dyDescent="0.25">
      <c r="A2423" s="29" t="s">
        <v>615</v>
      </c>
    </row>
    <row r="3150" spans="1:1" x14ac:dyDescent="0.25">
      <c r="A3150" s="29" t="s">
        <v>616</v>
      </c>
    </row>
    <row r="3151" spans="1:1" x14ac:dyDescent="0.25">
      <c r="A3151" s="29" t="s">
        <v>617</v>
      </c>
    </row>
    <row r="3152" spans="1:1" x14ac:dyDescent="0.25">
      <c r="A3152" s="29" t="s">
        <v>618</v>
      </c>
    </row>
    <row r="3309" spans="1:1" x14ac:dyDescent="0.25">
      <c r="A3309" s="29" t="s">
        <v>619</v>
      </c>
    </row>
    <row r="3310" spans="1:1" x14ac:dyDescent="0.25">
      <c r="A3310" s="29" t="s">
        <v>620</v>
      </c>
    </row>
    <row r="3311" spans="1:1" x14ac:dyDescent="0.25">
      <c r="A3311" s="29" t="s">
        <v>621</v>
      </c>
    </row>
    <row r="3312" spans="1:1" x14ac:dyDescent="0.25">
      <c r="A3312" s="29" t="s">
        <v>622</v>
      </c>
    </row>
    <row r="3313" spans="1:1" x14ac:dyDescent="0.25">
      <c r="A3313" s="29" t="s">
        <v>623</v>
      </c>
    </row>
    <row r="3314" spans="1:1" x14ac:dyDescent="0.25">
      <c r="A3314" s="29" t="s">
        <v>624</v>
      </c>
    </row>
    <row r="3315" spans="1:1" x14ac:dyDescent="0.25">
      <c r="A3315" s="29" t="s">
        <v>625</v>
      </c>
    </row>
    <row r="3316" spans="1:1" x14ac:dyDescent="0.25">
      <c r="A3316" s="29" t="s">
        <v>626</v>
      </c>
    </row>
    <row r="3317" spans="1:1" x14ac:dyDescent="0.25">
      <c r="A3317" s="29" t="s">
        <v>627</v>
      </c>
    </row>
    <row r="3318" spans="1:1" x14ac:dyDescent="0.25">
      <c r="A3318" s="29" t="s">
        <v>628</v>
      </c>
    </row>
    <row r="3319" spans="1:1" x14ac:dyDescent="0.25">
      <c r="A3319" s="29" t="s">
        <v>629</v>
      </c>
    </row>
    <row r="3320" spans="1:1" x14ac:dyDescent="0.25">
      <c r="A3320" s="29" t="s">
        <v>630</v>
      </c>
    </row>
    <row r="3321" spans="1:1" x14ac:dyDescent="0.25">
      <c r="A3321" s="29" t="s">
        <v>631</v>
      </c>
    </row>
    <row r="3322" spans="1:1" x14ac:dyDescent="0.25">
      <c r="A3322" s="29" t="s">
        <v>632</v>
      </c>
    </row>
    <row r="3323" spans="1:1" x14ac:dyDescent="0.25">
      <c r="A3323" s="29" t="s">
        <v>633</v>
      </c>
    </row>
    <row r="3324" spans="1:1" x14ac:dyDescent="0.25">
      <c r="A3324" s="29" t="s">
        <v>634</v>
      </c>
    </row>
    <row r="3325" spans="1:1" x14ac:dyDescent="0.25">
      <c r="A3325" s="29" t="s">
        <v>635</v>
      </c>
    </row>
    <row r="3326" spans="1:1" x14ac:dyDescent="0.25">
      <c r="A3326" s="29" t="s">
        <v>636</v>
      </c>
    </row>
    <row r="3327" spans="1:1" x14ac:dyDescent="0.25">
      <c r="A3327" s="106" t="s">
        <v>637</v>
      </c>
    </row>
    <row r="3328" spans="1:1" x14ac:dyDescent="0.25">
      <c r="A3328" s="106" t="s">
        <v>638</v>
      </c>
    </row>
    <row r="3329" spans="1:1" x14ac:dyDescent="0.25">
      <c r="A3329" s="29" t="s">
        <v>639</v>
      </c>
    </row>
    <row r="3330" spans="1:1" x14ac:dyDescent="0.25">
      <c r="A3330" s="29" t="s">
        <v>640</v>
      </c>
    </row>
    <row r="3331" spans="1:1" x14ac:dyDescent="0.25">
      <c r="A3331" s="29" t="s">
        <v>641</v>
      </c>
    </row>
    <row r="3332" spans="1:1" x14ac:dyDescent="0.25">
      <c r="A3332" s="29" t="s">
        <v>642</v>
      </c>
    </row>
    <row r="3333" spans="1:1" x14ac:dyDescent="0.25">
      <c r="A3333" s="29" t="s">
        <v>643</v>
      </c>
    </row>
    <row r="3334" spans="1:1" x14ac:dyDescent="0.25">
      <c r="A3334" s="29" t="s">
        <v>644</v>
      </c>
    </row>
    <row r="3335" spans="1:1" x14ac:dyDescent="0.25">
      <c r="A3335" s="29" t="s">
        <v>645</v>
      </c>
    </row>
    <row r="3336" spans="1:1" x14ac:dyDescent="0.25">
      <c r="A3336" s="29" t="s">
        <v>646</v>
      </c>
    </row>
    <row r="3337" spans="1:1" x14ac:dyDescent="0.25">
      <c r="A3337" s="29" t="s">
        <v>647</v>
      </c>
    </row>
    <row r="3338" spans="1:1" x14ac:dyDescent="0.25">
      <c r="A3338" s="29" t="s">
        <v>648</v>
      </c>
    </row>
    <row r="3339" spans="1:1" x14ac:dyDescent="0.25">
      <c r="A3339" s="29" t="s">
        <v>649</v>
      </c>
    </row>
    <row r="3340" spans="1:1" x14ac:dyDescent="0.25">
      <c r="A3340" s="29" t="s">
        <v>650</v>
      </c>
    </row>
    <row r="3341" spans="1:1" x14ac:dyDescent="0.25">
      <c r="A3341" s="29" t="s">
        <v>651</v>
      </c>
    </row>
    <row r="3342" spans="1:1" x14ac:dyDescent="0.25">
      <c r="A3342" s="29" t="s">
        <v>652</v>
      </c>
    </row>
    <row r="3343" spans="1:1" x14ac:dyDescent="0.25">
      <c r="A3343" s="29" t="s">
        <v>653</v>
      </c>
    </row>
    <row r="3344" spans="1:1" x14ac:dyDescent="0.25">
      <c r="A3344" s="29" t="s">
        <v>655</v>
      </c>
    </row>
    <row r="3345" spans="1:1" x14ac:dyDescent="0.25">
      <c r="A3345" s="29" t="s">
        <v>656</v>
      </c>
    </row>
    <row r="3346" spans="1:1" x14ac:dyDescent="0.25">
      <c r="A3346" s="29" t="s">
        <v>657</v>
      </c>
    </row>
    <row r="3347" spans="1:1" x14ac:dyDescent="0.25">
      <c r="A3347" s="29" t="s">
        <v>658</v>
      </c>
    </row>
    <row r="3348" spans="1:1" x14ac:dyDescent="0.25">
      <c r="A3348" s="29" t="s">
        <v>659</v>
      </c>
    </row>
    <row r="3757" spans="1:1" x14ac:dyDescent="0.25">
      <c r="A3757" s="29" t="s">
        <v>660</v>
      </c>
    </row>
    <row r="3758" spans="1:1" x14ac:dyDescent="0.25">
      <c r="A3758" s="29" t="s">
        <v>661</v>
      </c>
    </row>
    <row r="3759" spans="1:1" x14ac:dyDescent="0.25">
      <c r="A3759" s="29" t="s">
        <v>662</v>
      </c>
    </row>
    <row r="3760" spans="1:1" x14ac:dyDescent="0.25">
      <c r="A3760" s="29" t="s">
        <v>663</v>
      </c>
    </row>
    <row r="3761" spans="1:1" x14ac:dyDescent="0.25">
      <c r="A3761" s="29" t="s">
        <v>664</v>
      </c>
    </row>
    <row r="3762" spans="1:1" x14ac:dyDescent="0.25">
      <c r="A3762" s="29" t="s">
        <v>665</v>
      </c>
    </row>
    <row r="3763" spans="1:1" x14ac:dyDescent="0.25">
      <c r="A3763" s="29" t="s">
        <v>666</v>
      </c>
    </row>
    <row r="3764" spans="1:1" x14ac:dyDescent="0.25">
      <c r="A3764" s="29" t="s">
        <v>667</v>
      </c>
    </row>
    <row r="3765" spans="1:1" x14ac:dyDescent="0.25">
      <c r="A3765" s="29" t="s">
        <v>668</v>
      </c>
    </row>
    <row r="3858" spans="1:1" x14ac:dyDescent="0.25">
      <c r="A3858" s="106" t="s">
        <v>669</v>
      </c>
    </row>
    <row r="3859" spans="1:1" x14ac:dyDescent="0.25">
      <c r="A3859" s="106" t="s">
        <v>670</v>
      </c>
    </row>
    <row r="3860" spans="1:1" x14ac:dyDescent="0.25">
      <c r="A3860" s="106" t="s">
        <v>671</v>
      </c>
    </row>
    <row r="3861" spans="1:1" x14ac:dyDescent="0.25">
      <c r="A3861" s="106" t="s">
        <v>672</v>
      </c>
    </row>
    <row r="3862" spans="1:1" x14ac:dyDescent="0.25">
      <c r="A3862" s="29" t="s">
        <v>673</v>
      </c>
    </row>
    <row r="3863" spans="1:1" x14ac:dyDescent="0.25">
      <c r="A3863" s="29" t="s">
        <v>674</v>
      </c>
    </row>
    <row r="3864" spans="1:1" x14ac:dyDescent="0.25">
      <c r="A3864" s="29" t="s">
        <v>675</v>
      </c>
    </row>
    <row r="3865" spans="1:1" x14ac:dyDescent="0.25">
      <c r="A3865" s="29" t="s">
        <v>676</v>
      </c>
    </row>
    <row r="3866" spans="1:1" x14ac:dyDescent="0.25">
      <c r="A3866" s="29" t="s">
        <v>677</v>
      </c>
    </row>
    <row r="3867" spans="1:1" x14ac:dyDescent="0.25">
      <c r="A3867" s="29" t="s">
        <v>678</v>
      </c>
    </row>
    <row r="3868" spans="1:1" x14ac:dyDescent="0.25">
      <c r="A3868" s="29" t="s">
        <v>679</v>
      </c>
    </row>
    <row r="3869" spans="1:1" x14ac:dyDescent="0.25">
      <c r="A3869" s="29" t="s">
        <v>680</v>
      </c>
    </row>
    <row r="3870" spans="1:1" x14ac:dyDescent="0.25">
      <c r="A3870" s="29" t="s">
        <v>681</v>
      </c>
    </row>
    <row r="3871" spans="1:1" x14ac:dyDescent="0.25">
      <c r="A3871" s="29" t="s">
        <v>682</v>
      </c>
    </row>
    <row r="3872" spans="1:1" x14ac:dyDescent="0.25">
      <c r="A3872" s="29" t="s">
        <v>683</v>
      </c>
    </row>
    <row r="3873" spans="1:1" x14ac:dyDescent="0.25">
      <c r="A3873" s="29" t="s">
        <v>684</v>
      </c>
    </row>
    <row r="3874" spans="1:1" x14ac:dyDescent="0.25">
      <c r="A3874" s="29" t="s">
        <v>685</v>
      </c>
    </row>
    <row r="3875" spans="1:1" x14ac:dyDescent="0.25">
      <c r="A3875" s="29" t="s">
        <v>686</v>
      </c>
    </row>
    <row r="3876" spans="1:1" x14ac:dyDescent="0.25">
      <c r="A3876" s="29" t="s">
        <v>687</v>
      </c>
    </row>
    <row r="3877" spans="1:1" x14ac:dyDescent="0.25">
      <c r="A3877" s="29" t="s">
        <v>688</v>
      </c>
    </row>
    <row r="3878" spans="1:1" x14ac:dyDescent="0.25">
      <c r="A3878" s="29" t="s">
        <v>689</v>
      </c>
    </row>
    <row r="3879" spans="1:1" x14ac:dyDescent="0.25">
      <c r="A3879" s="29" t="s">
        <v>690</v>
      </c>
    </row>
    <row r="3880" spans="1:1" x14ac:dyDescent="0.25">
      <c r="A3880" s="29" t="s">
        <v>691</v>
      </c>
    </row>
    <row r="3881" spans="1:1" x14ac:dyDescent="0.25">
      <c r="A3881" s="29" t="s">
        <v>692</v>
      </c>
    </row>
    <row r="3882" spans="1:1" x14ac:dyDescent="0.25">
      <c r="A3882" s="29" t="s">
        <v>693</v>
      </c>
    </row>
    <row r="3883" spans="1:1" x14ac:dyDescent="0.25">
      <c r="A3883" s="29" t="s">
        <v>694</v>
      </c>
    </row>
    <row r="3884" spans="1:1" x14ac:dyDescent="0.25">
      <c r="A3884" s="29" t="s">
        <v>695</v>
      </c>
    </row>
    <row r="3885" spans="1:1" x14ac:dyDescent="0.25">
      <c r="A3885" s="29" t="s">
        <v>696</v>
      </c>
    </row>
    <row r="3886" spans="1:1" x14ac:dyDescent="0.25">
      <c r="A3886" s="29" t="s">
        <v>697</v>
      </c>
    </row>
    <row r="3887" spans="1:1" x14ac:dyDescent="0.25">
      <c r="A3887" s="29" t="s">
        <v>698</v>
      </c>
    </row>
    <row r="3888" spans="1:1" x14ac:dyDescent="0.25">
      <c r="A3888" s="29" t="s">
        <v>699</v>
      </c>
    </row>
    <row r="3889" spans="1:1" x14ac:dyDescent="0.25">
      <c r="A3889" s="29" t="s">
        <v>700</v>
      </c>
    </row>
    <row r="3890" spans="1:1" x14ac:dyDescent="0.25">
      <c r="A3890" s="29" t="s">
        <v>701</v>
      </c>
    </row>
    <row r="3891" spans="1:1" x14ac:dyDescent="0.25">
      <c r="A3891" s="29" t="s">
        <v>702</v>
      </c>
    </row>
    <row r="3892" spans="1:1" x14ac:dyDescent="0.25">
      <c r="A3892" s="29" t="s">
        <v>703</v>
      </c>
    </row>
    <row r="3893" spans="1:1" x14ac:dyDescent="0.25">
      <c r="A3893" s="29" t="s">
        <v>704</v>
      </c>
    </row>
    <row r="3894" spans="1:1" x14ac:dyDescent="0.25">
      <c r="A3894" s="29" t="s">
        <v>705</v>
      </c>
    </row>
    <row r="3895" spans="1:1" x14ac:dyDescent="0.25">
      <c r="A3895" s="29" t="s">
        <v>706</v>
      </c>
    </row>
    <row r="3896" spans="1:1" x14ac:dyDescent="0.25">
      <c r="A3896" s="29" t="s">
        <v>707</v>
      </c>
    </row>
    <row r="3897" spans="1:1" x14ac:dyDescent="0.25">
      <c r="A3897" s="29" t="s">
        <v>708</v>
      </c>
    </row>
    <row r="3898" spans="1:1" x14ac:dyDescent="0.25">
      <c r="A3898" s="29" t="s">
        <v>709</v>
      </c>
    </row>
    <row r="3899" spans="1:1" x14ac:dyDescent="0.25">
      <c r="A3899" s="29" t="s">
        <v>710</v>
      </c>
    </row>
    <row r="3900" spans="1:1" x14ac:dyDescent="0.25">
      <c r="A3900" s="29" t="s">
        <v>711</v>
      </c>
    </row>
    <row r="3901" spans="1:1" x14ac:dyDescent="0.25">
      <c r="A3901" s="29" t="s">
        <v>712</v>
      </c>
    </row>
    <row r="3902" spans="1:1" x14ac:dyDescent="0.25">
      <c r="A3902" s="29" t="s">
        <v>713</v>
      </c>
    </row>
    <row r="3903" spans="1:1" x14ac:dyDescent="0.25">
      <c r="A3903" s="29" t="s">
        <v>714</v>
      </c>
    </row>
    <row r="3904" spans="1:1" x14ac:dyDescent="0.25">
      <c r="A3904" s="29" t="s">
        <v>715</v>
      </c>
    </row>
    <row r="3905" spans="1:1" x14ac:dyDescent="0.25">
      <c r="A3905" s="29" t="s">
        <v>716</v>
      </c>
    </row>
    <row r="3906" spans="1:1" x14ac:dyDescent="0.25">
      <c r="A3906" s="29" t="s">
        <v>717</v>
      </c>
    </row>
    <row r="3907" spans="1:1" x14ac:dyDescent="0.25">
      <c r="A3907" s="29" t="s">
        <v>718</v>
      </c>
    </row>
    <row r="3908" spans="1:1" x14ac:dyDescent="0.25">
      <c r="A3908" s="29" t="s">
        <v>719</v>
      </c>
    </row>
    <row r="3909" spans="1:1" x14ac:dyDescent="0.25">
      <c r="A3909" s="29" t="s">
        <v>720</v>
      </c>
    </row>
    <row r="3910" spans="1:1" x14ac:dyDescent="0.25">
      <c r="A3910" s="106" t="s">
        <v>721</v>
      </c>
    </row>
    <row r="3911" spans="1:1" x14ac:dyDescent="0.25">
      <c r="A3911" s="106" t="s">
        <v>722</v>
      </c>
    </row>
    <row r="3912" spans="1:1" x14ac:dyDescent="0.25">
      <c r="A3912" s="29" t="s">
        <v>723</v>
      </c>
    </row>
    <row r="3913" spans="1:1" x14ac:dyDescent="0.25">
      <c r="A3913" s="29" t="s">
        <v>724</v>
      </c>
    </row>
    <row r="3914" spans="1:1" x14ac:dyDescent="0.25">
      <c r="A3914" s="29" t="s">
        <v>725</v>
      </c>
    </row>
    <row r="3915" spans="1:1" x14ac:dyDescent="0.25">
      <c r="A3915" s="29" t="s">
        <v>726</v>
      </c>
    </row>
    <row r="3916" spans="1:1" x14ac:dyDescent="0.25">
      <c r="A3916" s="29" t="s">
        <v>727</v>
      </c>
    </row>
    <row r="3917" spans="1:1" x14ac:dyDescent="0.25">
      <c r="A3917" s="29" t="s">
        <v>728</v>
      </c>
    </row>
    <row r="3918" spans="1:1" x14ac:dyDescent="0.25">
      <c r="A3918" s="29" t="s">
        <v>729</v>
      </c>
    </row>
    <row r="3919" spans="1:1" x14ac:dyDescent="0.25">
      <c r="A3919" s="29" t="s">
        <v>730</v>
      </c>
    </row>
    <row r="3920" spans="1:1" x14ac:dyDescent="0.25">
      <c r="A3920" s="29" t="s">
        <v>731</v>
      </c>
    </row>
    <row r="3921" spans="1:1" x14ac:dyDescent="0.25">
      <c r="A3921" s="29" t="s">
        <v>732</v>
      </c>
    </row>
    <row r="3922" spans="1:1" x14ac:dyDescent="0.25">
      <c r="A3922" s="29" t="s">
        <v>733</v>
      </c>
    </row>
    <row r="3923" spans="1:1" x14ac:dyDescent="0.25">
      <c r="A3923" s="29" t="s">
        <v>734</v>
      </c>
    </row>
    <row r="3924" spans="1:1" x14ac:dyDescent="0.25">
      <c r="A3924" s="29" t="s">
        <v>735</v>
      </c>
    </row>
    <row r="3925" spans="1:1" x14ac:dyDescent="0.25">
      <c r="A3925" s="29" t="s">
        <v>736</v>
      </c>
    </row>
    <row r="3926" spans="1:1" x14ac:dyDescent="0.25">
      <c r="A3926" s="29" t="s">
        <v>737</v>
      </c>
    </row>
    <row r="3927" spans="1:1" x14ac:dyDescent="0.25">
      <c r="A3927" s="29" t="s">
        <v>738</v>
      </c>
    </row>
    <row r="3928" spans="1:1" x14ac:dyDescent="0.25">
      <c r="A3928" s="29" t="s">
        <v>739</v>
      </c>
    </row>
    <row r="3929" spans="1:1" x14ac:dyDescent="0.25">
      <c r="A3929" s="29" t="s">
        <v>740</v>
      </c>
    </row>
    <row r="3930" spans="1:1" x14ac:dyDescent="0.25">
      <c r="A3930" s="29" t="s">
        <v>741</v>
      </c>
    </row>
    <row r="3931" spans="1:1" x14ac:dyDescent="0.25">
      <c r="A3931" s="29" t="s">
        <v>742</v>
      </c>
    </row>
    <row r="3932" spans="1:1" x14ac:dyDescent="0.25">
      <c r="A3932" s="29" t="s">
        <v>743</v>
      </c>
    </row>
    <row r="3933" spans="1:1" x14ac:dyDescent="0.25">
      <c r="A3933" s="29" t="s">
        <v>744</v>
      </c>
    </row>
    <row r="3934" spans="1:1" x14ac:dyDescent="0.25">
      <c r="A3934" s="29" t="s">
        <v>745</v>
      </c>
    </row>
    <row r="3935" spans="1:1" x14ac:dyDescent="0.25">
      <c r="A3935" s="29" t="s">
        <v>746</v>
      </c>
    </row>
    <row r="3936" spans="1:1" x14ac:dyDescent="0.25">
      <c r="A3936" s="29" t="s">
        <v>747</v>
      </c>
    </row>
    <row r="3937" spans="1:1" x14ac:dyDescent="0.25">
      <c r="A3937" s="29" t="s">
        <v>748</v>
      </c>
    </row>
    <row r="3938" spans="1:1" x14ac:dyDescent="0.25">
      <c r="A3938" s="29" t="s">
        <v>749</v>
      </c>
    </row>
    <row r="3939" spans="1:1" x14ac:dyDescent="0.25">
      <c r="A3939" s="29" t="s">
        <v>750</v>
      </c>
    </row>
    <row r="3940" spans="1:1" x14ac:dyDescent="0.25">
      <c r="A3940" s="29" t="s">
        <v>751</v>
      </c>
    </row>
    <row r="3941" spans="1:1" x14ac:dyDescent="0.25">
      <c r="A3941" s="29" t="s">
        <v>752</v>
      </c>
    </row>
    <row r="3942" spans="1:1" x14ac:dyDescent="0.25">
      <c r="A3942" s="29" t="s">
        <v>753</v>
      </c>
    </row>
    <row r="3943" spans="1:1" x14ac:dyDescent="0.25">
      <c r="A3943" s="29" t="s">
        <v>754</v>
      </c>
    </row>
    <row r="3944" spans="1:1" x14ac:dyDescent="0.25">
      <c r="A3944" s="29" t="s">
        <v>755</v>
      </c>
    </row>
    <row r="3945" spans="1:1" x14ac:dyDescent="0.25">
      <c r="A3945" s="29" t="s">
        <v>756</v>
      </c>
    </row>
    <row r="3946" spans="1:1" x14ac:dyDescent="0.25">
      <c r="A3946" s="29" t="s">
        <v>757</v>
      </c>
    </row>
    <row r="3947" spans="1:1" x14ac:dyDescent="0.25">
      <c r="A3947" s="29" t="s">
        <v>758</v>
      </c>
    </row>
    <row r="3948" spans="1:1" x14ac:dyDescent="0.25">
      <c r="A3948" s="29" t="s">
        <v>759</v>
      </c>
    </row>
    <row r="3949" spans="1:1" x14ac:dyDescent="0.25">
      <c r="A3949" s="29" t="s">
        <v>760</v>
      </c>
    </row>
    <row r="3950" spans="1:1" x14ac:dyDescent="0.25">
      <c r="A3950" s="29" t="s">
        <v>761</v>
      </c>
    </row>
    <row r="3951" spans="1:1" x14ac:dyDescent="0.25">
      <c r="A3951" s="29" t="s">
        <v>762</v>
      </c>
    </row>
    <row r="3952" spans="1:1" x14ac:dyDescent="0.25">
      <c r="A3952" s="29" t="s">
        <v>763</v>
      </c>
    </row>
    <row r="3953" spans="1:1" x14ac:dyDescent="0.25">
      <c r="A3953" s="29" t="s">
        <v>764</v>
      </c>
    </row>
    <row r="3954" spans="1:1" x14ac:dyDescent="0.25">
      <c r="A3954" s="29" t="s">
        <v>765</v>
      </c>
    </row>
    <row r="3955" spans="1:1" x14ac:dyDescent="0.25">
      <c r="A3955" s="29" t="s">
        <v>766</v>
      </c>
    </row>
    <row r="3956" spans="1:1" x14ac:dyDescent="0.25">
      <c r="A3956" s="29" t="s">
        <v>767</v>
      </c>
    </row>
    <row r="3957" spans="1:1" x14ac:dyDescent="0.25">
      <c r="A3957" s="29" t="s">
        <v>768</v>
      </c>
    </row>
    <row r="3958" spans="1:1" x14ac:dyDescent="0.25">
      <c r="A3958" s="29" t="s">
        <v>769</v>
      </c>
    </row>
    <row r="3959" spans="1:1" x14ac:dyDescent="0.25">
      <c r="A3959" s="106" t="s">
        <v>770</v>
      </c>
    </row>
    <row r="3960" spans="1:1" x14ac:dyDescent="0.25">
      <c r="A3960" s="106" t="s">
        <v>771</v>
      </c>
    </row>
    <row r="3961" spans="1:1" x14ac:dyDescent="0.25">
      <c r="A3961" s="106" t="s">
        <v>772</v>
      </c>
    </row>
    <row r="3962" spans="1:1" x14ac:dyDescent="0.25">
      <c r="A3962" s="106" t="s">
        <v>773</v>
      </c>
    </row>
    <row r="3963" spans="1:1" x14ac:dyDescent="0.25">
      <c r="A3963" s="106" t="s">
        <v>774</v>
      </c>
    </row>
    <row r="3964" spans="1:1" x14ac:dyDescent="0.25">
      <c r="A3964" s="29" t="s">
        <v>775</v>
      </c>
    </row>
    <row r="3965" spans="1:1" x14ac:dyDescent="0.25">
      <c r="A3965" s="29" t="s">
        <v>776</v>
      </c>
    </row>
    <row r="3966" spans="1:1" x14ac:dyDescent="0.25">
      <c r="A3966" s="29" t="s">
        <v>777</v>
      </c>
    </row>
    <row r="3967" spans="1:1" x14ac:dyDescent="0.25">
      <c r="A3967" s="29" t="s">
        <v>778</v>
      </c>
    </row>
    <row r="3968" spans="1:1" x14ac:dyDescent="0.25">
      <c r="A3968" s="29" t="s">
        <v>779</v>
      </c>
    </row>
    <row r="3969" spans="1:1" x14ac:dyDescent="0.25">
      <c r="A3969" s="29" t="s">
        <v>780</v>
      </c>
    </row>
    <row r="3970" spans="1:1" x14ac:dyDescent="0.25">
      <c r="A3970" s="106" t="s">
        <v>781</v>
      </c>
    </row>
    <row r="3971" spans="1:1" x14ac:dyDescent="0.25">
      <c r="A3971" s="106" t="s">
        <v>782</v>
      </c>
    </row>
    <row r="3972" spans="1:1" x14ac:dyDescent="0.25">
      <c r="A3972" s="29" t="s">
        <v>783</v>
      </c>
    </row>
    <row r="3973" spans="1:1" x14ac:dyDescent="0.25">
      <c r="A3973" s="29" t="s">
        <v>784</v>
      </c>
    </row>
    <row r="3974" spans="1:1" x14ac:dyDescent="0.25">
      <c r="A3974" s="29" t="s">
        <v>785</v>
      </c>
    </row>
    <row r="3975" spans="1:1" x14ac:dyDescent="0.25">
      <c r="A3975" s="29" t="s">
        <v>786</v>
      </c>
    </row>
    <row r="3976" spans="1:1" x14ac:dyDescent="0.25">
      <c r="A3976" s="29" t="s">
        <v>787</v>
      </c>
    </row>
    <row r="3977" spans="1:1" x14ac:dyDescent="0.25">
      <c r="A3977" s="29" t="s">
        <v>788</v>
      </c>
    </row>
    <row r="3978" spans="1:1" x14ac:dyDescent="0.25">
      <c r="A3978" s="29" t="s">
        <v>789</v>
      </c>
    </row>
    <row r="3979" spans="1:1" x14ac:dyDescent="0.25">
      <c r="A3979" s="29" t="s">
        <v>790</v>
      </c>
    </row>
    <row r="3980" spans="1:1" x14ac:dyDescent="0.25">
      <c r="A3980" s="29" t="s">
        <v>791</v>
      </c>
    </row>
    <row r="3981" spans="1:1" x14ac:dyDescent="0.25">
      <c r="A3981" s="29" t="s">
        <v>792</v>
      </c>
    </row>
    <row r="3982" spans="1:1" x14ac:dyDescent="0.25">
      <c r="A3982" s="29" t="s">
        <v>793</v>
      </c>
    </row>
    <row r="3983" spans="1:1" x14ac:dyDescent="0.25">
      <c r="A3983" s="29" t="s">
        <v>794</v>
      </c>
    </row>
    <row r="3984" spans="1:1" x14ac:dyDescent="0.25">
      <c r="A3984" s="29" t="s">
        <v>795</v>
      </c>
    </row>
    <row r="3985" spans="1:1" x14ac:dyDescent="0.25">
      <c r="A3985" s="29" t="s">
        <v>796</v>
      </c>
    </row>
    <row r="3986" spans="1:1" x14ac:dyDescent="0.25">
      <c r="A3986" s="29" t="s">
        <v>797</v>
      </c>
    </row>
    <row r="3987" spans="1:1" x14ac:dyDescent="0.25">
      <c r="A3987" s="29" t="s">
        <v>798</v>
      </c>
    </row>
    <row r="3988" spans="1:1" x14ac:dyDescent="0.25">
      <c r="A3988" s="29" t="s">
        <v>799</v>
      </c>
    </row>
    <row r="3989" spans="1:1" x14ac:dyDescent="0.25">
      <c r="A3989" s="29" t="s">
        <v>800</v>
      </c>
    </row>
    <row r="3990" spans="1:1" x14ac:dyDescent="0.25">
      <c r="A3990" s="106" t="s">
        <v>801</v>
      </c>
    </row>
    <row r="3991" spans="1:1" x14ac:dyDescent="0.25">
      <c r="A3991" s="29" t="s">
        <v>802</v>
      </c>
    </row>
    <row r="3992" spans="1:1" x14ac:dyDescent="0.25">
      <c r="A3992" s="29" t="s">
        <v>803</v>
      </c>
    </row>
    <row r="3993" spans="1:1" x14ac:dyDescent="0.25">
      <c r="A3993" s="106" t="s">
        <v>804</v>
      </c>
    </row>
    <row r="3994" spans="1:1" x14ac:dyDescent="0.25">
      <c r="A3994" s="106" t="s">
        <v>805</v>
      </c>
    </row>
    <row r="3995" spans="1:1" x14ac:dyDescent="0.25">
      <c r="A3995" s="29" t="s">
        <v>806</v>
      </c>
    </row>
    <row r="3996" spans="1:1" x14ac:dyDescent="0.25">
      <c r="A3996" s="29" t="s">
        <v>807</v>
      </c>
    </row>
    <row r="3997" spans="1:1" x14ac:dyDescent="0.25">
      <c r="A3997" s="29" t="s">
        <v>808</v>
      </c>
    </row>
    <row r="3998" spans="1:1" x14ac:dyDescent="0.25">
      <c r="A3998" s="29" t="s">
        <v>809</v>
      </c>
    </row>
    <row r="3999" spans="1:1" x14ac:dyDescent="0.25">
      <c r="A3999" s="29" t="s">
        <v>810</v>
      </c>
    </row>
    <row r="4000" spans="1:1" x14ac:dyDescent="0.25">
      <c r="A4000" s="29" t="s">
        <v>811</v>
      </c>
    </row>
    <row r="4001" spans="1:1" x14ac:dyDescent="0.25">
      <c r="A4001" s="29" t="s">
        <v>812</v>
      </c>
    </row>
    <row r="4002" spans="1:1" x14ac:dyDescent="0.25">
      <c r="A4002" s="29" t="s">
        <v>813</v>
      </c>
    </row>
    <row r="4003" spans="1:1" x14ac:dyDescent="0.25">
      <c r="A4003" s="29" t="s">
        <v>814</v>
      </c>
    </row>
    <row r="4004" spans="1:1" x14ac:dyDescent="0.25">
      <c r="A4004" s="29" t="s">
        <v>815</v>
      </c>
    </row>
    <row r="4005" spans="1:1" x14ac:dyDescent="0.25">
      <c r="A4005" s="29" t="s">
        <v>816</v>
      </c>
    </row>
    <row r="4006" spans="1:1" x14ac:dyDescent="0.25">
      <c r="A4006" s="29" t="s">
        <v>817</v>
      </c>
    </row>
    <row r="4007" spans="1:1" x14ac:dyDescent="0.25">
      <c r="A4007" s="29" t="s">
        <v>818</v>
      </c>
    </row>
    <row r="4008" spans="1:1" x14ac:dyDescent="0.25">
      <c r="A4008" s="29" t="s">
        <v>819</v>
      </c>
    </row>
    <row r="4009" spans="1:1" x14ac:dyDescent="0.25">
      <c r="A4009" s="29" t="s">
        <v>820</v>
      </c>
    </row>
    <row r="4010" spans="1:1" x14ac:dyDescent="0.25">
      <c r="A4010" s="29" t="s">
        <v>821</v>
      </c>
    </row>
    <row r="4011" spans="1:1" x14ac:dyDescent="0.25">
      <c r="A4011" s="29" t="s">
        <v>822</v>
      </c>
    </row>
    <row r="4012" spans="1:1" x14ac:dyDescent="0.25">
      <c r="A4012" s="29" t="s">
        <v>823</v>
      </c>
    </row>
    <row r="4013" spans="1:1" x14ac:dyDescent="0.25">
      <c r="A4013" s="29" t="s">
        <v>824</v>
      </c>
    </row>
    <row r="4014" spans="1:1" x14ac:dyDescent="0.25">
      <c r="A4014" s="29" t="s">
        <v>825</v>
      </c>
    </row>
    <row r="4015" spans="1:1" x14ac:dyDescent="0.25">
      <c r="A4015" s="29" t="s">
        <v>826</v>
      </c>
    </row>
    <row r="4016" spans="1:1" x14ac:dyDescent="0.25">
      <c r="A4016" s="29" t="s">
        <v>827</v>
      </c>
    </row>
    <row r="4017" spans="1:1" x14ac:dyDescent="0.25">
      <c r="A4017" s="29" t="s">
        <v>828</v>
      </c>
    </row>
    <row r="4018" spans="1:1" x14ac:dyDescent="0.25">
      <c r="A4018" s="29" t="s">
        <v>829</v>
      </c>
    </row>
    <row r="4019" spans="1:1" x14ac:dyDescent="0.25">
      <c r="A4019" s="29" t="s">
        <v>830</v>
      </c>
    </row>
    <row r="4020" spans="1:1" x14ac:dyDescent="0.25">
      <c r="A4020" s="29" t="s">
        <v>831</v>
      </c>
    </row>
    <row r="4021" spans="1:1" x14ac:dyDescent="0.25">
      <c r="A4021" s="29" t="s">
        <v>832</v>
      </c>
    </row>
    <row r="4022" spans="1:1" x14ac:dyDescent="0.25">
      <c r="A4022" s="29" t="s">
        <v>833</v>
      </c>
    </row>
    <row r="4023" spans="1:1" x14ac:dyDescent="0.25">
      <c r="A4023" s="29" t="s">
        <v>834</v>
      </c>
    </row>
    <row r="4024" spans="1:1" x14ac:dyDescent="0.25">
      <c r="A4024" s="29" t="s">
        <v>835</v>
      </c>
    </row>
    <row r="4025" spans="1:1" x14ac:dyDescent="0.25">
      <c r="A4025" s="29" t="s">
        <v>836</v>
      </c>
    </row>
    <row r="4026" spans="1:1" x14ac:dyDescent="0.25">
      <c r="A4026" s="29" t="s">
        <v>837</v>
      </c>
    </row>
    <row r="4027" spans="1:1" x14ac:dyDescent="0.25">
      <c r="A4027" s="29" t="s">
        <v>838</v>
      </c>
    </row>
    <row r="4028" spans="1:1" x14ac:dyDescent="0.25">
      <c r="A4028" s="29" t="s">
        <v>839</v>
      </c>
    </row>
    <row r="4029" spans="1:1" x14ac:dyDescent="0.25">
      <c r="A4029" s="29" t="s">
        <v>840</v>
      </c>
    </row>
    <row r="4030" spans="1:1" x14ac:dyDescent="0.25">
      <c r="A4030" s="29" t="s">
        <v>841</v>
      </c>
    </row>
    <row r="4031" spans="1:1" x14ac:dyDescent="0.25">
      <c r="A4031" s="29" t="s">
        <v>842</v>
      </c>
    </row>
    <row r="4032" spans="1:1" x14ac:dyDescent="0.25">
      <c r="A4032" s="29" t="s">
        <v>843</v>
      </c>
    </row>
    <row r="4033" spans="1:1" x14ac:dyDescent="0.25">
      <c r="A4033" s="29" t="s">
        <v>844</v>
      </c>
    </row>
    <row r="4034" spans="1:1" x14ac:dyDescent="0.25">
      <c r="A4034" s="29" t="s">
        <v>845</v>
      </c>
    </row>
    <row r="4035" spans="1:1" x14ac:dyDescent="0.25">
      <c r="A4035" s="29" t="s">
        <v>846</v>
      </c>
    </row>
    <row r="4036" spans="1:1" x14ac:dyDescent="0.25">
      <c r="A4036" s="29" t="s">
        <v>847</v>
      </c>
    </row>
    <row r="4037" spans="1:1" x14ac:dyDescent="0.25">
      <c r="A4037" s="29" t="s">
        <v>848</v>
      </c>
    </row>
    <row r="4038" spans="1:1" x14ac:dyDescent="0.25">
      <c r="A4038" s="29" t="s">
        <v>849</v>
      </c>
    </row>
    <row r="4039" spans="1:1" x14ac:dyDescent="0.25">
      <c r="A4039" s="29" t="s">
        <v>850</v>
      </c>
    </row>
    <row r="4040" spans="1:1" x14ac:dyDescent="0.25">
      <c r="A4040" s="29" t="s">
        <v>851</v>
      </c>
    </row>
    <row r="4041" spans="1:1" x14ac:dyDescent="0.25">
      <c r="A4041" s="29" t="s">
        <v>852</v>
      </c>
    </row>
    <row r="4042" spans="1:1" x14ac:dyDescent="0.25">
      <c r="A4042" s="29" t="s">
        <v>853</v>
      </c>
    </row>
    <row r="4043" spans="1:1" x14ac:dyDescent="0.25">
      <c r="A4043" s="29" t="s">
        <v>854</v>
      </c>
    </row>
    <row r="4044" spans="1:1" x14ac:dyDescent="0.25">
      <c r="A4044" s="29" t="s">
        <v>855</v>
      </c>
    </row>
    <row r="4045" spans="1:1" x14ac:dyDescent="0.25">
      <c r="A4045" s="29" t="s">
        <v>856</v>
      </c>
    </row>
    <row r="4046" spans="1:1" x14ac:dyDescent="0.25">
      <c r="A4046" s="29" t="s">
        <v>857</v>
      </c>
    </row>
    <row r="4047" spans="1:1" x14ac:dyDescent="0.25">
      <c r="A4047" s="29" t="s">
        <v>858</v>
      </c>
    </row>
    <row r="4048" spans="1:1" x14ac:dyDescent="0.25">
      <c r="A4048" s="29" t="s">
        <v>859</v>
      </c>
    </row>
    <row r="4049" spans="1:1" x14ac:dyDescent="0.25">
      <c r="A4049" s="29" t="s">
        <v>860</v>
      </c>
    </row>
    <row r="4050" spans="1:1" x14ac:dyDescent="0.25">
      <c r="A4050" s="29" t="s">
        <v>861</v>
      </c>
    </row>
    <row r="4051" spans="1:1" x14ac:dyDescent="0.25">
      <c r="A4051" s="106" t="s">
        <v>862</v>
      </c>
    </row>
    <row r="4052" spans="1:1" x14ac:dyDescent="0.25">
      <c r="A4052" s="106" t="s">
        <v>863</v>
      </c>
    </row>
    <row r="4053" spans="1:1" x14ac:dyDescent="0.25">
      <c r="A4053" s="106" t="s">
        <v>864</v>
      </c>
    </row>
    <row r="4054" spans="1:1" x14ac:dyDescent="0.25">
      <c r="A4054" s="106" t="s">
        <v>865</v>
      </c>
    </row>
    <row r="4055" spans="1:1" x14ac:dyDescent="0.25">
      <c r="A4055" s="29" t="s">
        <v>866</v>
      </c>
    </row>
    <row r="4056" spans="1:1" x14ac:dyDescent="0.25">
      <c r="A4056" s="29" t="s">
        <v>867</v>
      </c>
    </row>
    <row r="4057" spans="1:1" x14ac:dyDescent="0.25">
      <c r="A4057" s="29" t="s">
        <v>868</v>
      </c>
    </row>
    <row r="4058" spans="1:1" x14ac:dyDescent="0.25">
      <c r="A4058" s="29" t="s">
        <v>869</v>
      </c>
    </row>
    <row r="4059" spans="1:1" x14ac:dyDescent="0.25">
      <c r="A4059" s="29" t="s">
        <v>870</v>
      </c>
    </row>
    <row r="4060" spans="1:1" x14ac:dyDescent="0.25">
      <c r="A4060" s="29" t="s">
        <v>871</v>
      </c>
    </row>
    <row r="4061" spans="1:1" x14ac:dyDescent="0.25">
      <c r="A4061" s="29" t="s">
        <v>872</v>
      </c>
    </row>
    <row r="4062" spans="1:1" x14ac:dyDescent="0.25">
      <c r="A4062" s="29" t="s">
        <v>873</v>
      </c>
    </row>
    <row r="4063" spans="1:1" x14ac:dyDescent="0.25">
      <c r="A4063" s="106" t="s">
        <v>874</v>
      </c>
    </row>
    <row r="4064" spans="1:1" x14ac:dyDescent="0.25">
      <c r="A4064" s="106" t="s">
        <v>875</v>
      </c>
    </row>
    <row r="4065" spans="1:1" x14ac:dyDescent="0.25">
      <c r="A4065" s="106" t="s">
        <v>876</v>
      </c>
    </row>
    <row r="4153" spans="1:1" x14ac:dyDescent="0.25">
      <c r="A4153" s="29" t="s">
        <v>877</v>
      </c>
    </row>
    <row r="4154" spans="1:1" x14ac:dyDescent="0.25">
      <c r="A4154" s="29" t="s">
        <v>878</v>
      </c>
    </row>
    <row r="4155" spans="1:1" x14ac:dyDescent="0.25">
      <c r="A4155" s="29" t="s">
        <v>879</v>
      </c>
    </row>
    <row r="4156" spans="1:1" x14ac:dyDescent="0.25">
      <c r="A4156" s="29" t="s">
        <v>880</v>
      </c>
    </row>
    <row r="4157" spans="1:1" x14ac:dyDescent="0.25">
      <c r="A4157" s="29" t="s">
        <v>881</v>
      </c>
    </row>
    <row r="4158" spans="1:1" x14ac:dyDescent="0.25">
      <c r="A4158" s="29" t="s">
        <v>882</v>
      </c>
    </row>
    <row r="4159" spans="1:1" x14ac:dyDescent="0.25">
      <c r="A4159" s="29" t="s">
        <v>883</v>
      </c>
    </row>
    <row r="4160" spans="1:1" x14ac:dyDescent="0.25">
      <c r="A4160" s="29" t="s">
        <v>884</v>
      </c>
    </row>
    <row r="4161" spans="1:1" x14ac:dyDescent="0.25">
      <c r="A4161" s="29" t="s">
        <v>885</v>
      </c>
    </row>
    <row r="4162" spans="1:1" x14ac:dyDescent="0.25">
      <c r="A4162" s="29" t="s">
        <v>886</v>
      </c>
    </row>
    <row r="4163" spans="1:1" x14ac:dyDescent="0.25">
      <c r="A4163" s="29" t="s">
        <v>887</v>
      </c>
    </row>
    <row r="4164" spans="1:1" x14ac:dyDescent="0.25">
      <c r="A4164" s="29" t="s">
        <v>888</v>
      </c>
    </row>
    <row r="4165" spans="1:1" x14ac:dyDescent="0.25">
      <c r="A4165" s="29" t="s">
        <v>889</v>
      </c>
    </row>
    <row r="4166" spans="1:1" x14ac:dyDescent="0.25">
      <c r="A4166" s="29" t="s">
        <v>890</v>
      </c>
    </row>
    <row r="4167" spans="1:1" x14ac:dyDescent="0.25">
      <c r="A4167" s="29" t="s">
        <v>891</v>
      </c>
    </row>
    <row r="4168" spans="1:1" x14ac:dyDescent="0.25">
      <c r="A4168" s="29" t="s">
        <v>892</v>
      </c>
    </row>
    <row r="4169" spans="1:1" x14ac:dyDescent="0.25">
      <c r="A4169" s="29" t="s">
        <v>893</v>
      </c>
    </row>
    <row r="4170" spans="1:1" x14ac:dyDescent="0.25">
      <c r="A4170" s="29" t="s">
        <v>894</v>
      </c>
    </row>
    <row r="4171" spans="1:1" x14ac:dyDescent="0.25">
      <c r="A4171" s="29" t="s">
        <v>895</v>
      </c>
    </row>
    <row r="4172" spans="1:1" x14ac:dyDescent="0.25">
      <c r="A4172" s="29" t="s">
        <v>896</v>
      </c>
    </row>
    <row r="4173" spans="1:1" x14ac:dyDescent="0.25">
      <c r="A4173" s="29" t="s">
        <v>897</v>
      </c>
    </row>
    <row r="4175" spans="1:1" x14ac:dyDescent="0.25">
      <c r="A4175" s="106" t="s">
        <v>898</v>
      </c>
    </row>
    <row r="4176" spans="1:1" x14ac:dyDescent="0.25">
      <c r="A4176" s="106" t="s">
        <v>899</v>
      </c>
    </row>
    <row r="4177" spans="1:1" x14ac:dyDescent="0.25">
      <c r="A4177" s="29" t="s">
        <v>900</v>
      </c>
    </row>
    <row r="4178" spans="1:1" x14ac:dyDescent="0.25">
      <c r="A4178" s="29" t="s">
        <v>901</v>
      </c>
    </row>
    <row r="4179" spans="1:1" x14ac:dyDescent="0.25">
      <c r="A4179" s="29" t="s">
        <v>902</v>
      </c>
    </row>
    <row r="4180" spans="1:1" x14ac:dyDescent="0.25">
      <c r="A4180" s="29" t="s">
        <v>903</v>
      </c>
    </row>
    <row r="4181" spans="1:1" x14ac:dyDescent="0.25">
      <c r="A4181" s="29" t="s">
        <v>904</v>
      </c>
    </row>
    <row r="4182" spans="1:1" x14ac:dyDescent="0.25">
      <c r="A4182" s="29" t="s">
        <v>905</v>
      </c>
    </row>
    <row r="4183" spans="1:1" x14ac:dyDescent="0.25">
      <c r="A4183" s="29" t="s">
        <v>906</v>
      </c>
    </row>
    <row r="4184" spans="1:1" x14ac:dyDescent="0.25">
      <c r="A4184" s="29" t="s">
        <v>907</v>
      </c>
    </row>
    <row r="4185" spans="1:1" x14ac:dyDescent="0.25">
      <c r="A4185" s="29" t="s">
        <v>908</v>
      </c>
    </row>
    <row r="4186" spans="1:1" x14ac:dyDescent="0.25">
      <c r="A4186" s="29" t="s">
        <v>909</v>
      </c>
    </row>
    <row r="4187" spans="1:1" x14ac:dyDescent="0.25">
      <c r="A4187" s="29" t="s">
        <v>910</v>
      </c>
    </row>
    <row r="4188" spans="1:1" x14ac:dyDescent="0.25">
      <c r="A4188" s="29" t="s">
        <v>911</v>
      </c>
    </row>
    <row r="4189" spans="1:1" x14ac:dyDescent="0.25">
      <c r="A4189" s="29" t="s">
        <v>912</v>
      </c>
    </row>
    <row r="4190" spans="1:1" x14ac:dyDescent="0.25">
      <c r="A4190" s="29" t="s">
        <v>913</v>
      </c>
    </row>
    <row r="4191" spans="1:1" x14ac:dyDescent="0.25">
      <c r="A4191" s="29" t="s">
        <v>914</v>
      </c>
    </row>
    <row r="4192" spans="1:1" x14ac:dyDescent="0.25">
      <c r="A4192" s="29" t="s">
        <v>915</v>
      </c>
    </row>
    <row r="4193" spans="1:1" x14ac:dyDescent="0.25">
      <c r="A4193" s="29" t="s">
        <v>916</v>
      </c>
    </row>
    <row r="4194" spans="1:1" x14ac:dyDescent="0.25">
      <c r="A4194" s="29" t="s">
        <v>917</v>
      </c>
    </row>
    <row r="4195" spans="1:1" x14ac:dyDescent="0.25">
      <c r="A4195" s="29" t="s">
        <v>918</v>
      </c>
    </row>
    <row r="4196" spans="1:1" x14ac:dyDescent="0.25">
      <c r="A4196" s="29" t="s">
        <v>919</v>
      </c>
    </row>
    <row r="4197" spans="1:1" x14ac:dyDescent="0.25">
      <c r="A4197" s="29" t="s">
        <v>920</v>
      </c>
    </row>
    <row r="4198" spans="1:1" x14ac:dyDescent="0.25">
      <c r="A4198" s="29" t="s">
        <v>921</v>
      </c>
    </row>
    <row r="4199" spans="1:1" x14ac:dyDescent="0.25">
      <c r="A4199" s="29" t="s">
        <v>922</v>
      </c>
    </row>
    <row r="4200" spans="1:1" x14ac:dyDescent="0.25">
      <c r="A4200" s="29" t="s">
        <v>923</v>
      </c>
    </row>
    <row r="4201" spans="1:1" x14ac:dyDescent="0.25">
      <c r="A4201" s="29" t="s">
        <v>924</v>
      </c>
    </row>
    <row r="4202" spans="1:1" x14ac:dyDescent="0.25">
      <c r="A4202" s="29" t="s">
        <v>925</v>
      </c>
    </row>
    <row r="4203" spans="1:1" x14ac:dyDescent="0.25">
      <c r="A4203" s="29" t="s">
        <v>926</v>
      </c>
    </row>
    <row r="4204" spans="1:1" x14ac:dyDescent="0.25">
      <c r="A4204" s="29" t="s">
        <v>927</v>
      </c>
    </row>
    <row r="4205" spans="1:1" x14ac:dyDescent="0.25">
      <c r="A4205" s="106" t="s">
        <v>928</v>
      </c>
    </row>
    <row r="4206" spans="1:1" x14ac:dyDescent="0.25">
      <c r="A4206" s="29" t="s">
        <v>929</v>
      </c>
    </row>
    <row r="4207" spans="1:1" x14ac:dyDescent="0.25">
      <c r="A4207" s="106" t="s">
        <v>930</v>
      </c>
    </row>
    <row r="4208" spans="1:1" x14ac:dyDescent="0.25">
      <c r="A4208" s="29" t="s">
        <v>931</v>
      </c>
    </row>
    <row r="4209" spans="1:1" x14ac:dyDescent="0.25">
      <c r="A4209" s="29" t="s">
        <v>932</v>
      </c>
    </row>
    <row r="4210" spans="1:1" x14ac:dyDescent="0.25">
      <c r="A4210" s="29" t="s">
        <v>933</v>
      </c>
    </row>
    <row r="4211" spans="1:1" x14ac:dyDescent="0.25">
      <c r="A4211" s="29" t="s">
        <v>934</v>
      </c>
    </row>
    <row r="4212" spans="1:1" x14ac:dyDescent="0.25">
      <c r="A4212" s="29" t="s">
        <v>935</v>
      </c>
    </row>
    <row r="4213" spans="1:1" x14ac:dyDescent="0.25">
      <c r="A4213" s="29" t="s">
        <v>936</v>
      </c>
    </row>
    <row r="4214" spans="1:1" x14ac:dyDescent="0.25">
      <c r="A4214" s="29" t="s">
        <v>937</v>
      </c>
    </row>
    <row r="4215" spans="1:1" x14ac:dyDescent="0.25">
      <c r="A4215" s="29" t="s">
        <v>938</v>
      </c>
    </row>
    <row r="4216" spans="1:1" x14ac:dyDescent="0.25">
      <c r="A4216" s="106" t="s">
        <v>939</v>
      </c>
    </row>
    <row r="4217" spans="1:1" x14ac:dyDescent="0.25">
      <c r="A4217" s="29" t="s">
        <v>940</v>
      </c>
    </row>
    <row r="4218" spans="1:1" x14ac:dyDescent="0.25">
      <c r="A4218" s="29" t="s">
        <v>941</v>
      </c>
    </row>
    <row r="4219" spans="1:1" x14ac:dyDescent="0.25">
      <c r="A4219" s="106" t="s">
        <v>942</v>
      </c>
    </row>
    <row r="4220" spans="1:1" x14ac:dyDescent="0.25">
      <c r="A4220" s="106" t="s">
        <v>943</v>
      </c>
    </row>
    <row r="4221" spans="1:1" x14ac:dyDescent="0.25">
      <c r="A4221" s="29" t="s">
        <v>944</v>
      </c>
    </row>
    <row r="4222" spans="1:1" x14ac:dyDescent="0.25">
      <c r="A4222" s="29" t="s">
        <v>945</v>
      </c>
    </row>
    <row r="4223" spans="1:1" x14ac:dyDescent="0.25">
      <c r="A4223" s="29" t="s">
        <v>946</v>
      </c>
    </row>
    <row r="4224" spans="1:1" x14ac:dyDescent="0.25">
      <c r="A4224" s="29" t="s">
        <v>947</v>
      </c>
    </row>
    <row r="4225" spans="1:1" x14ac:dyDescent="0.25">
      <c r="A4225" s="29" t="s">
        <v>948</v>
      </c>
    </row>
    <row r="4226" spans="1:1" x14ac:dyDescent="0.25">
      <c r="A4226" s="29" t="s">
        <v>949</v>
      </c>
    </row>
    <row r="4227" spans="1:1" x14ac:dyDescent="0.25">
      <c r="A4227" s="29" t="s">
        <v>950</v>
      </c>
    </row>
    <row r="4228" spans="1:1" x14ac:dyDescent="0.25">
      <c r="A4228" s="106" t="s">
        <v>951</v>
      </c>
    </row>
    <row r="4229" spans="1:1" x14ac:dyDescent="0.25">
      <c r="A4229" s="29" t="s">
        <v>952</v>
      </c>
    </row>
    <row r="4230" spans="1:1" x14ac:dyDescent="0.25">
      <c r="A4230" s="29" t="s">
        <v>953</v>
      </c>
    </row>
    <row r="4231" spans="1:1" x14ac:dyDescent="0.25">
      <c r="A4231" s="29" t="s">
        <v>954</v>
      </c>
    </row>
    <row r="4232" spans="1:1" x14ac:dyDescent="0.25">
      <c r="A4232" s="29" t="s">
        <v>955</v>
      </c>
    </row>
    <row r="4233" spans="1:1" x14ac:dyDescent="0.25">
      <c r="A4233" s="29" t="s">
        <v>956</v>
      </c>
    </row>
    <row r="4234" spans="1:1" x14ac:dyDescent="0.25">
      <c r="A4234" s="29" t="s">
        <v>957</v>
      </c>
    </row>
    <row r="4235" spans="1:1" x14ac:dyDescent="0.25">
      <c r="A4235" s="29" t="s">
        <v>958</v>
      </c>
    </row>
    <row r="4236" spans="1:1" x14ac:dyDescent="0.25">
      <c r="A4236" s="29" t="s">
        <v>959</v>
      </c>
    </row>
    <row r="4237" spans="1:1" x14ac:dyDescent="0.25">
      <c r="A4237" s="29" t="s">
        <v>960</v>
      </c>
    </row>
    <row r="4238" spans="1:1" x14ac:dyDescent="0.25">
      <c r="A4238" s="29" t="s">
        <v>961</v>
      </c>
    </row>
    <row r="4239" spans="1:1" x14ac:dyDescent="0.25">
      <c r="A4239" s="29" t="s">
        <v>962</v>
      </c>
    </row>
    <row r="4240" spans="1:1" x14ac:dyDescent="0.25">
      <c r="A4240" s="29" t="s">
        <v>963</v>
      </c>
    </row>
    <row r="4241" spans="1:1" x14ac:dyDescent="0.25">
      <c r="A4241" s="29" t="s">
        <v>964</v>
      </c>
    </row>
    <row r="4242" spans="1:1" x14ac:dyDescent="0.25">
      <c r="A4242" s="29" t="s">
        <v>965</v>
      </c>
    </row>
    <row r="4243" spans="1:1" x14ac:dyDescent="0.25">
      <c r="A4243" s="29" t="s">
        <v>966</v>
      </c>
    </row>
    <row r="4244" spans="1:1" x14ac:dyDescent="0.25">
      <c r="A4244" s="29" t="s">
        <v>967</v>
      </c>
    </row>
    <row r="4245" spans="1:1" x14ac:dyDescent="0.25">
      <c r="A4245" s="29" t="s">
        <v>968</v>
      </c>
    </row>
    <row r="4246" spans="1:1" x14ac:dyDescent="0.25">
      <c r="A4246" s="29" t="s">
        <v>969</v>
      </c>
    </row>
    <row r="4247" spans="1:1" x14ac:dyDescent="0.25">
      <c r="A4247" s="106" t="s">
        <v>970</v>
      </c>
    </row>
    <row r="4248" spans="1:1" x14ac:dyDescent="0.25">
      <c r="A4248" s="106" t="s">
        <v>971</v>
      </c>
    </row>
    <row r="4249" spans="1:1" x14ac:dyDescent="0.25">
      <c r="A4249" s="106" t="s">
        <v>972</v>
      </c>
    </row>
    <row r="4250" spans="1:1" x14ac:dyDescent="0.25">
      <c r="A4250" s="106" t="s">
        <v>973</v>
      </c>
    </row>
    <row r="4251" spans="1:1" x14ac:dyDescent="0.25">
      <c r="A4251" s="29" t="s">
        <v>974</v>
      </c>
    </row>
    <row r="4252" spans="1:1" x14ac:dyDescent="0.25">
      <c r="A4252" s="29" t="s">
        <v>975</v>
      </c>
    </row>
    <row r="4253" spans="1:1" x14ac:dyDescent="0.25">
      <c r="A4253" s="29" t="s">
        <v>976</v>
      </c>
    </row>
    <row r="4254" spans="1:1" x14ac:dyDescent="0.25">
      <c r="A4254" s="29" t="s">
        <v>977</v>
      </c>
    </row>
    <row r="4255" spans="1:1" x14ac:dyDescent="0.25">
      <c r="A4255" s="29" t="s">
        <v>978</v>
      </c>
    </row>
    <row r="4256" spans="1:1" x14ac:dyDescent="0.25">
      <c r="A4256" s="29" t="s">
        <v>979</v>
      </c>
    </row>
    <row r="4257" spans="1:1" x14ac:dyDescent="0.25">
      <c r="A4257" s="29" t="s">
        <v>980</v>
      </c>
    </row>
    <row r="4258" spans="1:1" x14ac:dyDescent="0.25">
      <c r="A4258" s="106" t="s">
        <v>981</v>
      </c>
    </row>
    <row r="4259" spans="1:1" x14ac:dyDescent="0.25">
      <c r="A4259" s="106" t="s">
        <v>982</v>
      </c>
    </row>
    <row r="4260" spans="1:1" x14ac:dyDescent="0.25">
      <c r="A4260" s="29" t="s">
        <v>983</v>
      </c>
    </row>
    <row r="4261" spans="1:1" x14ac:dyDescent="0.25">
      <c r="A4261" s="29" t="s">
        <v>984</v>
      </c>
    </row>
    <row r="4262" spans="1:1" x14ac:dyDescent="0.25">
      <c r="A4262" s="29" t="s">
        <v>985</v>
      </c>
    </row>
    <row r="4263" spans="1:1" x14ac:dyDescent="0.25">
      <c r="A4263" s="29" t="s">
        <v>986</v>
      </c>
    </row>
    <row r="4264" spans="1:1" x14ac:dyDescent="0.25">
      <c r="A4264" s="29" t="s">
        <v>987</v>
      </c>
    </row>
    <row r="4265" spans="1:1" x14ac:dyDescent="0.25">
      <c r="A4265" s="29" t="s">
        <v>988</v>
      </c>
    </row>
    <row r="4266" spans="1:1" x14ac:dyDescent="0.25">
      <c r="A4266" s="29" t="s">
        <v>989</v>
      </c>
    </row>
    <row r="4267" spans="1:1" x14ac:dyDescent="0.25">
      <c r="A4267" s="29" t="s">
        <v>990</v>
      </c>
    </row>
    <row r="4268" spans="1:1" x14ac:dyDescent="0.25">
      <c r="A4268" s="29" t="s">
        <v>991</v>
      </c>
    </row>
    <row r="4269" spans="1:1" x14ac:dyDescent="0.25">
      <c r="A4269" s="29" t="s">
        <v>992</v>
      </c>
    </row>
    <row r="4270" spans="1:1" x14ac:dyDescent="0.25">
      <c r="A4270" s="29" t="s">
        <v>993</v>
      </c>
    </row>
    <row r="4271" spans="1:1" x14ac:dyDescent="0.25">
      <c r="A4271" s="29" t="s">
        <v>994</v>
      </c>
    </row>
    <row r="4272" spans="1:1" x14ac:dyDescent="0.25">
      <c r="A4272" s="29" t="s">
        <v>995</v>
      </c>
    </row>
    <row r="4273" spans="1:1" x14ac:dyDescent="0.25">
      <c r="A4273" s="106" t="s">
        <v>996</v>
      </c>
    </row>
    <row r="4274" spans="1:1" x14ac:dyDescent="0.25">
      <c r="A4274" s="29" t="s">
        <v>997</v>
      </c>
    </row>
    <row r="4275" spans="1:1" x14ac:dyDescent="0.25">
      <c r="A4275" s="29" t="s">
        <v>998</v>
      </c>
    </row>
    <row r="4276" spans="1:1" x14ac:dyDescent="0.25">
      <c r="A4276" s="29" t="s">
        <v>999</v>
      </c>
    </row>
    <row r="4277" spans="1:1" x14ac:dyDescent="0.25">
      <c r="A4277" s="29" t="s">
        <v>1000</v>
      </c>
    </row>
    <row r="4278" spans="1:1" x14ac:dyDescent="0.25">
      <c r="A4278" s="29" t="s">
        <v>1001</v>
      </c>
    </row>
    <row r="4279" spans="1:1" x14ac:dyDescent="0.25">
      <c r="A4279" s="29" t="s">
        <v>1002</v>
      </c>
    </row>
    <row r="4280" spans="1:1" x14ac:dyDescent="0.25">
      <c r="A4280" s="29" t="s">
        <v>1003</v>
      </c>
    </row>
    <row r="4281" spans="1:1" x14ac:dyDescent="0.25">
      <c r="A4281" s="29" t="s">
        <v>1004</v>
      </c>
    </row>
    <row r="4282" spans="1:1" x14ac:dyDescent="0.25">
      <c r="A4282" s="29" t="s">
        <v>1005</v>
      </c>
    </row>
    <row r="4283" spans="1:1" x14ac:dyDescent="0.25">
      <c r="A4283" s="29" t="s">
        <v>1006</v>
      </c>
    </row>
    <row r="4284" spans="1:1" x14ac:dyDescent="0.25">
      <c r="A4284" s="29" t="s">
        <v>1007</v>
      </c>
    </row>
    <row r="4285" spans="1:1" x14ac:dyDescent="0.25">
      <c r="A4285" s="29" t="s">
        <v>1008</v>
      </c>
    </row>
    <row r="4286" spans="1:1" x14ac:dyDescent="0.25">
      <c r="A4286" s="29" t="s">
        <v>1009</v>
      </c>
    </row>
    <row r="4287" spans="1:1" x14ac:dyDescent="0.25">
      <c r="A4287" s="29" t="s">
        <v>1010</v>
      </c>
    </row>
    <row r="4288" spans="1:1" x14ac:dyDescent="0.25">
      <c r="A4288" s="29" t="s">
        <v>1011</v>
      </c>
    </row>
    <row r="4289" spans="1:1" x14ac:dyDescent="0.25">
      <c r="A4289" s="29" t="s">
        <v>1012</v>
      </c>
    </row>
    <row r="4290" spans="1:1" x14ac:dyDescent="0.25">
      <c r="A4290" s="29" t="s">
        <v>1013</v>
      </c>
    </row>
    <row r="4291" spans="1:1" x14ac:dyDescent="0.25">
      <c r="A4291" s="29" t="s">
        <v>1014</v>
      </c>
    </row>
    <row r="4292" spans="1:1" x14ac:dyDescent="0.25">
      <c r="A4292" s="29" t="s">
        <v>1015</v>
      </c>
    </row>
    <row r="4293" spans="1:1" x14ac:dyDescent="0.25">
      <c r="A4293" s="29" t="s">
        <v>1016</v>
      </c>
    </row>
    <row r="4294" spans="1:1" x14ac:dyDescent="0.25">
      <c r="A4294" s="29" t="s">
        <v>1017</v>
      </c>
    </row>
    <row r="4295" spans="1:1" x14ac:dyDescent="0.25">
      <c r="A4295" s="29" t="s">
        <v>1018</v>
      </c>
    </row>
    <row r="4296" spans="1:1" x14ac:dyDescent="0.25">
      <c r="A4296" s="29" t="s">
        <v>1019</v>
      </c>
    </row>
    <row r="4297" spans="1:1" x14ac:dyDescent="0.25">
      <c r="A4297" s="29" t="s">
        <v>1020</v>
      </c>
    </row>
    <row r="4298" spans="1:1" x14ac:dyDescent="0.25">
      <c r="A4298" s="29" t="s">
        <v>1021</v>
      </c>
    </row>
    <row r="4299" spans="1:1" x14ac:dyDescent="0.25">
      <c r="A4299" s="29" t="s">
        <v>1022</v>
      </c>
    </row>
    <row r="4300" spans="1:1" x14ac:dyDescent="0.25">
      <c r="A4300" s="29" t="s">
        <v>1022</v>
      </c>
    </row>
    <row r="4301" spans="1:1" x14ac:dyDescent="0.25">
      <c r="A4301" s="29" t="s">
        <v>1023</v>
      </c>
    </row>
    <row r="4302" spans="1:1" x14ac:dyDescent="0.25">
      <c r="A4302" s="29" t="s">
        <v>1024</v>
      </c>
    </row>
    <row r="4303" spans="1:1" x14ac:dyDescent="0.25">
      <c r="A4303" s="29" t="s">
        <v>1025</v>
      </c>
    </row>
    <row r="4304" spans="1:1" x14ac:dyDescent="0.25">
      <c r="A4304" s="29" t="s">
        <v>1026</v>
      </c>
    </row>
    <row r="4305" spans="1:1" x14ac:dyDescent="0.25">
      <c r="A4305" s="29" t="s">
        <v>1027</v>
      </c>
    </row>
    <row r="4306" spans="1:1" x14ac:dyDescent="0.25">
      <c r="A4306" s="29" t="s">
        <v>1028</v>
      </c>
    </row>
    <row r="4307" spans="1:1" x14ac:dyDescent="0.25">
      <c r="A4307" s="29" t="s">
        <v>1029</v>
      </c>
    </row>
    <row r="4308" spans="1:1" x14ac:dyDescent="0.25">
      <c r="A4308" s="29" t="s">
        <v>1030</v>
      </c>
    </row>
    <row r="4309" spans="1:1" x14ac:dyDescent="0.25">
      <c r="A4309" s="29" t="s">
        <v>1031</v>
      </c>
    </row>
    <row r="4310" spans="1:1" x14ac:dyDescent="0.25">
      <c r="A4310" s="29" t="s">
        <v>1032</v>
      </c>
    </row>
    <row r="4311" spans="1:1" x14ac:dyDescent="0.25">
      <c r="A4311" s="29" t="s">
        <v>1033</v>
      </c>
    </row>
    <row r="4312" spans="1:1" x14ac:dyDescent="0.25">
      <c r="A4312" s="29" t="s">
        <v>1034</v>
      </c>
    </row>
    <row r="4313" spans="1:1" x14ac:dyDescent="0.25">
      <c r="A4313" s="29" t="s">
        <v>1035</v>
      </c>
    </row>
    <row r="4314" spans="1:1" x14ac:dyDescent="0.25">
      <c r="A4314" s="29" t="s">
        <v>1036</v>
      </c>
    </row>
    <row r="4315" spans="1:1" x14ac:dyDescent="0.25">
      <c r="A4315" s="29" t="s">
        <v>1037</v>
      </c>
    </row>
    <row r="4316" spans="1:1" x14ac:dyDescent="0.25">
      <c r="A4316" s="29" t="s">
        <v>1038</v>
      </c>
    </row>
    <row r="4317" spans="1:1" x14ac:dyDescent="0.25">
      <c r="A4317" s="29" t="s">
        <v>1039</v>
      </c>
    </row>
    <row r="4450" spans="1:1" x14ac:dyDescent="0.25">
      <c r="A4450" s="29" t="s">
        <v>1040</v>
      </c>
    </row>
    <row r="4451" spans="1:1" x14ac:dyDescent="0.25">
      <c r="A4451" s="29" t="s">
        <v>1041</v>
      </c>
    </row>
    <row r="4452" spans="1:1" x14ac:dyDescent="0.25">
      <c r="A4452" s="29" t="s">
        <v>1042</v>
      </c>
    </row>
    <row r="4453" spans="1:1" x14ac:dyDescent="0.25">
      <c r="A4453" s="29" t="s">
        <v>1043</v>
      </c>
    </row>
    <row r="4454" spans="1:1" x14ac:dyDescent="0.25">
      <c r="A4454" s="29" t="s">
        <v>1044</v>
      </c>
    </row>
    <row r="4455" spans="1:1" x14ac:dyDescent="0.25">
      <c r="A4455" s="29" t="s">
        <v>1045</v>
      </c>
    </row>
    <row r="4456" spans="1:1" x14ac:dyDescent="0.25">
      <c r="A4456" s="29" t="s">
        <v>1046</v>
      </c>
    </row>
    <row r="4457" spans="1:1" x14ac:dyDescent="0.25">
      <c r="A4457" s="29" t="s">
        <v>1047</v>
      </c>
    </row>
    <row r="4458" spans="1:1" x14ac:dyDescent="0.25">
      <c r="A4458" s="29" t="s">
        <v>1048</v>
      </c>
    </row>
    <row r="4459" spans="1:1" x14ac:dyDescent="0.25">
      <c r="A4459" s="29" t="s">
        <v>1049</v>
      </c>
    </row>
    <row r="4460" spans="1:1" x14ac:dyDescent="0.25">
      <c r="A4460" s="29" t="s">
        <v>1050</v>
      </c>
    </row>
    <row r="4461" spans="1:1" x14ac:dyDescent="0.25">
      <c r="A4461" s="106" t="s">
        <v>1051</v>
      </c>
    </row>
    <row r="4462" spans="1:1" x14ac:dyDescent="0.25">
      <c r="A4462" s="106" t="s">
        <v>1052</v>
      </c>
    </row>
    <row r="4987" spans="1:1" x14ac:dyDescent="0.25">
      <c r="A4987" s="29" t="s">
        <v>1053</v>
      </c>
    </row>
    <row r="4988" spans="1:1" x14ac:dyDescent="0.25">
      <c r="A4988" s="29" t="s">
        <v>1054</v>
      </c>
    </row>
    <row r="4989" spans="1:1" x14ac:dyDescent="0.25">
      <c r="A4989" s="29" t="s">
        <v>1055</v>
      </c>
    </row>
    <row r="4990" spans="1:1" x14ac:dyDescent="0.25">
      <c r="A4990" s="29" t="s">
        <v>1056</v>
      </c>
    </row>
    <row r="4991" spans="1:1" x14ac:dyDescent="0.25">
      <c r="A4991" s="29" t="s">
        <v>1057</v>
      </c>
    </row>
    <row r="4992" spans="1:1" x14ac:dyDescent="0.25">
      <c r="A4992" s="29" t="s">
        <v>1058</v>
      </c>
    </row>
    <row r="4993" spans="1:1" x14ac:dyDescent="0.25">
      <c r="A4993" s="29" t="s">
        <v>1059</v>
      </c>
    </row>
    <row r="4994" spans="1:1" x14ac:dyDescent="0.25">
      <c r="A4994" s="29" t="s">
        <v>1060</v>
      </c>
    </row>
    <row r="4995" spans="1:1" x14ac:dyDescent="0.25">
      <c r="A4995" s="29" t="s">
        <v>1061</v>
      </c>
    </row>
    <row r="4996" spans="1:1" x14ac:dyDescent="0.25">
      <c r="A4996" s="29" t="s">
        <v>1062</v>
      </c>
    </row>
    <row r="4997" spans="1:1" x14ac:dyDescent="0.25">
      <c r="A4997" s="29" t="s">
        <v>1063</v>
      </c>
    </row>
    <row r="4998" spans="1:1" x14ac:dyDescent="0.25">
      <c r="A4998" s="29" t="s">
        <v>1064</v>
      </c>
    </row>
    <row r="4999" spans="1:1" x14ac:dyDescent="0.25">
      <c r="A4999" s="29" t="s">
        <v>1065</v>
      </c>
    </row>
    <row r="5000" spans="1:1" x14ac:dyDescent="0.25">
      <c r="A5000" s="29" t="s">
        <v>1066</v>
      </c>
    </row>
    <row r="5001" spans="1:1" x14ac:dyDescent="0.25">
      <c r="A5001" s="29" t="s">
        <v>1067</v>
      </c>
    </row>
    <row r="5002" spans="1:1" x14ac:dyDescent="0.25">
      <c r="A5002" s="29" t="s">
        <v>1068</v>
      </c>
    </row>
    <row r="5003" spans="1:1" x14ac:dyDescent="0.25">
      <c r="A5003" s="29" t="s">
        <v>1069</v>
      </c>
    </row>
    <row r="5004" spans="1:1" x14ac:dyDescent="0.25">
      <c r="A5004" s="29" t="s">
        <v>1070</v>
      </c>
    </row>
    <row r="5005" spans="1:1" x14ac:dyDescent="0.25">
      <c r="A5005" s="29" t="s">
        <v>1071</v>
      </c>
    </row>
    <row r="5006" spans="1:1" x14ac:dyDescent="0.25">
      <c r="A5006" s="29" t="s">
        <v>1072</v>
      </c>
    </row>
    <row r="5007" spans="1:1" x14ac:dyDescent="0.25">
      <c r="A5007" s="29" t="s">
        <v>1073</v>
      </c>
    </row>
    <row r="5008" spans="1:1" x14ac:dyDescent="0.25">
      <c r="A5008" s="106" t="s">
        <v>1074</v>
      </c>
    </row>
    <row r="5009" spans="1:1" x14ac:dyDescent="0.25">
      <c r="A5009" s="106" t="s">
        <v>1075</v>
      </c>
    </row>
    <row r="5010" spans="1:1" x14ac:dyDescent="0.25">
      <c r="A5010" s="29" t="s">
        <v>1076</v>
      </c>
    </row>
    <row r="5011" spans="1:1" x14ac:dyDescent="0.25">
      <c r="A5011" s="29" t="s">
        <v>1077</v>
      </c>
    </row>
    <row r="5012" spans="1:1" x14ac:dyDescent="0.25">
      <c r="A5012" s="29" t="s">
        <v>1078</v>
      </c>
    </row>
    <row r="5013" spans="1:1" x14ac:dyDescent="0.25">
      <c r="A5013" s="29" t="s">
        <v>1079</v>
      </c>
    </row>
    <row r="5014" spans="1:1" x14ac:dyDescent="0.25">
      <c r="A5014" s="29" t="s">
        <v>1080</v>
      </c>
    </row>
    <row r="5015" spans="1:1" x14ac:dyDescent="0.25">
      <c r="A5015" s="29" t="s">
        <v>1081</v>
      </c>
    </row>
    <row r="5016" spans="1:1" x14ac:dyDescent="0.25">
      <c r="A5016" s="29" t="s">
        <v>1082</v>
      </c>
    </row>
    <row r="5017" spans="1:1" x14ac:dyDescent="0.25">
      <c r="A5017" s="29" t="s">
        <v>1083</v>
      </c>
    </row>
    <row r="5018" spans="1:1" x14ac:dyDescent="0.25">
      <c r="A5018" s="29" t="s">
        <v>1084</v>
      </c>
    </row>
    <row r="5019" spans="1:1" x14ac:dyDescent="0.25">
      <c r="A5019" s="29" t="s">
        <v>1085</v>
      </c>
    </row>
    <row r="5020" spans="1:1" x14ac:dyDescent="0.25">
      <c r="A5020" s="29" t="s">
        <v>1086</v>
      </c>
    </row>
    <row r="5021" spans="1:1" x14ac:dyDescent="0.25">
      <c r="A5021" s="29" t="s">
        <v>1087</v>
      </c>
    </row>
    <row r="5022" spans="1:1" x14ac:dyDescent="0.25">
      <c r="A5022" s="29" t="s">
        <v>1088</v>
      </c>
    </row>
    <row r="5023" spans="1:1" x14ac:dyDescent="0.25">
      <c r="A5023" s="29" t="s">
        <v>1089</v>
      </c>
    </row>
    <row r="5024" spans="1:1" x14ac:dyDescent="0.25">
      <c r="A5024" s="29" t="s">
        <v>1090</v>
      </c>
    </row>
    <row r="5025" spans="1:1" x14ac:dyDescent="0.25">
      <c r="A5025" s="29" t="s">
        <v>1091</v>
      </c>
    </row>
    <row r="5026" spans="1:1" x14ac:dyDescent="0.25">
      <c r="A5026" s="29" t="s">
        <v>1092</v>
      </c>
    </row>
    <row r="5027" spans="1:1" x14ac:dyDescent="0.25">
      <c r="A5027" s="29" t="s">
        <v>1093</v>
      </c>
    </row>
    <row r="5028" spans="1:1" x14ac:dyDescent="0.25">
      <c r="A5028" s="29" t="s">
        <v>1094</v>
      </c>
    </row>
    <row r="5029" spans="1:1" x14ac:dyDescent="0.25">
      <c r="A5029" s="29" t="s">
        <v>1095</v>
      </c>
    </row>
    <row r="5030" spans="1:1" x14ac:dyDescent="0.25">
      <c r="A5030" s="29" t="s">
        <v>1096</v>
      </c>
    </row>
    <row r="5031" spans="1:1" x14ac:dyDescent="0.25">
      <c r="A5031" s="29" t="s">
        <v>1097</v>
      </c>
    </row>
    <row r="5032" spans="1:1" x14ac:dyDescent="0.25">
      <c r="A5032" s="29" t="s">
        <v>1098</v>
      </c>
    </row>
    <row r="5033" spans="1:1" x14ac:dyDescent="0.25">
      <c r="A5033" s="29" t="s">
        <v>1099</v>
      </c>
    </row>
    <row r="5034" spans="1:1" x14ac:dyDescent="0.25">
      <c r="A5034" s="106" t="s">
        <v>1100</v>
      </c>
    </row>
    <row r="5035" spans="1:1" x14ac:dyDescent="0.25">
      <c r="A5035" s="106" t="s">
        <v>1101</v>
      </c>
    </row>
    <row r="5036" spans="1:1" x14ac:dyDescent="0.25">
      <c r="A5036" s="106" t="s">
        <v>1102</v>
      </c>
    </row>
    <row r="5037" spans="1:1" x14ac:dyDescent="0.25">
      <c r="A5037" s="106" t="s">
        <v>1103</v>
      </c>
    </row>
    <row r="5038" spans="1:1" x14ac:dyDescent="0.25">
      <c r="A5038" s="29" t="s">
        <v>1104</v>
      </c>
    </row>
    <row r="5039" spans="1:1" x14ac:dyDescent="0.25">
      <c r="A5039" s="29" t="s">
        <v>1105</v>
      </c>
    </row>
    <row r="5040" spans="1:1" x14ac:dyDescent="0.25">
      <c r="A5040" s="29" t="s">
        <v>1106</v>
      </c>
    </row>
    <row r="5041" spans="1:1" x14ac:dyDescent="0.25">
      <c r="A5041" s="29" t="s">
        <v>1107</v>
      </c>
    </row>
    <row r="5042" spans="1:1" x14ac:dyDescent="0.25">
      <c r="A5042" s="29" t="s">
        <v>1108</v>
      </c>
    </row>
    <row r="5043" spans="1:1" x14ac:dyDescent="0.25">
      <c r="A5043" s="29" t="s">
        <v>1109</v>
      </c>
    </row>
    <row r="5044" spans="1:1" x14ac:dyDescent="0.25">
      <c r="A5044" s="29" t="s">
        <v>1110</v>
      </c>
    </row>
    <row r="5045" spans="1:1" x14ac:dyDescent="0.25">
      <c r="A5045" s="29" t="s">
        <v>1111</v>
      </c>
    </row>
    <row r="5046" spans="1:1" x14ac:dyDescent="0.25">
      <c r="A5046" s="29" t="s">
        <v>1112</v>
      </c>
    </row>
    <row r="5047" spans="1:1" x14ac:dyDescent="0.25">
      <c r="A5047" s="29" t="s">
        <v>1113</v>
      </c>
    </row>
    <row r="5048" spans="1:1" x14ac:dyDescent="0.25">
      <c r="A5048" s="29" t="s">
        <v>1114</v>
      </c>
    </row>
    <row r="5049" spans="1:1" x14ac:dyDescent="0.25">
      <c r="A5049" s="29" t="s">
        <v>1115</v>
      </c>
    </row>
    <row r="5050" spans="1:1" x14ac:dyDescent="0.25">
      <c r="A5050" s="29" t="s">
        <v>1116</v>
      </c>
    </row>
    <row r="5051" spans="1:1" x14ac:dyDescent="0.25">
      <c r="A5051" s="29" t="s">
        <v>1117</v>
      </c>
    </row>
    <row r="5052" spans="1:1" x14ac:dyDescent="0.25">
      <c r="A5052" s="29" t="s">
        <v>1118</v>
      </c>
    </row>
    <row r="5053" spans="1:1" x14ac:dyDescent="0.25">
      <c r="A5053" s="29" t="s">
        <v>1119</v>
      </c>
    </row>
    <row r="5054" spans="1:1" x14ac:dyDescent="0.25">
      <c r="A5054" s="29" t="s">
        <v>1120</v>
      </c>
    </row>
    <row r="5055" spans="1:1" x14ac:dyDescent="0.25">
      <c r="A5055" s="29" t="s">
        <v>1121</v>
      </c>
    </row>
    <row r="5056" spans="1:1" x14ac:dyDescent="0.25">
      <c r="A5056" s="106" t="s">
        <v>1122</v>
      </c>
    </row>
    <row r="5057" spans="1:1" x14ac:dyDescent="0.25">
      <c r="A5057" s="29" t="s">
        <v>1123</v>
      </c>
    </row>
    <row r="5058" spans="1:1" x14ac:dyDescent="0.25">
      <c r="A5058" s="29" t="s">
        <v>1124</v>
      </c>
    </row>
    <row r="5059" spans="1:1" x14ac:dyDescent="0.25">
      <c r="A5059" s="29" t="s">
        <v>1125</v>
      </c>
    </row>
    <row r="5060" spans="1:1" x14ac:dyDescent="0.25">
      <c r="A5060" s="29" t="s">
        <v>1126</v>
      </c>
    </row>
    <row r="5061" spans="1:1" x14ac:dyDescent="0.25">
      <c r="A5061" s="29" t="s">
        <v>1127</v>
      </c>
    </row>
    <row r="5062" spans="1:1" x14ac:dyDescent="0.25">
      <c r="A5062" s="29" t="s">
        <v>1128</v>
      </c>
    </row>
    <row r="5063" spans="1:1" x14ac:dyDescent="0.25">
      <c r="A5063" s="29" t="s">
        <v>1129</v>
      </c>
    </row>
    <row r="5064" spans="1:1" x14ac:dyDescent="0.25">
      <c r="A5064" s="29" t="s">
        <v>1130</v>
      </c>
    </row>
    <row r="5065" spans="1:1" x14ac:dyDescent="0.25">
      <c r="A5065" s="106" t="s">
        <v>1131</v>
      </c>
    </row>
    <row r="5066" spans="1:1" x14ac:dyDescent="0.25">
      <c r="A5066" s="29" t="s">
        <v>1132</v>
      </c>
    </row>
    <row r="5067" spans="1:1" x14ac:dyDescent="0.25">
      <c r="A5067" s="29" t="s">
        <v>1133</v>
      </c>
    </row>
    <row r="5068" spans="1:1" x14ac:dyDescent="0.25">
      <c r="A5068" s="29" t="s">
        <v>1134</v>
      </c>
    </row>
    <row r="5069" spans="1:1" x14ac:dyDescent="0.25">
      <c r="A5069" s="29" t="s">
        <v>1135</v>
      </c>
    </row>
    <row r="5070" spans="1:1" x14ac:dyDescent="0.25">
      <c r="A5070" s="29" t="s">
        <v>1136</v>
      </c>
    </row>
    <row r="5071" spans="1:1" x14ac:dyDescent="0.25">
      <c r="A5071" s="29" t="s">
        <v>1137</v>
      </c>
    </row>
    <row r="5072" spans="1:1" x14ac:dyDescent="0.25">
      <c r="A5072" s="29" t="s">
        <v>1138</v>
      </c>
    </row>
    <row r="5073" spans="1:1" x14ac:dyDescent="0.25">
      <c r="A5073" s="29" t="s">
        <v>1139</v>
      </c>
    </row>
    <row r="5074" spans="1:1" x14ac:dyDescent="0.25">
      <c r="A5074" s="29" t="s">
        <v>1140</v>
      </c>
    </row>
    <row r="5075" spans="1:1" x14ac:dyDescent="0.25">
      <c r="A5075" s="29" t="s">
        <v>1141</v>
      </c>
    </row>
    <row r="5076" spans="1:1" x14ac:dyDescent="0.25">
      <c r="A5076" s="29" t="s">
        <v>1142</v>
      </c>
    </row>
    <row r="5077" spans="1:1" x14ac:dyDescent="0.25">
      <c r="A5077" s="29" t="s">
        <v>1143</v>
      </c>
    </row>
    <row r="5078" spans="1:1" x14ac:dyDescent="0.25">
      <c r="A5078" s="29" t="s">
        <v>1144</v>
      </c>
    </row>
    <row r="5079" spans="1:1" x14ac:dyDescent="0.25">
      <c r="A5079" s="29" t="s">
        <v>1145</v>
      </c>
    </row>
    <row r="5080" spans="1:1" x14ac:dyDescent="0.25">
      <c r="A5080" s="29" t="s">
        <v>1146</v>
      </c>
    </row>
    <row r="5081" spans="1:1" x14ac:dyDescent="0.25">
      <c r="A5081" s="29" t="s">
        <v>1147</v>
      </c>
    </row>
    <row r="5082" spans="1:1" x14ac:dyDescent="0.25">
      <c r="A5082" s="29" t="s">
        <v>1148</v>
      </c>
    </row>
    <row r="5083" spans="1:1" x14ac:dyDescent="0.25">
      <c r="A5083" s="29" t="s">
        <v>1149</v>
      </c>
    </row>
    <row r="5084" spans="1:1" x14ac:dyDescent="0.25">
      <c r="A5084" s="29" t="s">
        <v>1150</v>
      </c>
    </row>
    <row r="5085" spans="1:1" x14ac:dyDescent="0.25">
      <c r="A5085" s="29" t="s">
        <v>1151</v>
      </c>
    </row>
    <row r="5086" spans="1:1" x14ac:dyDescent="0.25">
      <c r="A5086" s="29" t="s">
        <v>1152</v>
      </c>
    </row>
    <row r="5087" spans="1:1" x14ac:dyDescent="0.25">
      <c r="A5087" s="29" t="s">
        <v>1153</v>
      </c>
    </row>
    <row r="5088" spans="1:1" x14ac:dyDescent="0.25">
      <c r="A5088" s="29" t="s">
        <v>1154</v>
      </c>
    </row>
    <row r="5089" spans="1:1" x14ac:dyDescent="0.25">
      <c r="A5089" s="29" t="s">
        <v>1155</v>
      </c>
    </row>
    <row r="5090" spans="1:1" x14ac:dyDescent="0.25">
      <c r="A5090" s="29" t="s">
        <v>1156</v>
      </c>
    </row>
    <row r="5091" spans="1:1" x14ac:dyDescent="0.25">
      <c r="A5091" s="106" t="s">
        <v>1157</v>
      </c>
    </row>
    <row r="5092" spans="1:1" x14ac:dyDescent="0.25">
      <c r="A5092" s="106" t="s">
        <v>1158</v>
      </c>
    </row>
    <row r="5093" spans="1:1" x14ac:dyDescent="0.25">
      <c r="A5093" s="106" t="s">
        <v>1159</v>
      </c>
    </row>
    <row r="5094" spans="1:1" x14ac:dyDescent="0.25">
      <c r="A5094" s="106" t="s">
        <v>1160</v>
      </c>
    </row>
    <row r="5095" spans="1:1" x14ac:dyDescent="0.25">
      <c r="A5095" s="29" t="s">
        <v>1161</v>
      </c>
    </row>
    <row r="5096" spans="1:1" x14ac:dyDescent="0.25">
      <c r="A5096" s="29" t="s">
        <v>1162</v>
      </c>
    </row>
    <row r="5097" spans="1:1" x14ac:dyDescent="0.25">
      <c r="A5097" s="29" t="s">
        <v>1163</v>
      </c>
    </row>
    <row r="5098" spans="1:1" x14ac:dyDescent="0.25">
      <c r="A5098" s="29" t="s">
        <v>1164</v>
      </c>
    </row>
    <row r="5099" spans="1:1" x14ac:dyDescent="0.25">
      <c r="A5099" s="29" t="s">
        <v>1165</v>
      </c>
    </row>
    <row r="5100" spans="1:1" x14ac:dyDescent="0.25">
      <c r="A5100" s="29" t="s">
        <v>1166</v>
      </c>
    </row>
    <row r="5101" spans="1:1" x14ac:dyDescent="0.25">
      <c r="A5101" s="106" t="s">
        <v>1167</v>
      </c>
    </row>
    <row r="5102" spans="1:1" x14ac:dyDescent="0.25">
      <c r="A5102" s="106" t="s">
        <v>1168</v>
      </c>
    </row>
    <row r="5103" spans="1:1" x14ac:dyDescent="0.25">
      <c r="A5103" s="106" t="s">
        <v>1169</v>
      </c>
    </row>
    <row r="5104" spans="1:1" x14ac:dyDescent="0.25">
      <c r="A5104" s="106" t="s">
        <v>1170</v>
      </c>
    </row>
    <row r="5105" spans="1:1" x14ac:dyDescent="0.25">
      <c r="A5105" s="29" t="s">
        <v>1171</v>
      </c>
    </row>
    <row r="5106" spans="1:1" x14ac:dyDescent="0.25">
      <c r="A5106" s="29" t="s">
        <v>1172</v>
      </c>
    </row>
    <row r="5107" spans="1:1" x14ac:dyDescent="0.25">
      <c r="A5107" s="29" t="s">
        <v>1173</v>
      </c>
    </row>
    <row r="5108" spans="1:1" x14ac:dyDescent="0.25">
      <c r="A5108" s="29" t="s">
        <v>1174</v>
      </c>
    </row>
    <row r="5109" spans="1:1" x14ac:dyDescent="0.25">
      <c r="A5109" s="29" t="s">
        <v>1175</v>
      </c>
    </row>
    <row r="5110" spans="1:1" x14ac:dyDescent="0.25">
      <c r="A5110" s="29" t="s">
        <v>1176</v>
      </c>
    </row>
    <row r="5111" spans="1:1" x14ac:dyDescent="0.25">
      <c r="A5111" s="29" t="s">
        <v>1177</v>
      </c>
    </row>
    <row r="5112" spans="1:1" x14ac:dyDescent="0.25">
      <c r="A5112" s="29" t="s">
        <v>1178</v>
      </c>
    </row>
    <row r="5113" spans="1:1" x14ac:dyDescent="0.25">
      <c r="A5113" s="29" t="s">
        <v>1179</v>
      </c>
    </row>
    <row r="5114" spans="1:1" x14ac:dyDescent="0.25">
      <c r="A5114" s="29" t="s">
        <v>1180</v>
      </c>
    </row>
    <row r="5115" spans="1:1" x14ac:dyDescent="0.25">
      <c r="A5115" s="29" t="s">
        <v>1181</v>
      </c>
    </row>
    <row r="5116" spans="1:1" x14ac:dyDescent="0.25">
      <c r="A5116" s="106" t="s">
        <v>1182</v>
      </c>
    </row>
    <row r="5117" spans="1:1" x14ac:dyDescent="0.25">
      <c r="A5117" s="106" t="s">
        <v>1183</v>
      </c>
    </row>
    <row r="5118" spans="1:1" x14ac:dyDescent="0.25">
      <c r="A5118" s="106" t="s">
        <v>1184</v>
      </c>
    </row>
    <row r="5119" spans="1:1" x14ac:dyDescent="0.25">
      <c r="A5119" s="106" t="s">
        <v>1185</v>
      </c>
    </row>
    <row r="5120" spans="1:1" x14ac:dyDescent="0.25">
      <c r="A5120" s="106" t="s">
        <v>1186</v>
      </c>
    </row>
    <row r="5121" spans="1:1" x14ac:dyDescent="0.25">
      <c r="A5121" s="106" t="s">
        <v>1187</v>
      </c>
    </row>
    <row r="5122" spans="1:1" x14ac:dyDescent="0.25">
      <c r="A5122" s="29" t="s">
        <v>1188</v>
      </c>
    </row>
    <row r="5123" spans="1:1" x14ac:dyDescent="0.25">
      <c r="A5123" s="29" t="s">
        <v>1189</v>
      </c>
    </row>
    <row r="5124" spans="1:1" x14ac:dyDescent="0.25">
      <c r="A5124" s="29" t="s">
        <v>1190</v>
      </c>
    </row>
    <row r="5125" spans="1:1" x14ac:dyDescent="0.25">
      <c r="A5125" s="29" t="s">
        <v>1191</v>
      </c>
    </row>
    <row r="5126" spans="1:1" x14ac:dyDescent="0.25">
      <c r="A5126" s="29" t="s">
        <v>1192</v>
      </c>
    </row>
    <row r="5127" spans="1:1" x14ac:dyDescent="0.25">
      <c r="A5127" s="106" t="s">
        <v>1193</v>
      </c>
    </row>
    <row r="5128" spans="1:1" x14ac:dyDescent="0.25">
      <c r="A5128" s="29" t="s">
        <v>1194</v>
      </c>
    </row>
    <row r="5129" spans="1:1" x14ac:dyDescent="0.25">
      <c r="A5129" s="106" t="s">
        <v>1195</v>
      </c>
    </row>
    <row r="5130" spans="1:1" x14ac:dyDescent="0.25">
      <c r="A5130" s="106" t="s">
        <v>1196</v>
      </c>
    </row>
    <row r="5131" spans="1:1" x14ac:dyDescent="0.25">
      <c r="A5131" s="29" t="s">
        <v>1197</v>
      </c>
    </row>
    <row r="5132" spans="1:1" x14ac:dyDescent="0.25">
      <c r="A5132" s="29" t="s">
        <v>1198</v>
      </c>
    </row>
    <row r="5133" spans="1:1" x14ac:dyDescent="0.25">
      <c r="A5133" s="29" t="s">
        <v>1199</v>
      </c>
    </row>
    <row r="5134" spans="1:1" x14ac:dyDescent="0.25">
      <c r="A5134" s="29" t="s">
        <v>1200</v>
      </c>
    </row>
    <row r="5135" spans="1:1" x14ac:dyDescent="0.25">
      <c r="A5135" s="29" t="s">
        <v>1201</v>
      </c>
    </row>
    <row r="5136" spans="1:1" x14ac:dyDescent="0.25">
      <c r="A5136" s="29" t="s">
        <v>1202</v>
      </c>
    </row>
    <row r="5137" spans="1:1" x14ac:dyDescent="0.25">
      <c r="A5137" s="29" t="s">
        <v>1203</v>
      </c>
    </row>
    <row r="5138" spans="1:1" x14ac:dyDescent="0.25">
      <c r="A5138" s="29" t="s">
        <v>1204</v>
      </c>
    </row>
    <row r="5139" spans="1:1" x14ac:dyDescent="0.25">
      <c r="A5139" s="29" t="s">
        <v>1205</v>
      </c>
    </row>
    <row r="5140" spans="1:1" x14ac:dyDescent="0.25">
      <c r="A5140" s="29" t="s">
        <v>1206</v>
      </c>
    </row>
    <row r="5141" spans="1:1" x14ac:dyDescent="0.25">
      <c r="A5141" s="106" t="s">
        <v>1207</v>
      </c>
    </row>
    <row r="5142" spans="1:1" x14ac:dyDescent="0.25">
      <c r="A5142" s="29" t="s">
        <v>1208</v>
      </c>
    </row>
    <row r="5143" spans="1:1" x14ac:dyDescent="0.25">
      <c r="A5143" s="29" t="s">
        <v>1209</v>
      </c>
    </row>
    <row r="5144" spans="1:1" x14ac:dyDescent="0.25">
      <c r="A5144" s="106" t="s">
        <v>1210</v>
      </c>
    </row>
    <row r="5145" spans="1:1" x14ac:dyDescent="0.25">
      <c r="A5145" s="106" t="s">
        <v>1211</v>
      </c>
    </row>
    <row r="5146" spans="1:1" x14ac:dyDescent="0.25">
      <c r="A5146" s="106" t="s">
        <v>1212</v>
      </c>
    </row>
    <row r="5147" spans="1:1" x14ac:dyDescent="0.25">
      <c r="A5147" s="106" t="s">
        <v>1213</v>
      </c>
    </row>
    <row r="5148" spans="1:1" x14ac:dyDescent="0.25">
      <c r="A5148" s="29" t="s">
        <v>1214</v>
      </c>
    </row>
    <row r="5149" spans="1:1" x14ac:dyDescent="0.25">
      <c r="A5149" s="29" t="s">
        <v>1215</v>
      </c>
    </row>
    <row r="5150" spans="1:1" x14ac:dyDescent="0.25">
      <c r="A5150" s="29" t="s">
        <v>1216</v>
      </c>
    </row>
    <row r="5151" spans="1:1" x14ac:dyDescent="0.25">
      <c r="A5151" s="29" t="s">
        <v>1217</v>
      </c>
    </row>
    <row r="5152" spans="1:1" x14ac:dyDescent="0.25">
      <c r="A5152" s="29" t="s">
        <v>1218</v>
      </c>
    </row>
    <row r="5153" spans="1:1" x14ac:dyDescent="0.25">
      <c r="A5153" s="29" t="s">
        <v>1219</v>
      </c>
    </row>
    <row r="5154" spans="1:1" x14ac:dyDescent="0.25">
      <c r="A5154" s="29" t="s">
        <v>1220</v>
      </c>
    </row>
    <row r="5155" spans="1:1" x14ac:dyDescent="0.25">
      <c r="A5155" s="29" t="s">
        <v>1221</v>
      </c>
    </row>
    <row r="5156" spans="1:1" x14ac:dyDescent="0.25">
      <c r="A5156" s="29" t="s">
        <v>1222</v>
      </c>
    </row>
    <row r="5157" spans="1:1" x14ac:dyDescent="0.25">
      <c r="A5157" s="29" t="s">
        <v>1223</v>
      </c>
    </row>
    <row r="5158" spans="1:1" x14ac:dyDescent="0.25">
      <c r="A5158" s="29" t="s">
        <v>1224</v>
      </c>
    </row>
    <row r="5159" spans="1:1" x14ac:dyDescent="0.25">
      <c r="A5159" s="29" t="s">
        <v>1225</v>
      </c>
    </row>
    <row r="5160" spans="1:1" x14ac:dyDescent="0.25">
      <c r="A5160" s="29" t="s">
        <v>1226</v>
      </c>
    </row>
    <row r="5161" spans="1:1" x14ac:dyDescent="0.25">
      <c r="A5161" s="29" t="s">
        <v>1227</v>
      </c>
    </row>
    <row r="5162" spans="1:1" x14ac:dyDescent="0.25">
      <c r="A5162" s="29" t="s">
        <v>1228</v>
      </c>
    </row>
    <row r="5163" spans="1:1" x14ac:dyDescent="0.25">
      <c r="A5163" s="29" t="s">
        <v>1229</v>
      </c>
    </row>
    <row r="5164" spans="1:1" x14ac:dyDescent="0.25">
      <c r="A5164" s="29" t="s">
        <v>1230</v>
      </c>
    </row>
    <row r="5165" spans="1:1" x14ac:dyDescent="0.25">
      <c r="A5165" s="29" t="s">
        <v>1231</v>
      </c>
    </row>
    <row r="5166" spans="1:1" x14ac:dyDescent="0.25">
      <c r="A5166" s="29" t="s">
        <v>1232</v>
      </c>
    </row>
    <row r="5167" spans="1:1" x14ac:dyDescent="0.25">
      <c r="A5167" s="29" t="s">
        <v>1233</v>
      </c>
    </row>
    <row r="5168" spans="1:1" x14ac:dyDescent="0.25">
      <c r="A5168" s="29" t="s">
        <v>1234</v>
      </c>
    </row>
    <row r="5169" spans="1:1" x14ac:dyDescent="0.25">
      <c r="A5169" s="29" t="s">
        <v>1235</v>
      </c>
    </row>
    <row r="5170" spans="1:1" x14ac:dyDescent="0.25">
      <c r="A5170" s="29" t="s">
        <v>1236</v>
      </c>
    </row>
    <row r="5171" spans="1:1" x14ac:dyDescent="0.25">
      <c r="A5171" s="29" t="s">
        <v>1237</v>
      </c>
    </row>
    <row r="5172" spans="1:1" x14ac:dyDescent="0.25">
      <c r="A5172" s="29" t="s">
        <v>1238</v>
      </c>
    </row>
    <row r="5173" spans="1:1" x14ac:dyDescent="0.25">
      <c r="A5173" s="29" t="s">
        <v>1239</v>
      </c>
    </row>
    <row r="5174" spans="1:1" x14ac:dyDescent="0.25">
      <c r="A5174" s="29" t="s">
        <v>1240</v>
      </c>
    </row>
    <row r="5175" spans="1:1" x14ac:dyDescent="0.25">
      <c r="A5175" s="29" t="s">
        <v>1241</v>
      </c>
    </row>
    <row r="5176" spans="1:1" x14ac:dyDescent="0.25">
      <c r="A5176" s="29" t="s">
        <v>1242</v>
      </c>
    </row>
    <row r="5177" spans="1:1" x14ac:dyDescent="0.25">
      <c r="A5177" s="29" t="s">
        <v>1243</v>
      </c>
    </row>
    <row r="5178" spans="1:1" x14ac:dyDescent="0.25">
      <c r="A5178" s="29" t="s">
        <v>1244</v>
      </c>
    </row>
    <row r="5179" spans="1:1" x14ac:dyDescent="0.25">
      <c r="A5179" s="29" t="s">
        <v>1245</v>
      </c>
    </row>
    <row r="5180" spans="1:1" x14ac:dyDescent="0.25">
      <c r="A5180" s="29" t="s">
        <v>1246</v>
      </c>
    </row>
    <row r="5181" spans="1:1" x14ac:dyDescent="0.25">
      <c r="A5181" s="29" t="s">
        <v>1247</v>
      </c>
    </row>
    <row r="5182" spans="1:1" x14ac:dyDescent="0.25">
      <c r="A5182" s="29" t="s">
        <v>1248</v>
      </c>
    </row>
    <row r="5183" spans="1:1" x14ac:dyDescent="0.25">
      <c r="A5183" s="29" t="s">
        <v>1249</v>
      </c>
    </row>
    <row r="5184" spans="1:1" x14ac:dyDescent="0.25">
      <c r="A5184" s="29" t="s">
        <v>1250</v>
      </c>
    </row>
    <row r="5185" spans="1:1" x14ac:dyDescent="0.25">
      <c r="A5185" s="29" t="s">
        <v>1251</v>
      </c>
    </row>
    <row r="5186" spans="1:1" x14ac:dyDescent="0.25">
      <c r="A5186" s="29" t="s">
        <v>1252</v>
      </c>
    </row>
    <row r="5187" spans="1:1" x14ac:dyDescent="0.25">
      <c r="A5187" s="29" t="s">
        <v>1253</v>
      </c>
    </row>
    <row r="5188" spans="1:1" x14ac:dyDescent="0.25">
      <c r="A5188" s="29" t="s">
        <v>1254</v>
      </c>
    </row>
    <row r="5189" spans="1:1" x14ac:dyDescent="0.25">
      <c r="A5189" s="29" t="s">
        <v>1255</v>
      </c>
    </row>
    <row r="5190" spans="1:1" x14ac:dyDescent="0.25">
      <c r="A5190" s="29" t="s">
        <v>1256</v>
      </c>
    </row>
    <row r="5191" spans="1:1" x14ac:dyDescent="0.25">
      <c r="A5191" s="106" t="s">
        <v>1257</v>
      </c>
    </row>
    <row r="5192" spans="1:1" x14ac:dyDescent="0.25">
      <c r="A5192" s="106" t="s">
        <v>1258</v>
      </c>
    </row>
    <row r="5193" spans="1:1" x14ac:dyDescent="0.25">
      <c r="A5193" s="106" t="s">
        <v>1259</v>
      </c>
    </row>
    <row r="5194" spans="1:1" x14ac:dyDescent="0.25">
      <c r="A5194" s="106" t="s">
        <v>1260</v>
      </c>
    </row>
    <row r="5251" spans="1:1" x14ac:dyDescent="0.25">
      <c r="A5251" s="29" t="s">
        <v>1261</v>
      </c>
    </row>
    <row r="5252" spans="1:1" x14ac:dyDescent="0.25">
      <c r="A5252" s="29" t="s">
        <v>1262</v>
      </c>
    </row>
    <row r="5253" spans="1:1" x14ac:dyDescent="0.25">
      <c r="A5253" s="29" t="s">
        <v>1263</v>
      </c>
    </row>
    <row r="5254" spans="1:1" x14ac:dyDescent="0.25">
      <c r="A5254" s="29" t="s">
        <v>1264</v>
      </c>
    </row>
    <row r="5255" spans="1:1" x14ac:dyDescent="0.25">
      <c r="A5255" s="29" t="s">
        <v>1265</v>
      </c>
    </row>
    <row r="5256" spans="1:1" x14ac:dyDescent="0.25">
      <c r="A5256" s="29" t="s">
        <v>1266</v>
      </c>
    </row>
    <row r="5257" spans="1:1" x14ac:dyDescent="0.25">
      <c r="A5257" s="29" t="s">
        <v>1267</v>
      </c>
    </row>
    <row r="5258" spans="1:1" x14ac:dyDescent="0.25">
      <c r="A5258" s="29" t="s">
        <v>1268</v>
      </c>
    </row>
    <row r="5259" spans="1:1" x14ac:dyDescent="0.25">
      <c r="A5259" s="29" t="s">
        <v>1269</v>
      </c>
    </row>
    <row r="5260" spans="1:1" x14ac:dyDescent="0.25">
      <c r="A5260" s="29" t="s">
        <v>1270</v>
      </c>
    </row>
    <row r="5261" spans="1:1" x14ac:dyDescent="0.25">
      <c r="A5261" s="29" t="s">
        <v>1271</v>
      </c>
    </row>
    <row r="5262" spans="1:1" x14ac:dyDescent="0.25">
      <c r="A5262" s="29" t="s">
        <v>1272</v>
      </c>
    </row>
    <row r="5263" spans="1:1" x14ac:dyDescent="0.25">
      <c r="A5263" s="29" t="s">
        <v>1273</v>
      </c>
    </row>
    <row r="5264" spans="1:1" x14ac:dyDescent="0.25">
      <c r="A5264" s="29" t="s">
        <v>1274</v>
      </c>
    </row>
    <row r="5265" spans="1:1" x14ac:dyDescent="0.25">
      <c r="A5265" s="29" t="s">
        <v>1275</v>
      </c>
    </row>
    <row r="5266" spans="1:1" x14ac:dyDescent="0.25">
      <c r="A5266" s="29" t="s">
        <v>1276</v>
      </c>
    </row>
    <row r="5267" spans="1:1" x14ac:dyDescent="0.25">
      <c r="A5267" s="29" t="s">
        <v>1277</v>
      </c>
    </row>
    <row r="5268" spans="1:1" x14ac:dyDescent="0.25">
      <c r="A5268" s="29" t="s">
        <v>1278</v>
      </c>
    </row>
    <row r="5269" spans="1:1" x14ac:dyDescent="0.25">
      <c r="A5269" s="29" t="s">
        <v>1279</v>
      </c>
    </row>
    <row r="5270" spans="1:1" x14ac:dyDescent="0.25">
      <c r="A5270" s="29" t="s">
        <v>1284</v>
      </c>
    </row>
    <row r="5271" spans="1:1" x14ac:dyDescent="0.25">
      <c r="A5271" s="29" t="s">
        <v>1285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85" t="s">
        <v>57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02" t="s">
        <v>26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3"/>
      <c r="M2" s="104" t="s">
        <v>27</v>
      </c>
      <c r="N2" s="104"/>
      <c r="O2" s="104"/>
      <c r="P2" s="104"/>
      <c r="Q2" s="104"/>
      <c r="R2" s="104" t="s">
        <v>28</v>
      </c>
      <c r="S2" s="104"/>
      <c r="T2" s="104"/>
      <c r="U2" s="104"/>
      <c r="V2" s="104"/>
      <c r="W2" s="104"/>
      <c r="X2" s="104"/>
      <c r="Y2" s="98" t="s">
        <v>41</v>
      </c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105"/>
      <c r="AM2" s="105"/>
      <c r="AN2" s="10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2014-12-12T10:15:14Z</dcterms:modified>
</cp:coreProperties>
</file>