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16" i="13"/>
  <c r="AE74" i="13"/>
  <c r="AE121" i="13"/>
  <c r="AE119" i="13"/>
  <c r="AE12" i="13"/>
  <c r="AE8" i="13"/>
  <c r="AE53" i="13"/>
  <c r="AE77" i="13"/>
  <c r="AE98" i="13"/>
  <c r="AE69" i="13"/>
  <c r="AE25" i="13"/>
  <c r="AE60" i="13"/>
  <c r="AE124" i="13"/>
  <c r="AE43" i="13"/>
  <c r="AE108" i="13"/>
  <c r="AE120" i="13"/>
  <c r="AE49" i="13"/>
  <c r="AE55" i="13"/>
  <c r="AE86" i="13"/>
  <c r="AE57" i="13"/>
  <c r="AE115" i="13"/>
  <c r="AE92" i="13"/>
  <c r="AE58" i="13"/>
  <c r="AE67" i="13"/>
  <c r="AE64" i="13"/>
  <c r="AE104" i="13"/>
  <c r="AE19" i="13"/>
  <c r="AE35" i="13"/>
  <c r="AE75" i="13"/>
  <c r="AE102" i="13"/>
  <c r="AE109" i="13"/>
  <c r="AE84" i="13"/>
  <c r="AE30" i="13"/>
  <c r="AE15" i="13"/>
  <c r="AE32" i="13"/>
  <c r="AE40" i="13"/>
  <c r="AE96" i="13"/>
  <c r="AE73" i="13"/>
  <c r="AE17" i="13"/>
  <c r="AE107" i="13"/>
  <c r="AE23" i="13"/>
  <c r="AE26" i="13"/>
  <c r="AE39" i="13"/>
  <c r="AE9" i="13"/>
  <c r="AE123" i="13"/>
  <c r="AE114" i="13"/>
  <c r="AE118" i="13"/>
  <c r="AE27" i="13"/>
  <c r="AE37" i="13"/>
  <c r="AE61" i="13"/>
  <c r="AE97" i="13"/>
  <c r="AE48" i="13"/>
  <c r="AE78" i="13"/>
  <c r="AE76" i="13"/>
  <c r="AE89" i="13"/>
  <c r="AE83" i="13"/>
  <c r="AE71" i="13"/>
  <c r="AE11" i="13"/>
  <c r="AE18" i="13"/>
  <c r="AE93" i="13"/>
  <c r="AE72" i="13"/>
  <c r="AE20" i="13"/>
  <c r="AE122" i="13"/>
  <c r="AE34" i="13"/>
  <c r="AE63" i="13"/>
  <c r="AE110" i="13"/>
  <c r="AE85" i="13"/>
  <c r="AE36" i="13"/>
  <c r="AE82" i="13"/>
  <c r="AE81" i="13"/>
  <c r="AE47" i="13"/>
  <c r="AE88" i="13"/>
  <c r="AE10" i="13"/>
  <c r="AE6" i="13"/>
  <c r="AE44" i="13"/>
  <c r="AE100" i="13"/>
  <c r="AE22" i="13"/>
  <c r="AE101" i="13"/>
  <c r="AE113" i="13"/>
  <c r="AE52" i="13"/>
  <c r="AE42" i="13"/>
  <c r="AE41" i="13"/>
  <c r="AE117" i="13"/>
  <c r="AE51" i="13"/>
  <c r="AE38" i="13"/>
  <c r="AE103" i="13"/>
  <c r="AE106" i="13"/>
  <c r="AE56" i="13"/>
  <c r="AE79" i="13"/>
  <c r="AE105" i="13"/>
  <c r="AE59" i="13"/>
  <c r="AE95" i="13"/>
  <c r="AE116" i="13"/>
  <c r="AE28" i="13"/>
  <c r="AE13" i="13"/>
  <c r="AE125" i="13"/>
  <c r="AE31" i="13"/>
  <c r="AE33" i="13"/>
  <c r="AE68" i="13"/>
  <c r="AE21" i="13"/>
  <c r="AE7" i="13"/>
  <c r="AE87" i="13"/>
  <c r="AE24" i="13"/>
  <c r="AE65" i="13"/>
  <c r="AE94" i="13"/>
  <c r="AE80" i="13"/>
  <c r="AE29" i="13"/>
  <c r="AE50" i="13"/>
  <c r="AE111" i="13"/>
  <c r="AE54" i="13"/>
  <c r="AE99" i="13"/>
  <c r="AE91" i="13"/>
  <c r="AE112" i="13"/>
  <c r="AE66" i="13"/>
  <c r="AE90" i="13"/>
  <c r="AE62" i="13"/>
  <c r="AE46" i="13"/>
  <c r="AE70" i="13"/>
  <c r="AE14" i="13"/>
  <c r="AE45" i="13"/>
  <c r="D42" i="15"/>
  <c r="H42" i="15"/>
  <c r="B42" i="15"/>
  <c r="F42" i="15"/>
  <c r="AA58" i="15"/>
  <c r="AA63" i="15"/>
  <c r="AA51" i="15"/>
  <c r="AA53" i="15"/>
  <c r="AA61" i="15"/>
  <c r="AA49" i="15"/>
  <c r="AA65" i="15"/>
  <c r="AA62" i="15"/>
  <c r="AA60" i="15"/>
  <c r="AA56" i="15"/>
  <c r="AA47" i="15"/>
  <c r="AA64" i="15"/>
  <c r="AA67" i="15"/>
  <c r="AA48" i="15"/>
  <c r="AA52" i="15"/>
  <c r="AA50" i="15"/>
  <c r="AA66" i="15"/>
  <c r="AA54" i="15"/>
  <c r="AA59" i="15"/>
  <c r="AA55" i="15"/>
  <c r="AA57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62" i="15"/>
  <c r="Z50" i="15"/>
  <c r="Z53" i="15"/>
  <c r="Z57" i="15"/>
  <c r="Z54" i="15"/>
  <c r="Z51" i="15"/>
  <c r="Z61" i="15"/>
  <c r="Z59" i="15"/>
  <c r="Z67" i="15"/>
  <c r="Z48" i="15"/>
  <c r="Z58" i="15"/>
  <c r="Z52" i="15"/>
  <c r="Z63" i="15"/>
  <c r="Z47" i="15"/>
  <c r="Z55" i="15"/>
  <c r="Z64" i="15"/>
  <c r="Z49" i="15"/>
  <c r="Z65" i="15"/>
  <c r="Z56" i="15"/>
  <c r="Z60" i="15"/>
  <c r="Z66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R37" i="15"/>
  <c r="S37" i="15"/>
  <c r="R38" i="15" l="1"/>
  <c r="S40" i="15" s="1"/>
  <c r="S38" i="15"/>
  <c r="S41" i="15" s="1"/>
  <c r="R41" i="15"/>
  <c r="R40" i="15"/>
  <c r="X41" i="15" l="1"/>
  <c r="X40" i="15"/>
</calcChain>
</file>

<file path=xl/sharedStrings.xml><?xml version="1.0" encoding="utf-8"?>
<sst xmlns="http://schemas.openxmlformats.org/spreadsheetml/2006/main" count="2118" uniqueCount="965">
  <si>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</si>
  <si>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</si>
  <si>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</si>
  <si>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</si>
  <si>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</si>
  <si>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</si>
  <si>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</si>
  <si>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</si>
  <si>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</si>
  <si>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</si>
  <si>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</si>
  <si>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</si>
  <si>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</si>
  <si>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</si>
  <si>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</si>
  <si>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</si>
  <si>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</si>
  <si>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</si>
  <si>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</si>
  <si>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</si>
  <si>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</si>
  <si>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</si>
  <si>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</si>
  <si>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</si>
  <si>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</si>
  <si>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</si>
  <si>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</si>
  <si>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</si>
  <si>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</si>
  <si>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</si>
  <si>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</si>
  <si>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</si>
  <si>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</si>
  <si>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</si>
  <si>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</si>
  <si>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</si>
  <si>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</si>
  <si>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</si>
  <si>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</si>
  <si>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</si>
  <si>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</si>
  <si>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</si>
  <si>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</si>
  <si>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</si>
  <si>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</si>
  <si>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</si>
  <si>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</si>
  <si>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</si>
  <si>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</si>
  <si>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</si>
  <si>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</si>
  <si>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</si>
  <si>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</si>
  <si>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</si>
  <si>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</si>
  <si>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</si>
  <si>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</si>
  <si>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</si>
  <si>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</si>
  <si>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</si>
  <si>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</si>
  <si>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</si>
  <si>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</si>
  <si>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</si>
  <si>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</si>
  <si>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</si>
  <si>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</si>
  <si>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</si>
  <si>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</si>
  <si>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</si>
  <si>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</si>
  <si>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</si>
  <si>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</si>
  <si>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</si>
  <si>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</si>
  <si>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</si>
  <si>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</si>
  <si>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</si>
  <si>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</si>
  <si>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</si>
  <si>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</si>
  <si>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</si>
  <si>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</si>
  <si>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</si>
  <si>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</si>
  <si>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</si>
  <si>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</si>
  <si>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</si>
  <si>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</si>
  <si>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</si>
  <si>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</si>
  <si>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</si>
  <si>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</si>
  <si>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</si>
  <si>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</si>
  <si>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</si>
  <si>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</si>
  <si>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</si>
  <si>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</si>
  <si>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</si>
  <si>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</si>
  <si>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</si>
  <si>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</si>
  <si>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</si>
  <si>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</si>
  <si>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</si>
  <si>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</si>
  <si>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</si>
  <si>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</si>
  <si>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</si>
  <si>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</si>
  <si>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</si>
  <si>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</si>
  <si>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</si>
  <si>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</si>
  <si>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</si>
  <si>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</si>
  <si>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</si>
  <si>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</si>
  <si>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</si>
  <si>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</si>
  <si>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</si>
  <si>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</si>
  <si>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</si>
  <si>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</si>
  <si>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</si>
  <si>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</si>
  <si>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</si>
  <si>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</si>
  <si>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</si>
  <si>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</si>
  <si>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</si>
  <si>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</si>
  <si>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</si>
  <si>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</si>
  <si>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</si>
  <si>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</si>
  <si>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</si>
  <si>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</si>
  <si>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</si>
  <si>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</si>
  <si>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</si>
  <si>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</si>
  <si>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</si>
  <si>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</si>
  <si>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</si>
  <si>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</si>
  <si>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</si>
  <si>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</si>
  <si>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</si>
  <si>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</si>
  <si>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</si>
  <si>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</si>
  <si>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</si>
  <si>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</si>
  <si>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</si>
  <si>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</si>
  <si>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</si>
  <si>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</si>
  <si>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</si>
  <si>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</si>
  <si>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</si>
  <si>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</si>
  <si>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</si>
  <si>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</si>
  <si>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</si>
  <si>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</si>
  <si>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</si>
  <si>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</si>
  <si>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</si>
  <si>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</si>
  <si>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</si>
  <si>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</si>
  <si>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</si>
  <si>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</si>
  <si>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</si>
  <si>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</si>
  <si>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</si>
  <si>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</si>
  <si>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</si>
  <si>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</si>
  <si>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</si>
  <si>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</si>
  <si>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</si>
  <si>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</si>
  <si>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</si>
  <si>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</si>
  <si>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</si>
  <si>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</si>
  <si>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</si>
  <si>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</si>
  <si>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</si>
  <si>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</si>
  <si>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</si>
  <si>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</si>
  <si>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</si>
  <si>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</si>
  <si>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</si>
  <si>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</si>
  <si>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</si>
  <si>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</si>
  <si>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</si>
  <si>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</si>
  <si>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</si>
  <si>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</si>
  <si>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</si>
  <si>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Subscribed</t>
  </si>
  <si>
    <t>In-Flight</t>
  </si>
  <si>
    <t>TWS Control NOT connected</t>
  </si>
  <si>
    <t>6B4G5 C1535</t>
  </si>
  <si>
    <t>6B4G5 P1530</t>
  </si>
  <si>
    <t>STP LMT</t>
  </si>
  <si>
    <t>Canceled</t>
  </si>
  <si>
    <t>6B4G5 C1540</t>
  </si>
  <si>
    <t>2015-2-23 16:28:53.609: Main - Initialize - initializing...</t>
  </si>
  <si>
    <t>2015-2-23 16:28:59.875: RTWSControl - nextValidId - entering nextValidId id is 10263</t>
  </si>
  <si>
    <t>2015-2-23 16:28:59.903: WatchlistView - initialize - an error occurredSelect method of Range class failed</t>
  </si>
  <si>
    <t>2015-2-23 16:28:59.942: RTWSControl - errMsg - got error message 2104:Market data farm connection is OK:usfuturewith id -1</t>
  </si>
  <si>
    <t>2015-2-23 16:28:59.947: RTWSControl - errMsg - got error message 2104:Market data farm connection is OK:usfuture.uswith id -1</t>
  </si>
  <si>
    <t>2015-2-23 16:28:59.952: RTWSControl - errMsg - got error message 2104:Market data farm connection is OK:cashfarmwith id -1</t>
  </si>
  <si>
    <t>2015-2-23 16:28:59.967: RTWSControl - errMsg - got error message 2104:Market data farm connection is OK:usfarmwith id -1</t>
  </si>
  <si>
    <t>2015-2-23 16:28:59.972: RTWSControl - errMsg - got error message 2106:HMDS data farm connection is OK:ilhmdswith id -1</t>
  </si>
  <si>
    <t>2015-2-23 16:29:0.28: RTWSControl - contractDetailsEx - got contractDetails id 0 British pound 6BH5</t>
  </si>
  <si>
    <t>2015-2-23 16:29:0.241: RTWSControl - contractDetailsEnd - Got contract details end event</t>
  </si>
  <si>
    <t>2015-2-23 16:29:6.561: Algorithm - updatePortfolio - haveAllDetails is False</t>
  </si>
  <si>
    <t>2015-2-23 16:29:6.613: Algorithm - updatePortfolio - haveAllDetails is False</t>
  </si>
  <si>
    <t>2015-2-23 16:29:6.657: Algorithm - updatePortfolio - haveAllDetails is False</t>
  </si>
  <si>
    <t>2015-2-23 16:29:6.698: Algorithm - updatePortfolio - haveAllDetails is False</t>
  </si>
  <si>
    <t>2015-2-23 16:29:6.737: Algorithm - updatePortfolio - haveAllDetails is False</t>
  </si>
  <si>
    <t>2015-2-23 16:29:6.799: RTWSControl - contractDetailsEx - got contractDetails id 0 British pound 6B4G5 C1535</t>
  </si>
  <si>
    <t>2015-2-23 16:29:6.803: RTWSControl - contractDetailsEnd - Got contract details end event</t>
  </si>
  <si>
    <t>2015-2-23 16:29:6.809: RTWSControl - contractDetailsEx - got contractDetails id 0 British pound 6B4G5 P1530</t>
  </si>
  <si>
    <t>2015-2-23 16:29:6.839: RTWSControl - contractDetailsEnd - Got contract details end event</t>
  </si>
  <si>
    <t>2015-2-23 16:29:6.928: RTWSControl - contractDetailsEx - got contractDetails id 0 British pound 6B4G5 C1540</t>
  </si>
  <si>
    <t>2015-2-23 16:29:6.945: RTWSControl - contractDetailsEnd - Got contract details end event</t>
  </si>
  <si>
    <t>2015-2-23 16:29:11.181: Algorithm - FindNextStrikes - price is 1.54625 nextStrikeUp/Down 9999/1.535</t>
  </si>
  <si>
    <t>2015-2-23 16:29:11.184: Algorithm - getPortfolioForwardDelta - required deltas is 5 currentHedgePosition is 5</t>
  </si>
  <si>
    <t>2015-2-23 16:29:11.185: Algorithm - getHedgeShortfall - required deltas is 5 price is 1.54625 currentHedgePositionDeltas is 5</t>
  </si>
  <si>
    <t>2015-2-23 16:29:11.186: Algorithm - processTransitionPoint - nextUpper/LowerStrikes are 9999/1.535 requiredDeltas/currentPosition/currentHedgeShortfall/direction/transitionPrice are 5/5/0/0/1.54625</t>
  </si>
  <si>
    <t>2015-2-23 16:29:11.189: TransitionLogger - processTransitionpoint - checking transition - currentHedgeShortfall is 0</t>
  </si>
  <si>
    <t>2015-2-23 16:29:11.196: Algorithm - updatePortfolio - haveAllDetails is True</t>
  </si>
  <si>
    <t>2015-2-23 16:29:11.216: Greeks - BSGamma - setting vol to 10% - original input vol was 0</t>
  </si>
  <si>
    <t>2015-2-23 16:29:11.217: Greeks - BSGamma - setting vol to 10% - original input vol was 0</t>
  </si>
  <si>
    <t>2015-2-23 16:29:11.266: Greeks - BSGamma - setting vol to 10% - original input vol was 0</t>
  </si>
  <si>
    <t>2015-2-23 16:29:21.359: MarketData - Let Delta - discarding new delta value - outside tolerance - old/new/tolerance 0.772177751210628/0.733437649174669//0.02</t>
  </si>
  <si>
    <t>2015-2-23 16:29:21.360: MarketData - Let ImpliedVol - discarding new iv value - outside tolerance - old/new/tolerance 8.62489266863182E-02/0.103815887300952//0.1</t>
  </si>
  <si>
    <t>2015-2-23 16:29:21.726: MarketData - Let Delta - discarding new delta value - outside tolerance - old/new/tolerance -0.157142341901054/-0.169312842959239//0.02</t>
  </si>
  <si>
    <t>2015-2-23 16:29:21.769: MarketData - Let Delta - discarding new delta value - outside tolerance - old/new/tolerance -0.157142341901054/-0.164034681589879//0.02</t>
  </si>
  <si>
    <t>2015-2-23 16:29:21.784: MarketData - Let Delta - discarding new delta value - outside tolerance - old/new/tolerance 0.772177751210628/0.755924484757484//0.02</t>
  </si>
  <si>
    <t>2015-2-23 16:29:21.812: MarketData - Let Delta - discarding new delta value - outside tolerance - old/new/tolerance -0.157142341901054/-0.156059696392156//0.02</t>
  </si>
  <si>
    <t>2015-2-23 16:29:21.827: MarketData - Let Delta - discarding new delta value - outside tolerance - old/new/tolerance -0.157142341901054/-0.168217742663269//0.02</t>
  </si>
  <si>
    <t>2015-2-23 16:29:21.869: MarketData - Let Delta - discarding new delta value - outside tolerance - old/new/tolerance 0.779344350985265/0.739000341343412//0.02</t>
  </si>
  <si>
    <t>2015-2-23 16:29:21.870: MarketData - Let ImpliedVol - discarding new iv value - outside tolerance - old/new/tolerance 8.52313300927466E-02/0.102794282093819//0.1</t>
  </si>
  <si>
    <t>2015-2-23 16:29:22.353: MarketData - Let Delta - discarding new delta value - outside tolerance - old/new/tolerance -0.157142341901054/-0.163216904660237//0.02</t>
  </si>
  <si>
    <t>2015-2-23 16:29:22.368: MarketData - Let Delta - discarding new delta value - outside tolerance - old/new/tolerance 0.779344350985265/0.756862914668624//0.02</t>
  </si>
  <si>
    <t>2015-2-23 16:29:22.369: MarketData - Let ImpliedVol - discarding new iv value - outside tolerance - old/new/tolerance 8.52313300927466E-02/9.42488202985174E-02//0.1</t>
  </si>
  <si>
    <t>2015-2-23 16:29:22.519: MarketData - Let Delta - discarding new delta value - outside tolerance - old/new/tolerance -0.157142341901054/-0.163240751186182//0.02</t>
  </si>
  <si>
    <t>2015-2-23 16:29:22.667: MarketData - Let Delta - discarding new delta value - outside tolerance - old/new/tolerance 0.779344350985265/0.756635802050675//0.02</t>
  </si>
  <si>
    <t>2015-2-23 16:29:22.669: MarketData - Let ImpliedVol - discarding new iv value - outside tolerance - old/new/tolerance 8.52313300927466E-02/9.43491618962824E-02//0.1</t>
  </si>
  <si>
    <t>2015-2-23 16:29:24.636: MarketData - Let Delta - discarding new delta value - outside tolerance - old/new/tolerance -0.157142341901054/-0.161731284207545//0.02</t>
  </si>
  <si>
    <t>2015-2-23 16:29:25.683: MarketData - Let Delta - discarding new delta value - outside tolerance - old/new/tolerance -0.157142341901054/-0.162970484577919//0.02</t>
  </si>
  <si>
    <t>2015-2-23 16:29:25.782: MarketData - Let Delta - discarding new delta value - outside tolerance - old/new/tolerance -0.157142341901054/-0.149031374279342//0.02</t>
  </si>
  <si>
    <t>2015-2-23 16:29:25.798: MarketData - Let Delta - discarding new delta value - outside tolerance - old/new/tolerance -0.157142341901054/-0.16763129480771//0.02</t>
  </si>
  <si>
    <t>2015-2-23 16:29:25.821: MarketData - Let Delta - discarding new delta value - outside tolerance - old/new/tolerance 0.757702632366897/0.780262495132112//0.02</t>
  </si>
  <si>
    <t>2015-2-23 16:29:25.845: MarketData - Let ImpliedVol - discarding new iv value - outside tolerance - old/new/tolerance 8.56968323449439E-02/0.1013078400761//0.1</t>
  </si>
  <si>
    <t>2015-2-23 16:29:31.649: MarketData - Let Delta - discarding new delta value - outside tolerance - old/new/tolerance -0.157142341901054/-0.161746893702763//0.02</t>
  </si>
  <si>
    <t>2015-2-23 16:29:31.706: MarketData - Let ImpliedVol - discarding new iv value - outside tolerance - old/new/tolerance 8.56968323449439E-02/0.103259231944408//0.1</t>
  </si>
  <si>
    <t>2015-2-23 16:29:33.454: MarketData - Let Delta - discarding new delta value - outside tolerance - old/new/tolerance -0.157142341901054/-0.163769257391633//0.02</t>
  </si>
  <si>
    <t>2015-2-23 16:29:33.510: MarketData - Let Delta - discarding new delta value - outside tolerance - old/new/tolerance 0.739949078028062/0.757065681057963//0.02</t>
  </si>
  <si>
    <t>2015-2-23 16:29:33.512: MarketData - Let ImpliedVol - discarding new iv value - outside tolerance - old/new/tolerance 8.56968323449439E-02/9.50428652772857E-02//0.1</t>
  </si>
  <si>
    <t>2015-2-23 16:29:39.780: MarketData - Let Delta - discarding new delta value - outside tolerance - old/new/tolerance -0.157142341901054/-0.163749463301927//0.02</t>
  </si>
  <si>
    <t>2015-2-23 16:29:39.844: MarketData - Let Delta - discarding new delta value - outside tolerance - old/new/tolerance 0.739949078028062/0.757083578865587//0.02</t>
  </si>
  <si>
    <t>2015-2-23 16:29:39.845: MarketData - Let ImpliedVol - discarding new iv value - outside tolerance - old/new/tolerance 8.56968323449439E-02/9.50428652772857E-02//0.1</t>
  </si>
  <si>
    <t>2015-2-23 16:29:39.937: MarketData - Let Delta - discarding new delta value - outside tolerance - old/new/tolerance 0.739949078028062/0.774933556759718//0.02</t>
  </si>
  <si>
    <t>2015-2-23 16:29:40.478: Autostop - activeBuyStop is nothing - placing order price/qty 1.569/10</t>
  </si>
  <si>
    <t>2015-2-23 16:29:40.493: OrderManager - PlaceOrder - id 10263 workingQty 10</t>
  </si>
  <si>
    <t>2015-2-23 16:29:40.497: OrderManagerView - UpdateMainSheetOpenOrder - entering UpdateMainSheetOpenOrder order.status is In-Flight</t>
  </si>
  <si>
    <t>2015-2-23 16:29:40.521: Autostop - activeSellStop is nothing - placing order price/qty 1.5452/-10</t>
  </si>
  <si>
    <t>2015-2-23 16:29:40.521: OrderManager - PlaceOrder - id 10264 workingQty 0</t>
  </si>
  <si>
    <t>2015-2-23 16:29:40.521: OrderManagerView - UpdateMainSheetOpenOrder - entering UpdateMainSheetOpenOrder order.status is In-Flight</t>
  </si>
  <si>
    <t>2015-2-23 16:29:41.325: openOrderEx - I am here</t>
  </si>
  <si>
    <t>2015-2-23 16:29:41.325: OrderManagerView - UpdateMainSheetOpenOrder - entering UpdateMainSheetOpenOrder order.status is In-Flight</t>
  </si>
  <si>
    <t>2015-2-23 16:29:41.344: RTWSControl - orderStatus -  entering orderStatus id is 10263 status is PreSubmitted</t>
  </si>
  <si>
    <t>2015-2-23 16:29:41.344: OrderManager - UpdateOrderStatus - id 10263 Setting status to PreSubmitted workingOrderCount is now 2 workingQty 0</t>
  </si>
  <si>
    <t>2015-2-23 16:29:41.345: OrderManagerView - UpdateMainSheetOpenOrder - entering UpdateMainSheetOpenOrder order.status is PreSubmitted</t>
  </si>
  <si>
    <t>2015-2-23 16:29:41.347: RTWSControl - OrderStatus - Got OrderStatus Message id:10263 status: PreSubmitted filled: 0</t>
  </si>
  <si>
    <t>2015-2-23 16:29:41.347: RTWSControl - OrderStatus - exiting orderStatus</t>
  </si>
  <si>
    <t>2015-2-23 16:29:41.428: openOrderEx - I am here</t>
  </si>
  <si>
    <t>2015-2-23 16:29:41.428: OrderManagerView - UpdateMainSheetOpenOrder - entering UpdateMainSheetOpenOrder order.status is In-Flight</t>
  </si>
  <si>
    <t>2015-2-23 16:29:41.438: RTWSControl - orderStatus -  entering orderStatus id is 10264 status is PreSubmitted</t>
  </si>
  <si>
    <t>2015-2-23 16:29:41.439: OrderManager - UpdateOrderStatus - id 10264 Setting status to PreSubmitted workingOrderCount is now 2 workingQty 0</t>
  </si>
  <si>
    <t>2015-2-23 16:29:41.440: OrderManagerView - UpdateMainSheetOpenOrder - entering UpdateMainSheetOpenOrder order.status is PreSubmitted</t>
  </si>
  <si>
    <t>2015-2-23 16:29:41.441: RTWSControl - OrderStatus - Got OrderStatus Message id:10264 status: PreSubmitted filled: 0</t>
  </si>
  <si>
    <t>2015-2-23 16:29:41.442: RTWSControl - OrderStatus - exiting orderStatus</t>
  </si>
  <si>
    <t>2015-2-23 16:29:42.389: MarketData - Let Delta - discarding new delta value - outside tolerance - old/new/tolerance -0.157142341901054/-0.162658236568708//0.02</t>
  </si>
  <si>
    <t>2015-2-23 16:29:42.434: MarketData - Let Delta - discarding new delta value - outside tolerance - old/new/tolerance 0.739949078028062/0.758708483431545//0.02</t>
  </si>
  <si>
    <t>2015-2-23 16:29:42.484: MarketData - Let Delta - discarding new delta value - outside tolerance - old/new/tolerance -0.157142341901054/-0.148578832916916//0.02</t>
  </si>
  <si>
    <t>2015-2-23 16:29:42.515: MarketData - Let Delta - discarding new delta value - outside tolerance - old/new/tolerance -0.157142341901054/-0.167111859068515//0.02</t>
  </si>
  <si>
    <t>2015-2-23 16:29:42.556: MarketData - Let Delta - discarding new delta value - outside tolerance - old/new/tolerance 0.739949078028062/0.786690978775052//0.02</t>
  </si>
  <si>
    <t>2015-2-23 16:29:42.557: MarketData - Let ImpliedVol - discarding new iv value - outside tolerance - old/new/tolerance 9.52025369885305E-02/8.42180492004625E-02//0.1</t>
  </si>
  <si>
    <t>2015-2-23 16:29:43.261: Algorithm - FindNextStrikes - price is 1.5459 nextStrikeUp/Down 9999/1.535</t>
  </si>
  <si>
    <t>2015-2-23 16:29:43.261: Algorithm - getPortfolioForwardDelta - required deltas is 5 currentHedgePosition is 5</t>
  </si>
  <si>
    <t>2015-2-23 16:29:43.261: Algorithm - getHedgeShortfall - required deltas is 5 price is 1.5458 currentHedgePositionDeltas is 5</t>
  </si>
  <si>
    <t>2015-2-23 16:29:43.262: Algorithm - processTransitionPoint - nextUpper/LowerStrikes are 9999/1.535 requiredDeltas/currentPosition/currentHedgeShortfall/direction/transitionPrice are 5/5/0/-1/1.5458</t>
  </si>
  <si>
    <t>2015-2-23 16:29:43.263: TransitionLogger - processTransitionpoint - checking transition - currentHedgeShortfall is 0</t>
  </si>
  <si>
    <t>2015-2-23 16:29:43.264: Algorithm - updatePortfolio - haveAllDetails is True</t>
  </si>
  <si>
    <t>2015-2-23 16:29:43.305: Algorithm - FindNextStrikes - price is 1.5459 nextStrikeUp/Down 9999/1.535</t>
  </si>
  <si>
    <t>2015-2-23 16:29:43.305: Algorithm - getPortfolioForwardDelta - required deltas is 5 currentHedgePosition is 5</t>
  </si>
  <si>
    <t>2015-2-23 16:29:43.305: Algorithm - getHedgeShortfall - required deltas is 5 price is 1.5458 currentHedgePositionDeltas is 5</t>
  </si>
  <si>
    <t>2015-2-23 16:29:43.306: Algorithm - processTransitionPoint - nextUpper/LowerStrikes are 9999/1.535 requiredDeltas/currentPosition/currentHedgeShortfall/direction/transitionPrice are 5/5/0/-1/1.5458</t>
  </si>
  <si>
    <t>2015-2-23 16:29:43.306: TransitionLogger - processTransitionpoint - checking transition - currentHedgeShortfall is 0</t>
  </si>
  <si>
    <t>2015-2-23 16:29:43.307: Algorithm - updatePortfolio - haveAllDetails is True</t>
  </si>
  <si>
    <t>2015-2-23 16:29:43.356: Algorithm - FindNextStrikes - price is 1.5459 nextStrikeUp/Down 9999/1.535</t>
  </si>
  <si>
    <t>2015-2-23 16:29:43.356: Algorithm - getPortfolioForwardDelta - required deltas is 5 currentHedgePosition is 5</t>
  </si>
  <si>
    <t>2015-2-23 16:29:43.356: Algorithm - getHedgeShortfall - required deltas is 5 price is 1.5458 currentHedgePositionDeltas is 5</t>
  </si>
  <si>
    <t>2015-2-23 16:29:43.357: Algorithm - processTransitionPoint - nextUpper/LowerStrikes are 9999/1.535 requiredDeltas/currentPosition/currentHedgeShortfall/direction/transitionPrice are 5/5/0/-1/1.5458</t>
  </si>
  <si>
    <t>2015-2-23 16:29:43.357: TransitionLogger - processTransitionpoint - checking transition - currentHedgeShortfall is 0</t>
  </si>
  <si>
    <t>2015-2-23 16:29:43.358: Algorithm - updatePortfolio - haveAllDetails is True</t>
  </si>
  <si>
    <t>2015-2-23 16:29:43.400: Algorithm - FindNextStrikes - price is 1.5459 nextStrikeUp/Down 9999/1.535</t>
  </si>
  <si>
    <t>2015-2-23 16:29:43.400: Algorithm - getPortfolioForwardDelta - required deltas is 5 currentHedgePosition is 5</t>
  </si>
  <si>
    <t>2015-2-23 16:29:43.400: Algorithm - getHedgeShortfall - required deltas is 5 price is 1.5458 currentHedgePositionDeltas is 5</t>
  </si>
  <si>
    <t>2015-2-23 16:29:43.401: Algorithm - processTransitionPoint - nextUpper/LowerStrikes are 9999/1.535 requiredDeltas/currentPosition/currentHedgeShortfall/direction/transitionPrice are 5/5/0/-1/1.5458</t>
  </si>
  <si>
    <t>2015-2-23 16:29:43.401: TransitionLogger - processTransitionpoint - checking transition - currentHedgeShortfall is 0</t>
  </si>
  <si>
    <t>2015-2-23 16:29:43.402: Algorithm - updatePortfolio - haveAllDetails is True</t>
  </si>
  <si>
    <t>2015-2-23 16:29:43.442: Algorithm - FindNextStrikes - price is 1.5459 nextStrikeUp/Down 9999/1.535</t>
  </si>
  <si>
    <t>2015-2-23 16:29:43.443: Algorithm - getPortfolioForwardDelta - required deltas is 5 currentHedgePosition is 5</t>
  </si>
  <si>
    <t>2015-2-23 16:29:43.443: Algorithm - getHedgeShortfall - required deltas is 5 price is 1.5458 currentHedgePositionDeltas is 5</t>
  </si>
  <si>
    <t>2015-2-23 16:29:43.443: Algorithm - processTransitionPoint - nextUpper/LowerStrikes are 9999/1.535 requiredDeltas/currentPosition/currentHedgeShortfall/direction/transitionPrice are 5/5/0/-1/1.5458</t>
  </si>
  <si>
    <t>2015-2-23 16:29:43.444: TransitionLogger - processTransitionpoint - checking transition - currentHedgeShortfall is 0</t>
  </si>
  <si>
    <t>2015-2-23 16:29:43.444: Algorithm - updatePortfolio - haveAllDetails is True</t>
  </si>
  <si>
    <t>2015-2-23 16:29:45.495: MarketData - Let Delta - discarding new delta value - outside tolerance - old/new/tolerance -0.157142341901054/-0.162914257529964//0.02</t>
  </si>
  <si>
    <t>2015-2-23 16:29:51.674: MarketData - Let Delta - discarding new delta value - outside tolerance - old/new/tolerance -0.157142341901054/-0.164406679459461//0.02</t>
  </si>
  <si>
    <t>2015-2-23 16:29:51.821: MarketData - Let Delta - discarding new delta value - outside tolerance - old/new/tolerance -0.157142341901054/-0.149010339636245//0.02</t>
  </si>
  <si>
    <t>2015-2-23 16:29:51.875: MarketData - Let Delta - discarding new delta value - outside tolerance - old/new/tolerance -0.157142341901054/-0.167631188367772//0.02</t>
  </si>
  <si>
    <t>2015-2-23 16:29:51.933: MarketData - Let Delta - discarding new delta value - outside tolerance - old/new/tolerance 0.756523189201093/0.774933556759718//0.02</t>
  </si>
  <si>
    <t>2015-2-23 16:29:51.951: MarketData - Let Delta - discarding new delta value - outside tolerance - old/new/tolerance 0.756523189201093/0.739965531045522//0.02</t>
  </si>
  <si>
    <t>2015-2-23 16:29:51.952: MarketData - Let ImpliedVol - discarding new iv value - outside tolerance - old/new/tolerance 8.76729737229339E-02/0.103259231944408//0.1</t>
  </si>
  <si>
    <t>2015-2-23 16:29:54.444: MarketData - Let Delta - discarding new delta value - outside tolerance - old/new/tolerance -0.157142341901054/-0.164370596728182//0.02</t>
  </si>
  <si>
    <t>2015-2-23 16:29:59.627: MarketData - Let Delta - discarding new delta value - outside tolerance - old/new/tolerance -0.157142341901054/-0.16287794753419//0.02</t>
  </si>
  <si>
    <t>2015-2-23 16:29:59.682: MarketData - Let Delta - discarding new delta value - outside tolerance - old/new/tolerance -0.157142341901054/-0.148578832916916//0.02</t>
  </si>
  <si>
    <t>2015-2-23 16:29:59.725: MarketData - Let Delta - discarding new delta value - outside tolerance - old/new/tolerance -0.157142341901054/-0.167111859068515//0.02</t>
  </si>
  <si>
    <t>2015-2-23 16:29:59.886: MarketData - Let Delta - discarding new delta value - outside tolerance - old/new/tolerance 0.758416912977875/0.781170685978352//0.02</t>
  </si>
  <si>
    <t>2015-2-23 16:29:59.934: MarketData - Let ImpliedVol - discarding new iv value - outside tolerance - old/new/tolerance 8.61695187916206E-02/0.10178134895991//0.1</t>
  </si>
  <si>
    <t>2015-2-23 16:30:1.582: MarketData - Let Delta - discarding new delta value - outside tolerance - old/new/tolerance -0.157142341901054/-0.163549205176896//0.02</t>
  </si>
  <si>
    <t>2015-2-23 16:30:1.642: MarketData - Let ImpliedVol - discarding new iv value - outside tolerance - old/new/tolerance 8.61695187916206E-02/0.095615793161187//0.1</t>
  </si>
  <si>
    <t>2015-2-23 16:30:10.445: MarketData - Let Delta - discarding new delta value - outside tolerance - old/new/tolerance -0.157142341901054/-0.163223311135609//0.02</t>
  </si>
  <si>
    <t>2015-2-23 16:30:10.491: MarketData - Let ImpliedVol - discarding new iv value - outside tolerance - old/new/tolerance 8.61695187916206E-02/9.54138786217626E-02//0.1</t>
  </si>
  <si>
    <t>2015-2-23 16:30:21.657: MarketData - Let Delta - discarding new delta value - outside tolerance - old/new/tolerance -0.157142341901054/-0.163549205176896//0.02</t>
  </si>
  <si>
    <t>2015-2-23 16:30:21.719: MarketData - Let ImpliedVol - discarding new iv value - outside tolerance - old/new/tolerance 8.61695187916206E-02/0.095615793161187//0.1</t>
  </si>
  <si>
    <t>2015-2-23 16:30:25.593: MarketData - Let Delta - discarding new delta value - outside tolerance - old/new/tolerance -0.157142341901054/-0.163223311135609//0.02</t>
  </si>
  <si>
    <t>2015-2-23 16:30:25.649: MarketData - Let ImpliedVol - discarding new iv value - outside tolerance - old/new/tolerance 8.61695187916206E-02/9.54138786217626E-02//0.1</t>
  </si>
  <si>
    <t>2015-2-23 16:30:27.874: MarketData - Let Delta - discarding new delta value - outside tolerance - old/new/tolerance -0.157142341901054/-0.164713798681244//0.02</t>
  </si>
  <si>
    <t>2015-2-23 16:30:27.914: MarketData - Let ImpliedVol - discarding new iv value - outside tolerance - old/new/tolerance 8.61695187916206E-02/9.54138786217626E-02//0.1</t>
  </si>
  <si>
    <t>2015-2-23 16:30:27.991: MarketData - Let Delta - discarding new delta value - outside tolerance - old/new/tolerance -0.157142341901054/-0.155534636746353//0.02</t>
  </si>
  <si>
    <t>2015-2-23 16:30:28.30: MarketData - Let Delta - discarding new delta value - outside tolerance - old/new/tolerance -0.157142341901054/-0.167631188367772//0.02</t>
  </si>
  <si>
    <t>2015-2-23 16:30:28.96: MarketData - Let Delta - discarding new delta value - outside tolerance - old/new/tolerance 0.756252488449049/0.780282373225985//0.02</t>
  </si>
  <si>
    <t>2015-2-23 16:30:28.114: MarketData - Let Delta - discarding new delta value - outside tolerance - old/new/tolerance 0.756252488449049/0.739965531045522//0.02</t>
  </si>
  <si>
    <t>2015-2-23 16:30:28.116: MarketData - Let ImpliedVol - discarding new iv value - outside tolerance - old/new/tolerance 8.56968323449439E-02/0.103259231944408//0.1</t>
  </si>
  <si>
    <t>2015-2-23 16:30:29.624: MarketData - Let Delta - discarding new delta value - outside tolerance - old/new/tolerance -0.157142341901054/-0.164877590809795//0.02</t>
  </si>
  <si>
    <t>2015-2-23 16:30:29.677: MarketData - Let ImpliedVol - discarding new iv value - outside tolerance - old/new/tolerance 8.56968323449439E-02/9.57324091660716E-02//0.1</t>
  </si>
  <si>
    <t>2015-2-23 16:30:33.631: MarketData - Let Delta - discarding new delta value - outside tolerance - old/new/tolerance -0.157142341901054/-0.164989030298074//0.02</t>
  </si>
  <si>
    <t>2015-2-23 16:30:33.683: MarketData - Let ImpliedVol - discarding new iv value - outside tolerance - old/new/tolerance 8.56968323449439E-02/0.095775058681479//0.1</t>
  </si>
  <si>
    <t>2015-2-23 16:30:37.613: MarketData - Let Delta - discarding new delta value - outside tolerance - old/new/tolerance -0.157142341901054/-0.16437137797453//0.02</t>
  </si>
  <si>
    <t>2015-2-23 16:30:37.674: MarketData - Let ImpliedVol - discarding new iv value - outside tolerance - old/new/tolerance 8.56968323449439E-02/9.59264538987341E-02//0.1</t>
  </si>
  <si>
    <t>2015-2-23 16:30:37.718: MarketData - Let Delta - discarding new delta value - outside tolerance - old/new/tolerance -0.157142341901054/-0.148578832916916//0.02</t>
  </si>
  <si>
    <t>2015-2-23 16:30:37.759: MarketData - Let Delta - discarding new delta value - outside tolerance - old/new/tolerance -0.157142341901054/-0.167111859068515//0.02</t>
  </si>
  <si>
    <t>2015-2-23 16:30:37.782: MarketData - Let Delta - discarding new delta value - outside tolerance - old/new/tolerance 0.757083409542772/0.781170685978352//0.02</t>
  </si>
  <si>
    <t>2015-2-23 16:30:37.826: MarketData - Let ImpliedVol - discarding new iv value - outside tolerance - old/new/tolerance 8.61695187916206E-02/0.10178134895991//0.1</t>
  </si>
  <si>
    <t>2015-2-23 16:30:38.655: MarketData - Let Delta - discarding new delta value - outside tolerance - old/new/tolerance -0.157142341901054/-0.162888268375247//0.02</t>
  </si>
  <si>
    <t>2015-2-23 16:30:38.690: MarketData - Let ImpliedVol - discarding new iv value - outside tolerance - old/new/tolerance 8.61695187916206E-02/9.59264538987341E-02//0.1</t>
  </si>
  <si>
    <t>2015-2-23 16:30:39.999: MarketData - Let Delta - discarding new delta value - outside tolerance - old/new/tolerance -0.157142341901054/-0.162868400405872//0.02</t>
  </si>
  <si>
    <t>2015-2-23 16:30:40.24: MarketData - Let ImpliedVol - discarding new iv value - outside tolerance - old/new/tolerance 8.61695187916206E-02/9.59264538987341E-02//0.1</t>
  </si>
  <si>
    <t>2015-2-23 16:30:40.66: MarketData - Let Delta - discarding new delta value - outside tolerance - old/new/tolerance -0.157142341901054/-0.154508951720283//0.02</t>
  </si>
  <si>
    <t>2015-2-23 16:30:40.84: MarketData - Let Delta - discarding new delta value - outside tolerance - old/new/tolerance -0.157142341901054/-0.1665337455291//0.02</t>
  </si>
  <si>
    <t>2015-2-23 16:30:40.114: MarketData - Let Delta - discarding new delta value - outside tolerance - old/new/tolerance 0.759069681920103/0.787579028716944//0.02</t>
  </si>
  <si>
    <t>2015-2-23 16:30:40.132: MarketData - Let ImpliedVol - discarding new iv value - outside tolerance - old/new/tolerance 8.46906847627093E-02/0.100303311178579//0.1</t>
  </si>
  <si>
    <t>2015-2-23 16:30:40.810: MarketData - Let Delta - discarding new delta value - outside tolerance - old/new/tolerance -0.157142341901054/-0.164351633576421//0.02</t>
  </si>
  <si>
    <t>2015-2-23 16:30:40.837: MarketData - Let ImpliedVol - discarding new iv value - outside tolerance - old/new/tolerance 8.46906847627093E-02/9.59264538987341E-02//0.1</t>
  </si>
  <si>
    <t>2015-2-23 16:30:41.747: MarketData - Let Delta - discarding new delta value - outside tolerance - old/new/tolerance -0.157142341901054/-0.164384834717232//0.02</t>
  </si>
  <si>
    <t>2015-2-23 16:30:41.776: MarketData - Let ImpliedVol - discarding new iv value - outside tolerance - old/new/tolerance 8.46906847627093E-02/9.59598232845025E-02//0.1</t>
  </si>
  <si>
    <t>2015-2-23 16:30:41.826: MarketData - Let Delta - discarding new delta value - outside tolerance - old/new/tolerance -0.157142341901054/-0.148557758413284//0.02</t>
  </si>
  <si>
    <t>2015-2-23 16:30:41.847: MarketData - Let Delta - discarding new delta value - outside tolerance - old/new/tolerance -0.157142341901054/-0.167092353209609//0.02</t>
  </si>
  <si>
    <t>2015-2-23 16:30:41.876: MarketData - Let Delta - discarding new delta value - outside tolerance - old/new/tolerance 0.757026989260399/0.781190641588132//0.02</t>
  </si>
  <si>
    <t>2015-2-23 16:30:41.898: MarketData - Let ImpliedVol - discarding new iv value - outside tolerance - old/new/tolerance 8.61695187916206E-02/0.10178134895991//0.1</t>
  </si>
  <si>
    <t>2015-2-23 16:30:42.449: MarketData - Let Delta - discarding new delta value - outside tolerance - old/new/tolerance -0.157142341901054/-0.162901809340158//0.02</t>
  </si>
  <si>
    <t>2015-2-23 16:30:42.509: MarketData - Let ImpliedVol - discarding new iv value - outside tolerance - old/new/tolerance 8.61695187916206E-02/9.59598232845025E-02//0.1</t>
  </si>
  <si>
    <t>2015-2-23 16:30:43.772: MarketData - Let Delta - discarding new delta value - outside tolerance - old/new/tolerance -0.157142341901054/-0.164384834717232//0.02</t>
  </si>
  <si>
    <t>2015-2-23 16:30:43.805: MarketData - Let ImpliedVol - discarding new iv value - outside tolerance - old/new/tolerance 8.61695187916206E-02/9.59598232845025E-02//0.1</t>
  </si>
  <si>
    <t>2015-2-23 16:30:43.866: MarketData - Let Delta - discarding new delta value - outside tolerance - old/new/tolerance -0.157142341901054/-0.155019503235117//0.02</t>
  </si>
  <si>
    <t>2015-2-23 16:30:45.691: MarketData - Let Delta - discarding new delta value - outside tolerance - old/new/tolerance -0.157142341901054/-0.162776081042902//0.02</t>
  </si>
  <si>
    <t>2015-2-23 16:30:45.712: MarketData - Let ImpliedVol - discarding new iv value - outside tolerance - old/new/tolerance 8.61695187916206E-02/9.57766785864962E-02//0.1</t>
  </si>
  <si>
    <t>2015-2-23 16:30:45.726: MarketData - Let Delta - discarding new delta value - outside tolerance - old/new/tolerance -0.157142341901054/-0.148006724837905//0.02</t>
  </si>
  <si>
    <t>2015-2-23 16:30:45.772: MarketData - Let Delta - discarding new delta value - outside tolerance - old/new/tolerance -0.157142341901054/-0.1665337455291//0.02</t>
  </si>
  <si>
    <t>2015-2-23 16:30:45.828: MarketData - Let Delta - discarding new delta value - outside tolerance - old/new/tolerance 0.759406967842212/0.787579028716944//0.02</t>
  </si>
  <si>
    <t>2015-2-23 16:30:45.851: MarketData - Let ImpliedVol - discarding new iv value - outside tolerance - old/new/tolerance 8.46906847627093E-02/0.100303311178579//0.1</t>
  </si>
  <si>
    <t>2015-2-23 16:30:49.658: MarketData - Let Delta - discarding new delta value - outside tolerance - old/new/tolerance -0.157142341901054/-0.162727760516471//0.02</t>
  </si>
  <si>
    <t>2015-2-23 16:30:49.708: MarketData - Let ImpliedVol - discarding new iv value - outside tolerance - old/new/tolerance 8.46906847627093E-02/9.57330394321971E-02//0.1</t>
  </si>
  <si>
    <t>2015-2-23 16:30:50.812: MarketData - Let Delta - discarding new delta value - outside tolerance - old/new/tolerance -0.157142341901054/-0.164211868421076//0.02</t>
  </si>
  <si>
    <t>2015-2-23 16:30:50.880: MarketData - Let ImpliedVol - discarding new iv value - outside tolerance - old/new/tolerance 8.46906847627093E-02/9.57330394321971E-02//0.1</t>
  </si>
  <si>
    <t>2015-2-23 16:30:51.591: MarketData - Let Delta - discarding new delta value - outside tolerance - old/new/tolerance -0.157142341901054/-0.148557758413284//0.02</t>
  </si>
  <si>
    <t>2015-2-23 16:30:51.663: MarketData - Let Delta - discarding new delta value - outside tolerance - old/new/tolerance -0.157142341901054/-0.167092353209609//0.02</t>
  </si>
  <si>
    <t>2015-2-23 16:30:51.698: MarketData - Let Delta - discarding new delta value - outside tolerance - old/new/tolerance 0.757533105221027/0.781190641588132//0.02</t>
  </si>
  <si>
    <t>2015-2-23 16:30:51.735: MarketData - Let ImpliedVol - discarding new iv value - outside tolerance - old/new/tolerance 8.61695187916206E-02/0.10178134895991//0.1</t>
  </si>
  <si>
    <t>2015-2-23 16:30:53.472: MarketData - Let Delta - discarding new delta value - outside tolerance - old/new/tolerance -0.157142341901054/-0.162727760516471//0.02</t>
  </si>
  <si>
    <t>2015-2-23 16:30:53.540: MarketData - Let ImpliedVol - discarding new iv value - outside tolerance - old/new/tolerance 8.61695187916206E-02/9.57330394321971E-02//0.1</t>
  </si>
  <si>
    <t>2015-2-23 16:30:53.597: MarketData - Let Delta - discarding new delta value - outside tolerance - old/new/tolerance -0.157142341901054/-0.148006724837905//0.02</t>
  </si>
  <si>
    <t>2015-2-23 16:30:53.612: MarketData - Let Delta - discarding new delta value - outside tolerance - old/new/tolerance -0.157142341901054/-0.1665337455291//0.02</t>
  </si>
  <si>
    <t>2015-2-23 16:30:53.652: MarketData - Let Delta - discarding new delta value - outside tolerance - old/new/tolerance 0.7595054408732/0.787579028716944//0.02</t>
  </si>
  <si>
    <t>2015-2-23 16:30:53.667: MarketData - Let ImpliedVol - discarding new iv value - outside tolerance - old/new/tolerance 8.46906847627093E-02/0.100303311178579//0.1</t>
  </si>
  <si>
    <t>2015-2-23 16:30:54.534: MarketData - Let Delta - discarding new delta value - outside tolerance - old/new/tolerance -0.157142341901054/-0.164211868421076//0.02</t>
  </si>
  <si>
    <t>2015-2-23 16:30:54.592: MarketData - Let ImpliedVol - discarding new iv value - outside tolerance - old/new/tolerance 8.46906847627093E-02/9.57330394321971E-02//0.1</t>
  </si>
  <si>
    <t>2015-2-23 16:30:55.600: MarketData - Let Delta - discarding new delta value - outside tolerance - old/new/tolerance -0.157142341901054/-0.148557758413284//0.02</t>
  </si>
  <si>
    <t>2015-2-23 16:30:55.615: MarketData - Let Delta - discarding new delta value - outside tolerance - old/new/tolerance -0.157142341901054/-0.167092353209609//0.02</t>
  </si>
  <si>
    <t>2015-2-23 16:30:55.654: MarketData - Let Delta - discarding new delta value - outside tolerance - old/new/tolerance 0.757533105221027/0.781190641588132//0.02</t>
  </si>
  <si>
    <t>2015-2-23 16:30:55.670: MarketData - Let Delta - discarding new delta value - outside tolerance - old/new/tolerance 0.757533105221027/0.740905829131957//0.02</t>
  </si>
  <si>
    <t>2015-2-23 16:30:55.671: MarketData - Let ImpliedVol - discarding new iv value - outside tolerance - old/new/tolerance 8.61695187916206E-02/0.103732822671815//0.1</t>
  </si>
  <si>
    <t>2015-2-23 16:30:56.767: MarketData - Let Delta - discarding new delta value - outside tolerance - old/new/tolerance -0.157142341901054/-0.162727760516471//0.02</t>
  </si>
  <si>
    <t>2015-2-23 16:30:56.804: MarketData - Let ImpliedVol - discarding new iv value - outside tolerance - old/new/tolerance 8.61695187916206E-02/9.57330394321971E-02//0.1</t>
  </si>
  <si>
    <t>2015-2-23 16:30:57.469: MarketData - Let Delta - discarding new delta value - outside tolerance - old/new/tolerance -0.157142341901054/-0.161818792759278//0.02</t>
  </si>
  <si>
    <t>2015-2-23 16:30:57.516: MarketData - Let ImpliedVol - discarding new iv value - outside tolerance - old/new/tolerance 8.61695187916206E-02/9.55473363778125E-02//0.1</t>
  </si>
  <si>
    <t>2015-2-23 16:30:57.566: MarketData - Let Delta - discarding new delta value - outside tolerance - old/new/tolerance -0.157142341901054/-0.148006724837905//0.02</t>
  </si>
  <si>
    <t>2015-2-23 16:30:57.606: MarketData - Let Delta - discarding new delta value - outside tolerance - old/new/tolerance -0.157142341901054/-0.1665337455291//0.02</t>
  </si>
  <si>
    <t>2015-2-23 16:30:57.626: MarketData - Let Delta - discarding new delta value - outside tolerance - old/new/tolerance 0.759925498492737/0.787579028716944//0.02</t>
  </si>
  <si>
    <t>2015-2-23 16:30:57.659: MarketData - Let ImpliedVol - discarding new iv value - outside tolerance - old/new/tolerance 8.46906847627093E-02/0.102254889695203//0.1</t>
  </si>
  <si>
    <t>2015-2-23 16:30:59.675: MarketData - Let Delta - discarding new delta value - outside tolerance - old/new/tolerance -0.157142341901054/-0.160673074319074//0.02</t>
  </si>
  <si>
    <t>2015-2-23 16:31:1.735: MarketData - Let Delta - discarding new delta value - outside tolerance - old/new/tolerance -0.157142341901054/-0.161120254755856//0.02</t>
  </si>
  <si>
    <t>2015-2-23 16:31:1.789: MarketData - Let Delta - discarding new delta value - outside tolerance - old/new/tolerance 0.745605321602156/0.760569968968736//0.02</t>
  </si>
  <si>
    <t>2015-2-23 16:31:1.791: MarketData - Let ImpliedVol - discarding new iv value - outside tolerance - old/new/tolerance 8.46906847627093E-02/9.52638293889336E-02//0.1</t>
  </si>
  <si>
    <t>2015-2-23 16:31:1.871: MarketData - Let Delta - discarding new delta value - outside tolerance - old/new/tolerance 0.745605321602156/0.782069077225061//0.02</t>
  </si>
  <si>
    <t>2015-2-23 16:31:3.512: MarketData - Let Delta - discarding new delta value - outside tolerance - old/new/tolerance 0.745605321602156/0.787579028716944//0.02</t>
  </si>
  <si>
    <t>2015-2-23 16:31:4.567: MarketData - Let Delta - discarding new delta value - outside tolerance - old/new/tolerance -0.157142341901054/-0.159626342367034//0.02</t>
  </si>
  <si>
    <t>2015-2-23 16:31:4.634: MarketData - Let Delta - discarding new delta value - outside tolerance - old/new/tolerance 0.745605321602156/0.762551727937354//0.02</t>
  </si>
  <si>
    <t>2015-2-23 16:31:4.636: MarketData - Let ImpliedVol - discarding new iv value - outside tolerance - old/new/tolerance 8.46906847627093E-02/9.52638293889336E-02//0.1</t>
  </si>
  <si>
    <t>2015-2-23 16:31:5.905: MarketData - Let Delta - discarding new delta value - outside tolerance - old/new/tolerance -0.157142341901054/-0.156549563250737//0.02</t>
  </si>
  <si>
    <t>2015-2-23 16:31:5.941: MarketData - Let Delta - discarding new delta value - outside tolerance - old/new/tolerance 0.745605321602156/0.765849089829501//0.02</t>
  </si>
  <si>
    <t>2015-2-23 16:31:5.942: MarketData - Let ImpliedVol - discarding new iv value - outside tolerance - old/new/tolerance 8.46906847627093E-02/9.47003860273981E-02//0.1</t>
  </si>
  <si>
    <t>2015-2-23 16:31:5.990: MarketData - Let Delta - discarding new delta value - outside tolerance - old/new/tolerance -0.157142341901054/-0.14699961869382//0.02</t>
  </si>
  <si>
    <t>2015-2-23 16:31:6.6: MarketData - Let Delta - discarding new delta value - outside tolerance - old/new/tolerance -0.157142341901054/-0.159606785278258//0.02</t>
  </si>
  <si>
    <t>2015-2-23 16:31:6.30: MarketData - Let Delta - discarding new delta value - outside tolerance - old/new/tolerance 0.745605321602156/0.783837021060348//0.02</t>
  </si>
  <si>
    <t>2015-2-23 16:31:6.44: MarketData - Let ImpliedVol - discarding new iv value - outside tolerance - old/new/tolerance 8.75732241141873E-02/0.105136287718329//0.1</t>
  </si>
  <si>
    <t>2015-2-23 16:31:7.706: MarketData - Let Delta - discarding new delta value - outside tolerance - old/new/tolerance -0.157142341901054/-0.153543265141518//0.02</t>
  </si>
  <si>
    <t>2015-2-23 16:31:7.733: MarketData - Let Delta - discarding new delta value - outside tolerance - old/new/tolerance 0.743659759275333/0.769834816568527//0.02</t>
  </si>
  <si>
    <t>2015-2-23 16:31:7.748: MarketData - Let Delta - discarding new delta value - outside tolerance - old/new/tolerance 0.652045776791061/0.666033707977458//0.02</t>
  </si>
  <si>
    <t>2015-2-23 16:31:7.776: MarketData - Let Delta - discarding new delta value - outside tolerance - old/new/tolerance -0.157142341901054/-0.146009374892081//0.02</t>
  </si>
  <si>
    <t>2015-2-23 16:31:7.791: MarketData - Let Delta - discarding new delta value - outside tolerance - old/new/tolerance -0.157142341901054/-0.158560741969171//0.02</t>
  </si>
  <si>
    <t>2015-2-23 16:31:7.822: MarketData - Let Delta - discarding new delta value - outside tolerance - old/new/tolerance 0.743659759275333/0.796756509870683//0.02</t>
  </si>
  <si>
    <t>2015-2-23 16:31:7.823: MarketData - Let ImpliedVol - discarding new iv value - outside tolerance - old/new/tolerance 9.47003860273981E-02/0.084601416604384//0.1</t>
  </si>
  <si>
    <t>2015-2-23 16:31:7.875: MarketData - Let Delta - discarding new delta value - outside tolerance - old/new/tolerance 0.652045776791061/0.670970514470294//0.02</t>
  </si>
  <si>
    <t>2015-2-23 16:31:8.737: MarketData - Let Delta - discarding new delta value - outside tolerance - old/new/tolerance -0.157142341901054/-0.155046316981907//0.02</t>
  </si>
  <si>
    <t>2015-2-23 16:31:9.691: MarketData - Let Delta - discarding new delta value - outside tolerance - old/new/tolerance -0.157142341901054/-0.156240833371335//0.02</t>
  </si>
  <si>
    <t>2015-2-23 16:31:9.749: MarketData - Let Delta - discarding new delta value - outside tolerance - old/new/tolerance -0.157142341901054/-0.146502381497031//0.02</t>
  </si>
  <si>
    <t>2015-2-23 16:31:9.775: MarketData - Let Delta - discarding new delta value - outside tolerance - old/new/tolerance -0.157142341901054/-0.159081645814843//0.02</t>
  </si>
  <si>
    <t>2015-2-23 16:31:9.795: MarketData - Let Delta - discarding new delta value - outside tolerance - old/new/tolerance 0.766850290744207/0.790185105800095//0.02</t>
  </si>
  <si>
    <t>2015-2-23 16:31:9.828: MarketData - Let Delta - discarding new delta value - outside tolerance - old/new/tolerance 0.766850290744207/0.748350192317118//0.02</t>
  </si>
  <si>
    <t>2015-2-23 16:31:9.829: MarketData - Let ImpliedVol - discarding new iv value - outside tolerance - old/new/tolerance 8.60873201831964E-02/0.103649809264494//0.1</t>
  </si>
  <si>
    <t>2015-2-23 16:31:10.623: MarketData - Let Delta - discarding new delta value - outside tolerance - old/new/tolerance -0.157142341901054/-0.154745070332563//0.02</t>
  </si>
  <si>
    <t>2015-2-23 16:31:10.650: MarketData - Let ImpliedVol - discarding new iv value - outside tolerance - old/new/tolerance 8.60873201831964E-02/9.51206710478019E-02//0.1</t>
  </si>
  <si>
    <t>2015-2-23 16:31:11.696: MarketData - Let Delta - discarding new delta value - outside tolerance - old/new/tolerance -0.157142341901054/-0.146009374892081//0.02</t>
  </si>
  <si>
    <t>2015-2-23 16:31:11.711: MarketData - Let Delta - discarding new delta value - outside tolerance - old/new/tolerance -0.157142341901054/-0.158560741969171//0.02</t>
  </si>
  <si>
    <t>2015-2-23 16:31:11.738: MarketData - Let Delta - discarding new delta value - outside tolerance - old/new/tolerance 0.768834251646223/0.791035254429366//0.02</t>
  </si>
  <si>
    <t>2015-2-23 16:31:11.753: MarketData - Let Delta - discarding new delta value - outside tolerance - old/new/tolerance 0.768834251646223/0.753177390970981//0.02</t>
  </si>
  <si>
    <t>2015-2-23 16:31:11.754: MarketData - Let ImpliedVol - discarding new iv value - outside tolerance - old/new/tolerance 8.65527286116894E-02/0.102163330774544//0.1</t>
  </si>
  <si>
    <t>2015-2-23 16:31:12.438: MarketData - Let Delta - discarding new delta value - outside tolerance - old/new/tolerance -0.157142341901054/-0.156240833371335//0.02</t>
  </si>
  <si>
    <t>2015-2-23 16:31:13.707: MarketData - Let Delta - discarding new delta value - outside tolerance - old/new/tolerance -0.157142341901054/-0.155151790684494//0.02</t>
  </si>
  <si>
    <t>2015-2-23 16:31:13.775: MarketData - Let Delta - discarding new delta value - outside tolerance - old/new/tolerance -0.157142341901054/-0.146502381497031//0.02</t>
  </si>
  <si>
    <t>2015-2-23 16:31:13.789: MarketData - Let Delta - discarding new delta value - outside tolerance - old/new/tolerance -0.157142341901054/-0.159081645814843//0.02</t>
  </si>
  <si>
    <t>2015-2-23 16:31:13.822: MarketData - Let Delta - discarding new delta value - outside tolerance - old/new/tolerance 0.76719565861786/0.784706939846061//0.02</t>
  </si>
  <si>
    <t>2015-2-23 16:31:13.837: MarketData - Let Delta - discarding new delta value - outside tolerance - old/new/tolerance 0.76719565861786/0.744566768046186//0.02</t>
  </si>
  <si>
    <t>2015-2-23 16:31:13.838: MarketData - Let ImpliedVol - discarding new iv value - outside tolerance - old/new/tolerance 8.80386542383651E-02/0.105601219544823//0.1</t>
  </si>
  <si>
    <t>2015-2-23 16:31:14.720: MarketData - Let Delta - discarding new delta value - outside tolerance - old/new/tolerance -0.157142341901054/-0.152147168468848//0.02</t>
  </si>
  <si>
    <t>2015-2-23 16:31:14.780: MarketData - Let Delta - discarding new delta value - outside tolerance - old/new/tolerance 0.653519812690656/0.667698385889577//0.02</t>
  </si>
  <si>
    <t>2015-2-23 16:31:15.646: MarketData - Let Delta - discarding new delta value - outside tolerance - old/new/tolerance -0.157142341901054/-0.145520446612643//0.02</t>
  </si>
  <si>
    <t>2015-2-23 16:31:15.677: MarketData - Let Delta - discarding new delta value - outside tolerance - old/new/tolerance -0.157142341901054/-0.158062808323569//0.02</t>
  </si>
  <si>
    <t>2015-2-23 16:31:15.730: MarketData - Let Delta - discarding new delta value - outside tolerance - old/new/tolerance 0.771169433965759/0.797584653582768//0.02</t>
  </si>
  <si>
    <t>2015-2-23 16:31:15.731: MarketData - Let ImpliedVol - discarding new iv value - outside tolerance - old/new/tolerance 9.49738910603486E-02/8.50669121447483E-02//0.1</t>
  </si>
  <si>
    <t>2015-2-23 16:31:15.767: MarketData - Let Delta - discarding new delta value - outside tolerance - old/new/tolerance 0.771169433965759/0.75406646023736//0.02</t>
  </si>
  <si>
    <t>2015-2-23 16:31:15.815: MarketData - Let Delta - discarding new delta value - outside tolerance - old/new/tolerance 0.653519812690656/0.66953446755601//0.02</t>
  </si>
  <si>
    <t>2015-2-23 16:31:15.942: Cancel-Replacing active buy stop because of priceTolerance - required price/current price/tickTolerance is 1.5699/1.5689/10</t>
  </si>
  <si>
    <t>2015-2-23 16:31:15.944: OrderManager - cancelOrder - cancelling order id 10263</t>
  </si>
  <si>
    <t>2015-2-23 16:31:15.944: OrderManager - PlaceOrder - id 10265 workingQty 10</t>
  </si>
  <si>
    <t>2015-2-23 16:31:15.944: OrderManagerView - UpdateMainSheetOpenOrder - entering UpdateMainSheetOpenOrder order.status is In-Flight</t>
  </si>
  <si>
    <t>2015-2-23 16:31:16.192: RTWSControl - orderStatus -  entering orderStatus id is 10263 status is Cancelled</t>
  </si>
  <si>
    <t>2015-2-23 16:31:16.193: OrderManager - UpdateOrderStatus - id 10263 Setting status to Cancelled workingOrderCount is now 3 workingQty 10</t>
  </si>
  <si>
    <t>2015-2-23 16:31:16.193: OrderManagerView - UpdateMainSheetOpenOrder - entering UpdateMainSheetOpenOrder order.status is Cancelled</t>
  </si>
  <si>
    <t>2015-2-23 16:31:16.195: RTWSControl - OrderStatus - Got OrderStatus Message id:10263 status: Cancelled filled: 0</t>
  </si>
  <si>
    <t>2015-2-23 16:31:16.195: RTWSControl - OrderStatus - exiting orderStatus</t>
  </si>
  <si>
    <t>2015-2-23 16:31:16.202: RTWSControl - errMsg - got error message 202:Order Canceled - reason:with id 10263</t>
  </si>
  <si>
    <t>2015-2-23 16:31:16.202: OrderManager - canceledOrder - cleaning up after canceled order 10263BEWARE UNACCOUNTED FOR EXECUTIONS!!!</t>
  </si>
  <si>
    <t>2015-2-23 16:31:16.203: OrderManager - terminateOrder - cleaning up after Canceled 10263  order was supposed to BUY 10 1.5699 STP LMT workingQty/OrderCount now 0/2</t>
  </si>
  <si>
    <t>2015-2-23 16:31:16.205: OrderManagerView - UpdateMainSheetOpenOrder - entering UpdateMainSheetOpenOrder order.status is Canceled</t>
  </si>
  <si>
    <t>2015-2-23 16:31:16.298: openOrderEx - I am here</t>
  </si>
  <si>
    <t>2015-2-23 16:31:16.298: OrderManagerView - UpdateMainSheetOpenOrder - entering UpdateMainSheetOpenOrder order.status is In-Flight</t>
  </si>
  <si>
    <t>2015-2-23 16:31:16.306: RTWSControl - orderStatus -  entering orderStatus id is 10265 status is PreSubmitted</t>
  </si>
  <si>
    <t>2015-2-23 16:31:16.307: OrderManager - UpdateOrderStatus - id 10265 Setting status to PreSubmitted workingOrderCount is now 2 workingQty 0</t>
  </si>
  <si>
    <t>2015-2-23 16:31:16.308: OrderManagerView - UpdateMainSheetOpenOrder - entering UpdateMainSheetOpenOrder order.status is PreSubmitted</t>
  </si>
  <si>
    <t>2015-2-23 16:31:16.309: RTWSControl - OrderStatus - Got OrderStatus Message id:10265 status: PreSubmitted filled: 0</t>
  </si>
  <si>
    <t>2015-2-23 16:31:16.310: RTWSControl - OrderStatus - exiting orderStatus</t>
  </si>
  <si>
    <t>2015-2-23 16:31:16.515: MarketData - Let Delta - discarding new delta value - outside tolerance - old/new/tolerance -0.157142341901054/-0.150645148782478//0.02</t>
  </si>
  <si>
    <t>2015-2-23 16:31:17.613: MarketData - Let Delta - discarding new delta value - outside tolerance - old/new/tolerance -0.157142341901054/-0.151800718992778//0.02</t>
  </si>
  <si>
    <t>2015-2-23 16:31:17.738: MarketData - Let Delta - discarding new delta value - outside tolerance - old/new/tolerance -0.157142341901054/-0.145035574144954//0.02</t>
  </si>
  <si>
    <t>2015-2-23 16:31:17.753: MarketData - Let Delta - discarding new delta value - outside tolerance - old/new/tolerance -0.157142341901054/-0.157551254257034//0.02</t>
  </si>
  <si>
    <t>2015-2-23 16:31:17.782: MarketData - Let Delta - discarding new delta value - outside tolerance - old/new/tolerance 0.772920716880248/0.804366958859864//0.02</t>
  </si>
  <si>
    <t>2015-2-23 16:31:17.783: MarketData - Let ImpliedVol - discarding new iv value - outside tolerance - old/new/tolerance 9.50712232567525E-02/0.083581186718222//0.1</t>
  </si>
  <si>
    <t>2015-2-23 16:31:19.645: MarketData - Let Delta - discarding new delta value - outside tolerance - old/new/tolerance -0.157142341901054/-0.145520446612643//0.02</t>
  </si>
  <si>
    <t>2015-2-23 16:31:19.659: MarketData - Let Delta - discarding new delta value - outside tolerance - old/new/tolerance -0.157142341901054/-0.158062808323569//0.02</t>
  </si>
  <si>
    <t>2015-2-23 16:31:19.865: MarketData - Let Delta - discarding new delta value - outside tolerance - old/new/tolerance -0.157142341901054/-0.153295816022237//0.02</t>
  </si>
  <si>
    <t>2015-2-23 16:31:19.894: MarketData - Let Delta - discarding new delta value - outside tolerance - old/new/tolerance 0.758999080115041/0.797584653582768//0.02</t>
  </si>
  <si>
    <t>2015-2-23 16:31:19.895: MarketData - Let ImpliedVol - discarding new iv value - outside tolerance - old/new/tolerance 0.101154512030415/8.50669121447483E-02//0.1</t>
  </si>
  <si>
    <t>2015-2-23 16:31:20.659: MarketData - Let Delta - discarding new delta value - outside tolerance - old/new/tolerance -0.157142341901054/-0.1547911064332//0.02</t>
  </si>
  <si>
    <t>2015-2-23 16:31:21.213: OrderManagerView - UpdateMainSheetOpenOrder - entering UpdateMainSheetOpenOrder order.status is PreSubmitted</t>
  </si>
  <si>
    <t>2015-2-23 16:31:21.223: OrderManagerView - UpdateMainSheetOpenOrder - entering UpdateMainSheetOpenOrder order.status is PreSubmitted</t>
  </si>
  <si>
    <t>2015-2-23 16:31:21.228: OrderManagerView - UpdateMainSheetOpenOrder - entering UpdateMainSheetOpenOrder order.status is PreSubmitted</t>
  </si>
  <si>
    <t>2015-2-23 16:31:21.668: MarketData - Let Delta - discarding new delta value - outside tolerance - old/new/tolerance -0.157142341901054/-0.153387979752238//0.02</t>
  </si>
  <si>
    <t>2015-2-23 16:31:22.617: MarketData - Let Delta - discarding new delta value - outside tolerance - old/new/tolerance -0.157142341901054/-0.154882714627193//0.02</t>
  </si>
  <si>
    <t>2015-2-23 16:31:23.447: MarketData - Let Delta - discarding new delta value - outside tolerance - old/new/tolerance -0.157142341901054/-0.146009374892081//0.02</t>
  </si>
  <si>
    <t>2015-2-23 16:31:23.512: MarketData - Let Delta - discarding new delta value - outside tolerance - old/new/tolerance -0.157142341901054/-0.158560741969171//0.02</t>
  </si>
  <si>
    <t>2015-2-23 16:31:23.661: MarketData - Let Delta - discarding new delta value - outside tolerance - old/new/tolerance 0.768642508888834/0.791035254429366//0.02</t>
  </si>
  <si>
    <t>2015-2-23 16:31:23.705: MarketData - Let Delta - discarding new delta value - outside tolerance - old/new/tolerance 0.768642508888834/0.753177390970981//0.02</t>
  </si>
  <si>
    <t>2015-2-23 16:31:23.706: MarketData - Let ImpliedVol - discarding new iv value - outside tolerance - old/new/tolerance 8.65527286116894E-02/0.102163330774544//0.1</t>
  </si>
  <si>
    <t>2015-2-23 16:31:25.522: MarketData - Let Delta - discarding new delta value - outside tolerance - old/new/tolerance -0.157142341901054/-0.155139968419779//0.02</t>
  </si>
  <si>
    <t>2015-2-23 16:31:25.564: MarketData - Let ImpliedVol - discarding new iv value - outside tolerance - old/new/tolerance 8.65527286116894E-02/0.095417558236953//0.1</t>
  </si>
  <si>
    <t>2015-2-23 16:31:25.638: MarketData - Let Delta - discarding new delta value - outside tolerance - old/new/tolerance 0.768132807118417/0.749248665223405//0.02</t>
  </si>
  <si>
    <t>2015-2-23 16:31:25.638: MarketData - Let ImpliedVol - discarding new iv value - outside tolerance - old/new/tolerance 8.65527286116894E-02/0.104114749159886//0.1</t>
  </si>
  <si>
    <t>2015-2-23 16:31:29.459: MarketData - Let Delta - discarding new delta value - outside tolerance - old/new/tolerance -0.157142341901054/-0.155547379928386//0.02</t>
  </si>
  <si>
    <t>2015-2-23 16:31:29.501: MarketData - Let ImpliedVol - discarding new iv value - outside tolerance - old/new/tolerance 8.65527286116894E-02/0.095594336866327//0.1</t>
  </si>
  <si>
    <t>2015-2-23 16:31:31.603: MarketData - Let Delta - discarding new delta value - outside tolerance - old/new/tolerance 0.767717222774532/0.785567671903156//0.02</t>
  </si>
  <si>
    <t>2015-2-23 16:31:33.543: MarketData - Let Delta - discarding new delta value - outside tolerance - old/new/tolerance -0.157142341901054/-0.154332708386377//0.02</t>
  </si>
  <si>
    <t>2015-2-23 16:31:33.574: MarketData - Let Delta - discarding new delta value - outside tolerance - old/new/tolerance -0.157142341901054/-0.145520446612643//0.02</t>
  </si>
  <si>
    <t>2015-2-23 16:31:33.606: MarketData - Let Delta - discarding new delta value - outside tolerance - old/new/tolerance -0.157142341901054/-0.158062808323569//0.02</t>
  </si>
  <si>
    <t>2015-2-23 16:31:33.689: MarketData - Let Delta - discarding new delta value - outside tolerance - old/new/tolerance 0.769443874929895/0.791876089699288//0.02</t>
  </si>
  <si>
    <t>2015-2-23 16:31:33.703: MarketData - Let ImpliedVol - discarding new iv value - outside tolerance - old/new/tolerance 8.70181710729775E-02/0.102628278847588//0.1</t>
  </si>
  <si>
    <t>2015-2-23 16:31:35.442: MarketData - Let Delta - discarding new delta value - outside tolerance - old/new/tolerance 0.75406646023736/0.797584653582768//0.02</t>
  </si>
  <si>
    <t>2015-2-23 16:31:37.695: MarketData - Let Delta - discarding new delta value - outside tolerance - old/new/tolerance -0.157142341901054/-0.152738888262467//0.02</t>
  </si>
  <si>
    <t>2015-2-23 16:31:37.729: MarketData - Let Delta - discarding new delta value - outside tolerance - old/new/tolerance -0.157142341901054/-0.145035574144954//0.02</t>
  </si>
  <si>
    <t>2015-2-23 16:31:37.743: MarketData - Let Delta - discarding new delta value - outside tolerance - old/new/tolerance -0.157142341901054/-0.157551254257034//0.02</t>
  </si>
  <si>
    <t>2015-2-23 16:31:37.785: MarketData - Let Delta - discarding new delta value - outside tolerance - old/new/tolerance 0.75406646023736/0.771696667235696//0.02</t>
  </si>
  <si>
    <t>2015-2-23 16:31:37.786: MarketData - Let ImpliedVol - discarding new iv value - outside tolerance - old/new/tolerance 8.50669121447483E-02/9.55809868947384E-02//0.1</t>
  </si>
  <si>
    <t>2015-2-23 16:31:37.831: MarketData - Let Delta - discarding new delta value - outside tolerance - old/new/tolerance 0.75406646023736/0.804366958859864//0.02</t>
  </si>
  <si>
    <t>2015-2-23 16:31:37.854: MarketData - Let ImpliedVol - discarding new iv value - outside tolerance - old/new/tolerance 0.083581186718222/0.101154512030415//0.1</t>
  </si>
  <si>
    <t>2015-2-23 16:31:39.726: MarketData - Let Delta - discarding new delta value - outside tolerance - old/new/tolerance -0.157142341901054/-0.154207770166549//0.02</t>
  </si>
  <si>
    <t>2015-2-23 16:31:39.750: MarketData - Let ImpliedVol - discarding new iv value - outside tolerance - old/new/tolerance 0.083581186718222/9.55809868947384E-02//0.1</t>
  </si>
  <si>
    <t>2015-2-23 16:31:39.814: MarketData - Let Delta - discarding new delta value - outside tolerance - old/new/tolerance -0.157142341901054/-0.145499121419564//0.02</t>
  </si>
  <si>
    <t>2015-2-23 16:31:39.829: MarketData - Let Delta - discarding new delta value - outside tolerance - old/new/tolerance -0.157142341901054/-0.158042544759095//0.02</t>
  </si>
  <si>
    <t>2015-2-23 16:31:39.866: MarketData - Let Delta - discarding new delta value - outside tolerance - old/new/tolerance 0.769741696207147/0.797605987197442//0.02</t>
  </si>
  <si>
    <t>2015-2-23 16:31:39.882: MarketData - Let Delta - discarding new delta value - outside tolerance - old/new/tolerance 0.769741696207147/0.754084099152725//0.02</t>
  </si>
  <si>
    <t>2015-2-23 16:31:39.883: MarketData - Let ImpliedVol - discarding new iv value - outside tolerance - old/new/tolerance 8.50669121447483E-02/0.102628278847588//0.1</t>
  </si>
  <si>
    <t>2015-2-23 16:31:41.451: MarketData - Let Delta - discarding new delta value - outside tolerance - old/new/tolerance -0.157142341901054/-0.153783084197808//0.02</t>
  </si>
  <si>
    <t>2015-2-23 16:31:41.511: MarketData - Let ImpliedVol - discarding new iv value - outside tolerance - old/new/tolerance 8.50669121447483E-02/0.095462444181706//0.1</t>
  </si>
  <si>
    <t>2015-2-23 16:31:41.569: MarketData - Let Delta - discarding new delta value - outside tolerance - old/new/tolerance 0.770022749048329/0.791896939635982//0.02</t>
  </si>
  <si>
    <t>2015-2-23 16:31:43.452: MarketData - Let Delta - discarding new delta value - outside tolerance - old/new/tolerance -0.157142341901054/-0.155275437472549//0.02</t>
  </si>
  <si>
    <t>2015-2-23 16:31:43.485: MarketData - Let Delta - discarding new delta value - outside tolerance - old/new/tolerance -0.157142341901054/-0.1459880891412//0.02</t>
  </si>
  <si>
    <t>2015-2-23 16:31:43.499: MarketData - Let Delta - discarding new delta value - outside tolerance - old/new/tolerance -0.157142341901054/-0.158540518585728//0.02</t>
  </si>
  <si>
    <t>2015-2-23 16:31:43.548: MarketData - Let Delta - discarding new delta value - outside tolerance - old/new/tolerance 0.7680459564825/0.785587989793273//0.02</t>
  </si>
  <si>
    <t>2015-2-23 16:31:43.581: MarketData - Let Delta - discarding new delta value - outside tolerance - old/new/tolerance 0.7680459564825/0.749265896971763//0.02</t>
  </si>
  <si>
    <t>2015-2-23 16:31:43.582: MarketData - Let ImpliedVol - discarding new iv value - outside tolerance - old/new/tolerance 8.85040540749182E-02/0.104114749159886//0.1</t>
  </si>
  <si>
    <t>2015-2-23 16:31:44.798: MarketData - Let Delta - discarding new delta value - outside tolerance - old/new/tolerance -0.157142341901054/-0.152290923933396//0.02</t>
  </si>
  <si>
    <t>2015-2-23 16:31:45.684: MarketData - Let Delta - discarding new delta value - outside tolerance - old/new/tolerance -0.157142341901054/-0.151967008417691//0.02</t>
  </si>
  <si>
    <t>2015-2-23 16:31:45.823: MarketData - Let Delta - discarding new delta value - outside tolerance - old/new/tolerance -0.157142341901054/-0.145014209849286//0.02</t>
  </si>
  <si>
    <t>2015-2-23 16:31:45.842: MarketData - Let Delta - discarding new delta value - outside tolerance - old/new/tolerance -0.157142341901054/-0.157530949354193//0.02</t>
  </si>
  <si>
    <t>2015-2-23 16:31:45.868: MarketData - Let Delta - discarding new delta value - outside tolerance - old/new/tolerance 0.772579559194094/0.798403757133037//0.02</t>
  </si>
  <si>
    <t>2015-2-23 16:31:45.869: MarketData - Let ImpliedVol - discarding new iv value - outside tolerance - old/new/tolerance 0.09522072567907/8.55395415142364E-02//0.1</t>
  </si>
  <si>
    <t>2015-2-23 16:31:47.524: MarketData - Let Delta - discarding new delta value - outside tolerance - old/new/tolerance -0.157142341901054/-0.150473100803506//0.02</t>
  </si>
  <si>
    <t>2015-2-23 16:31:47.555: MarketData - Let Delta - discarding new delta value - outside tolerance - old/new/tolerance 0.759017135781768/0.774560839439975//0.02</t>
  </si>
  <si>
    <t>2015-2-23 16:31:47.646: MarketData - Let Delta - discarding new delta value - outside tolerance - old/new/tolerance -0.157142341901054/-0.144554710325396//0.02</t>
  </si>
  <si>
    <t>2015-2-23 16:31:47.660: MarketData - Let Delta - discarding new delta value - outside tolerance - old/new/tolerance -0.157142341901054/-0.157043723234006//0.02</t>
  </si>
  <si>
    <t>2015-2-23 16:31:47.698: MarketData - Let Delta - discarding new delta value - outside tolerance - old/new/tolerance 0.759017135781768/0.805212783207888//0.02</t>
  </si>
  <si>
    <t>2015-2-23 16:31:47.699: MarketData - Let ImpliedVol - discarding new iv value - outside tolerance - old/new/tolerance 0.09522072567907/8.40375219101318E-02//0.1</t>
  </si>
  <si>
    <t>2015-2-23 16:31:49.541: MarketData - Let Delta - discarding new delta value - outside tolerance - old/new/tolerance -0.157142341901054/-0.152167691871583//0.02</t>
  </si>
  <si>
    <t>2015-2-23 16:31:49.611: MarketData - Let Delta - discarding new delta value - outside tolerance - old/new/tolerance -0.157142341901054/-0.145014209849286//0.02</t>
  </si>
  <si>
    <t>2015-2-23 16:31:49.625: MarketData - Let Delta - discarding new delta value - outside tolerance - old/new/tolerance -0.157142341901054/-0.157530949354193//0.02</t>
  </si>
  <si>
    <t>2015-2-23 16:31:49.659: MarketData - Let Delta - discarding new delta value - outside tolerance - old/new/tolerance 0.772170333521493/0.798403757133037//0.02</t>
  </si>
  <si>
    <t>2015-2-23 16:31:49.659: MarketData - Let ImpliedVol - discarding new iv value - outside tolerance - old/new/tolerance 9.53910643068525E-02/8.55395415142364E-02//0.1</t>
  </si>
  <si>
    <t>2015-2-23 16:31:49.676: MarketData - Let Delta - discarding new delta value - outside tolerance - old/new/tolerance 0.772170333521493/0.754938153874867//0.02</t>
  </si>
  <si>
    <t>2015-2-23 16:31:51.811: MarketData - Let Delta - discarding new delta value - outside tolerance - old/new/tolerance 0.772170333521493/0.792707990441023//0.02</t>
  </si>
  <si>
    <t>2015-2-23 16:31:51.811: MarketData - Let ImpliedVol - discarding new iv value - outside tolerance - old/new/tolerance 0.103106378799806/8.74908967648967E-02//0.1</t>
  </si>
  <si>
    <t>2015-2-23 16:31:53.760: MarketData - Let Delta - discarding new delta value - outside tolerance - old/new/tolerance -0.157142341901054/-0.152373471337556//0.02</t>
  </si>
  <si>
    <t>2015-2-23 16:31:57.83: MarketData - Let Delta - discarding new delta value - outside tolerance - old/new/tolerance -0.157142341901054/-0.150881998496251//0.02</t>
  </si>
  <si>
    <t>2015-2-23 16:31:57.528: MarketData - Let Delta - discarding new delta value - outside tolerance - old/new/tolerance -0.157142341901054/-0.152397302429909//0.02</t>
  </si>
  <si>
    <t>2015-2-23 16:31:59.691: MarketData - Let Delta - discarding new delta value - outside tolerance - old/new/tolerance -0.157142341901054/-0.150905972341659//0.02</t>
  </si>
  <si>
    <t>2015-2-23 16:31:59.772: MarketData - Let Delta - discarding new delta value - outside tolerance - old/new/tolerance -0.157142341901054/-0.144554710325396//0.02</t>
  </si>
  <si>
    <t>2015-2-23 16:31:59.786: MarketData - Let Delta - discarding new delta value - outside tolerance - old/new/tolerance -0.157142341901054/-0.150956512122364//0.02</t>
  </si>
  <si>
    <t>2015-2-23 16:31:59.824: MarketData - Let Delta - discarding new delta value - outside tolerance - old/new/tolerance 0.773910778705127/0.799213943143202//0.02</t>
  </si>
  <si>
    <t>2015-2-23 16:31:59.840: MarketData - Let Delta - discarding new delta value - outside tolerance - old/new/tolerance 0.773910778705127/0.755820602839374//0.02</t>
  </si>
  <si>
    <t>2015-2-23 16:31:59.841: MarketData - Let ImpliedVol - discarding new iv value - outside tolerance - old/new/tolerance 8.60050187994274E-02/0.103566723858974//0.1</t>
  </si>
  <si>
    <t>2015-2-23 16:32:1.19: Cancel-Replacing active sell stop because of priceTolerance - required price/current price/tickTolerance is 1.5461/1.5451/10</t>
  </si>
  <si>
    <t>2015-2-23 16:32:1.20: OrderManager - cancelOrder - cancelling order id 10264</t>
  </si>
  <si>
    <t>2015-2-23 16:32:1.20: OrderManager - PlaceOrder - id 10266 workingQty -10</t>
  </si>
  <si>
    <t>2015-2-23 16:32:1.20: OrderManagerView - UpdateMainSheetOpenOrder - entering UpdateMainSheetOpenOrder order.status is In-Flight</t>
  </si>
  <si>
    <t>2015-2-23 16:32:1.335: RTWSControl - orderStatus -  entering orderStatus id is 10264 status is Cancelled</t>
  </si>
  <si>
    <t>2015-2-23 16:32:1.336: OrderManager - UpdateOrderStatus - id 10264 Setting status to Cancelled workingOrderCount is now 3 workingQty -10</t>
  </si>
  <si>
    <t>2015-2-23 16:32:1.336: OrderManagerView - UpdateMainSheetOpenOrder - entering UpdateMainSheetOpenOrder order.status is Cancelled</t>
  </si>
  <si>
    <t>2015-2-23 16:32:1.338: RTWSControl - OrderStatus - Got OrderStatus Message id:10264 status: Cancelled filled: 0</t>
  </si>
  <si>
    <t>2015-2-23 16:32:1.338: RTWSControl - OrderStatus - exiting orderStatus</t>
  </si>
  <si>
    <t>2015-2-23 16:32:1.345: RTWSControl - errMsg - got error message 202:Order Canceled - reason:with id 10264</t>
  </si>
  <si>
    <t>2015-2-23 16:32:1.345: OrderManager - canceledOrder - cleaning up after canceled order 10264BEWARE UNACCOUNTED FOR EXECUTIONS!!!</t>
  </si>
  <si>
    <t>2015-2-23 16:32:1.346: OrderManager - terminateOrder - cleaning up after Canceled 10264  order was supposed to SELL 10 1.5442 STP LMT workingQty/OrderCount now -20/2</t>
  </si>
  <si>
    <t>2015-2-23 16:32:1.347: OrderManagerView - UpdateMainSheetOpenOrder - entering UpdateMainSheetOpenOrder order.status is Canceled</t>
  </si>
  <si>
    <t>2015-2-23 16:32:1.370: openOrderEx - I am here</t>
  </si>
  <si>
    <t>2015-2-23 16:32:1.370: OrderManagerView - UpdateMainSheetOpenOrder - entering UpdateMainSheetOpenOrder order.status is In-Flight</t>
  </si>
  <si>
    <t>2015-2-23 16:32:1.379: RTWSControl - orderStatus -  entering orderStatus id is 10266 status is PreSubmitted</t>
  </si>
  <si>
    <t>2015-2-23 16:32:1.379: OrderManager - UpdateOrderStatus - id 10266 Setting status to PreSubmitted workingOrderCount is now 2 workingQty -20</t>
  </si>
  <si>
    <t>2015-2-23 16:32:1.379: OrderManagerView - UpdateMainSheetOpenOrder - entering UpdateMainSheetOpenOrder order.status is PreSubmitted</t>
  </si>
  <si>
    <t>2015-2-23 16:32:1.381: RTWSControl - OrderStatus - Got OrderStatus Message id:10266 status: PreSubmitted filled: 0</t>
  </si>
  <si>
    <t>2015-2-23 16:32:1.382: RTWSControl - OrderStatus - exiting orderStatus</t>
  </si>
  <si>
    <t>2015-2-23 16:32:1.812: MarketData - Let Delta - discarding new delta value - outside tolerance - old/new/tolerance -0.157142341901054/-0.149621507358571//0.02</t>
  </si>
  <si>
    <t>2015-2-23 16:32:1.828: MarketData - Let ImpliedVol - discarding new iv value - outside tolerance - old/new/tolerance 8.60050187994274E-02/9.54786800430725E-02//0.1</t>
  </si>
  <si>
    <t>2015-2-23 16:32:1.874: MarketData - Let Delta - discarding new delta value - outside tolerance - old/new/tolerance -0.157142341901054/-0.137352994375053//0.02</t>
  </si>
  <si>
    <t>2015-2-23 16:32:1.903: MarketData - Let Delta - discarding new delta value - outside tolerance - old/new/tolerance -0.157142341901054/-0.150512547022369//0.02</t>
  </si>
  <si>
    <t>2015-2-23 16:32:1.924: MarketData - Let Delta - discarding new delta value - outside tolerance - old/new/tolerance 0.775912053448903/0.794345321841806//0.02</t>
  </si>
  <si>
    <t>2015-2-23 16:32:1.957: MarketData - Let Delta - discarding new delta value - outside tolerance - old/new/tolerance 0.775912053448903/0.756690264036998//0.02</t>
  </si>
  <si>
    <t>2015-2-23 16:32:1.958: MarketData - Let ImpliedVol - discarding new iv value - outside tolerance - old/new/tolerance 8.84217080092841E-02/0.104029448191846//0.1</t>
  </si>
  <si>
    <t>2015-2-23 16:32:2.956: MarketData - Let Delta - discarding new delta value - outside tolerance - old/new/tolerance -0.157142341901054/-0.148131785931336//0.02</t>
  </si>
  <si>
    <t>2015-2-23 16:32:3.702: MarketData - Let Delta - discarding new delta value - outside tolerance - old/new/tolerance -0.157142341901054/-0.136896441159243//0.02</t>
  </si>
  <si>
    <t>2015-2-23 16:32:3.730: MarketData - Let Delta - discarding new delta value - outside tolerance - old/new/tolerance -0.157142341901054/-0.150024755844257//0.02</t>
  </si>
  <si>
    <t>2015-2-23 16:32:3.779: MarketData - Let Delta - discarding new delta value - outside tolerance - old/new/tolerance 0.777887489014995/0.806728304098473//0.02</t>
  </si>
  <si>
    <t>2015-2-23 16:32:3.780: MarketData - Let ImpliedVol - discarding new iv value - outside tolerance - old/new/tolerance 9.54786800430725E-02/8.48693667444639E-02//0.1</t>
  </si>
  <si>
    <t>2015-2-23 16:32:3.826: MarketData - Let Delta - discarding new delta value - outside tolerance - old/new/tolerance 0.777887489014995/0.76160527539471//0.02</t>
  </si>
  <si>
    <t>2015-2-23 16:32:5.559: MarketData - Let Delta - discarding new delta value - outside tolerance - old/new/tolerance -0.157142341901054/-0.149414269742465//0.02</t>
  </si>
  <si>
    <t>2015-2-23 16:32:6.124: OrderManagerView - UpdateMainSheetOpenOrder - entering UpdateMainSheetOpenOrder order.status is PreSubmitted</t>
  </si>
  <si>
    <t>2015-2-23 16:32:6.134: OrderManagerView - UpdateMainSheetOpenOrder - entering UpdateMainSheetOpenOrder order.status is PreSubmitted</t>
  </si>
  <si>
    <t>2015-2-23 16:32:6.140: OrderManagerView - UpdateMainSheetOpenOrder - entering UpdateMainSheetOpenOrder order.status is PreSubmitted</t>
  </si>
  <si>
    <t>2015-2-23 16:32:7.680: MarketData - Let Delta - discarding new delta value - outside tolerance - old/new/tolerance -0.157142341901054/-0.150896446119951//0.02</t>
  </si>
  <si>
    <t>2015-2-23 16:32:7.793: MarketData - Let Delta - discarding new delta value - outside tolerance - old/new/tolerance -0.157142341901054/-0.137352994375053//0.02</t>
  </si>
  <si>
    <t>2015-2-23 16:32:7.812: MarketData - Let Delta - discarding new delta value - outside tolerance - old/new/tolerance -0.157142341901054/-0.150512547022369//0.02</t>
  </si>
  <si>
    <t>2015-2-23 16:32:7.855: MarketData - Let Delta - discarding new delta value - outside tolerance - old/new/tolerance 0.77510133736558/0.800004180621907//0.02</t>
  </si>
  <si>
    <t>2015-2-23 16:32:7.871: MarketData - Let Delta - discarding new delta value - outside tolerance - old/new/tolerance 0.77510133736558/0.756690264036998//0.02</t>
  </si>
  <si>
    <t>2015-2-23 16:32:7.872: MarketData - Let ImpliedVol - discarding new iv value - outside tolerance - old/new/tolerance 8.64742324048187E-02/0.104029448191846//0.1</t>
  </si>
  <si>
    <t>2015-2-23 16:32:9.447: MarketData - Let Delta - discarding new delta value - outside tolerance - old/new/tolerance -0.157142341901054/-0.149666077324384//0.02</t>
  </si>
  <si>
    <t>2015-2-23 16:32:9.501: MarketData - Let ImpliedVol - discarding new iv value - outside tolerance - old/new/tolerance 8.64742324048187E-02/9.55175005236626E-02//0.1</t>
  </si>
  <si>
    <t>2015-2-23 16:32:11.663: MarketData - Let Delta - discarding new delta value - outside tolerance - old/new/tolerance -0.157142341901054/-0.148176619654142//0.02</t>
  </si>
  <si>
    <t>2015-2-23 16:32:11.703: MarketData - Let ImpliedVol - discarding new iv value - outside tolerance - old/new/tolerance 8.64742324048187E-02/9.55175005236626E-02//0.1</t>
  </si>
  <si>
    <t>2015-2-23 16:32:13.697: MarketData - Let Delta - discarding new delta value - outside tolerance - old/new/tolerance -0.157142341901054/-0.146687354544682//0.02</t>
  </si>
  <si>
    <t>2015-2-23 16:32:13.716: MarketData - Let ImpliedVol - discarding new iv value - outside tolerance - old/new/tolerance 8.64742324048187E-02/9.55175005236626E-02//0.1</t>
  </si>
  <si>
    <t>2015-2-23 16:32:13.787: MarketData - Let Delta - discarding new delta value - outside tolerance - old/new/tolerance -0.157142341901054/-0.136443712631297//0.02</t>
  </si>
  <si>
    <t>2015-2-23 16:32:13.829: MarketData - Let Delta - discarding new delta value - outside tolerance - old/new/tolerance -0.157142341901054/-0.149494652843776//0.02</t>
  </si>
  <si>
    <t>2015-2-23 16:32:13.895: MarketData - Let Delta - discarding new delta value - outside tolerance - old/new/tolerance 0.779766583416611/0.795948456090045//0.02</t>
  </si>
  <si>
    <t>2015-2-23 16:32:13.914: MarketData - Let Delta - discarding new delta value - outside tolerance - old/new/tolerance 0.779766583416611/0.758390670548368//0.02</t>
  </si>
  <si>
    <t>2015-2-23 16:32:13.915: MarketData - Let ImpliedVol - discarding new iv value - outside tolerance - old/new/tolerance 8.93523809222844E-02/0.104962523744085//0.1</t>
  </si>
  <si>
    <t>2015-2-23 16:32:14.607: Cancel-Replacing active buy stop because of priceTolerance - required price/current price/tickTolerance is 1.571/1.5699/10</t>
  </si>
  <si>
    <t>2015-2-23 16:32:14.608: OrderManager - cancelOrder - cancelling order id 10265</t>
  </si>
  <si>
    <t>2015-2-23 16:32:14.608: OrderManager - PlaceOrder - id 10267 workingQty -11</t>
  </si>
  <si>
    <t>2015-2-23 16:32:14.608: OrderManagerView - UpdateMainSheetOpenOrder - entering UpdateMainSheetOpenOrder order.status is In-Flight</t>
  </si>
  <si>
    <t>2015-2-23 16:32:15.463: MarketData - Let Delta - discarding new delta value - outside tolerance - old/new/tolerance -0.157142341901054/-0.143709401858775//0.02</t>
  </si>
  <si>
    <t>2015-2-23 16:32:15.537: MarketData - Let Delta - discarding new delta value - outside tolerance - old/new/tolerance 0.668428325929389/0.683845884699674//0.02</t>
  </si>
  <si>
    <t>2015-2-23 16:32:16.534: MarketData - Let Delta - discarding new delta value - outside tolerance - old/new/tolerance -0.157142341901054/-0.148265915788839//0.02</t>
  </si>
  <si>
    <t>2015-2-23 16:32:16.631: MarketData - Let Delta - discarding new delta value - outside tolerance - old/new/tolerance -0.157142341901054/-0.13599476479209//0.02</t>
  </si>
  <si>
    <t>2015-2-23 16:32:16.671: MarketData - Let Delta - discarding new delta value - outside tolerance - old/new/tolerance -0.157142341901054/-0.14906833080455//0.02</t>
  </si>
  <si>
    <t>2015-2-23 16:32:16.730: MarketData - Let Delta - discarding new delta value - outside tolerance - old/new/tolerance 0.779496575598106/0.802368515288609//0.02</t>
  </si>
  <si>
    <t>2015-2-23 16:32:16.749: MarketData - Let Delta - discarding new delta value - outside tolerance - old/new/tolerance 0.779496575598106/0.759234573860127//0.02</t>
  </si>
  <si>
    <t>2015-2-23 16:32:16.750: MarketData - Let ImpliedVol - discarding new iv value - outside tolerance - old/new/tolerance 8.78666311564692E-02/0.105426548644651//0.1</t>
  </si>
  <si>
    <t>2015-2-23 16:32:17.652: MarketData - Let Delta - discarding new delta value - outside tolerance - old/new/tolerance -0.157142341901054/-0.1467948669661//0.02</t>
  </si>
  <si>
    <t>2015-2-23 16:32:17.901: RTWSControl - orderStatus -  entering orderStatus id is 10265 status is Cancelled</t>
  </si>
  <si>
    <t>2015-2-23 16:32:17.901: OrderManager - UpdateOrderStatus - id 10265 Setting status to Cancelled workingOrderCount is now 3 workingQty -11</t>
  </si>
  <si>
    <t>2015-2-23 16:32:17.902: OrderManagerView - UpdateMainSheetOpenOrder - entering UpdateMainSheetOpenOrder order.status is Cancelled</t>
  </si>
  <si>
    <t>2015-2-23 16:32:17.905: RTWSControl - OrderStatus - Got OrderStatus Message id:10265 status: Cancelled filled: 0</t>
  </si>
  <si>
    <t>2015-2-23 16:32:17.905: RTWSControl - OrderStatus - exiting orderStatus</t>
  </si>
  <si>
    <t>2015-2-23 16:32:17.938: RTWSControl - errMsg - got error message 202:Order Canceled - reason:with id 10265</t>
  </si>
  <si>
    <t>2015-2-23 16:32:17.939: OrderManager - canceledOrder - cleaning up after canceled order 10265BEWARE UNACCOUNTED FOR EXECUTIONS!!!</t>
  </si>
  <si>
    <t>2015-2-23 16:32:17.939: OrderManager - terminateOrder - cleaning up after Canceled 10265  order was supposed to BUY 10 1.5708 STP LMT workingQty/OrderCount now -21/2</t>
  </si>
  <si>
    <t>2015-2-23 16:32:17.941: OrderManagerView - UpdateMainSheetOpenOrder - entering UpdateMainSheetOpenOrder order.status is Canceled</t>
  </si>
  <si>
    <t>2015-2-23 16:32:18.448: openOrderEx - I am here</t>
  </si>
  <si>
    <t>2015-2-23 16:32:18.448: OrderManagerView - UpdateMainSheetOpenOrder - entering UpdateMainSheetOpenOrder order.status is In-Flight</t>
  </si>
  <si>
    <t>2015-2-23 16:32:18.482: RTWSControl - orderStatus -  entering orderStatus id is 10267 status is PreSubmitted</t>
  </si>
  <si>
    <t>2015-2-23 16:32:18.482: OrderManager - UpdateOrderStatus - id 10267 Setting status to PreSubmitted workingOrderCount is now 2 workingQty -21</t>
  </si>
  <si>
    <t>2015-2-23 16:32:18.483: OrderManagerView - UpdateMainSheetOpenOrder - entering UpdateMainSheetOpenOrder order.status is PreSubmitted</t>
  </si>
  <si>
    <t>2015-2-23 16:32:18.485: RTWSControl - OrderStatus - Got OrderStatus Message id:10267 status: PreSubmitted filled: 0</t>
  </si>
  <si>
    <t>2015-2-23 16:32:18.485: RTWSControl - OrderStatus - exiting orderStatus</t>
  </si>
  <si>
    <t>2015-2-23 16:32:18.496: MarketData - Let Delta - discarding new delta value - outside tolerance - old/new/tolerance -0.157142341901054/-0.148265915788839//0.02</t>
  </si>
  <si>
    <t>2015-2-23 16:32:18.589: MarketData - Let Delta - discarding new delta value - outside tolerance - old/new/tolerance 0.779496575598106/0.763299427255424//0.02</t>
  </si>
  <si>
    <t>2015-2-23 16:32:20.200: MarketData - Let Delta - discarding new delta value - outside tolerance - old/new/tolerance -0.157142341901054/-0.146888287781005//0.02</t>
  </si>
  <si>
    <t>2015-2-23 16:32:20.324: MarketData - Let Delta - discarding new delta value - outside tolerance - old/new/tolerance -0.157142341901054/-0.135549540967088//0.02</t>
  </si>
  <si>
    <t>2015-2-23 16:32:20.360: MarketData - Let Delta - discarding new delta value - outside tolerance - old/new/tolerance -0.157142341901054/-0.14859133014617//0.02</t>
  </si>
  <si>
    <t>2015-2-23 16:32:20.409: MarketData - Let Delta - discarding new delta value - outside tolerance - old/new/tolerance 0.781569477896521/0.809005594493536//0.02</t>
  </si>
  <si>
    <t>2015-2-23 16:32:20.410: MarketData - Let ImpliedVol - discarding new iv value - outside tolerance - old/new/tolerance 9.63780548582491E-02/8.60685674284713E-02//0.1</t>
  </si>
  <si>
    <t>2015-2-23 16:32:20.445: MarketData - Let Delta - discarding new delta value - outside tolerance - old/new/tolerance 0.781569477896521/0.764119902655023//0.02</t>
  </si>
  <si>
    <t>2015-2-23 16:32:21.992: MarketData - Let Delta - discarding new delta value - outside tolerance - old/new/tolerance 0.781569477896521/0.803136314375829//0.02</t>
  </si>
  <si>
    <t>2015-2-23 16:32:21.993: MarketData - Let ImpliedVol - discarding new iv value - outside tolerance - old/new/tolerance 0.103945615947154/8.83319553116615E-02//0.1</t>
  </si>
  <si>
    <t>2015-2-23 16:32:22.32: OrderManagerView - UpdateMainSheetOpenOrder - entering UpdateMainSheetOpenOrder order.status is PreSubmitted</t>
  </si>
  <si>
    <t>2015-2-23 16:32:22.35: OrderManagerView - UpdateMainSheetOpenOrder - entering UpdateMainSheetOpenOrder order.status is PreSubmitted</t>
  </si>
  <si>
    <t>2015-2-23 16:32:22.37: OrderManagerView - UpdateMainSheetOpenOrder - entering UpdateMainSheetOpenOrder order.status is PreSubmitted</t>
  </si>
  <si>
    <t>2015-2-23 16:32:23.256: MarketData - Let Delta - discarding new delta value - outside tolerance - old/new/tolerance -0.157142341901054/-0.145539250915191//0.02</t>
  </si>
  <si>
    <t>2015-2-23 16:32:23.369: MarketData - Let Delta - discarding new delta value - outside tolerance - old/new/tolerance 0.781557683443392/0.815254898246074//0.02</t>
  </si>
  <si>
    <t>2015-2-23 16:32:23.370: MarketData - Let ImpliedVol - discarding new iv value - outside tolerance - old/new/tolerance 9.63828296166511E-02/8.35784764838198E-02//0.1</t>
  </si>
  <si>
    <t>2015-2-23 16:32:24.611: MarketData - Let Delta - discarding new delta value - outside tolerance - old/new/tolerance -0.157142341901054/-0.147017556362274//0.02</t>
  </si>
  <si>
    <t>2015-2-23 16:32:25.448: MarketData - Let Delta - discarding new delta value - outside tolerance - old/new/tolerance -0.157142341901054/-0.147275905284232//0.02</t>
  </si>
  <si>
    <t>2015-2-23 16:32:25.545: MarketData - Let Delta - discarding new delta value - outside tolerance - old/new/tolerance -0.157142341901054/-0.13599476479209//0.02</t>
  </si>
  <si>
    <t>2015-2-23 16:32:25.581: MarketData - Let Delta - discarding new delta value - outside tolerance - old/new/tolerance -0.157142341901054/-0.14906833080455//0.02</t>
  </si>
  <si>
    <t>2015-2-23 16:32:25.646: MarketData - Let Delta - discarding new delta value - outside tolerance - old/new/tolerance 0.779073506846468/0.808282345555549//0.02</t>
  </si>
  <si>
    <t>2015-2-23 16:32:25.647: MarketData - Let ImpliedVol - discarding new iv value - outside tolerance - old/new/tolerance 9.65988274754253E-02/8.56570865248639E-02//0.1</t>
  </si>
  <si>
    <t>2015-2-23 16:32:25.666: MarketData - Let Delta - discarding new delta value - outside tolerance - old/new/tolerance 0.779073506846468/0.763299427255424//0.02</t>
  </si>
  <si>
    <t>2015-2-23 16:32:27.32: MarketData - Let Delta - discarding new delta value - outside tolerance - old/new/tolerance -0.157142341901054/-0.14579910157054//0.02</t>
  </si>
  <si>
    <t>2015-2-23 16:32:28.204: MarketData - Let Delta - discarding new delta value - outside tolerance - old/new/tolerance -0.157142341901054/-0.144322488744675//0.02</t>
  </si>
  <si>
    <t>2015-2-23 16:32:28.324: MarketData - Let Delta - discarding new delta value - outside tolerance - old/new/tolerance -0.157142341901054/-0.13510800218477//0.02</t>
  </si>
  <si>
    <t>2015-2-23 16:32:28.365: MarketData - Let Delta - discarding new delta value - outside tolerance - old/new/tolerance -0.157142341901054/-0.148067311182676//0.02</t>
  </si>
  <si>
    <t>2015-2-23 16:32:28.435: MarketData - Let Delta - discarding new delta value - outside tolerance - old/new/tolerance 0.782976961165516/0.81599754990827//0.02</t>
  </si>
  <si>
    <t>2015-2-23 16:32:28.436: MarketData - Let ImpliedVol - discarding new iv value - outside tolerance - old/new/tolerance 9.65988274754253E-02/0.083975887509717//0.1</t>
  </si>
  <si>
    <t>2015-2-23 16:32:29.374: MarketData - Let Delta - discarding new delta value - outside tolerance - old/new/tolerance -0.157142341901054/-0.147275905284232//0.02</t>
  </si>
  <si>
    <t>2015-2-23 16:32:29.574: MarketData - Let Delta - discarding new delta value - outside tolerance - old/new/tolerance -0.157142341901054/-0.145913301792053//0.02</t>
  </si>
  <si>
    <t>2015-2-23 16:32:29.673: MarketData - Let Delta - discarding new delta value - outside tolerance - old/new/tolerance -0.157142341901054/-0.135549540967088//0.02</t>
  </si>
  <si>
    <t>2015-2-23 16:32:29.713: MarketData - Let Delta - discarding new delta value - outside tolerance - old/new/tolerance -0.157142341901054/-0.14859133014617//0.02</t>
  </si>
  <si>
    <t>2015-2-23 16:32:29.772: MarketData - Let Delta - discarding new delta value - outside tolerance - old/new/tolerance 0.781061734973179/0.809005594493536//0.02</t>
  </si>
  <si>
    <t>2015-2-23 16:32:29.773: MarketData - Let ImpliedVol - discarding new iv value - outside tolerance - old/new/tolerance 9.65840368466999E-02/8.60685674284713E-02//0.1</t>
  </si>
  <si>
    <t>2015-2-23 16:32:31.604: MarketData - Let Delta - discarding new delta value - outside tolerance - old/new/tolerance -0.157142341901054/-0.147389445512876//0.02</t>
  </si>
  <si>
    <t>2015-2-23 16:32:31.772: MarketData - Let Delta - discarding new delta value - outside tolerance - old/new/tolerance -0.157142341901054/-0.13599476479209//0.02</t>
  </si>
  <si>
    <t>2015-2-23 16:32:31.836: MarketData - Let Delta - discarding new delta value - outside tolerance - old/new/tolerance -0.157142341901054/-0.14906833080455//0.02</t>
  </si>
  <si>
    <t>2015-2-23 16:32:31.898: MarketData - Let Delta - discarding new delta value - outside tolerance - old/new/tolerance 0.77910958384598/0.808282345555549//0.02</t>
  </si>
  <si>
    <t>2015-2-23 16:32:31.898: MarketData - Let ImpliedVol - discarding new iv value - outside tolerance - old/new/tolerance 9.65840368466999E-02/8.56570865248639E-02//0.1</t>
  </si>
  <si>
    <t>2015-2-23 16:32:31.918: MarketData - Let Delta - discarding new delta value - outside tolerance - old/new/tolerance 0.77910958384598/0.763299427255424//0.02</t>
  </si>
  <si>
    <t>2015-2-23 16:32:32.596: MarketData - Let Delta - discarding new delta value - outside tolerance - old/new/tolerance -0.157142341901054/-0.145913301792053//0.02</t>
  </si>
  <si>
    <t>2015-2-23 16:32:33.574: MarketData - Let Delta - discarding new delta value - outside tolerance - old/new/tolerance -0.157142341901054/-0.145189654098461//0.02</t>
  </si>
  <si>
    <t>2015-2-23 16:32:33.687: MarketData - Let Delta - discarding new delta value - outside tolerance - old/new/tolerance -0.157142341901054/-0.135549540967088//0.02</t>
  </si>
  <si>
    <t>2015-2-23 16:32:33.744: MarketData - Let Delta - discarding new delta value - outside tolerance - old/new/tolerance -0.157142341901054/-0.14859133014617//0.02</t>
  </si>
  <si>
    <t>2015-2-23 16:32:33.813: MarketData - Let Delta - discarding new delta value - outside tolerance - old/new/tolerance 0.781776850526/0.815254898246074//0.02</t>
  </si>
  <si>
    <t>2015-2-23 16:32:33.814: MarketData - Let ImpliedVol - discarding new iv value - outside tolerance - old/new/tolerance 9.62941817538336E-02/8.35784764838198E-02//0.1</t>
  </si>
  <si>
    <t>2015-2-23 16:32:34.692: MarketData - Let Delta - discarding new delta value - outside tolerance - old/new/tolerance -0.157142341901054/-0.146669979916698//0.02</t>
  </si>
  <si>
    <t>2015-2-23 16:32:35.618: MarketData - Let Delta - discarding new delta value - outside tolerance - old/new/tolerance -0.157142341901054/-0.148150497115126//0.02</t>
  </si>
  <si>
    <t>2015-2-23 16:32:35.716: MarketData - Let Delta - discarding new delta value - outside tolerance - old/new/tolerance -0.157142341901054/-0.136443712631297//0.02</t>
  </si>
  <si>
    <t>2015-2-23 16:32:35.755: MarketData - Let Delta - discarding new delta value - outside tolerance - old/new/tolerance -0.157142341901054/-0.149494652843776//0.02</t>
  </si>
  <si>
    <t>2015-2-23 16:32:35.815: MarketData - Let Delta - discarding new delta value - outside tolerance - old/new/tolerance 0.777860585247805/0.801560186518522//0.02</t>
  </si>
  <si>
    <t>2015-2-23 16:32:35.834: MarketData - Let ImpliedVol - discarding new iv value - outside tolerance - old/new/tolerance 8.74122063075701E-02/0.103010156469811//0.1</t>
  </si>
  <si>
    <t>2015-2-23 16:32:36.508: MarketData - Let Delta - discarding new delta value - outside tolerance - old/new/tolerance -0.157142341901054/-0.146669979916698//0.02</t>
  </si>
  <si>
    <t>2015-2-23 16:32:36.547: MarketData - Let Delta - discarding new delta value - outside tolerance - old/new/tolerance 0.762460933811631/0.779818844454849//0.02</t>
  </si>
  <si>
    <t>2015-2-23 16:32:36.548: MarketData - Let ImpliedVol - discarding new iv value - outside tolerance - old/new/tolerance 8.74122063075701E-02/9.62941817538336E-02//0.1</t>
  </si>
  <si>
    <t>2015-2-23 16:32:37.688: MarketData - Let Delta - discarding new delta value - outside tolerance - old/new/tolerance -0.157142341901054/-0.144569764437429//0.02</t>
  </si>
  <si>
    <t>2015-2-23 16:32:37.743: MarketData - Let Delta - discarding new delta value - outside tolerance - old/new/tolerance 0.762460933811631/0.781506042209478//0.02</t>
  </si>
  <si>
    <t>2015-2-23 16:32:37.798: MarketData - Let Delta - discarding new delta value - outside tolerance - old/new/tolerance -0.157142341901054/-0.13599476479209//0.02</t>
  </si>
  <si>
    <t>2015-2-23 16:32:37.831: MarketData - Let Delta - discarding new delta value - outside tolerance - old/new/tolerance -0.157142341901054/-0.14906833080455//0.02</t>
  </si>
  <si>
    <t>2015-2-23 16:32:37.897: MarketData - Let Delta - discarding new delta value - outside tolerance - old/new/tolerance 0.762460933811631/0.808282345555549//0.02</t>
  </si>
  <si>
    <t>2015-2-23 16:32:37.898: MarketData - Let ImpliedVol - discarding new iv value - outside tolerance - old/new/tolerance 9.56116593328318E-02/8.56570865248639E-02//0.1</t>
  </si>
  <si>
    <t>2015-2-23 16:32:40.151: MarketData - Let Delta - discarding new delta value - outside tolerance - old/new/tolerance -0.157142341901054/-0.146041211008663//0.02</t>
  </si>
  <si>
    <t>2015-2-23 16:32:40.256: MarketData - Let Delta - discarding new delta value - outside tolerance - old/new/tolerance -0.157142341901054/-0.136421625473831//0.02</t>
  </si>
  <si>
    <t>2015-2-23 16:32:40.289: MarketData - Let Delta - discarding new delta value - outside tolerance - old/new/tolerance -0.157142341901054/-0.149473670106221//0.02</t>
  </si>
  <si>
    <t>2015-2-23 16:32:40.355: MarketData - Let Delta - discarding new delta value - outside tolerance - old/new/tolerance 0.779553635061152/0.801581847363685//0.02</t>
  </si>
  <si>
    <t>2015-2-23 16:32:40.374: MarketData - Let Delta - discarding new delta value - outside tolerance - old/new/tolerance 0.779553635061152/0.762479275077048//0.02</t>
  </si>
  <si>
    <t>2015-2-23 16:32:40.375: MarketData - Let ImpliedVol - discarding new iv value - outside tolerance - old/new/tolerance 8.74122063075701E-02/0.103010156469811//0.1</t>
  </si>
  <si>
    <t>2015-2-23 16:32:43.75: MarketData - Let Delta - discarding new delta value - outside tolerance - old/new/tolerance -0.157142341901054/-0.144082259458367//0.02</t>
  </si>
  <si>
    <t>2015-2-23 16:32:43.118: MarketData - Let Delta - discarding new delta value - outside tolerance - old/new/tolerance -0.157142341901054/-0.135972641535173//0.02</t>
  </si>
  <si>
    <t>2015-2-23 16:32:43.156: MarketData - Let Delta - discarding new delta value - outside tolerance - old/new/tolerance -0.157142341901054/-0.149047313909658//0.02</t>
  </si>
  <si>
    <t>2015-2-23 16:32:43.256: MarketData - Let Delta - discarding new delta value - outside tolerance - old/new/tolerance 0.782063624164955/0.808299862646316//0.02</t>
  </si>
  <si>
    <t>2015-2-23 16:32:43.257: MarketData - Let ImpliedVol - discarding new iv value - outside tolerance - old/new/tolerance 9.53962290058641E-02/8.56570865248639E-02//0.1</t>
  </si>
  <si>
    <t>2015-2-23 16:32:43.901: Algorithm - FindNextStrikes - price is 1.54695 nextStrikeUp/Down 9999/1.535</t>
  </si>
  <si>
    <t>2015-2-23 16:32:43.901: Algorithm - getPortfolioForwardDelta - required deltas is 5 currentHedgePosition is 5</t>
  </si>
  <si>
    <t>2015-2-23 16:32:43.902: Algorithm - getHedgeShortfall - required deltas is 5 price is 1.54685 currentHedgePositionDeltas is 5</t>
  </si>
  <si>
    <t>2015-2-23 16:32:43.903: Algorithm - processTransitionPoint - nextUpper/LowerStrikes are 9999/1.535 requiredDeltas/currentPosition/currentHedgeShortfall/direction/transitionPrice are 5/5/0/-1/1.54685</t>
  </si>
  <si>
    <t>2015-2-23 16:32:43.903: TransitionLogger - processTransitionpoint - checking transition - currentHedgeShortfall is 0</t>
  </si>
  <si>
    <t>2015-2-23 16:32:43.904: Algorithm - updatePortfolio - haveAllDetails is True</t>
  </si>
  <si>
    <t>2015-2-23 16:32:43.945: Algorithm - FindNextStrikes - price is 1.54695 nextStrikeUp/Down 9999/1.535</t>
  </si>
  <si>
    <t>2015-2-23 16:32:43.945: Algorithm - getPortfolioForwardDelta - required deltas is 5 currentHedgePosition is 5</t>
  </si>
  <si>
    <t>2015-2-23 16:32:43.945: Algorithm - getHedgeShortfall - required deltas is 5 price is 1.54685 currentHedgePositionDeltas is 5</t>
  </si>
  <si>
    <t>2015-2-23 16:32:43.946: Algorithm - processTransitionPoint - nextUpper/LowerStrikes are 9999/1.535 requiredDeltas/currentPosition/currentHedgeShortfall/direction/transitionPrice are 5/5/0/-1/1.54685</t>
  </si>
  <si>
    <t>2015-2-23 16:32:43.947: TransitionLogger - processTransitionpoint - checking transition - currentHedgeShortfall is 0</t>
  </si>
  <si>
    <t>2015-2-23 16:32:43.947: Algorithm - updatePortfolio - haveAllDetails is True</t>
  </si>
  <si>
    <t>2015-2-23 16:32:43.998: Algorithm - FindNextStrikes - price is 1.54695 nextStrikeUp/Down 9999/1.535</t>
  </si>
  <si>
    <t>2015-2-23 16:32:43.999: Algorithm - getPortfolioForwardDelta - required deltas is 5 currentHedgePosition is 5</t>
  </si>
  <si>
    <t>2015-2-23 16:32:43.999: Algorithm - getHedgeShortfall - required deltas is 5 price is 1.54685 currentHedgePositionDeltas is 5</t>
  </si>
  <si>
    <t>2015-2-23 16:32:44.0: Algorithm - processTransitionPoint - nextUpper/LowerStrikes are 9999/1.535 requiredDeltas/currentPosition/currentHedgeShortfall/direction/transitionPrice are 5/5/0/-1/1.54685</t>
  </si>
  <si>
    <t>2015-2-23 16:32:44.0: TransitionLogger - processTransitionpoint - checking transition - currentHedgeShortfall is 0</t>
  </si>
  <si>
    <t>2015-2-23 16:32:44.1: Algorithm - updatePortfolio - haveAllDetails is True</t>
  </si>
  <si>
    <t>2015-2-23 16:32:44.46: Algorithm - FindNextStrikes - price is 1.54695 nextStrikeUp/Down 9999/1.535</t>
  </si>
  <si>
    <t>2015-2-23 16:32:44.46: Algorithm - getPortfolioForwardDelta - required deltas is 5 currentHedgePosition is 5</t>
  </si>
  <si>
    <t>2015-2-23 16:32:44.46: Algorithm - getHedgeShortfall - required deltas is 5 price is 1.54685 currentHedgePositionDeltas is 5</t>
  </si>
  <si>
    <t>2015-2-23 16:32:44.47: Algorithm - processTransitionPoint - nextUpper/LowerStrikes are 9999/1.535 requiredDeltas/currentPosition/currentHedgeShortfall/direction/transitionPrice are 5/5/0/-1/1.54685</t>
  </si>
  <si>
    <t>2015-2-23 16:32:44.47: TransitionLogger - processTransitionpoint - checking transition - currentHedgeShortfall is 0</t>
  </si>
  <si>
    <t>2015-2-23 16:32:44.48: Algorithm - updatePortfolio - haveAllDetails is True</t>
  </si>
  <si>
    <t>2015-2-23 16:32:44.115: Algorithm - FindNextStrikes - price is 1.54695 nextStrikeUp/Down 9999/1.535</t>
  </si>
  <si>
    <t>2015-2-23 16:32:44.115: Algorithm - getPortfolioForwardDelta - required deltas is 5 currentHedgePosition is 5</t>
  </si>
  <si>
    <t>2015-2-23 16:32:44.115: Algorithm - getHedgeShortfall - required deltas is 5 price is 1.54685 currentHedgePositionDeltas is 5</t>
  </si>
  <si>
    <t>2015-2-23 16:32:44.116: Algorithm - processTransitionPoint - nextUpper/LowerStrikes are 9999/1.535 requiredDeltas/currentPosition/currentHedgeShortfall/direction/transitionPrice are 5/5/0/-1/1.54685</t>
  </si>
  <si>
    <t>2015-2-23 16:32:44.116: TransitionLogger - processTransitionpoint - checking transition - currentHedgeShortfall is 0</t>
  </si>
  <si>
    <t>2015-2-23 16:32:44.117: Algorithm - updatePortfolio - haveAllDetails is True</t>
  </si>
  <si>
    <t>2015-2-23 16:32:45.529: MarketData - Let Delta - discarding new delta value - outside tolerance - old/new/tolerance -0.157142341901054/-0.147073572814752//0.02</t>
  </si>
  <si>
    <t>2015-2-23 16:32:45.631: MarketData - Let Delta - discarding new delta value - outside tolerance - old/new/tolerance -0.157142341901054/-0.136896446197896//0.02</t>
  </si>
  <si>
    <t>2015-2-23 16:32:45.666: MarketData - Let Delta - discarding new delta value - outside tolerance - old/new/tolerance -0.157142341901054/-0.149978041343408//0.02</t>
  </si>
  <si>
    <t>2015-2-23 16:32:45.732: MarketData - Let Delta - discarding new delta value - outside tolerance - old/new/tolerance 0.778109787195942/0.800808168879873//0.02</t>
  </si>
  <si>
    <t>2015-2-23 16:32:45.751: MarketData - Let Delta - discarding new delta value - outside tolerance - old/new/tolerance 0.778109787195942/0.757543370026451//0.02</t>
  </si>
  <si>
    <t>2015-2-23 16:32:45.752: MarketData - Let ImpliedVol - discarding new iv value - outside tolerance - old/new/tolerance 8.69431752990944E-02/0.104505204380178//0.1</t>
  </si>
  <si>
    <t>2015-2-23 16:32:46.150: MarketData - Let Delta - discarding new delta value - outside tolerance - old/new/tolerance -0.157142341901054/-0.148680416290746//0.02</t>
  </si>
  <si>
    <t>2015-2-23 16:32:46.169: MarketData - Let ImpliedVol - discarding new iv value - outside tolerance - old/new/tolerance 8.69431752990944E-02/9.61272998656852E-02//0.1</t>
  </si>
  <si>
    <t>2015-2-23 16:32:50.133: MarketData - Let Delta - discarding new delta value - outside tolerance - old/new/tolerance -0.157142341901054/-0.147556307663939//0.02</t>
  </si>
  <si>
    <t>2015-2-23 16:32:50.173: MarketData - Let ImpliedVol - discarding new iv value - outside tolerance - old/new/tolerance 8.69431752990944E-02/9.61974662156422E-02//0.1</t>
  </si>
  <si>
    <t>2015-2-23 16:32:50.250: MarketData - Let Delta - discarding new delta value - outside tolerance - old/new/tolerance -0.157142341901054/-0.136443718429336//0.02</t>
  </si>
  <si>
    <t>2015-2-23 16:32:50.289: MarketData - Let Delta - discarding new delta value - outside tolerance - old/new/tolerance -0.157142341901054/-0.149501217158427//0.02</t>
  </si>
  <si>
    <t>2015-2-23 16:32:50.356: MarketData - Let Delta - discarding new delta value - outside tolerance - old/new/tolerance 0.778115897617052/0.807500253158936//0.02</t>
  </si>
  <si>
    <t>2015-2-23 16:32:50.376: MarketData - Let Delta - discarding new delta value - outside tolerance - old/new/tolerance 0.778115897617052/0.762479275077048//0.02</t>
  </si>
  <si>
    <t>2015-2-23 16:32:50.376: MarketData - Let ImpliedVol - discarding new iv value - outside tolerance - old/new/tolerance 8.52739401732003E-02/0.103010156469811//0.1</t>
  </si>
  <si>
    <t>2015-2-23 16:32:51.506: MarketData - Let Delta - discarding new delta value - outside tolerance - old/new/tolerance -0.157142341901054/-0.149040491174323//0.02</t>
  </si>
  <si>
    <t>2015-2-23 16:32:51.541: MarketData - Let ImpliedVol - discarding new iv value - outside tolerance - old/new/tolerance 8.52739401732003E-02/9.61974662156422E-02//0.1</t>
  </si>
  <si>
    <t>2015-2-23 16:32:51.660: MarketData - Let Delta - discarding new delta value - outside tolerance - old/new/tolerance -0.157142341901054/-0.136896446197896//0.02</t>
  </si>
  <si>
    <t>2015-2-23 16:32:51.679: MarketData - Let Delta - discarding new delta value - outside tolerance - old/new/tolerance -0.157142341901054/-0.149978041343408//0.02</t>
  </si>
  <si>
    <t>2015-2-23 16:32:51.782: MarketData - Let Delta - discarding new delta value - outside tolerance - old/new/tolerance 0.776155259586359/0.800808168879873//0.02</t>
  </si>
  <si>
    <t>2015-2-23 16:32:51.806: MarketData - Let Delta - discarding new delta value - outside tolerance - old/new/tolerance 0.776155259586359/0.757543370026451//0.02</t>
  </si>
  <si>
    <t>2015-2-23 16:32:51.806: MarketData - Let ImpliedVol - discarding new iv value - outside tolerance - old/new/tolerance 8.69431752990944E-02/0.104505204380178//0.1</t>
  </si>
  <si>
    <t>2015-2-23 16:32:53.734: MarketData - Let Delta - discarding new delta value - outside tolerance - old/new/tolerance -0.157142341901054/-0.148798544462578//0.02</t>
  </si>
  <si>
    <t>2015-2-23 16:32:53.814: MarketData - Let ImpliedVol - discarding new iv value - outside tolerance - old/new/tolerance 8.69431752990944E-02/9.61974353002262E-02//0.1</t>
  </si>
  <si>
    <t>2015-2-23 16:32:58.828: MarketData - Let Delta - discarding new delta value - outside tolerance - old/new/tolerance -0.157142341901054/-0.147312937717925//0.02</t>
  </si>
  <si>
    <t>2015-2-23 16:32:58.848: MarketData - Let ImpliedVol - discarding new iv value - outside tolerance - old/new/tolerance 8.69431752990944E-02/9.61974353002262E-02//0.1</t>
  </si>
  <si>
    <t>2015-2-23 16:32:59.448: MarketData - Let Delta - discarding new delta value - outside tolerance - old/new/tolerance -0.157142341901054/-0.136443718429336//0.02</t>
  </si>
  <si>
    <t>2015-2-23 16:32:59.546: MarketData - Let Delta - discarding new delta value - outside tolerance - old/new/tolerance -0.157142341901054/-0.149501217158427//0.02</t>
  </si>
  <si>
    <t>2015-2-23 16:32:59.605: MarketData - Let Delta - discarding new delta value - outside tolerance - old/new/tolerance 0.778115973027121/0.807500253158936//0.02</t>
  </si>
  <si>
    <t>2015-2-23 16:32:59.624: MarketData - Let Delta - discarding new delta value - outside tolerance - old/new/tolerance 0.778115973027121/0.762479275077048//0.02</t>
  </si>
  <si>
    <t>2015-2-23 16:32:59.625: MarketData - Let ImpliedVol - discarding new iv value - outside tolerance - old/new/tolerance 8.52739401732003E-02/0.103010156469811//0.1</t>
  </si>
  <si>
    <t>2015-2-23 16:33:1.698: MarketData - Let Delta - discarding new delta value - outside tolerance - old/new/tolerance -0.157142341901054/-0.146885735582765//0.02</t>
  </si>
  <si>
    <t>2015-2-23 16:33:1.741: MarketData - Let ImpliedVol - discarding new iv value - outside tolerance - old/new/tolerance 8.52739401732003E-02/9.50075434552389E-02//0.1</t>
  </si>
  <si>
    <t>2015-2-23 16:33:1.799: MarketData - Let Delta - discarding new delta value - outside tolerance - old/new/tolerance -0.157142341901054/-0.137352999987043//0.02</t>
  </si>
  <si>
    <t>2015-2-23 16:33:1.834: MarketData - Let Delta - discarding new delta value - outside tolerance - old/new/tolerance -0.157142341901054/-0.150465309838105//0.02</t>
  </si>
  <si>
    <t>2015-2-23 16:33:1.900: MarketData - Let Delta - discarding new delta value - outside tolerance - old/new/tolerance 0.777084535255824/0.799962868452225//0.02</t>
  </si>
  <si>
    <t>2015-2-23 16:33:1.918: MarketData - Let Delta - discarding new delta value - outside tolerance - old/new/tolerance 0.777084535255824/0.760755193772971//0.02</t>
  </si>
  <si>
    <t>2015-2-23 16:33:1.920: MarketData - Let ImpliedVol - discarding new iv value - outside tolerance - old/new/tolerance 8.64953851601238E-02/0.102090748719847//0.1</t>
  </si>
  <si>
    <t>2015-2-23 16:33:3.93: MarketData - Let Delta - discarding new delta value - outside tolerance - old/new/tolerance -0.157142341901054/-0.148391840617632//0.02</t>
  </si>
  <si>
    <t>2015-2-23 16:33:3.779: MarketData - Let Delta - discarding new delta value - outside tolerance - old/new/tolerance -0.157142341901054/-0.14455470910693//0.02</t>
  </si>
  <si>
    <t>2015-2-23 16:33:3.803: MarketData - Let Delta - discarding new delta value - outside tolerance - old/new/tolerance -0.157142341901054/-0.150956508030917//0.02</t>
  </si>
  <si>
    <t>2015-2-23 16:33:3.859: MarketData - Let Delta - discarding new delta value - outside tolerance - old/new/tolerance 0.775098916145152/0.799213960443809//0.02</t>
  </si>
  <si>
    <t>2015-2-23 16:33:3.879: MarketData - Let Delta - discarding new delta value - outside tolerance - old/new/tolerance 0.775098916145152/0.755825949917116//0.02</t>
  </si>
  <si>
    <t>2015-2-23 16:33:3.880: MarketData - Let ImpliedVol - discarding new iv value - outside tolerance - old/new/tolerance 8.60122204681683E-02/0.103572793676831//0.1</t>
  </si>
  <si>
    <t>2015-2-23 16:33:5.469: MarketData - Let Delta - discarding new delta value - outside tolerance - old/new/tolerance -0.157142341901054/-0.146885735582765//0.02</t>
  </si>
  <si>
    <t>2015-2-23 16:33:5.516: MarketData - Let ImpliedVol - discarding new iv value - outside tolerance - old/new/tolerance 8.60122204681683E-02/9.50075434552389E-02//0.1</t>
  </si>
  <si>
    <t>2015-2-23 16:33:5.687: MarketData - Let Delta - discarding new delta value - outside tolerance - old/new/tolerance -0.157142341901054/-0.147485013138912//0.02</t>
  </si>
  <si>
    <t>2015-2-23 16:33:5.733: MarketData - Let ImpliedVol - discarding new iv value - outside tolerance - old/new/tolerance 8.60122204681683E-02/9.53179848589159E-02//0.1</t>
  </si>
  <si>
    <t>2015-2-23 16:33:5.793: MarketData - Let Delta - discarding new delta value - outside tolerance - old/new/tolerance -0.157142341901054/-0.137352999987043//0.02</t>
  </si>
  <si>
    <t>2015-2-23 16:33:5.833: MarketData - Let Delta - discarding new delta value - outside tolerance - old/new/tolerance -0.157142341901054/-0.150465309838105//0.02</t>
  </si>
  <si>
    <t>2015-2-23 16:33:5.916: MarketData - Let Delta - discarding new delta value - outside tolerance - old/new/tolerance 0.776323508802111/0.794344668268883//0.02</t>
  </si>
  <si>
    <t>2015-2-23 16:33:5.965: MarketData - Let Delta - discarding new delta value - outside tolerance - old/new/tolerance 0.776323508802111/0.756688558838145//0.02</t>
  </si>
  <si>
    <t>2015-2-23 16:33:5.965: MarketData - Let ImpliedVol - discarding new iv value - outside tolerance - old/new/tolerance 8.84293480715184E-02/0.104038999046626//0.1</t>
  </si>
  <si>
    <t>2015-2-23 16:33:10.78: MarketData - Let Delta - discarding new delta value - outside tolerance - old/new/tolerance -0.157142341901054/-0.147377750485356//0.02</t>
  </si>
  <si>
    <t>2015-2-23 16:33:10.177: MarketData - Let Delta - discarding new delta value - outside tolerance - old/new/tolerance 0.776369436537422/0.799962868452225//0.02</t>
  </si>
  <si>
    <t>2015-2-23 16:33:13.592: MarketData - Let Delta - discarding new delta value - outside tolerance - old/new/tolerance -0.157142341901054/-0.147355232776004//0.02</t>
  </si>
  <si>
    <t>2015-2-23 16:33:13.614: MarketData - Let ImpliedVol - discarding new iv value - outside tolerance - old/new/tolerance 8.64953851601238E-02/9.52989911320401E-02//0.1</t>
  </si>
  <si>
    <t>2015-2-23 16:33:14.837: MarketData - Let Delta - discarding new delta value - outside tolerance - old/new/tolerance -0.157142341901054/-0.145852100581042//0.02</t>
  </si>
  <si>
    <t>2015-2-23 16:33:14.888: MarketData - Let ImpliedVol - discarding new iv value - outside tolerance - old/new/tolerance 8.64953851601238E-02/9.52989911320401E-02//0.1</t>
  </si>
  <si>
    <t>2015-2-23 16:33:15.837: MarketData - Let Delta - discarding new delta value - outside tolerance - old/new/tolerance -0.157142341901054/-0.136896446197896//0.02</t>
  </si>
  <si>
    <t>2015-2-23 16:33:15.884: MarketData - Let Delta - discarding new delta value - outside tolerance - old/new/tolerance -0.157142341901054/-0.149978041343408//0.02</t>
  </si>
  <si>
    <t>2015-2-23 16:33:15.943: MarketData - Let Delta - discarding new delta value - outside tolerance - old/new/tolerance 0.778349239536466/0.806728312983962//0.02</t>
  </si>
  <si>
    <t>2015-2-23 16:33:15.962: MarketData - Let Delta - discarding new delta value - outside tolerance - old/new/tolerance 0.778349239536466/0.761613886419789//0.02</t>
  </si>
  <si>
    <t>2015-2-23 16:33:15.963: MarketData - Let ImpliedVol - discarding new iv value - outside tolerance - old/new/tolerance 8.48764757609559E-02/0.102553869838404//0.1</t>
  </si>
  <si>
    <t>2015-2-23 16:33:18.318: MarketData - Let Delta - discarding new delta value - outside tolerance - old/new/tolerance -0.157142341901054/-0.146940573647002//0.02</t>
  </si>
  <si>
    <t>2015-2-23 16:33:18.337: MarketData - Let ImpliedVol - discarding new iv value - outside tolerance - old/new/tolerance 8.48764757609559E-02/9.55427561272941E-02//0.1</t>
  </si>
  <si>
    <t>2015-2-23 16:33:18.418: MarketData - Let Delta - discarding new delta value - outside tolerance - old/new/tolerance 0.777749884831911/0.800775986336264//0.02</t>
  </si>
  <si>
    <t>2015-2-23 16:33:20.73: MarketData - Let Delta - discarding new delta value - outside tolerance - old/new/tolerance -0.157142341901054/-0.145444037990513//0.02</t>
  </si>
  <si>
    <t>2015-2-23 16:33:20.175: MarketData - Let Delta - discarding new delta value - outside tolerance - old/new/tolerance -0.157142341901054/-0.136443718429336//0.02</t>
  </si>
  <si>
    <t>2015-2-23 16:33:20.210: MarketData - Let Delta - discarding new delta value - outside tolerance - old/new/tolerance -0.157142341901054/-0.149501217158427//0.02</t>
  </si>
  <si>
    <t>2015-2-23 16:33:20.276: MarketData - Let Delta - discarding new delta value - outside tolerance - old/new/tolerance 0.779723909869361/0.807500253158936//0.02</t>
  </si>
  <si>
    <t>2015-2-23 16:33:20.276: MarketData - Let ImpliedVol - discarding new iv value - outside tolerance - old/new/tolerance 9.55427561272941E-02/8.52739401732003E-02//0.1</t>
  </si>
  <si>
    <t>2015-2-23 16:33:20.297: MarketData - Let Delta - discarding new delta value - outside tolerance - old/new/tolerance 0.779723909869361/0.762452471207697//0.02</t>
  </si>
  <si>
    <t>2015-2-23 16:33:21.800: MarketData - Let Delta - discarding new delta value - outside tolerance - old/new/tolerance -0.157142341901054/-0.147157575838938//0.02</t>
  </si>
  <si>
    <t>2015-2-23 16:33:21.917: MarketData - Let Delta - discarding new delta value - outside tolerance - old/new/tolerance -0.157142341901054/-0.136896446197896//0.02</t>
  </si>
  <si>
    <t>2015-2-23 16:33:21.955: MarketData - Let Delta - discarding new delta value - outside tolerance - old/new/tolerance -0.157142341901054/-0.149978041343408//0.02</t>
  </si>
  <si>
    <t>2015-2-23 16:33:22.22: MarketData - Let Delta - discarding new delta value - outside tolerance - old/new/tolerance 0.777545250621481/0.800775986336264//0.02</t>
  </si>
  <si>
    <t>2015-2-23 16:33:22.41: MarketData - Let Delta - discarding new delta value - outside tolerance - old/new/tolerance 0.777545250621481/0.757543343574606//0.02</t>
  </si>
  <si>
    <t>2015-2-23 16:33:22.42: MarketData - Let ImpliedVol - discarding new iv value - outside tolerance - old/new/tolerance 8.69540325791375E-02/0.104505217303966//0.1</t>
  </si>
  <si>
    <t>2015-2-23 16:33:23.525: MarketData - Let Delta - discarding new delta value - outside tolerance - old/new/tolerance -0.157142341901054/-0.148653028428584//0.02</t>
  </si>
  <si>
    <t>2015-2-23 16:33:23.626: MarketData - Let Delta - discarding new delta value - outside tolerance - old/new/tolerance -0.157142341901054/-0.137352999987043//0.02</t>
  </si>
  <si>
    <t>2015-2-23 16:33:23.666: MarketData - Let Delta - discarding new delta value - outside tolerance - old/new/tolerance -0.157142341901054/-0.150465309838105//0.02</t>
  </si>
  <si>
    <t>2015-2-23 16:33:23.751: MarketData - Let Delta - discarding new delta value - outside tolerance - old/new/tolerance 0.788921548591638/0.75277261783196//0.02</t>
  </si>
  <si>
    <t>2015-2-23 16:33:23.752: MarketData - Let ImpliedVol - discarding new iv value - outside tolerance - old/new/tolerance 9.03805106134896E-02/0.105987249373406//0.1</t>
  </si>
  <si>
    <t>2015-2-23 16:33:24.777: MarketData - Let Delta - discarding new delta value - outside tolerance - old/new/tolerance -0.157142341901054/-0.144167250629625//0.02</t>
  </si>
  <si>
    <t>2015-2-23 16:33:24.840: MarketData - Let Delta - discarding new delta value - outside tolerance - old/new/tolerance 0.663115745298276/0.680571817156002//0.02</t>
  </si>
  <si>
    <t>2015-2-23 16:33:25.792: MarketData - Let Delta - discarding new delta value - outside tolerance - old/new/tolerance -0.157142341901054/-0.145921108310979//0.02</t>
  </si>
  <si>
    <t>2015-2-23 16:33:25.873: MarketData - Let Delta - discarding new delta value - outside tolerance - old/new/tolerance 0.663115745298276/0.678379519171219//0.02</t>
  </si>
  <si>
    <t>2015-2-23 16:33:25.912: MarketData - Let Delta - discarding new delta value - outside tolerance - old/new/tolerance -0.157142341901054/-0.136443718429336//0.02</t>
  </si>
  <si>
    <t>2015-2-23 16:33:25.952: MarketData - Let Delta - discarding new delta value - outside tolerance - old/new/tolerance -0.157142341901054/-0.149501217158427//0.02</t>
  </si>
  <si>
    <t>2015-2-23 16:33:26.22: MarketData - Let Delta - discarding new delta value - outside tolerance - old/new/tolerance 0.77952613906469/0.801592516483449//0.02</t>
  </si>
  <si>
    <t>2015-2-23 16:33:26.42: MarketData - Let Delta - discarding new delta value - outside tolerance - old/new/tolerance 0.77952613906469/0.758393239766082//0.02</t>
  </si>
  <si>
    <t>2015-2-23 16:33:26.43: MarketData - Let ImpliedVol - discarding new iv value - outside tolerance - old/new/tolerance 8.74085986141953E-02/0.104970064142214//0.1</t>
  </si>
  <si>
    <t>2015-2-23 16:33:26.110: MarketData - Let Delta - discarding new delta value - outside tolerance - old/new/tolerance 0.663115745298276/0.679678147191519//0.02</t>
  </si>
  <si>
    <t>2015-2-23 16:33:27.739: MarketData - Let Delta - discarding new delta value - outside tolerance - old/new/tolerance 0.77952613906469/0.762452471207697//0.02</t>
  </si>
  <si>
    <t>2015-2-23 16:33:27.740: MarketData - Let ImpliedVol - discarding new iv value - outside tolerance - old/new/tolerance 8.74085986141953E-02/0.103022772846063//0.1</t>
  </si>
  <si>
    <t>2015-2-23 16:33:28.691: MarketData - Let Delta - discarding new delta value - outside tolerance - old/new/tolerance -0.157142341901054/-0.147414854243764//0.02</t>
  </si>
  <si>
    <t>2015-2-23 16:33:29.652: MarketData - Let Delta - discarding new delta value - outside tolerance - old/new/tolerance -0.157142341901054/-0.146209085923791//0.02</t>
  </si>
  <si>
    <t>2015-2-23 16:33:29.750: MarketData - Let Delta - discarding new delta value - outside tolerance - old/new/tolerance -0.157142341901054/-0.136896446197896//0.02</t>
  </si>
  <si>
    <t>2015-2-23 16:33:29.793: MarketData - Let Delta - discarding new delta value - outside tolerance - old/new/tolerance -0.157142341901054/-0.149978041343408//0.02</t>
  </si>
  <si>
    <t>2015-2-23 16:33:29.858: MarketData - Let Delta - discarding new delta value - outside tolerance - old/new/tolerance 0.778260621037457/0.795151104793759//0.02</t>
  </si>
  <si>
    <t>2015-2-23 16:33:29.877: MarketData - Let Delta - discarding new delta value - outside tolerance - old/new/tolerance 0.778260621037457/0.757543343574606//0.02</t>
  </si>
  <si>
    <t>2015-2-23 16:33:29.878: MarketData - Let ImpliedVol - discarding new iv value - outside tolerance - old/new/tolerance 8.88945076710365E-02/0.104505217303966//0.1</t>
  </si>
  <si>
    <t>2015-2-23 16:33:33.501: MarketData - Let Delta - discarding new delta value - outside tolerance - old/new/tolerance -0.157142341901054/-0.146115081990693//0.02</t>
  </si>
  <si>
    <t>2015-2-23 16:33:41.126: MarketData - Let Delta - discarding new delta value - outside tolerance - old/new/tolerance -0.157142341901054/-0.146093796024842//0.02</t>
  </si>
  <si>
    <t>2015-2-23 16:33:41.581: MarketData - Let Delta - discarding new delta value - outside tolerance - old/new/tolerance -0.157142341901054/-0.146273309875865//0.02</t>
  </si>
  <si>
    <t>2015-2-23 16:33:41.667: MarketData - Let Delta - discarding new delta value - outside tolerance - old/new/tolerance 0.778147799510066/0.800797592377269//0.02</t>
  </si>
  <si>
    <t>2015-2-23 16:33:44.913: MarketData - Let Delta - discarding new delta value - outside tolerance - old/new/tolerance -0.157142341901054/-0.147773964302099//0.02</t>
  </si>
  <si>
    <t>2015-2-23 16:33:46.154: MarketData - Let Delta - discarding new delta value - outside tolerance - old/new/tolerance -0.157142341901054/-0.1475352772555//0.02</t>
  </si>
  <si>
    <t>2015-2-23 16:33:46.253: MarketData - Let Delta - discarding new delta value - outside tolerance - old/new/tolerance -0.157142341901054/-0.137330976787703//0.02</t>
  </si>
  <si>
    <t>2015-2-23 16:33:46.293: MarketData - Let Delta - discarding new delta value - outside tolerance - old/new/tolerance -0.157142341901054/-0.150444396665235//0.02</t>
  </si>
  <si>
    <t>2015-2-23 16:33:46.360: MarketData - Let Delta - discarding new delta value - outside tolerance - old/new/tolerance 0.776600642808966/0.800015408697101//0.02</t>
  </si>
  <si>
    <t>2015-2-23 16:33:46.379: MarketData - Let Delta - discarding new delta value - outside tolerance - old/new/tolerance 0.776600642808966/0.756711726410346//0.02</t>
  </si>
  <si>
    <t>2015-2-23 16:33:46.380: MarketData - Let ImpliedVol - discarding new iv value - outside tolerance - old/new/tolerance 0.086484950643424/0.104036409308501//0.1</t>
  </si>
  <si>
    <t>2015-2-23 16:33:49.824: MarketData - Let Delta - discarding new delta value - outside tolerance - old/new/tolerance -0.157142341901054/-0.147955905400778//0.02</t>
  </si>
  <si>
    <t>2015-2-23 16:33:49.869: MarketData - Let ImpliedVol - discarding new iv value - outside tolerance - old/new/tolerance 0.086484950643424/9.54162736932318E-02//0.1</t>
  </si>
  <si>
    <t>2015-2-23 16:33:51.829: MarketData - Let Delta - discarding new delta value - outside tolerance - old/new/tolerance -0.157142341901054/-0.146456327590799//0.02</t>
  </si>
  <si>
    <t>2015-2-23 16:33:51.871: MarketData - Let ImpliedVol - discarding new iv value - outside tolerance - old/new/tolerance 0.086484950643424/9.54162736932318E-02//0.1</t>
  </si>
  <si>
    <t>2015-2-23 16:33:51.929: MarketData - Let Delta - discarding new delta value - outside tolerance - old/new/tolerance -0.157142341901054/-0.136874386246719//0.02</t>
  </si>
  <si>
    <t>2015-2-23 16:33:51.969: MarketData - Let Delta - discarding new delta value - outside tolerance - old/new/tolerance -0.157142341901054/-0.149957088843532//0.02</t>
  </si>
  <si>
    <t>2015-2-23 16:33:52.27: MarketData - Let Delta - discarding new delta value - outside tolerance - old/new/tolerance 0.778080154033181/0.806728321607601//0.02</t>
  </si>
  <si>
    <t>2015-2-23 16:33:52.45: MarketData - Let ImpliedVol - discarding new iv value - outside tolerance - old/new/tolerance 8.48835884508163E-02/0.100602544429765//0.1</t>
  </si>
  <si>
    <t>2015-2-23 16:33:52.831: MarketData - Let Delta - discarding new delta value - outside tolerance - old/new/tolerance -0.157142341901054/-0.147955905400778//0.02</t>
  </si>
  <si>
    <t>2015-2-23 16:33:52.871: MarketData - Let ImpliedVol - discarding new iv value - outside tolerance - old/new/tolerance 8.48835884508163E-02/9.54162736932318E-02//0.1</t>
  </si>
  <si>
    <t>2015-2-23 16:33:53.492: MarketData - Let Delta - discarding new delta value - outside tolerance - old/new/tolerance -0.157142341901054/-0.151499425468303//0.02</t>
  </si>
  <si>
    <t>2015-2-23 16:33:53.526: MarketData - Let ImpliedVol - discarding new iv value - outside tolerance - old/new/tolerance 8.48835884508163E-02/9.62196453621473E-02//0.1</t>
  </si>
  <si>
    <t>2015-2-23 16:33:53.627: MarketData - Let Delta - discarding new delta value - outside tolerance - old/new/tolerance -0.157142341901054/-0.137813428020041//0.02</t>
  </si>
  <si>
    <t>2015-2-23 16:33:53.666: MarketData - Let Delta - discarding new delta value - outside tolerance - old/new/tolerance -0.157142341901054/-0.150935634514306//0.02</t>
  </si>
  <si>
    <t>2015-2-23 16:33:53.734: MarketData - Let Delta - discarding new delta value - outside tolerance - old/new/tolerance 0.772199659093167/0.799213968799746//0.02</t>
  </si>
  <si>
    <t>2015-2-23 16:33:53.753: MarketData - Let Delta - discarding new delta value - outside tolerance - old/new/tolerance 0.772199659093167/0.755786646917514//0.02</t>
  </si>
  <si>
    <t>2015-2-23 16:33:53.755: MarketData - Let ImpliedVol - discarding new iv value - outside tolerance - old/new/tolerance 8.60194287535846E-02/0.103600663663121//0.1</t>
  </si>
  <si>
    <t>2015-2-23 16:33:56.599: Cancel-Replacing active buy stop because of priceTolerance - required price/current price/tickTolerance is 1.5698/1.5709/10</t>
  </si>
  <si>
    <t>2015-2-23 16:33:56.599: OrderManager - cancelOrder - cancelling order id 10267</t>
  </si>
  <si>
    <t>2015-2-23 16:33:56.600: OrderManager - PlaceOrder - id 10268 workingQty -11</t>
  </si>
  <si>
    <t>2015-2-23 16:33:56.600: OrderManagerView - UpdateMainSheetOpenOrder - entering UpdateMainSheetOpenOrder order.status is In-Flight</t>
  </si>
  <si>
    <t>2015-2-23 16:33:56.804: RTWSControl - orderStatus -  entering orderStatus id is 10267 status is Cancelled</t>
  </si>
  <si>
    <t>2015-2-23 16:33:56.805: OrderManager - UpdateOrderStatus - id 10267 Setting status to Cancelled workingOrderCount is now 3 workingQty -11</t>
  </si>
  <si>
    <t>2015-2-23 16:33:56.806: OrderManagerView - UpdateMainSheetOpenOrder - entering UpdateMainSheetOpenOrder order.status is Cancelled</t>
  </si>
  <si>
    <t>2015-2-23 16:33:56.809: RTWSControl - OrderStatus - Got OrderStatus Message id:10267 status: Cancelled filled: 0</t>
  </si>
  <si>
    <t>2015-2-23 16:33:56.809: RTWSControl - OrderStatus - exiting orderStatus</t>
  </si>
  <si>
    <t>2015-2-23 16:33:56.832: RTWSControl - errMsg - got error message 202:Order Canceled - reason:with id 10267</t>
  </si>
  <si>
    <t>2015-2-23 16:33:56.833: OrderManager - canceledOrder - cleaning up after canceled order 10267BEWARE UNACCOUNTED FOR EXECUTIONS!!!</t>
  </si>
  <si>
    <t>2015-2-23 16:33:56.834: OrderManager - terminateOrder - cleaning up after Canceled 10267  order was supposed to BUY 9 1.5719 STP LMT workingQty/OrderCount now -20/2</t>
  </si>
  <si>
    <t>2015-2-23 16:33:56.835: OrderManagerView - UpdateMainSheetOpenOrder - entering UpdateMainSheetOpenOrder order.status is Canceled</t>
  </si>
  <si>
    <t>2015-2-23 16:33:56.940: openOrderEx - I am here</t>
  </si>
  <si>
    <t>2015-2-23 16:33:56.940: OrderManagerView - UpdateMainSheetOpenOrder - entering UpdateMainSheetOpenOrder order.status is In-Flight</t>
  </si>
  <si>
    <t>2015-2-23 16:33:56.952: RTWSControl - orderStatus -  entering orderStatus id is 10268 status is PreSubmitted</t>
  </si>
  <si>
    <t>2015-2-23 16:33:56.953: OrderManager - UpdateOrderStatus - id 10268 Setting status to PreSubmitted workingOrderCount is now 2 workingQty -20</t>
  </si>
  <si>
    <t>2015-2-23 16:33:56.954: OrderManagerView - UpdateMainSheetOpenOrder - entering UpdateMainSheetOpenOrder order.status is PreSubmitted</t>
  </si>
  <si>
    <t>2015-2-23 16:33:56.956: RTWSControl - OrderStatus - Got OrderStatus Message id:10268 status: PreSubmitted filled: 0</t>
  </si>
  <si>
    <t>2015-2-23 16:33:56.956: RTWSControl - OrderStatus - exiting orderStatus</t>
  </si>
  <si>
    <t>2015-2-23 16:33:57.683: MarketData - Let Delta - discarding new delta value - outside tolerance - old/new/tolerance -0.157142341901054/-0.150869229793317//0.02</t>
  </si>
  <si>
    <t>2015-2-23 16:33:57.735: MarketData - Let ImpliedVol - discarding new iv value - outside tolerance - old/new/tolerance 8.60194287535846E-02/9.59278488636102E-02//0.1</t>
  </si>
  <si>
    <t>2015-2-23 16:33:59.35: MarketData - Let Delta - discarding new delta value - outside tolerance - old/new/tolerance -0.157142341901054/-0.149377873779266//0.02</t>
  </si>
  <si>
    <t>2015-2-23 16:33:59.77: MarketData - Let ImpliedVol - discarding new iv value - outside tolerance - old/new/tolerance 8.60194287535846E-02/9.59278488636102E-02//0.1</t>
  </si>
  <si>
    <t>2015-2-23 16:33:59.594: MarketData - Let Delta - discarding new delta value - outside tolerance - old/new/tolerance -0.157142341901054/-0.137330976787703//0.02</t>
  </si>
  <si>
    <t>2015-2-23 16:33:59.614: MarketData - Let Delta - discarding new delta value - outside tolerance - old/new/tolerance -0.157142341901054/-0.150444396665235//0.02</t>
  </si>
  <si>
    <t>2015-2-23 16:33:59.812: MarketData - Let Delta - discarding new delta value - outside tolerance - old/new/tolerance 0.77486230400087/0.800015408697101//0.02</t>
  </si>
  <si>
    <t>2015-2-23 16:33:59.868: MarketData - Let Delta - discarding new delta value - outside tolerance - old/new/tolerance 0.77486230400087/0.756711726410346//0.02</t>
  </si>
  <si>
    <t>2015-2-23 16:33:59.869: MarketData - Let ImpliedVol - discarding new iv value - outside tolerance - old/new/tolerance 0.086484950643424/0.104036409308501//0.1</t>
  </si>
  <si>
    <t>2015-2-23 16:34:1.103: OrderManagerView - UpdateMainSheetOpenOrder - entering UpdateMainSheetOpenOrder order.status is PreSubmitted</t>
  </si>
  <si>
    <t>2015-2-23 16:34:1.109: OrderManagerView - UpdateMainSheetOpenOrder - entering UpdateMainSheetOpenOrder order.status is PreSubmitted</t>
  </si>
  <si>
    <t>2015-2-23 16:34:1.879: MarketData - Let Delta - discarding new delta value - outside tolerance - old/new/tolerance -0.157142341901054/-0.147914586789576//0.02</t>
  </si>
  <si>
    <t>2015-2-23 16:34:1.919: MarketData - Let ImpliedVol - discarding new iv value - outside tolerance - old/new/tolerance 0.086484950643424/9.58249937658024E-02//0.1</t>
  </si>
  <si>
    <t>2015-2-23 16:34:2.1: MarketData - Let Delta - discarding new delta value - outside tolerance - old/new/tolerance -0.157142341901054/-0.136874351460066//0.02</t>
  </si>
  <si>
    <t>2015-2-23 16:34:2.39: MarketData - Let Delta - discarding new delta value - outside tolerance - old/new/tolerance -0.157142341901054/-0.14997200195485//0.02</t>
  </si>
  <si>
    <t>2015-2-23 16:34:2.108: MarketData - Let Delta - discarding new delta value - outside tolerance - old/new/tolerance 0.777079352469611/0.806728321607601//0.02</t>
  </si>
  <si>
    <t>2015-2-23 16:34:2.128: MarketData - Let ImpliedVol - discarding new iv value - outside tolerance - old/new/tolerance 8.48835884508163E-02/0.102552890586197//0.1</t>
  </si>
  <si>
    <t>2015-2-23 16:34:4.363: MarketData - Let Delta - discarding new delta value - outside tolerance - old/new/tolerance -0.157142341901054/-0.149405585990793//0.02</t>
  </si>
  <si>
    <t>2015-2-23 16:34:4.382: MarketData - Let ImpliedVol - discarding new iv value - outside tolerance - old/new/tolerance 8.48835884508163E-02/9.58249937658024E-02//0.1</t>
  </si>
  <si>
    <t>2015-2-23 16:34:4.462: MarketData - Let Delta - discarding new delta value - outside tolerance - old/new/tolerance -0.157142341901054/-0.137330976787703//0.02</t>
  </si>
  <si>
    <t>2015-2-23 16:34:4.501: MarketData - Let Delta - discarding new delta value - outside tolerance - old/new/tolerance -0.157142341901054/-0.150444396665235//0.02</t>
  </si>
  <si>
    <t>2015-2-23 16:34:4.569: MarketData - Let Delta - discarding new delta value - outside tolerance - old/new/tolerance 0.775110701940675/0.800015408697101//0.02</t>
  </si>
  <si>
    <t>2015-2-23 16:34:4.588: MarketData - Let Delta - discarding new delta value - outside tolerance - old/new/tolerance 0.775110701940675/0.756711726410346//0.02</t>
  </si>
  <si>
    <t>2015-2-23 16:34:4.589: MarketData - Let ImpliedVol - discarding new iv value - outside tolerance - old/new/tolerance 0.086484950643424/0.104036409308501//0.1</t>
  </si>
  <si>
    <t>2015-2-23 16:34:5.659: MarketData - Let Delta - discarding new delta value - outside tolerance - old/new/tolerance -0.157142341901054/-0.148518642980029//0.02</t>
  </si>
  <si>
    <t>2015-2-23 16:34:5.702: MarketData - Let ImpliedVol - discarding new iv value - outside tolerance - old/new/tolerance 0.086484950643424/9.60543905090532E-02//0.1</t>
  </si>
  <si>
    <t>2015-2-23 16:34:5.761: MarketData - Let Delta - discarding new delta value - outside tolerance - old/new/tolerance -0.157142341901054/-0.136874351460066//0.02</t>
  </si>
  <si>
    <t>2015-2-23 16:34:5.796: MarketData - Let Delta - discarding new delta value - outside tolerance - old/new/tolerance -0.157142341901054/-0.14997200195485//0.02</t>
  </si>
  <si>
    <t>2015-2-23 16:34:5.862: MarketData - Let Delta - discarding new delta value - outside tolerance - old/new/tolerance 0.776521403090754/0.806728321607601//0.02</t>
  </si>
  <si>
    <t>2015-2-23 16:34:5.881: MarketData - Let ImpliedVol - discarding new iv value - outside tolerance - old/new/tolerance 8.48835884508163E-02/0.102552890586197//0.1</t>
  </si>
  <si>
    <t>2015-2-23 16:34:6.660: MarketData - Let Delta - discarding new delta value - outside tolerance - old/new/tolerance -0.157142341901054/-0.150006088506792//0.02</t>
  </si>
  <si>
    <t>2015-2-23 16:34:6.703: MarketData - Let ImpliedVol - discarding new iv value - outside tolerance - old/new/tolerance 8.48835884508163E-02/9.60543905090532E-02//0.1</t>
  </si>
  <si>
    <t>2015-2-23 16:34:7.753: MarketData - Let Delta - discarding new delta value - outside tolerance - old/new/tolerance -0.157142341901054/-0.137330976787703//0.02</t>
  </si>
  <si>
    <t>2015-2-23 16:34:7.807: MarketData - Let Delta - discarding new delta value - outside tolerance - old/new/tolerance -0.157142341901054/-0.150444396665235//0.02</t>
  </si>
  <si>
    <t>2015-2-23 16:34:7.870: MarketData - Let Delta - discarding new delta value - outside tolerance - old/new/tolerance 0.774557437238592/0.800015408697101//0.02</t>
  </si>
  <si>
    <t>2015-2-23 16:34:7.890: MarketData - Let Delta - discarding new delta value - outside tolerance - old/new/tolerance 0.774557437238592/0.756711726410346//0.02</t>
  </si>
  <si>
    <t>2015-2-23 16:34:7.891: MarketData - Let ImpliedVol - discarding new iv value - outside tolerance - old/new/tolerance 0.086484950643424/0.104036409308501//0.1</t>
  </si>
  <si>
    <t>2015-2-23 16:34:9.441: MarketData - Let Delta - discarding new delta value - outside tolerance - old/new/tolerance -0.157142341901054/-0.149587770596088//0.02</t>
  </si>
  <si>
    <t>2015-2-23 16:34:9.526: MarketData - Let ImpliedVol - discarding new iv value - outside tolerance - old/new/tolerance 0.086484950643424/9.59414781824464E-02//0.1</t>
  </si>
  <si>
    <t>2015-2-23 16:34:13.579: MarketData - Let Delta - discarding new delta value - outside tolerance - old/new/tolerance -0.157142341901054/-0.149893001361861//0.02</t>
  </si>
  <si>
    <t>2015-2-23 16:34:13.619: MarketData - Let ImpliedVol - discarding new iv value - outside tolerance - old/new/tolerance 0.086484950643424/9.61068167065235E-02//0.1</t>
  </si>
  <si>
    <t>2015-2-23 16:34:13.685: MarketData - Let Delta - discarding new delta value - outside tolerance - old/new/tolerance 0.774431367779126/0.794345338316027//0.02</t>
  </si>
  <si>
    <t>2015-2-23 16:34:13.735: MarketData - Let Delta - discarding new delta value - outside tolerance - old/new/tolerance 0.774431367779126/0.752763806209722//0.02</t>
  </si>
  <si>
    <t>2015-2-23 16:34:13.735: MarketData - Let ImpliedVol - discarding new iv value - outside tolerance - old/new/tolerance 8.84365259714069E-02/0.106000602688401//0.1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</si>
</sst>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G23" sqref="G23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10" t="s">
        <v>124</v>
      </c>
      <c r="B6" s="110"/>
      <c r="C6" s="110"/>
      <c r="D6" s="110"/>
      <c r="E6" s="110" t="s">
        <v>125</v>
      </c>
      <c r="F6" s="110"/>
      <c r="G6" s="110" t="s">
        <v>126</v>
      </c>
      <c r="H6" s="110"/>
      <c r="I6" s="110" t="s">
        <v>127</v>
      </c>
      <c r="J6" s="110"/>
      <c r="K6" s="110" t="s">
        <v>128</v>
      </c>
      <c r="L6" s="110"/>
      <c r="M6" s="110" t="s">
        <v>129</v>
      </c>
      <c r="N6" s="110"/>
      <c r="O6" s="110"/>
      <c r="P6" s="110"/>
      <c r="Q6" s="110"/>
      <c r="R6" s="110"/>
      <c r="S6" s="110"/>
      <c r="T6" s="110"/>
      <c r="U6" s="61"/>
      <c r="V6" s="61"/>
      <c r="W6" s="61"/>
      <c r="AF6" s="36"/>
    </row>
    <row r="7" spans="1:32" x14ac:dyDescent="0.25">
      <c r="A7" s="111" t="s">
        <v>205</v>
      </c>
      <c r="B7" s="111"/>
      <c r="C7" s="111">
        <v>7497</v>
      </c>
      <c r="D7" s="111"/>
      <c r="E7" s="111">
        <v>7</v>
      </c>
      <c r="F7" s="111"/>
      <c r="G7" s="111">
        <v>5</v>
      </c>
      <c r="H7" s="111"/>
      <c r="I7" s="112">
        <v>0.96388888888888891</v>
      </c>
      <c r="J7" s="113"/>
      <c r="K7" s="108" t="s">
        <v>208</v>
      </c>
      <c r="L7" s="109"/>
      <c r="M7" s="114"/>
      <c r="N7" s="115"/>
      <c r="O7" s="114"/>
      <c r="P7" s="115"/>
      <c r="Q7" s="114"/>
      <c r="R7" s="115"/>
      <c r="S7" s="114"/>
      <c r="T7" s="115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19" t="s">
        <v>134</v>
      </c>
      <c r="B12" s="119"/>
      <c r="C12" s="119" t="s">
        <v>135</v>
      </c>
      <c r="D12" s="119"/>
      <c r="E12" s="65" t="s">
        <v>136</v>
      </c>
      <c r="F12" s="65"/>
      <c r="G12" s="119" t="s">
        <v>137</v>
      </c>
      <c r="H12" s="119"/>
      <c r="I12" s="119" t="s">
        <v>138</v>
      </c>
      <c r="J12" s="119"/>
      <c r="K12" s="110" t="s">
        <v>139</v>
      </c>
      <c r="L12" s="110"/>
      <c r="M12" s="110" t="s">
        <v>140</v>
      </c>
      <c r="N12" s="110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1038054.55</v>
      </c>
      <c r="B13" s="3"/>
      <c r="C13" s="5">
        <v>138212.29</v>
      </c>
      <c r="D13" s="3"/>
      <c r="E13" s="5">
        <v>110576.59</v>
      </c>
      <c r="F13" s="5"/>
      <c r="G13" s="5">
        <v>899842.26</v>
      </c>
      <c r="H13" s="5"/>
      <c r="I13" s="5">
        <v>10581</v>
      </c>
      <c r="J13" s="5"/>
      <c r="K13" s="6">
        <v>-2189</v>
      </c>
      <c r="L13" s="4"/>
      <c r="M13" s="62" t="s">
        <v>206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6">
        <v>5</v>
      </c>
      <c r="F21" s="116"/>
      <c r="G21" s="81">
        <v>5</v>
      </c>
      <c r="H21" s="81">
        <v>10</v>
      </c>
      <c r="I21" s="81">
        <v>0.2</v>
      </c>
      <c r="J21" s="81"/>
      <c r="K21" s="117">
        <v>8</v>
      </c>
      <c r="L21" s="118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5</v>
      </c>
      <c r="K27" s="64">
        <v>1.5468999999999999</v>
      </c>
      <c r="L27" s="64"/>
      <c r="M27" s="64">
        <v>27</v>
      </c>
      <c r="N27" s="64">
        <v>1.5468</v>
      </c>
      <c r="O27" s="64">
        <v>1.5468999999999999</v>
      </c>
      <c r="P27" s="64">
        <v>5</v>
      </c>
      <c r="Q27" s="64"/>
      <c r="R27" s="64">
        <v>1.54705</v>
      </c>
      <c r="S27" s="64">
        <v>483453.12</v>
      </c>
      <c r="T27" s="64">
        <v>95999.96</v>
      </c>
      <c r="U27" s="64">
        <v>3453.32</v>
      </c>
      <c r="V27" s="64">
        <v>-467.42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6" t="s">
        <v>160</v>
      </c>
      <c r="D29" s="107"/>
      <c r="E29" s="12">
        <v>1.5349999999999999</v>
      </c>
      <c r="F29" s="12"/>
      <c r="G29" s="107" t="s">
        <v>161</v>
      </c>
      <c r="H29" s="107"/>
      <c r="I29" s="12">
        <v>9999</v>
      </c>
      <c r="J29" s="12"/>
      <c r="K29" s="107" t="s">
        <v>162</v>
      </c>
      <c r="L29" s="107"/>
      <c r="M29" s="12">
        <v>5</v>
      </c>
      <c r="N29" s="13"/>
      <c r="O29" s="107" t="s">
        <v>163</v>
      </c>
      <c r="P29" s="107"/>
      <c r="Q29" s="30">
        <v>1.546805459008153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6"/>
      <c r="D30" s="107"/>
      <c r="E30" s="12">
        <v>119</v>
      </c>
      <c r="F30" s="12"/>
      <c r="G30" s="107" t="s">
        <v>194</v>
      </c>
      <c r="H30" s="107"/>
      <c r="I30" s="12">
        <v>99974531</v>
      </c>
      <c r="J30" s="12"/>
      <c r="K30" s="107" t="s">
        <v>195</v>
      </c>
      <c r="L30" s="107"/>
      <c r="M30" s="12">
        <v>5</v>
      </c>
      <c r="N30" s="13"/>
      <c r="O30" s="107" t="s">
        <v>164</v>
      </c>
      <c r="P30" s="107"/>
      <c r="Q30" s="30">
        <v>1.5467991893409208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6"/>
      <c r="D31" s="107"/>
      <c r="E31" s="12">
        <v>118</v>
      </c>
      <c r="F31" s="12"/>
      <c r="G31" s="107" t="s">
        <v>192</v>
      </c>
      <c r="H31" s="107"/>
      <c r="I31" s="12">
        <v>99974530</v>
      </c>
      <c r="J31" s="12"/>
      <c r="K31" s="107" t="s">
        <v>196</v>
      </c>
      <c r="L31" s="107"/>
      <c r="M31" s="12">
        <v>0</v>
      </c>
      <c r="N31" s="13"/>
      <c r="O31" s="107" t="s">
        <v>99</v>
      </c>
      <c r="P31" s="107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02">
        <v>73</v>
      </c>
      <c r="D32" s="92"/>
      <c r="E32" s="92">
        <v>1.5037</v>
      </c>
      <c r="F32" s="92"/>
      <c r="G32" s="92" t="s">
        <v>192</v>
      </c>
      <c r="H32" s="92"/>
      <c r="I32" s="92">
        <v>73</v>
      </c>
      <c r="J32" s="92"/>
      <c r="K32" s="92">
        <v>0</v>
      </c>
      <c r="L32" s="92"/>
      <c r="M32" s="92"/>
      <c r="N32" s="93"/>
      <c r="O32" s="92"/>
      <c r="P32" s="92"/>
      <c r="Q32" s="92"/>
      <c r="R32" s="93"/>
      <c r="S32" s="92"/>
      <c r="T32" s="93"/>
      <c r="U32" s="92"/>
      <c r="V32" s="9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8" t="s">
        <v>165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Q34" s="94" t="s">
        <v>185</v>
      </c>
      <c r="R34" s="94"/>
      <c r="S34" s="94"/>
      <c r="T34" s="94"/>
      <c r="U34" s="94"/>
      <c r="V34" s="94"/>
      <c r="W34" s="94"/>
    </row>
    <row r="35" spans="1:33" s="11" customFormat="1" ht="39" customHeight="1" x14ac:dyDescent="0.3">
      <c r="A35" s="87" t="s">
        <v>26</v>
      </c>
      <c r="B35" s="96" t="s">
        <v>27</v>
      </c>
      <c r="C35" s="96"/>
      <c r="D35" s="96"/>
      <c r="E35" s="96"/>
      <c r="F35" s="88"/>
      <c r="G35" s="96" t="s">
        <v>28</v>
      </c>
      <c r="H35" s="96"/>
      <c r="I35" s="96"/>
      <c r="J35" s="96"/>
      <c r="K35" s="96"/>
      <c r="L35" s="88"/>
      <c r="M35" s="96" t="s">
        <v>166</v>
      </c>
      <c r="N35" s="96"/>
      <c r="O35" s="97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8.9849602561570734</v>
      </c>
      <c r="R36" s="76">
        <f>SUM(X47:X67)</f>
        <v>-786.68663836012513</v>
      </c>
      <c r="S36" s="74">
        <f>SUM(W47:W67)</f>
        <v>2.6469149076124049E-2</v>
      </c>
      <c r="T36" s="76">
        <f>S36*62500</f>
        <v>1654.3218172577531</v>
      </c>
      <c r="U36" s="73">
        <v>0.1</v>
      </c>
      <c r="V36" s="77">
        <f>-1*U36*W36</f>
        <v>-375.00000000000011</v>
      </c>
      <c r="W36" s="77">
        <f>AG45</f>
        <v>3750.0000000000009</v>
      </c>
      <c r="X36" s="46"/>
      <c r="Y36" s="46"/>
      <c r="AC36" s="38"/>
    </row>
    <row r="37" spans="1:33" ht="18.75" x14ac:dyDescent="0.3">
      <c r="A37" s="2" t="s">
        <v>179</v>
      </c>
      <c r="B37" s="16" t="s">
        <v>193</v>
      </c>
      <c r="C37" s="16">
        <v>10</v>
      </c>
      <c r="D37" s="16" t="s">
        <v>211</v>
      </c>
      <c r="E37" s="16">
        <v>1.5461</v>
      </c>
      <c r="F37" s="2">
        <v>10266</v>
      </c>
      <c r="G37" s="18" t="s">
        <v>192</v>
      </c>
      <c r="H37" s="2">
        <v>0</v>
      </c>
      <c r="I37" s="2">
        <v>10</v>
      </c>
      <c r="J37" s="2">
        <v>0</v>
      </c>
      <c r="K37" s="2">
        <v>0</v>
      </c>
      <c r="L37" s="2"/>
      <c r="M37" s="2"/>
      <c r="N37" s="2"/>
      <c r="O37" s="2"/>
      <c r="Q37" s="71" t="s">
        <v>130</v>
      </c>
      <c r="R37" s="76">
        <f>ticksUpToLoss(V36,Q36,R36)</f>
        <v>234.91864175573102</v>
      </c>
      <c r="S37" s="76">
        <f>ticksDownToLoss(V36,Q36,R36)</f>
        <v>-6.4932480084436195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179</v>
      </c>
      <c r="B38" s="16" t="s">
        <v>183</v>
      </c>
      <c r="C38" s="16">
        <v>10</v>
      </c>
      <c r="D38" s="16" t="s">
        <v>211</v>
      </c>
      <c r="E38" s="16">
        <v>1.5698000000000001</v>
      </c>
      <c r="F38" s="2">
        <v>10268</v>
      </c>
      <c r="G38" s="18" t="s">
        <v>192</v>
      </c>
      <c r="H38" s="2">
        <v>0</v>
      </c>
      <c r="I38" s="2">
        <v>10</v>
      </c>
      <c r="J38" s="2">
        <v>0</v>
      </c>
      <c r="K38" s="2">
        <v>0</v>
      </c>
      <c r="L38" s="2"/>
      <c r="M38" s="2"/>
      <c r="N38" s="2"/>
      <c r="O38" s="2"/>
      <c r="Q38" s="71" t="s">
        <v>131</v>
      </c>
      <c r="R38" s="76">
        <f>Q36+R36*(R37*0.0001)</f>
        <v>-9.495775400937184</v>
      </c>
      <c r="S38" s="76">
        <f>Q36+R36*(S37*0.0001)</f>
        <v>9.4957754009371822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4" t="s">
        <v>132</v>
      </c>
      <c r="R39" s="94"/>
      <c r="S39" s="94"/>
      <c r="T39" s="94" t="s">
        <v>188</v>
      </c>
      <c r="U39" s="94"/>
      <c r="V39" s="94" t="s">
        <v>189</v>
      </c>
      <c r="W39" s="94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1.5703418641755731</v>
      </c>
      <c r="S40" s="76">
        <f>ROUND(-R38,0)</f>
        <v>9</v>
      </c>
      <c r="T40" s="72" t="s">
        <v>186</v>
      </c>
      <c r="U40" s="78">
        <v>10</v>
      </c>
      <c r="V40" s="84">
        <v>1.5698000000000001</v>
      </c>
      <c r="W40" s="76">
        <v>10</v>
      </c>
      <c r="X40" s="29">
        <f>(R40-V40) *10000</f>
        <v>5.4186417557300359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1.5462006751991557</v>
      </c>
      <c r="S41" s="76">
        <f>ROUND(-S38,0)</f>
        <v>-9</v>
      </c>
      <c r="T41" s="72" t="s">
        <v>187</v>
      </c>
      <c r="U41" s="78">
        <v>1</v>
      </c>
      <c r="V41" s="84">
        <v>1.5461</v>
      </c>
      <c r="W41" s="76">
        <v>10</v>
      </c>
      <c r="X41" s="29">
        <f>(R41-V41) *10000</f>
        <v>1.0067519915568646</v>
      </c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05" t="s">
        <v>202</v>
      </c>
      <c r="J42" s="105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9" t="s">
        <v>13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5" t="s">
        <v>101</v>
      </c>
      <c r="O45" s="95"/>
      <c r="P45" s="95"/>
      <c r="Q45" s="95"/>
      <c r="R45" s="95"/>
      <c r="S45" s="95"/>
      <c r="T45" s="95" t="s">
        <v>108</v>
      </c>
      <c r="U45" s="95"/>
      <c r="V45" s="95"/>
      <c r="W45" s="95"/>
      <c r="AG45" s="48">
        <f>SUM(AD47:AD67)</f>
        <v>3750.0000000000009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209</v>
      </c>
      <c r="B47" s="2">
        <v>-5</v>
      </c>
      <c r="C47" s="2">
        <v>1.387475E-2</v>
      </c>
      <c r="D47" s="2">
        <v>-4335.87</v>
      </c>
      <c r="E47" s="2">
        <v>341.29</v>
      </c>
      <c r="F47" s="28">
        <v>-2629.42</v>
      </c>
      <c r="G47" s="2">
        <v>0</v>
      </c>
      <c r="H47" s="2">
        <v>1.11E-2</v>
      </c>
      <c r="I47" s="2">
        <v>1</v>
      </c>
      <c r="J47" s="2">
        <v>80</v>
      </c>
      <c r="K47" s="2">
        <v>1.35E-2</v>
      </c>
      <c r="L47" s="2">
        <v>1.44E-2</v>
      </c>
      <c r="M47" s="2">
        <v>80</v>
      </c>
      <c r="N47" s="2">
        <v>8.8436525971406943E-2</v>
      </c>
      <c r="O47" s="2">
        <v>0.77443136777912591</v>
      </c>
      <c r="P47" s="2">
        <v>0</v>
      </c>
      <c r="Q47" s="33">
        <v>-6.6908861164759702E-4</v>
      </c>
      <c r="R47" s="2">
        <v>5.124070924234312E-4</v>
      </c>
      <c r="S47" s="2">
        <v>1.5468</v>
      </c>
      <c r="T47" s="2">
        <v>18.249806070989123</v>
      </c>
      <c r="U47" s="2">
        <f>O47*B47</f>
        <v>-3.8721568388956298</v>
      </c>
      <c r="V47" s="2">
        <v>1.5804</v>
      </c>
      <c r="W47" s="2">
        <f t="shared" ref="W47:W67" si="0">Q47*B47</f>
        <v>3.3454430582379852E-3</v>
      </c>
      <c r="X47">
        <f>IF(ISERR(T47),0,T47*B47)</f>
        <v>-91.249030354945617</v>
      </c>
      <c r="Y47">
        <f t="shared" ref="Y47:Y67" si="1">IF(X47 = 0,0,(W47*-10000)/X47)</f>
        <v>0.36662779267074863</v>
      </c>
      <c r="Z47" s="85">
        <f>midMarket(K47,L47) +AA47/10000</f>
        <v>2.5750000000000033E-2</v>
      </c>
      <c r="AA47">
        <f>IF(rightFromSymbol(A47)="C",MAX(0,$N$27-strikeFromSymbol(A47)),MAX(0,strikeFromSymbol(A47)-$N$27))*10000</f>
        <v>118.00000000000033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 t="s">
        <v>210</v>
      </c>
      <c r="B48" s="2">
        <v>-50</v>
      </c>
      <c r="C48" s="2">
        <v>1.0984E-3</v>
      </c>
      <c r="D48" s="2">
        <v>-3432.45</v>
      </c>
      <c r="E48" s="2">
        <v>263.79000000000002</v>
      </c>
      <c r="F48" s="28">
        <v>9757.0499999999993</v>
      </c>
      <c r="G48" s="2">
        <v>0</v>
      </c>
      <c r="H48" s="2">
        <v>2.5999999999999999E-3</v>
      </c>
      <c r="I48" s="2">
        <v>1</v>
      </c>
      <c r="J48" s="2">
        <v>108</v>
      </c>
      <c r="K48" s="2">
        <v>1.1000000000000001E-3</v>
      </c>
      <c r="L48" s="2">
        <v>1.2999999999999999E-3</v>
      </c>
      <c r="M48" s="2">
        <v>30</v>
      </c>
      <c r="N48" s="2">
        <v>9.9441845865364087E-2</v>
      </c>
      <c r="O48" s="2">
        <v>-0.15714234190105406</v>
      </c>
      <c r="P48" s="2">
        <v>0</v>
      </c>
      <c r="Q48" s="33">
        <v>-4.6247412035772128E-4</v>
      </c>
      <c r="R48" s="2">
        <v>4.0195100785792308E-4</v>
      </c>
      <c r="S48" s="2">
        <v>1.5468</v>
      </c>
      <c r="T48" s="2">
        <v>13.908752160103591</v>
      </c>
      <c r="U48" s="2">
        <f t="shared" ref="U48:U67" si="4">O48*B48</f>
        <v>7.8571170950527032</v>
      </c>
      <c r="V48" s="2">
        <v>1.5804</v>
      </c>
      <c r="W48" s="2">
        <f t="shared" si="0"/>
        <v>2.3123706017886065E-2</v>
      </c>
      <c r="X48">
        <f t="shared" ref="X48:X67" si="5">IF(ISERR(T48),0,T48*B48)</f>
        <v>-695.43760800517953</v>
      </c>
      <c r="Y48">
        <f t="shared" si="1"/>
        <v>0.33250583160457786</v>
      </c>
      <c r="Z48" s="85">
        <f>midMarket(K48,L48) +AA48/10000</f>
        <v>1.2000000000000001E-3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12.000000000000002</v>
      </c>
      <c r="AC48" s="49">
        <f t="shared" si="2"/>
        <v>600.00000000000011</v>
      </c>
      <c r="AD48" s="48">
        <f t="shared" si="3"/>
        <v>3750.0000000000009</v>
      </c>
    </row>
    <row r="49" spans="1:30" x14ac:dyDescent="0.25">
      <c r="A49" s="2" t="s">
        <v>213</v>
      </c>
      <c r="B49" s="2">
        <v>0</v>
      </c>
      <c r="C49" s="2">
        <v>1.0132850000000001E-2</v>
      </c>
      <c r="D49" s="2">
        <v>0</v>
      </c>
      <c r="E49" s="2">
        <v>0</v>
      </c>
      <c r="F49" s="28">
        <v>0</v>
      </c>
      <c r="G49" s="2">
        <v>-1721.4</v>
      </c>
      <c r="H49" s="2">
        <v>8.9999999999999993E-3</v>
      </c>
      <c r="I49" s="2">
        <v>1</v>
      </c>
      <c r="J49" s="2">
        <v>21</v>
      </c>
      <c r="K49" s="2">
        <v>0.01</v>
      </c>
      <c r="L49" s="2">
        <v>1.04E-2</v>
      </c>
      <c r="M49" s="2">
        <v>49</v>
      </c>
      <c r="N49" s="2">
        <v>9.3473042411972074E-2</v>
      </c>
      <c r="O49" s="2">
        <v>0.6726388361923592</v>
      </c>
      <c r="P49" s="2">
        <v>0</v>
      </c>
      <c r="Q49" s="33">
        <v>-6.7421577740589512E-4</v>
      </c>
      <c r="R49" s="2">
        <v>6.0250249816875406E-4</v>
      </c>
      <c r="S49" s="2">
        <v>1.5468</v>
      </c>
      <c r="T49" s="2">
        <v>20.197370280252272</v>
      </c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1.6999999999999918E-2</v>
      </c>
      <c r="AA49">
        <f>IF(rightFromSymbol(A49)="C",MAX(0,$N$27-strikeFromSymbol(A49)),MAX(0,strikeFromSymbol(A49)-$N$27))*10000</f>
        <v>67.999999999999176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03" t="s">
        <v>173</v>
      </c>
      <c r="B73" s="104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</row>
    <row r="74" spans="1:30" x14ac:dyDescent="0.25">
      <c r="A74" s="100" t="s">
        <v>41</v>
      </c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1" t="s">
        <v>123</v>
      </c>
      <c r="AF1" s="121"/>
      <c r="AG1" s="121"/>
      <c r="AH1" s="121"/>
      <c r="AI1" s="121"/>
      <c r="AJ1" s="121"/>
      <c r="AK1" s="121"/>
    </row>
    <row r="4" spans="2:37" x14ac:dyDescent="0.25">
      <c r="B4" s="98" t="s">
        <v>13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98"/>
      <c r="R4" s="99"/>
      <c r="S4" s="99"/>
      <c r="T4" s="95" t="s">
        <v>101</v>
      </c>
      <c r="U4" s="95"/>
      <c r="V4" s="95"/>
      <c r="W4" s="95"/>
      <c r="X4" s="95"/>
      <c r="Y4" s="95"/>
      <c r="Z4" s="95"/>
      <c r="AA4" s="95"/>
      <c r="AB4" s="95" t="s">
        <v>108</v>
      </c>
      <c r="AC4" s="95"/>
      <c r="AD4" s="95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1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214</v>
      </c>
    </row>
    <row r="2" spans="1:1" x14ac:dyDescent="0.25">
      <c r="A2" s="27" t="s">
        <v>215</v>
      </c>
    </row>
    <row r="3" spans="1:1" x14ac:dyDescent="0.25">
      <c r="A3" s="27" t="s">
        <v>216</v>
      </c>
    </row>
    <row r="4" spans="1:1" x14ac:dyDescent="0.25">
      <c r="A4" s="27" t="s">
        <v>217</v>
      </c>
    </row>
    <row r="5" spans="1:1" x14ac:dyDescent="0.25">
      <c r="A5" s="27" t="s">
        <v>218</v>
      </c>
    </row>
    <row r="6" spans="1:1" x14ac:dyDescent="0.25">
      <c r="A6" s="27" t="s">
        <v>219</v>
      </c>
    </row>
    <row r="7" spans="1:1" x14ac:dyDescent="0.25">
      <c r="A7" s="27" t="s">
        <v>220</v>
      </c>
    </row>
    <row r="8" spans="1:1" x14ac:dyDescent="0.25">
      <c r="A8" s="27" t="s">
        <v>221</v>
      </c>
    </row>
    <row r="9" spans="1:1" x14ac:dyDescent="0.25">
      <c r="A9" t="s">
        <v>222</v>
      </c>
    </row>
    <row r="10" spans="1:1" x14ac:dyDescent="0.25">
      <c r="A10" t="s">
        <v>223</v>
      </c>
    </row>
    <row r="11" spans="1:1" x14ac:dyDescent="0.25">
      <c r="A11" s="126" t="s">
        <v>224</v>
      </c>
    </row>
    <row r="12" spans="1:1" x14ac:dyDescent="0.25">
      <c r="A12" s="126" t="s">
        <v>225</v>
      </c>
    </row>
    <row r="13" spans="1:1" x14ac:dyDescent="0.25">
      <c r="A13" s="126" t="s">
        <v>226</v>
      </c>
    </row>
    <row r="14" spans="1:1" x14ac:dyDescent="0.25">
      <c r="A14" s="126" t="s">
        <v>227</v>
      </c>
    </row>
    <row r="15" spans="1:1" x14ac:dyDescent="0.25">
      <c r="A15" s="126" t="s">
        <v>228</v>
      </c>
    </row>
    <row r="16" spans="1:1" x14ac:dyDescent="0.25">
      <c r="A16" t="s">
        <v>229</v>
      </c>
    </row>
    <row r="17" spans="1:1" x14ac:dyDescent="0.25">
      <c r="A17" t="s">
        <v>230</v>
      </c>
    </row>
    <row r="18" spans="1:1" x14ac:dyDescent="0.25">
      <c r="A18" t="s">
        <v>231</v>
      </c>
    </row>
    <row r="19" spans="1:1" x14ac:dyDescent="0.25">
      <c r="A19" t="s">
        <v>232</v>
      </c>
    </row>
    <row r="20" spans="1:1" x14ac:dyDescent="0.25">
      <c r="A20" t="s">
        <v>233</v>
      </c>
    </row>
    <row r="21" spans="1:1" x14ac:dyDescent="0.25">
      <c r="A21" t="s">
        <v>234</v>
      </c>
    </row>
    <row r="22" spans="1:1" x14ac:dyDescent="0.25">
      <c r="A22" s="126" t="s">
        <v>235</v>
      </c>
    </row>
    <row r="23" spans="1:1" x14ac:dyDescent="0.25">
      <c r="A23" s="126" t="s">
        <v>236</v>
      </c>
    </row>
    <row r="24" spans="1:1" x14ac:dyDescent="0.25">
      <c r="A24" s="126" t="s">
        <v>237</v>
      </c>
    </row>
    <row r="25" spans="1:1" x14ac:dyDescent="0.25">
      <c r="A25" s="127" t="s">
        <v>238</v>
      </c>
    </row>
    <row r="26" spans="1:1" x14ac:dyDescent="0.25">
      <c r="A26" s="127" t="s">
        <v>239</v>
      </c>
    </row>
    <row r="27" spans="1:1" x14ac:dyDescent="0.25">
      <c r="A27" s="126" t="s">
        <v>240</v>
      </c>
    </row>
    <row r="28" spans="1:1" x14ac:dyDescent="0.25">
      <c r="A28" s="27" t="s">
        <v>241</v>
      </c>
    </row>
    <row r="29" spans="1:1" x14ac:dyDescent="0.25">
      <c r="A29" s="27" t="s">
        <v>242</v>
      </c>
    </row>
    <row r="30" spans="1:1" x14ac:dyDescent="0.25">
      <c r="A30" s="27" t="s">
        <v>242</v>
      </c>
    </row>
    <row r="31" spans="1:1" x14ac:dyDescent="0.25">
      <c r="A31" s="27" t="s">
        <v>243</v>
      </c>
    </row>
    <row r="32" spans="1:1" x14ac:dyDescent="0.25">
      <c r="A32" s="27" t="s">
        <v>243</v>
      </c>
    </row>
    <row r="33" spans="1:1" x14ac:dyDescent="0.25">
      <c r="A33" s="27" t="s">
        <v>243</v>
      </c>
    </row>
    <row r="34" spans="1:1" x14ac:dyDescent="0.25">
      <c r="A34" s="27"/>
    </row>
    <row r="35" spans="1:1" x14ac:dyDescent="0.25">
      <c r="A35" s="27"/>
    </row>
    <row r="36" spans="1:1" x14ac:dyDescent="0.25">
      <c r="A36" s="27"/>
    </row>
    <row r="37" spans="1:1" x14ac:dyDescent="0.25">
      <c r="A37" s="27"/>
    </row>
    <row r="38" spans="1:1" x14ac:dyDescent="0.25">
      <c r="A38" s="27"/>
    </row>
    <row r="39" spans="1:1" x14ac:dyDescent="0.25">
      <c r="A39" s="27"/>
    </row>
    <row r="40" spans="1:1" x14ac:dyDescent="0.25">
      <c r="A40" s="27"/>
    </row>
    <row r="41" spans="1:1" x14ac:dyDescent="0.25">
      <c r="A41" s="27"/>
    </row>
    <row r="42" spans="1:1" x14ac:dyDescent="0.25">
      <c r="A42" s="27"/>
    </row>
    <row r="43" spans="1:1" x14ac:dyDescent="0.25">
      <c r="A43" s="27"/>
    </row>
    <row r="44" spans="1:1" x14ac:dyDescent="0.25">
      <c r="A44" s="27"/>
    </row>
    <row r="45" spans="1:1" x14ac:dyDescent="0.25">
      <c r="A45" s="27"/>
    </row>
    <row r="46" spans="1:1" x14ac:dyDescent="0.25">
      <c r="A46" s="27"/>
    </row>
    <row r="47" spans="1:1" x14ac:dyDescent="0.25">
      <c r="A47" s="27"/>
    </row>
    <row r="48" spans="1:1" x14ac:dyDescent="0.25">
      <c r="A48" s="27"/>
    </row>
    <row r="49" spans="1:1" x14ac:dyDescent="0.25">
      <c r="A49" s="27"/>
    </row>
    <row r="50" spans="1:1" x14ac:dyDescent="0.25">
      <c r="A50" s="27"/>
    </row>
    <row r="51" spans="1:1" x14ac:dyDescent="0.25">
      <c r="A51" s="27"/>
    </row>
    <row r="52" spans="1:1" x14ac:dyDescent="0.25">
      <c r="A52" s="27"/>
    </row>
    <row r="53" spans="1:1" x14ac:dyDescent="0.25">
      <c r="A53" s="27"/>
    </row>
    <row r="54" spans="1:1" x14ac:dyDescent="0.25">
      <c r="A54" s="27"/>
    </row>
    <row r="55" spans="1:1" x14ac:dyDescent="0.25">
      <c r="A55" s="27"/>
    </row>
    <row r="56" spans="1:1" x14ac:dyDescent="0.25">
      <c r="A56" s="27"/>
    </row>
    <row r="57" spans="1:1" x14ac:dyDescent="0.25">
      <c r="A57" s="27"/>
    </row>
    <row r="58" spans="1:1" x14ac:dyDescent="0.25">
      <c r="A58" s="27"/>
    </row>
    <row r="59" spans="1:1" x14ac:dyDescent="0.25">
      <c r="A59" s="27"/>
    </row>
    <row r="60" spans="1:1" x14ac:dyDescent="0.25">
      <c r="A60" s="27"/>
    </row>
    <row r="61" spans="1:1" x14ac:dyDescent="0.25">
      <c r="A61" s="27"/>
    </row>
    <row r="62" spans="1:1" x14ac:dyDescent="0.25">
      <c r="A62" s="27"/>
    </row>
    <row r="63" spans="1:1" x14ac:dyDescent="0.25">
      <c r="A63" s="27"/>
    </row>
    <row r="64" spans="1:1" x14ac:dyDescent="0.25">
      <c r="A64" s="27"/>
    </row>
    <row r="65" spans="1:1" x14ac:dyDescent="0.25">
      <c r="A65" s="27"/>
    </row>
    <row r="66" spans="1:1" x14ac:dyDescent="0.25">
      <c r="A66" s="27"/>
    </row>
    <row r="67" spans="1:1" x14ac:dyDescent="0.25">
      <c r="A67" s="27"/>
    </row>
    <row r="68" spans="1:1" x14ac:dyDescent="0.25">
      <c r="A68" s="27"/>
    </row>
    <row r="69" spans="1:1" x14ac:dyDescent="0.25">
      <c r="A69" s="27"/>
    </row>
    <row r="70" spans="1:1" x14ac:dyDescent="0.25">
      <c r="A70" s="27"/>
    </row>
    <row r="71" spans="1:1" x14ac:dyDescent="0.25">
      <c r="A71" s="27"/>
    </row>
    <row r="72" spans="1:1" x14ac:dyDescent="0.25">
      <c r="A72" s="27"/>
    </row>
    <row r="73" spans="1:1" x14ac:dyDescent="0.25">
      <c r="A73" s="27"/>
    </row>
    <row r="74" spans="1:1" x14ac:dyDescent="0.25">
      <c r="A74" s="27"/>
    </row>
    <row r="75" spans="1:1" x14ac:dyDescent="0.25">
      <c r="A75" s="27"/>
    </row>
    <row r="76" spans="1:1" x14ac:dyDescent="0.25">
      <c r="A76" s="27"/>
    </row>
    <row r="77" spans="1:1" x14ac:dyDescent="0.25">
      <c r="A77" s="27"/>
    </row>
    <row r="78" spans="1:1" x14ac:dyDescent="0.25">
      <c r="A78" s="27"/>
    </row>
    <row r="79" spans="1:1" x14ac:dyDescent="0.25">
      <c r="A79" s="27"/>
    </row>
    <row r="80" spans="1:1" x14ac:dyDescent="0.25">
      <c r="A80" s="27"/>
    </row>
    <row r="81" spans="1:1" x14ac:dyDescent="0.25">
      <c r="A81" s="27"/>
    </row>
    <row r="82" spans="1:1" x14ac:dyDescent="0.25">
      <c r="A82" s="27"/>
    </row>
    <row r="83" spans="1:1" x14ac:dyDescent="0.25">
      <c r="A83" s="27"/>
    </row>
    <row r="84" spans="1:1" x14ac:dyDescent="0.25">
      <c r="A84" s="27"/>
    </row>
    <row r="85" spans="1:1" x14ac:dyDescent="0.25">
      <c r="A85" s="27"/>
    </row>
    <row r="86" spans="1:1" x14ac:dyDescent="0.25">
      <c r="A86" s="27"/>
    </row>
    <row r="87" spans="1:1" x14ac:dyDescent="0.25">
      <c r="A87" s="27"/>
    </row>
    <row r="88" spans="1:1" x14ac:dyDescent="0.25">
      <c r="A88" s="27"/>
    </row>
    <row r="89" spans="1:1" x14ac:dyDescent="0.25">
      <c r="A89" s="27"/>
    </row>
    <row r="90" spans="1:1" x14ac:dyDescent="0.25">
      <c r="A90" s="27"/>
    </row>
    <row r="91" spans="1:1" x14ac:dyDescent="0.25">
      <c r="A91" s="27"/>
    </row>
    <row r="92" spans="1:1" x14ac:dyDescent="0.25">
      <c r="A92" s="27"/>
    </row>
    <row r="93" spans="1:1" x14ac:dyDescent="0.25">
      <c r="A93" s="27"/>
    </row>
    <row r="94" spans="1:1" x14ac:dyDescent="0.25">
      <c r="A94" s="27"/>
    </row>
    <row r="95" spans="1:1" x14ac:dyDescent="0.25">
      <c r="A95" s="27"/>
    </row>
    <row r="96" spans="1:1" x14ac:dyDescent="0.25">
      <c r="A96" s="27"/>
    </row>
    <row r="97" spans="1:1" x14ac:dyDescent="0.25">
      <c r="A97" s="27"/>
    </row>
    <row r="98" spans="1:1" x14ac:dyDescent="0.25">
      <c r="A98" s="27"/>
    </row>
    <row r="99" spans="1:1" x14ac:dyDescent="0.25">
      <c r="A99" s="27"/>
    </row>
    <row r="100" spans="1:1" x14ac:dyDescent="0.25">
      <c r="A100" s="27"/>
    </row>
    <row r="101" spans="1:1" x14ac:dyDescent="0.25">
      <c r="A101" s="27"/>
    </row>
    <row r="102" spans="1:1" x14ac:dyDescent="0.25">
      <c r="A102" s="27"/>
    </row>
    <row r="103" spans="1:1" x14ac:dyDescent="0.25">
      <c r="A103" s="27"/>
    </row>
    <row r="104" spans="1:1" x14ac:dyDescent="0.25">
      <c r="A104" s="27"/>
    </row>
    <row r="105" spans="1:1" x14ac:dyDescent="0.25">
      <c r="A105" s="27"/>
    </row>
    <row r="106" spans="1:1" x14ac:dyDescent="0.25">
      <c r="A106" s="27"/>
    </row>
    <row r="107" spans="1:1" x14ac:dyDescent="0.25">
      <c r="A107" s="27"/>
    </row>
    <row r="108" spans="1:1" x14ac:dyDescent="0.25">
      <c r="A108" s="27"/>
    </row>
    <row r="109" spans="1:1" x14ac:dyDescent="0.25">
      <c r="A109" s="27"/>
    </row>
    <row r="110" spans="1:1" x14ac:dyDescent="0.25">
      <c r="A110" s="27"/>
    </row>
    <row r="111" spans="1:1" x14ac:dyDescent="0.25">
      <c r="A111" s="27"/>
    </row>
    <row r="112" spans="1:1" x14ac:dyDescent="0.25">
      <c r="A112" s="27"/>
    </row>
    <row r="113" spans="1:1" x14ac:dyDescent="0.25">
      <c r="A113" s="27"/>
    </row>
    <row r="114" spans="1:1" x14ac:dyDescent="0.25">
      <c r="A114" s="27"/>
    </row>
    <row r="115" spans="1:1" x14ac:dyDescent="0.25">
      <c r="A115" s="27"/>
    </row>
    <row r="116" spans="1:1" x14ac:dyDescent="0.25">
      <c r="A116" s="27"/>
    </row>
    <row r="117" spans="1:1" x14ac:dyDescent="0.25">
      <c r="A117" s="27"/>
    </row>
    <row r="118" spans="1:1" x14ac:dyDescent="0.25">
      <c r="A118" s="27"/>
    </row>
    <row r="119" spans="1:1" x14ac:dyDescent="0.25">
      <c r="A119" s="27"/>
    </row>
    <row r="120" spans="1:1" x14ac:dyDescent="0.25">
      <c r="A120" s="27"/>
    </row>
    <row r="121" spans="1:1" x14ac:dyDescent="0.25">
      <c r="A121" s="27"/>
    </row>
    <row r="122" spans="1:1" x14ac:dyDescent="0.25">
      <c r="A122" s="27"/>
    </row>
    <row r="123" spans="1:1" x14ac:dyDescent="0.25">
      <c r="A123" s="27"/>
    </row>
    <row r="124" spans="1:1" x14ac:dyDescent="0.25">
      <c r="A124" s="27"/>
    </row>
    <row r="125" spans="1:1" x14ac:dyDescent="0.25">
      <c r="A125" s="27"/>
    </row>
    <row r="126" spans="1:1" x14ac:dyDescent="0.25">
      <c r="A126" s="27"/>
    </row>
    <row r="127" spans="1:1" x14ac:dyDescent="0.25">
      <c r="A127" s="27"/>
    </row>
    <row r="128" spans="1:1" x14ac:dyDescent="0.25">
      <c r="A128" s="27"/>
    </row>
    <row r="129" spans="1:1" x14ac:dyDescent="0.25">
      <c r="A129" s="27"/>
    </row>
    <row r="130" spans="1:1" x14ac:dyDescent="0.25">
      <c r="A130" s="27"/>
    </row>
    <row r="131" spans="1:1" x14ac:dyDescent="0.25">
      <c r="A131" s="27"/>
    </row>
    <row r="132" spans="1:1" x14ac:dyDescent="0.25">
      <c r="A132" s="27"/>
    </row>
    <row r="133" spans="1:1" x14ac:dyDescent="0.25">
      <c r="A133" s="27"/>
    </row>
    <row r="134" spans="1:1" x14ac:dyDescent="0.25">
      <c r="A134" s="27"/>
    </row>
    <row r="135" spans="1:1" x14ac:dyDescent="0.25">
      <c r="A135" s="27"/>
    </row>
    <row r="136" spans="1:1" x14ac:dyDescent="0.25">
      <c r="A136" s="27"/>
    </row>
    <row r="137" spans="1:1" x14ac:dyDescent="0.25">
      <c r="A137" s="27"/>
    </row>
    <row r="138" spans="1:1" x14ac:dyDescent="0.25">
      <c r="A138" s="27"/>
    </row>
    <row r="139" spans="1:1" x14ac:dyDescent="0.25">
      <c r="A139" s="27"/>
    </row>
    <row r="140" spans="1:1" x14ac:dyDescent="0.25">
      <c r="A140" s="27"/>
    </row>
    <row r="141" spans="1:1" x14ac:dyDescent="0.25">
      <c r="A141" s="27"/>
    </row>
    <row r="142" spans="1:1" x14ac:dyDescent="0.25">
      <c r="A142" s="27"/>
    </row>
    <row r="143" spans="1:1" x14ac:dyDescent="0.25">
      <c r="A143" s="27"/>
    </row>
    <row r="144" spans="1:1" x14ac:dyDescent="0.25">
      <c r="A144" s="27"/>
    </row>
    <row r="145" spans="1:1" x14ac:dyDescent="0.25">
      <c r="A145" s="27"/>
    </row>
    <row r="146" spans="1:1" x14ac:dyDescent="0.25">
      <c r="A146" s="27"/>
    </row>
    <row r="147" spans="1:1" x14ac:dyDescent="0.25">
      <c r="A147" s="27"/>
    </row>
    <row r="148" spans="1:1" x14ac:dyDescent="0.25">
      <c r="A148" s="27"/>
    </row>
    <row r="149" spans="1:1" x14ac:dyDescent="0.25">
      <c r="A149" s="27"/>
    </row>
    <row r="150" spans="1:1" x14ac:dyDescent="0.25">
      <c r="A150" s="27"/>
    </row>
    <row r="151" spans="1:1" x14ac:dyDescent="0.25">
      <c r="A151" s="27"/>
    </row>
    <row r="152" spans="1:1" x14ac:dyDescent="0.25">
      <c r="A152" s="27"/>
    </row>
    <row r="153" spans="1:1" x14ac:dyDescent="0.25">
      <c r="A153" s="27"/>
    </row>
    <row r="154" spans="1:1" x14ac:dyDescent="0.25">
      <c r="A154" s="27"/>
    </row>
    <row r="155" spans="1:1" x14ac:dyDescent="0.25">
      <c r="A155" s="27"/>
    </row>
    <row r="156" spans="1:1" x14ac:dyDescent="0.25">
      <c r="A156" s="27"/>
    </row>
    <row r="157" spans="1:1" x14ac:dyDescent="0.25">
      <c r="A157" s="27"/>
    </row>
    <row r="158" spans="1:1" x14ac:dyDescent="0.25">
      <c r="A158" s="27"/>
    </row>
    <row r="159" spans="1:1" x14ac:dyDescent="0.25">
      <c r="A159" s="27"/>
    </row>
    <row r="160" spans="1:1" x14ac:dyDescent="0.25">
      <c r="A160" s="27"/>
    </row>
    <row r="161" spans="1:1" x14ac:dyDescent="0.25">
      <c r="A161" s="27"/>
    </row>
    <row r="162" spans="1:1" x14ac:dyDescent="0.25">
      <c r="A162" s="27"/>
    </row>
    <row r="163" spans="1:1" x14ac:dyDescent="0.25">
      <c r="A163" s="27"/>
    </row>
    <row r="164" spans="1:1" x14ac:dyDescent="0.25">
      <c r="A164" s="27"/>
    </row>
    <row r="165" spans="1:1" x14ac:dyDescent="0.25">
      <c r="A165" s="27"/>
    </row>
    <row r="166" spans="1:1" x14ac:dyDescent="0.25">
      <c r="A166" s="27"/>
    </row>
    <row r="167" spans="1:1" x14ac:dyDescent="0.25">
      <c r="A167" s="27"/>
    </row>
    <row r="168" spans="1:1" x14ac:dyDescent="0.25">
      <c r="A168" s="27"/>
    </row>
    <row r="169" spans="1:1" x14ac:dyDescent="0.25">
      <c r="A169" s="27"/>
    </row>
    <row r="170" spans="1:1" x14ac:dyDescent="0.25">
      <c r="A170" s="27"/>
    </row>
    <row r="171" spans="1:1" x14ac:dyDescent="0.25">
      <c r="A171" s="27"/>
    </row>
    <row r="172" spans="1:1" x14ac:dyDescent="0.25">
      <c r="A172" s="27"/>
    </row>
    <row r="173" spans="1:1" x14ac:dyDescent="0.25">
      <c r="A173" s="27"/>
    </row>
    <row r="174" spans="1:1" x14ac:dyDescent="0.25">
      <c r="A174" s="27"/>
    </row>
    <row r="175" spans="1:1" x14ac:dyDescent="0.25">
      <c r="A175" s="27"/>
    </row>
    <row r="176" spans="1:1" x14ac:dyDescent="0.25">
      <c r="A176" s="27"/>
    </row>
    <row r="177" spans="1:1" x14ac:dyDescent="0.25">
      <c r="A177" s="27"/>
    </row>
    <row r="178" spans="1:1" x14ac:dyDescent="0.25">
      <c r="A178" s="27"/>
    </row>
    <row r="179" spans="1:1" x14ac:dyDescent="0.25">
      <c r="A179" s="27"/>
    </row>
    <row r="180" spans="1:1" x14ac:dyDescent="0.25">
      <c r="A180" s="27"/>
    </row>
    <row r="181" spans="1:1" x14ac:dyDescent="0.25">
      <c r="A181" s="27"/>
    </row>
    <row r="182" spans="1:1" x14ac:dyDescent="0.25">
      <c r="A182" s="27"/>
    </row>
    <row r="183" spans="1:1" x14ac:dyDescent="0.25">
      <c r="A183" s="27"/>
    </row>
    <row r="184" spans="1:1" x14ac:dyDescent="0.25">
      <c r="A184" s="27"/>
    </row>
    <row r="185" spans="1:1" x14ac:dyDescent="0.25">
      <c r="A185" s="27"/>
    </row>
    <row r="186" spans="1:1" x14ac:dyDescent="0.25">
      <c r="A186" s="27"/>
    </row>
    <row r="187" spans="1:1" x14ac:dyDescent="0.25">
      <c r="A187" s="27"/>
    </row>
    <row r="188" spans="1:1" x14ac:dyDescent="0.25">
      <c r="A188" s="27"/>
    </row>
    <row r="189" spans="1:1" x14ac:dyDescent="0.25">
      <c r="A189" s="27"/>
    </row>
    <row r="190" spans="1:1" x14ac:dyDescent="0.25">
      <c r="A190" s="27"/>
    </row>
    <row r="191" spans="1:1" x14ac:dyDescent="0.25">
      <c r="A191" s="27"/>
    </row>
    <row r="192" spans="1:1" x14ac:dyDescent="0.25">
      <c r="A192" s="27"/>
    </row>
    <row r="193" spans="1:1" x14ac:dyDescent="0.25">
      <c r="A193" s="27"/>
    </row>
    <row r="194" spans="1:1" x14ac:dyDescent="0.25">
      <c r="A194" s="27"/>
    </row>
    <row r="195" spans="1:1" x14ac:dyDescent="0.25">
      <c r="A195" s="27"/>
    </row>
    <row r="196" spans="1:1" x14ac:dyDescent="0.25">
      <c r="A196" s="27"/>
    </row>
    <row r="197" spans="1:1" x14ac:dyDescent="0.25">
      <c r="A197" s="27"/>
    </row>
    <row r="198" spans="1:1" x14ac:dyDescent="0.25">
      <c r="A198" s="27"/>
    </row>
    <row r="199" spans="1:1" x14ac:dyDescent="0.25">
      <c r="A199" s="27"/>
    </row>
    <row r="200" spans="1:1" x14ac:dyDescent="0.25">
      <c r="A200" s="27"/>
    </row>
    <row r="201" spans="1:1" x14ac:dyDescent="0.25">
      <c r="A201" s="27"/>
    </row>
    <row r="202" spans="1:1" x14ac:dyDescent="0.25">
      <c r="A202" s="27"/>
    </row>
    <row r="203" spans="1:1" x14ac:dyDescent="0.25">
      <c r="A203" s="27"/>
    </row>
    <row r="204" spans="1:1" x14ac:dyDescent="0.25">
      <c r="A204" s="27"/>
    </row>
    <row r="205" spans="1:1" x14ac:dyDescent="0.25">
      <c r="A205" s="27"/>
    </row>
    <row r="206" spans="1:1" x14ac:dyDescent="0.25">
      <c r="A206" s="27"/>
    </row>
    <row r="207" spans="1:1" x14ac:dyDescent="0.25">
      <c r="A207" s="27"/>
    </row>
    <row r="208" spans="1:1" x14ac:dyDescent="0.25">
      <c r="A208" s="27"/>
    </row>
    <row r="209" spans="1:1" x14ac:dyDescent="0.25">
      <c r="A209" s="27"/>
    </row>
    <row r="210" spans="1:1" x14ac:dyDescent="0.25">
      <c r="A210" s="27"/>
    </row>
    <row r="211" spans="1:1" x14ac:dyDescent="0.25">
      <c r="A211" s="27"/>
    </row>
    <row r="212" spans="1:1" x14ac:dyDescent="0.25">
      <c r="A212" s="27"/>
    </row>
    <row r="213" spans="1:1" x14ac:dyDescent="0.25">
      <c r="A213" s="27"/>
    </row>
    <row r="214" spans="1:1" x14ac:dyDescent="0.25">
      <c r="A214" s="27"/>
    </row>
    <row r="215" spans="1:1" x14ac:dyDescent="0.25">
      <c r="A215" s="27"/>
    </row>
    <row r="216" spans="1:1" x14ac:dyDescent="0.25">
      <c r="A216" s="27"/>
    </row>
    <row r="217" spans="1:1" x14ac:dyDescent="0.25">
      <c r="A217" s="27"/>
    </row>
    <row r="218" spans="1:1" x14ac:dyDescent="0.25">
      <c r="A218" s="27"/>
    </row>
    <row r="219" spans="1:1" x14ac:dyDescent="0.25">
      <c r="A219" s="27"/>
    </row>
    <row r="220" spans="1:1" x14ac:dyDescent="0.25">
      <c r="A220" s="27"/>
    </row>
    <row r="221" spans="1:1" x14ac:dyDescent="0.25">
      <c r="A221" s="27"/>
    </row>
    <row r="222" spans="1:1" x14ac:dyDescent="0.25">
      <c r="A222" s="27"/>
    </row>
    <row r="223" spans="1:1" x14ac:dyDescent="0.25">
      <c r="A223" s="27"/>
    </row>
    <row r="224" spans="1:1" x14ac:dyDescent="0.25">
      <c r="A224" s="27"/>
    </row>
    <row r="225" spans="1:1" x14ac:dyDescent="0.25">
      <c r="A225" s="27"/>
    </row>
    <row r="226" spans="1:1" x14ac:dyDescent="0.25">
      <c r="A226" s="27"/>
    </row>
    <row r="227" spans="1:1" x14ac:dyDescent="0.25">
      <c r="A227" s="27"/>
    </row>
    <row r="228" spans="1:1" x14ac:dyDescent="0.25">
      <c r="A228" s="27"/>
    </row>
    <row r="229" spans="1:1" x14ac:dyDescent="0.25">
      <c r="A229" s="27"/>
    </row>
    <row r="230" spans="1:1" x14ac:dyDescent="0.25">
      <c r="A230" s="27"/>
    </row>
    <row r="231" spans="1:1" x14ac:dyDescent="0.25">
      <c r="A231" s="27"/>
    </row>
    <row r="232" spans="1:1" x14ac:dyDescent="0.25">
      <c r="A232" s="27"/>
    </row>
    <row r="233" spans="1:1" x14ac:dyDescent="0.25">
      <c r="A233" s="27"/>
    </row>
    <row r="234" spans="1:1" x14ac:dyDescent="0.25">
      <c r="A234" s="27"/>
    </row>
    <row r="235" spans="1:1" x14ac:dyDescent="0.25">
      <c r="A235" s="27"/>
    </row>
    <row r="236" spans="1:1" x14ac:dyDescent="0.25">
      <c r="A236" s="27"/>
    </row>
    <row r="237" spans="1:1" x14ac:dyDescent="0.25">
      <c r="A237" s="27"/>
    </row>
    <row r="238" spans="1:1" x14ac:dyDescent="0.25">
      <c r="A238" s="27"/>
    </row>
    <row r="239" spans="1:1" x14ac:dyDescent="0.25">
      <c r="A239" s="27"/>
    </row>
    <row r="240" spans="1:1" x14ac:dyDescent="0.25">
      <c r="A240" s="27"/>
    </row>
    <row r="241" spans="1:1" x14ac:dyDescent="0.25">
      <c r="A241" s="27"/>
    </row>
    <row r="242" spans="1:1" x14ac:dyDescent="0.25">
      <c r="A242" s="27"/>
    </row>
    <row r="243" spans="1:1" x14ac:dyDescent="0.25">
      <c r="A243" s="27"/>
    </row>
    <row r="244" spans="1:1" x14ac:dyDescent="0.25">
      <c r="A244" s="27"/>
    </row>
    <row r="245" spans="1:1" x14ac:dyDescent="0.25">
      <c r="A245" s="27"/>
    </row>
    <row r="246" spans="1:1" x14ac:dyDescent="0.25">
      <c r="A246" s="27"/>
    </row>
    <row r="247" spans="1:1" x14ac:dyDescent="0.25">
      <c r="A247" s="27"/>
    </row>
    <row r="248" spans="1:1" x14ac:dyDescent="0.25">
      <c r="A248" s="27"/>
    </row>
    <row r="249" spans="1:1" x14ac:dyDescent="0.25">
      <c r="A249" s="27"/>
    </row>
    <row r="250" spans="1:1" x14ac:dyDescent="0.25">
      <c r="A250" s="27"/>
    </row>
    <row r="251" spans="1:1" x14ac:dyDescent="0.25">
      <c r="A251" s="27"/>
    </row>
    <row r="252" spans="1:1" x14ac:dyDescent="0.25">
      <c r="A252" s="27"/>
    </row>
    <row r="253" spans="1:1" x14ac:dyDescent="0.25">
      <c r="A253" s="27"/>
    </row>
    <row r="254" spans="1:1" x14ac:dyDescent="0.25">
      <c r="A254" s="27"/>
    </row>
    <row r="255" spans="1:1" x14ac:dyDescent="0.25">
      <c r="A255" s="27"/>
    </row>
    <row r="256" spans="1:1" x14ac:dyDescent="0.25">
      <c r="A256" s="27"/>
    </row>
    <row r="257" spans="1:1" x14ac:dyDescent="0.25">
      <c r="A257" s="27"/>
    </row>
    <row r="258" spans="1:1" x14ac:dyDescent="0.25">
      <c r="A258" s="27"/>
    </row>
    <row r="259" spans="1:1" x14ac:dyDescent="0.25">
      <c r="A259" s="27"/>
    </row>
    <row r="260" spans="1:1" x14ac:dyDescent="0.25">
      <c r="A260" s="27"/>
    </row>
    <row r="261" spans="1:1" x14ac:dyDescent="0.25">
      <c r="A261" s="27"/>
    </row>
    <row r="262" spans="1:1" x14ac:dyDescent="0.25">
      <c r="A262" s="27"/>
    </row>
    <row r="263" spans="1:1" x14ac:dyDescent="0.25">
      <c r="A263" s="27"/>
    </row>
    <row r="264" spans="1:1" x14ac:dyDescent="0.25">
      <c r="A264" s="27"/>
    </row>
    <row r="265" spans="1:1" x14ac:dyDescent="0.25">
      <c r="A265" s="27"/>
    </row>
    <row r="266" spans="1:1" x14ac:dyDescent="0.25">
      <c r="A266" s="27"/>
    </row>
    <row r="267" spans="1:1" x14ac:dyDescent="0.25">
      <c r="A267" s="27"/>
    </row>
    <row r="268" spans="1:1" x14ac:dyDescent="0.25">
      <c r="A268" s="27"/>
    </row>
    <row r="269" spans="1:1" x14ac:dyDescent="0.25">
      <c r="A269" s="27"/>
    </row>
    <row r="270" spans="1:1" x14ac:dyDescent="0.25">
      <c r="A270" s="27"/>
    </row>
    <row r="271" spans="1:1" x14ac:dyDescent="0.25">
      <c r="A271" s="27"/>
    </row>
    <row r="272" spans="1:1" x14ac:dyDescent="0.25">
      <c r="A272" s="27"/>
    </row>
    <row r="273" spans="1:1" x14ac:dyDescent="0.25">
      <c r="A273" s="27"/>
    </row>
    <row r="274" spans="1:1" x14ac:dyDescent="0.25">
      <c r="A274" s="27"/>
    </row>
    <row r="275" spans="1:1" x14ac:dyDescent="0.25">
      <c r="A275" s="27"/>
    </row>
    <row r="276" spans="1:1" x14ac:dyDescent="0.25">
      <c r="A276" s="27"/>
    </row>
    <row r="277" spans="1:1" x14ac:dyDescent="0.25">
      <c r="A277" s="27"/>
    </row>
    <row r="278" spans="1:1" x14ac:dyDescent="0.25">
      <c r="A278" s="27"/>
    </row>
    <row r="279" spans="1:1" x14ac:dyDescent="0.25">
      <c r="A279" s="27"/>
    </row>
    <row r="280" spans="1:1" x14ac:dyDescent="0.25">
      <c r="A280" s="27"/>
    </row>
    <row r="281" spans="1:1" x14ac:dyDescent="0.25">
      <c r="A281" s="27"/>
    </row>
    <row r="282" spans="1:1" x14ac:dyDescent="0.25">
      <c r="A282" s="27"/>
    </row>
    <row r="283" spans="1:1" x14ac:dyDescent="0.25">
      <c r="A283" s="27"/>
    </row>
    <row r="284" spans="1:1" x14ac:dyDescent="0.25">
      <c r="A284" s="27"/>
    </row>
    <row r="285" spans="1:1" x14ac:dyDescent="0.25">
      <c r="A285" s="27"/>
    </row>
    <row r="286" spans="1:1" x14ac:dyDescent="0.25">
      <c r="A286" s="27"/>
    </row>
    <row r="287" spans="1:1" x14ac:dyDescent="0.25">
      <c r="A287" s="27"/>
    </row>
    <row r="288" spans="1:1" x14ac:dyDescent="0.25">
      <c r="A288" s="27"/>
    </row>
    <row r="289" spans="1:1" x14ac:dyDescent="0.25">
      <c r="A289" s="27"/>
    </row>
    <row r="290" spans="1:1" x14ac:dyDescent="0.25">
      <c r="A290" s="27"/>
    </row>
    <row r="291" spans="1:1" x14ac:dyDescent="0.25">
      <c r="A291" s="27"/>
    </row>
    <row r="292" spans="1:1" x14ac:dyDescent="0.25">
      <c r="A292" s="27"/>
    </row>
    <row r="293" spans="1:1" x14ac:dyDescent="0.25">
      <c r="A293" s="27"/>
    </row>
    <row r="294" spans="1:1" x14ac:dyDescent="0.25">
      <c r="A294" s="27"/>
    </row>
    <row r="295" spans="1:1" x14ac:dyDescent="0.25">
      <c r="A295" s="27" t="s">
        <v>244</v>
      </c>
    </row>
    <row r="296" spans="1:1" x14ac:dyDescent="0.25">
      <c r="A296" s="27" t="s">
        <v>245</v>
      </c>
    </row>
    <row r="297" spans="1:1" x14ac:dyDescent="0.25">
      <c r="A297" s="27" t="s">
        <v>246</v>
      </c>
    </row>
    <row r="298" spans="1:1" x14ac:dyDescent="0.25">
      <c r="A298" s="27" t="s">
        <v>247</v>
      </c>
    </row>
    <row r="299" spans="1:1" x14ac:dyDescent="0.25">
      <c r="A299" s="27" t="s">
        <v>248</v>
      </c>
    </row>
    <row r="300" spans="1:1" x14ac:dyDescent="0.25">
      <c r="A300" s="27" t="s">
        <v>249</v>
      </c>
    </row>
    <row r="301" spans="1:1" x14ac:dyDescent="0.25">
      <c r="A301" s="27" t="s">
        <v>250</v>
      </c>
    </row>
    <row r="302" spans="1:1" x14ac:dyDescent="0.25">
      <c r="A302" s="27" t="s">
        <v>251</v>
      </c>
    </row>
    <row r="303" spans="1:1" x14ac:dyDescent="0.25">
      <c r="A303" s="27" t="s">
        <v>252</v>
      </c>
    </row>
    <row r="304" spans="1:1" x14ac:dyDescent="0.25">
      <c r="A304" s="27" t="s">
        <v>253</v>
      </c>
    </row>
    <row r="305" spans="1:1" x14ac:dyDescent="0.25">
      <c r="A305" s="27" t="s">
        <v>254</v>
      </c>
    </row>
    <row r="306" spans="1:1" x14ac:dyDescent="0.25">
      <c r="A306" s="27" t="s">
        <v>255</v>
      </c>
    </row>
    <row r="307" spans="1:1" x14ac:dyDescent="0.25">
      <c r="A307" s="27" t="s">
        <v>256</v>
      </c>
    </row>
    <row r="308" spans="1:1" x14ac:dyDescent="0.25">
      <c r="A308" s="27" t="s">
        <v>257</v>
      </c>
    </row>
    <row r="309" spans="1:1" x14ac:dyDescent="0.25">
      <c r="A309" s="27" t="s">
        <v>258</v>
      </c>
    </row>
    <row r="310" spans="1:1" x14ac:dyDescent="0.25">
      <c r="A310" s="27" t="s">
        <v>259</v>
      </c>
    </row>
    <row r="311" spans="1:1" x14ac:dyDescent="0.25">
      <c r="A311" s="27" t="s">
        <v>260</v>
      </c>
    </row>
    <row r="312" spans="1:1" x14ac:dyDescent="0.25">
      <c r="A312" s="27" t="s">
        <v>261</v>
      </c>
    </row>
    <row r="313" spans="1:1" x14ac:dyDescent="0.25">
      <c r="A313" s="27" t="s">
        <v>262</v>
      </c>
    </row>
    <row r="314" spans="1:1" x14ac:dyDescent="0.25">
      <c r="A314" s="27" t="s">
        <v>263</v>
      </c>
    </row>
    <row r="315" spans="1:1" x14ac:dyDescent="0.25">
      <c r="A315" s="27" t="s">
        <v>264</v>
      </c>
    </row>
    <row r="316" spans="1:1" x14ac:dyDescent="0.25">
      <c r="A316" s="27" t="s">
        <v>265</v>
      </c>
    </row>
    <row r="317" spans="1:1" x14ac:dyDescent="0.25">
      <c r="A317" s="27" t="s">
        <v>266</v>
      </c>
    </row>
    <row r="318" spans="1:1" x14ac:dyDescent="0.25">
      <c r="A318" s="27" t="s">
        <v>267</v>
      </c>
    </row>
    <row r="319" spans="1:1" x14ac:dyDescent="0.25">
      <c r="A319" s="27" t="s">
        <v>268</v>
      </c>
    </row>
    <row r="320" spans="1:1" x14ac:dyDescent="0.25">
      <c r="A320" s="27" t="s">
        <v>269</v>
      </c>
    </row>
    <row r="321" spans="1:1" x14ac:dyDescent="0.25">
      <c r="A321" s="27" t="s">
        <v>270</v>
      </c>
    </row>
    <row r="322" spans="1:1" x14ac:dyDescent="0.25">
      <c r="A322" s="27" t="s">
        <v>271</v>
      </c>
    </row>
    <row r="323" spans="1:1" x14ac:dyDescent="0.25">
      <c r="A323" s="27" t="s">
        <v>272</v>
      </c>
    </row>
    <row r="324" spans="1:1" x14ac:dyDescent="0.25">
      <c r="A324" s="27" t="s">
        <v>273</v>
      </c>
    </row>
    <row r="325" spans="1:1" x14ac:dyDescent="0.25">
      <c r="A325" s="27" t="s">
        <v>274</v>
      </c>
    </row>
    <row r="326" spans="1:1" x14ac:dyDescent="0.25">
      <c r="A326" s="127" t="s">
        <v>275</v>
      </c>
    </row>
    <row r="327" spans="1:1" x14ac:dyDescent="0.25">
      <c r="A327" t="s">
        <v>276</v>
      </c>
    </row>
    <row r="328" spans="1:1" x14ac:dyDescent="0.25">
      <c r="A328" s="27" t="s">
        <v>277</v>
      </c>
    </row>
    <row r="329" spans="1:1" x14ac:dyDescent="0.25">
      <c r="A329" s="127" t="s">
        <v>278</v>
      </c>
    </row>
    <row r="330" spans="1:1" x14ac:dyDescent="0.25">
      <c r="A330" t="s">
        <v>279</v>
      </c>
    </row>
    <row r="331" spans="1:1" x14ac:dyDescent="0.25">
      <c r="A331" s="127" t="s">
        <v>280</v>
      </c>
    </row>
    <row r="332" spans="1:1" x14ac:dyDescent="0.25">
      <c r="A332" t="s">
        <v>281</v>
      </c>
    </row>
    <row r="333" spans="1:1" x14ac:dyDescent="0.25">
      <c r="A333" s="126" t="s">
        <v>282</v>
      </c>
    </row>
    <row r="334" spans="1:1" x14ac:dyDescent="0.25">
      <c r="A334" s="127" t="s">
        <v>283</v>
      </c>
    </row>
    <row r="335" spans="1:1" x14ac:dyDescent="0.25">
      <c r="A335" t="s">
        <v>284</v>
      </c>
    </row>
    <row r="336" spans="1:1" x14ac:dyDescent="0.25">
      <c r="A336" s="126" t="s">
        <v>285</v>
      </c>
    </row>
    <row r="337" spans="1:1" x14ac:dyDescent="0.25">
      <c r="A337" s="126" t="s">
        <v>286</v>
      </c>
    </row>
    <row r="338" spans="1:1" x14ac:dyDescent="0.25">
      <c r="A338" s="127" t="s">
        <v>287</v>
      </c>
    </row>
    <row r="339" spans="1:1" x14ac:dyDescent="0.25">
      <c r="A339" t="s">
        <v>288</v>
      </c>
    </row>
    <row r="340" spans="1:1" x14ac:dyDescent="0.25">
      <c r="A340" s="126" t="s">
        <v>289</v>
      </c>
    </row>
    <row r="341" spans="1:1" x14ac:dyDescent="0.25">
      <c r="A341" s="127" t="s">
        <v>290</v>
      </c>
    </row>
    <row r="342" spans="1:1" x14ac:dyDescent="0.25">
      <c r="A342" t="s">
        <v>291</v>
      </c>
    </row>
    <row r="343" spans="1:1" x14ac:dyDescent="0.25">
      <c r="A343" s="126" t="s">
        <v>292</v>
      </c>
    </row>
    <row r="344" spans="1:1" x14ac:dyDescent="0.25">
      <c r="A344" s="126" t="s">
        <v>293</v>
      </c>
    </row>
    <row r="345" spans="1:1" x14ac:dyDescent="0.25">
      <c r="A345" s="27" t="s">
        <v>294</v>
      </c>
    </row>
    <row r="346" spans="1:1" x14ac:dyDescent="0.25">
      <c r="A346" s="27" t="s">
        <v>295</v>
      </c>
    </row>
    <row r="347" spans="1:1" x14ac:dyDescent="0.25">
      <c r="A347" s="27" t="s">
        <v>296</v>
      </c>
    </row>
    <row r="348" spans="1:1" x14ac:dyDescent="0.25">
      <c r="A348" s="27" t="s">
        <v>297</v>
      </c>
    </row>
    <row r="349" spans="1:1" x14ac:dyDescent="0.25">
      <c r="A349" s="27" t="s">
        <v>298</v>
      </c>
    </row>
    <row r="350" spans="1:1" x14ac:dyDescent="0.25">
      <c r="A350" s="27" t="s">
        <v>299</v>
      </c>
    </row>
    <row r="351" spans="1:1" x14ac:dyDescent="0.25">
      <c r="A351" s="126" t="s">
        <v>300</v>
      </c>
    </row>
    <row r="352" spans="1:1" x14ac:dyDescent="0.25">
      <c r="A352" s="126" t="s">
        <v>301</v>
      </c>
    </row>
    <row r="353" spans="1:1" x14ac:dyDescent="0.25">
      <c r="A353" s="126" t="s">
        <v>302</v>
      </c>
    </row>
    <row r="354" spans="1:1" x14ac:dyDescent="0.25">
      <c r="A354" s="127" t="s">
        <v>303</v>
      </c>
    </row>
    <row r="355" spans="1:1" x14ac:dyDescent="0.25">
      <c r="A355" s="127" t="s">
        <v>304</v>
      </c>
    </row>
    <row r="356" spans="1:1" x14ac:dyDescent="0.25">
      <c r="A356" s="126" t="s">
        <v>305</v>
      </c>
    </row>
    <row r="357" spans="1:1" x14ac:dyDescent="0.25">
      <c r="A357" s="126" t="s">
        <v>306</v>
      </c>
    </row>
    <row r="358" spans="1:1" x14ac:dyDescent="0.25">
      <c r="A358" s="126" t="s">
        <v>307</v>
      </c>
    </row>
    <row r="359" spans="1:1" x14ac:dyDescent="0.25">
      <c r="A359" s="126" t="s">
        <v>308</v>
      </c>
    </row>
    <row r="360" spans="1:1" x14ac:dyDescent="0.25">
      <c r="A360" s="127" t="s">
        <v>309</v>
      </c>
    </row>
    <row r="361" spans="1:1" x14ac:dyDescent="0.25">
      <c r="A361" s="127" t="s">
        <v>310</v>
      </c>
    </row>
    <row r="362" spans="1:1" x14ac:dyDescent="0.25">
      <c r="A362" s="126" t="s">
        <v>311</v>
      </c>
    </row>
    <row r="363" spans="1:1" x14ac:dyDescent="0.25">
      <c r="A363" s="126" t="s">
        <v>312</v>
      </c>
    </row>
    <row r="364" spans="1:1" x14ac:dyDescent="0.25">
      <c r="A364" s="126" t="s">
        <v>313</v>
      </c>
    </row>
    <row r="365" spans="1:1" x14ac:dyDescent="0.25">
      <c r="A365" s="126" t="s">
        <v>314</v>
      </c>
    </row>
    <row r="366" spans="1:1" x14ac:dyDescent="0.25">
      <c r="A366" s="127" t="s">
        <v>315</v>
      </c>
    </row>
    <row r="367" spans="1:1" x14ac:dyDescent="0.25">
      <c r="A367" s="127" t="s">
        <v>316</v>
      </c>
    </row>
    <row r="368" spans="1:1" x14ac:dyDescent="0.25">
      <c r="A368" s="126" t="s">
        <v>317</v>
      </c>
    </row>
    <row r="369" spans="1:1" x14ac:dyDescent="0.25">
      <c r="A369" s="126" t="s">
        <v>318</v>
      </c>
    </row>
    <row r="370" spans="1:1" x14ac:dyDescent="0.25">
      <c r="A370" s="126" t="s">
        <v>319</v>
      </c>
    </row>
    <row r="371" spans="1:1" x14ac:dyDescent="0.25">
      <c r="A371" s="126" t="s">
        <v>320</v>
      </c>
    </row>
    <row r="372" spans="1:1" x14ac:dyDescent="0.25">
      <c r="A372" s="127" t="s">
        <v>321</v>
      </c>
    </row>
    <row r="373" spans="1:1" x14ac:dyDescent="0.25">
      <c r="A373" s="127" t="s">
        <v>322</v>
      </c>
    </row>
    <row r="374" spans="1:1" x14ac:dyDescent="0.25">
      <c r="A374" s="126" t="s">
        <v>323</v>
      </c>
    </row>
    <row r="375" spans="1:1" x14ac:dyDescent="0.25">
      <c r="A375" s="126" t="s">
        <v>324</v>
      </c>
    </row>
    <row r="376" spans="1:1" x14ac:dyDescent="0.25">
      <c r="A376" s="126" t="s">
        <v>325</v>
      </c>
    </row>
    <row r="377" spans="1:1" x14ac:dyDescent="0.25">
      <c r="A377" s="126" t="s">
        <v>326</v>
      </c>
    </row>
    <row r="378" spans="1:1" x14ac:dyDescent="0.25">
      <c r="A378" s="127" t="s">
        <v>327</v>
      </c>
    </row>
    <row r="379" spans="1:1" x14ac:dyDescent="0.25">
      <c r="A379" s="127" t="s">
        <v>328</v>
      </c>
    </row>
    <row r="380" spans="1:1" x14ac:dyDescent="0.25">
      <c r="A380" s="126" t="s">
        <v>329</v>
      </c>
    </row>
    <row r="381" spans="1:1" x14ac:dyDescent="0.25">
      <c r="A381" s="27" t="s">
        <v>330</v>
      </c>
    </row>
    <row r="382" spans="1:1" x14ac:dyDescent="0.25">
      <c r="A382" s="27" t="s">
        <v>331</v>
      </c>
    </row>
    <row r="383" spans="1:1" x14ac:dyDescent="0.25">
      <c r="A383" s="27" t="s">
        <v>332</v>
      </c>
    </row>
    <row r="384" spans="1:1" x14ac:dyDescent="0.25">
      <c r="A384" s="27" t="s">
        <v>333</v>
      </c>
    </row>
    <row r="385" spans="1:1" x14ac:dyDescent="0.25">
      <c r="A385" s="27" t="s">
        <v>334</v>
      </c>
    </row>
    <row r="386" spans="1:1" x14ac:dyDescent="0.25">
      <c r="A386" s="27" t="s">
        <v>335</v>
      </c>
    </row>
    <row r="387" spans="1:1" x14ac:dyDescent="0.25">
      <c r="A387" s="27" t="s">
        <v>336</v>
      </c>
    </row>
    <row r="388" spans="1:1" x14ac:dyDescent="0.25">
      <c r="A388" s="27" t="s">
        <v>337</v>
      </c>
    </row>
    <row r="389" spans="1:1" x14ac:dyDescent="0.25">
      <c r="A389" s="27" t="s">
        <v>338</v>
      </c>
    </row>
    <row r="390" spans="1:1" x14ac:dyDescent="0.25">
      <c r="A390" s="27" t="s">
        <v>339</v>
      </c>
    </row>
    <row r="391" spans="1:1" x14ac:dyDescent="0.25">
      <c r="A391" s="27" t="s">
        <v>340</v>
      </c>
    </row>
    <row r="392" spans="1:1" x14ac:dyDescent="0.25">
      <c r="A392" s="27" t="s">
        <v>341</v>
      </c>
    </row>
    <row r="393" spans="1:1" x14ac:dyDescent="0.25">
      <c r="A393" s="27" t="s">
        <v>342</v>
      </c>
    </row>
    <row r="394" spans="1:1" x14ac:dyDescent="0.25">
      <c r="A394" s="27" t="s">
        <v>343</v>
      </c>
    </row>
    <row r="395" spans="1:1" x14ac:dyDescent="0.25">
      <c r="A395" s="27" t="s">
        <v>344</v>
      </c>
    </row>
    <row r="396" spans="1:1" x14ac:dyDescent="0.25">
      <c r="A396" s="27" t="s">
        <v>345</v>
      </c>
    </row>
    <row r="397" spans="1:1" x14ac:dyDescent="0.25">
      <c r="A397" s="27" t="s">
        <v>346</v>
      </c>
    </row>
    <row r="398" spans="1:1" x14ac:dyDescent="0.25">
      <c r="A398" s="27" t="s">
        <v>347</v>
      </c>
    </row>
    <row r="399" spans="1:1" x14ac:dyDescent="0.25">
      <c r="A399" s="27" t="s">
        <v>348</v>
      </c>
    </row>
    <row r="400" spans="1:1" x14ac:dyDescent="0.25">
      <c r="A400" s="27" t="s">
        <v>349</v>
      </c>
    </row>
    <row r="401" spans="1:1" x14ac:dyDescent="0.25">
      <c r="A401" s="27" t="s">
        <v>350</v>
      </c>
    </row>
    <row r="402" spans="1:1" x14ac:dyDescent="0.25">
      <c r="A402" s="27" t="s">
        <v>351</v>
      </c>
    </row>
    <row r="403" spans="1:1" x14ac:dyDescent="0.25">
      <c r="A403" s="27" t="s">
        <v>352</v>
      </c>
    </row>
    <row r="404" spans="1:1" x14ac:dyDescent="0.25">
      <c r="A404" s="27" t="s">
        <v>353</v>
      </c>
    </row>
    <row r="405" spans="1:1" x14ac:dyDescent="0.25">
      <c r="A405" s="27" t="s">
        <v>354</v>
      </c>
    </row>
    <row r="406" spans="1:1" x14ac:dyDescent="0.25">
      <c r="A406" s="27" t="s">
        <v>355</v>
      </c>
    </row>
    <row r="407" spans="1:1" x14ac:dyDescent="0.25">
      <c r="A407" s="27" t="s">
        <v>356</v>
      </c>
    </row>
    <row r="408" spans="1:1" x14ac:dyDescent="0.25">
      <c r="A408" s="27" t="s">
        <v>357</v>
      </c>
    </row>
    <row r="409" spans="1:1" x14ac:dyDescent="0.25">
      <c r="A409" s="27" t="s">
        <v>358</v>
      </c>
    </row>
    <row r="410" spans="1:1" x14ac:dyDescent="0.25">
      <c r="A410" s="27" t="s">
        <v>359</v>
      </c>
    </row>
    <row r="411" spans="1:1" x14ac:dyDescent="0.25">
      <c r="A411" s="27" t="s">
        <v>360</v>
      </c>
    </row>
    <row r="412" spans="1:1" x14ac:dyDescent="0.25">
      <c r="A412" s="27" t="s">
        <v>361</v>
      </c>
    </row>
    <row r="413" spans="1:1" x14ac:dyDescent="0.25">
      <c r="A413" s="27" t="s">
        <v>362</v>
      </c>
    </row>
    <row r="414" spans="1:1" x14ac:dyDescent="0.25">
      <c r="A414" s="27" t="s">
        <v>363</v>
      </c>
    </row>
    <row r="415" spans="1:1" x14ac:dyDescent="0.25">
      <c r="A415" s="27" t="s">
        <v>364</v>
      </c>
    </row>
    <row r="416" spans="1:1" x14ac:dyDescent="0.25">
      <c r="A416" s="27" t="s">
        <v>365</v>
      </c>
    </row>
    <row r="417" spans="1:1" x14ac:dyDescent="0.25">
      <c r="A417" s="27" t="s">
        <v>366</v>
      </c>
    </row>
    <row r="418" spans="1:1" x14ac:dyDescent="0.25">
      <c r="A418" s="27" t="s">
        <v>367</v>
      </c>
    </row>
    <row r="419" spans="1:1" x14ac:dyDescent="0.25">
      <c r="A419" s="27" t="s">
        <v>368</v>
      </c>
    </row>
    <row r="420" spans="1:1" x14ac:dyDescent="0.25">
      <c r="A420" s="27" t="s">
        <v>369</v>
      </c>
    </row>
    <row r="421" spans="1:1" x14ac:dyDescent="0.25">
      <c r="A421" s="27" t="s">
        <v>370</v>
      </c>
    </row>
    <row r="422" spans="1:1" x14ac:dyDescent="0.25">
      <c r="A422" s="27" t="s">
        <v>371</v>
      </c>
    </row>
    <row r="423" spans="1:1" x14ac:dyDescent="0.25">
      <c r="A423" s="27" t="s">
        <v>372</v>
      </c>
    </row>
    <row r="424" spans="1:1" x14ac:dyDescent="0.25">
      <c r="A424" s="27" t="s">
        <v>373</v>
      </c>
    </row>
    <row r="425" spans="1:1" x14ac:dyDescent="0.25">
      <c r="A425" s="27" t="s">
        <v>374</v>
      </c>
    </row>
    <row r="426" spans="1:1" x14ac:dyDescent="0.25">
      <c r="A426" s="27" t="s">
        <v>375</v>
      </c>
    </row>
    <row r="427" spans="1:1" x14ac:dyDescent="0.25">
      <c r="A427" s="27" t="s">
        <v>376</v>
      </c>
    </row>
    <row r="428" spans="1:1" x14ac:dyDescent="0.25">
      <c r="A428" s="27" t="s">
        <v>377</v>
      </c>
    </row>
    <row r="429" spans="1:1" x14ac:dyDescent="0.25">
      <c r="A429" s="27" t="s">
        <v>378</v>
      </c>
    </row>
    <row r="430" spans="1:1" x14ac:dyDescent="0.25">
      <c r="A430" s="27" t="s">
        <v>379</v>
      </c>
    </row>
    <row r="431" spans="1:1" x14ac:dyDescent="0.25">
      <c r="A431" s="27" t="s">
        <v>380</v>
      </c>
    </row>
    <row r="432" spans="1:1" x14ac:dyDescent="0.25">
      <c r="A432" s="27" t="s">
        <v>381</v>
      </c>
    </row>
    <row r="433" spans="1:1" x14ac:dyDescent="0.25">
      <c r="A433" s="27" t="s">
        <v>382</v>
      </c>
    </row>
    <row r="434" spans="1:1" x14ac:dyDescent="0.25">
      <c r="A434" s="27" t="s">
        <v>383</v>
      </c>
    </row>
    <row r="435" spans="1:1" x14ac:dyDescent="0.25">
      <c r="A435" s="27" t="s">
        <v>384</v>
      </c>
    </row>
    <row r="436" spans="1:1" x14ac:dyDescent="0.25">
      <c r="A436" s="27" t="s">
        <v>385</v>
      </c>
    </row>
    <row r="437" spans="1:1" x14ac:dyDescent="0.25">
      <c r="A437" s="27" t="s">
        <v>386</v>
      </c>
    </row>
    <row r="438" spans="1:1" x14ac:dyDescent="0.25">
      <c r="A438" s="27" t="s">
        <v>387</v>
      </c>
    </row>
    <row r="439" spans="1:1" x14ac:dyDescent="0.25">
      <c r="A439" s="27" t="s">
        <v>388</v>
      </c>
    </row>
    <row r="440" spans="1:1" x14ac:dyDescent="0.25">
      <c r="A440" s="27" t="s">
        <v>389</v>
      </c>
    </row>
    <row r="441" spans="1:1" x14ac:dyDescent="0.25">
      <c r="A441" s="27" t="s">
        <v>390</v>
      </c>
    </row>
    <row r="442" spans="1:1" x14ac:dyDescent="0.25">
      <c r="A442" s="27" t="s">
        <v>391</v>
      </c>
    </row>
    <row r="443" spans="1:1" x14ac:dyDescent="0.25">
      <c r="A443" s="27" t="s">
        <v>392</v>
      </c>
    </row>
    <row r="444" spans="1:1" x14ac:dyDescent="0.25">
      <c r="A444" s="27" t="s">
        <v>393</v>
      </c>
    </row>
    <row r="445" spans="1:1" x14ac:dyDescent="0.25">
      <c r="A445" s="27" t="s">
        <v>394</v>
      </c>
    </row>
    <row r="446" spans="1:1" x14ac:dyDescent="0.25">
      <c r="A446" s="27" t="s">
        <v>395</v>
      </c>
    </row>
    <row r="447" spans="1:1" x14ac:dyDescent="0.25">
      <c r="A447" s="27" t="s">
        <v>396</v>
      </c>
    </row>
    <row r="448" spans="1:1" x14ac:dyDescent="0.25">
      <c r="A448" s="27" t="s">
        <v>397</v>
      </c>
    </row>
    <row r="449" spans="1:1" x14ac:dyDescent="0.25">
      <c r="A449" s="27" t="s">
        <v>398</v>
      </c>
    </row>
    <row r="450" spans="1:1" x14ac:dyDescent="0.25">
      <c r="A450" s="27" t="s">
        <v>399</v>
      </c>
    </row>
    <row r="451" spans="1:1" x14ac:dyDescent="0.25">
      <c r="A451" s="27" t="s">
        <v>400</v>
      </c>
    </row>
    <row r="452" spans="1:1" x14ac:dyDescent="0.25">
      <c r="A452" s="27" t="s">
        <v>401</v>
      </c>
    </row>
    <row r="453" spans="1:1" x14ac:dyDescent="0.25">
      <c r="A453" s="27" t="s">
        <v>402</v>
      </c>
    </row>
    <row r="454" spans="1:1" x14ac:dyDescent="0.25">
      <c r="A454" s="27" t="s">
        <v>403</v>
      </c>
    </row>
    <row r="455" spans="1:1" x14ac:dyDescent="0.25">
      <c r="A455" s="27" t="s">
        <v>404</v>
      </c>
    </row>
    <row r="456" spans="1:1" x14ac:dyDescent="0.25">
      <c r="A456" s="27" t="s">
        <v>405</v>
      </c>
    </row>
    <row r="457" spans="1:1" x14ac:dyDescent="0.25">
      <c r="A457" s="27" t="s">
        <v>406</v>
      </c>
    </row>
    <row r="458" spans="1:1" x14ac:dyDescent="0.25">
      <c r="A458" s="27" t="s">
        <v>407</v>
      </c>
    </row>
    <row r="459" spans="1:1" x14ac:dyDescent="0.25">
      <c r="A459" s="27" t="s">
        <v>408</v>
      </c>
    </row>
    <row r="460" spans="1:1" x14ac:dyDescent="0.25">
      <c r="A460" s="27" t="s">
        <v>409</v>
      </c>
    </row>
    <row r="461" spans="1:1" x14ac:dyDescent="0.25">
      <c r="A461" s="27" t="s">
        <v>410</v>
      </c>
    </row>
    <row r="462" spans="1:1" x14ac:dyDescent="0.25">
      <c r="A462" s="27" t="s">
        <v>411</v>
      </c>
    </row>
    <row r="463" spans="1:1" x14ac:dyDescent="0.25">
      <c r="A463" s="27" t="s">
        <v>412</v>
      </c>
    </row>
    <row r="464" spans="1:1" x14ac:dyDescent="0.25">
      <c r="A464" s="27" t="s">
        <v>413</v>
      </c>
    </row>
    <row r="465" spans="1:1" x14ac:dyDescent="0.25">
      <c r="A465" s="27" t="s">
        <v>414</v>
      </c>
    </row>
    <row r="466" spans="1:1" x14ac:dyDescent="0.25">
      <c r="A466" s="27" t="s">
        <v>415</v>
      </c>
    </row>
    <row r="467" spans="1:1" x14ac:dyDescent="0.25">
      <c r="A467" s="27" t="s">
        <v>416</v>
      </c>
    </row>
    <row r="468" spans="1:1" x14ac:dyDescent="0.25">
      <c r="A468" s="27" t="s">
        <v>417</v>
      </c>
    </row>
    <row r="469" spans="1:1" x14ac:dyDescent="0.25">
      <c r="A469" s="27" t="s">
        <v>418</v>
      </c>
    </row>
    <row r="470" spans="1:1" x14ac:dyDescent="0.25">
      <c r="A470" s="27" t="s">
        <v>419</v>
      </c>
    </row>
    <row r="471" spans="1:1" x14ac:dyDescent="0.25">
      <c r="A471" s="27" t="s">
        <v>420</v>
      </c>
    </row>
    <row r="472" spans="1:1" x14ac:dyDescent="0.25">
      <c r="A472" s="27" t="s">
        <v>421</v>
      </c>
    </row>
    <row r="473" spans="1:1" x14ac:dyDescent="0.25">
      <c r="A473" s="27" t="s">
        <v>422</v>
      </c>
    </row>
    <row r="474" spans="1:1" x14ac:dyDescent="0.25">
      <c r="A474" s="27" t="s">
        <v>423</v>
      </c>
    </row>
    <row r="475" spans="1:1" x14ac:dyDescent="0.25">
      <c r="A475" s="27" t="s">
        <v>424</v>
      </c>
    </row>
    <row r="476" spans="1:1" x14ac:dyDescent="0.25">
      <c r="A476" s="27" t="s">
        <v>425</v>
      </c>
    </row>
    <row r="477" spans="1:1" x14ac:dyDescent="0.25">
      <c r="A477" s="27" t="s">
        <v>426</v>
      </c>
    </row>
    <row r="478" spans="1:1" x14ac:dyDescent="0.25">
      <c r="A478" s="27" t="s">
        <v>427</v>
      </c>
    </row>
    <row r="479" spans="1:1" x14ac:dyDescent="0.25">
      <c r="A479" s="27" t="s">
        <v>428</v>
      </c>
    </row>
    <row r="480" spans="1:1" x14ac:dyDescent="0.25">
      <c r="A480" s="27" t="s">
        <v>429</v>
      </c>
    </row>
    <row r="481" spans="1:1" x14ac:dyDescent="0.25">
      <c r="A481" s="27" t="s">
        <v>430</v>
      </c>
    </row>
    <row r="482" spans="1:1" x14ac:dyDescent="0.25">
      <c r="A482" s="27" t="s">
        <v>431</v>
      </c>
    </row>
    <row r="483" spans="1:1" x14ac:dyDescent="0.25">
      <c r="A483" s="27" t="s">
        <v>432</v>
      </c>
    </row>
    <row r="484" spans="1:1" x14ac:dyDescent="0.25">
      <c r="A484" s="27" t="s">
        <v>433</v>
      </c>
    </row>
    <row r="485" spans="1:1" x14ac:dyDescent="0.25">
      <c r="A485" s="27" t="s">
        <v>434</v>
      </c>
    </row>
    <row r="486" spans="1:1" x14ac:dyDescent="0.25">
      <c r="A486" s="27" t="s">
        <v>435</v>
      </c>
    </row>
    <row r="487" spans="1:1" x14ac:dyDescent="0.25">
      <c r="A487" s="27" t="s">
        <v>436</v>
      </c>
    </row>
    <row r="488" spans="1:1" x14ac:dyDescent="0.25">
      <c r="A488" s="27" t="s">
        <v>437</v>
      </c>
    </row>
    <row r="489" spans="1:1" x14ac:dyDescent="0.25">
      <c r="A489" s="27" t="s">
        <v>438</v>
      </c>
    </row>
    <row r="490" spans="1:1" x14ac:dyDescent="0.25">
      <c r="A490" s="27" t="s">
        <v>439</v>
      </c>
    </row>
    <row r="491" spans="1:1" x14ac:dyDescent="0.25">
      <c r="A491" s="27" t="s">
        <v>440</v>
      </c>
    </row>
    <row r="492" spans="1:1" x14ac:dyDescent="0.25">
      <c r="A492" s="27" t="s">
        <v>441</v>
      </c>
    </row>
    <row r="493" spans="1:1" x14ac:dyDescent="0.25">
      <c r="A493" s="27" t="s">
        <v>442</v>
      </c>
    </row>
    <row r="494" spans="1:1" x14ac:dyDescent="0.25">
      <c r="A494" s="27" t="s">
        <v>443</v>
      </c>
    </row>
    <row r="495" spans="1:1" x14ac:dyDescent="0.25">
      <c r="A495" s="27" t="s">
        <v>444</v>
      </c>
    </row>
    <row r="496" spans="1:1" x14ac:dyDescent="0.25">
      <c r="A496" s="27" t="s">
        <v>445</v>
      </c>
    </row>
    <row r="497" spans="1:1" x14ac:dyDescent="0.25">
      <c r="A497" s="27" t="s">
        <v>446</v>
      </c>
    </row>
    <row r="498" spans="1:1" x14ac:dyDescent="0.25">
      <c r="A498" s="27" t="s">
        <v>447</v>
      </c>
    </row>
    <row r="499" spans="1:1" x14ac:dyDescent="0.25">
      <c r="A499" s="27" t="s">
        <v>448</v>
      </c>
    </row>
    <row r="500" spans="1:1" x14ac:dyDescent="0.25">
      <c r="A500" s="27" t="s">
        <v>449</v>
      </c>
    </row>
    <row r="501" spans="1:1" x14ac:dyDescent="0.25">
      <c r="A501" s="27" t="s">
        <v>450</v>
      </c>
    </row>
    <row r="502" spans="1:1" x14ac:dyDescent="0.25">
      <c r="A502" s="27" t="s">
        <v>451</v>
      </c>
    </row>
    <row r="503" spans="1:1" x14ac:dyDescent="0.25">
      <c r="A503" s="27" t="s">
        <v>452</v>
      </c>
    </row>
    <row r="504" spans="1:1" x14ac:dyDescent="0.25">
      <c r="A504" s="27" t="s">
        <v>453</v>
      </c>
    </row>
    <row r="505" spans="1:1" x14ac:dyDescent="0.25">
      <c r="A505" s="27" t="s">
        <v>454</v>
      </c>
    </row>
    <row r="506" spans="1:1" x14ac:dyDescent="0.25">
      <c r="A506" s="27" t="s">
        <v>455</v>
      </c>
    </row>
    <row r="507" spans="1:1" x14ac:dyDescent="0.25">
      <c r="A507" s="27" t="s">
        <v>456</v>
      </c>
    </row>
    <row r="508" spans="1:1" x14ac:dyDescent="0.25">
      <c r="A508" s="27" t="s">
        <v>457</v>
      </c>
    </row>
    <row r="509" spans="1:1" x14ac:dyDescent="0.25">
      <c r="A509" s="27" t="s">
        <v>458</v>
      </c>
    </row>
    <row r="510" spans="1:1" x14ac:dyDescent="0.25">
      <c r="A510" s="27" t="s">
        <v>459</v>
      </c>
    </row>
    <row r="511" spans="1:1" x14ac:dyDescent="0.25">
      <c r="A511" s="27" t="s">
        <v>460</v>
      </c>
    </row>
    <row r="512" spans="1:1" x14ac:dyDescent="0.25">
      <c r="A512" s="27" t="s">
        <v>461</v>
      </c>
    </row>
    <row r="513" spans="1:1" x14ac:dyDescent="0.25">
      <c r="A513" s="27" t="s">
        <v>462</v>
      </c>
    </row>
    <row r="514" spans="1:1" x14ac:dyDescent="0.25">
      <c r="A514" s="27" t="s">
        <v>463</v>
      </c>
    </row>
    <row r="515" spans="1:1" x14ac:dyDescent="0.25">
      <c r="A515" s="27" t="s">
        <v>464</v>
      </c>
    </row>
    <row r="516" spans="1:1" x14ac:dyDescent="0.25">
      <c r="A516" s="27" t="s">
        <v>465</v>
      </c>
    </row>
    <row r="517" spans="1:1" x14ac:dyDescent="0.25">
      <c r="A517" s="27" t="s">
        <v>466</v>
      </c>
    </row>
    <row r="518" spans="1:1" x14ac:dyDescent="0.25">
      <c r="A518" s="27" t="s">
        <v>467</v>
      </c>
    </row>
    <row r="519" spans="1:1" x14ac:dyDescent="0.25">
      <c r="A519" s="27" t="s">
        <v>468</v>
      </c>
    </row>
    <row r="520" spans="1:1" x14ac:dyDescent="0.25">
      <c r="A520" s="27" t="s">
        <v>469</v>
      </c>
    </row>
    <row r="521" spans="1:1" x14ac:dyDescent="0.25">
      <c r="A521" s="27" t="s">
        <v>470</v>
      </c>
    </row>
    <row r="522" spans="1:1" x14ac:dyDescent="0.25">
      <c r="A522" s="27" t="s">
        <v>471</v>
      </c>
    </row>
    <row r="523" spans="1:1" x14ac:dyDescent="0.25">
      <c r="A523" s="27" t="s">
        <v>472</v>
      </c>
    </row>
    <row r="524" spans="1:1" x14ac:dyDescent="0.25">
      <c r="A524" s="27" t="s">
        <v>473</v>
      </c>
    </row>
    <row r="525" spans="1:1" x14ac:dyDescent="0.25">
      <c r="A525" s="27" t="s">
        <v>474</v>
      </c>
    </row>
    <row r="526" spans="1:1" x14ac:dyDescent="0.25">
      <c r="A526" s="27" t="s">
        <v>475</v>
      </c>
    </row>
    <row r="527" spans="1:1" x14ac:dyDescent="0.25">
      <c r="A527" s="27" t="s">
        <v>476</v>
      </c>
    </row>
    <row r="528" spans="1:1" x14ac:dyDescent="0.25">
      <c r="A528" s="27" t="s">
        <v>477</v>
      </c>
    </row>
    <row r="529" spans="1:1" x14ac:dyDescent="0.25">
      <c r="A529" s="127" t="s">
        <v>478</v>
      </c>
    </row>
    <row r="530" spans="1:1" x14ac:dyDescent="0.25">
      <c r="A530" s="127" t="s">
        <v>479</v>
      </c>
    </row>
    <row r="531" spans="1:1" x14ac:dyDescent="0.25">
      <c r="A531" t="s">
        <v>480</v>
      </c>
    </row>
    <row r="532" spans="1:1" x14ac:dyDescent="0.25">
      <c r="A532" s="126" t="s">
        <v>481</v>
      </c>
    </row>
    <row r="533" spans="1:1" x14ac:dyDescent="0.25">
      <c r="A533" s="127" t="s">
        <v>482</v>
      </c>
    </row>
    <row r="534" spans="1:1" x14ac:dyDescent="0.25">
      <c r="A534" t="s">
        <v>483</v>
      </c>
    </row>
    <row r="535" spans="1:1" x14ac:dyDescent="0.25">
      <c r="A535" s="126" t="s">
        <v>484</v>
      </c>
    </row>
    <row r="536" spans="1:1" x14ac:dyDescent="0.25">
      <c r="A536" s="126" t="s">
        <v>485</v>
      </c>
    </row>
    <row r="537" spans="1:1" x14ac:dyDescent="0.25">
      <c r="A537" s="27" t="s">
        <v>486</v>
      </c>
    </row>
    <row r="538" spans="1:1" x14ac:dyDescent="0.25">
      <c r="A538" s="27" t="s">
        <v>487</v>
      </c>
    </row>
    <row r="539" spans="1:1" x14ac:dyDescent="0.25">
      <c r="A539" s="27" t="s">
        <v>488</v>
      </c>
    </row>
    <row r="540" spans="1:1" x14ac:dyDescent="0.25">
      <c r="A540" t="s">
        <v>489</v>
      </c>
    </row>
    <row r="541" spans="1:1" x14ac:dyDescent="0.25">
      <c r="A541" s="127" t="s">
        <v>490</v>
      </c>
    </row>
    <row r="542" spans="1:1" x14ac:dyDescent="0.25">
      <c r="A542" t="s">
        <v>491</v>
      </c>
    </row>
    <row r="543" spans="1:1" x14ac:dyDescent="0.25">
      <c r="A543" s="126" t="s">
        <v>492</v>
      </c>
    </row>
    <row r="544" spans="1:1" x14ac:dyDescent="0.25">
      <c r="A544" s="127" t="s">
        <v>493</v>
      </c>
    </row>
    <row r="545" spans="1:1" x14ac:dyDescent="0.25">
      <c r="A545" t="s">
        <v>494</v>
      </c>
    </row>
    <row r="546" spans="1:1" x14ac:dyDescent="0.25">
      <c r="A546" s="126" t="s">
        <v>495</v>
      </c>
    </row>
    <row r="547" spans="1:1" x14ac:dyDescent="0.25">
      <c r="A547" s="126" t="s">
        <v>496</v>
      </c>
    </row>
    <row r="548" spans="1:1" x14ac:dyDescent="0.25">
      <c r="A548" s="27" t="s">
        <v>497</v>
      </c>
    </row>
    <row r="549" spans="1:1" x14ac:dyDescent="0.25">
      <c r="A549" s="27" t="s">
        <v>498</v>
      </c>
    </row>
    <row r="550" spans="1:1" x14ac:dyDescent="0.25">
      <c r="A550" s="27" t="s">
        <v>499</v>
      </c>
    </row>
    <row r="551" spans="1:1" x14ac:dyDescent="0.25">
      <c r="A551" s="27" t="s">
        <v>500</v>
      </c>
    </row>
    <row r="552" spans="1:1" x14ac:dyDescent="0.25">
      <c r="A552" s="27" t="s">
        <v>501</v>
      </c>
    </row>
    <row r="553" spans="1:1" x14ac:dyDescent="0.25">
      <c r="A553" s="27" t="s">
        <v>502</v>
      </c>
    </row>
    <row r="554" spans="1:1" x14ac:dyDescent="0.25">
      <c r="A554" s="27" t="s">
        <v>503</v>
      </c>
    </row>
    <row r="555" spans="1:1" x14ac:dyDescent="0.25">
      <c r="A555" s="27" t="s">
        <v>504</v>
      </c>
    </row>
    <row r="556" spans="1:1" x14ac:dyDescent="0.25">
      <c r="A556" s="27" t="s">
        <v>505</v>
      </c>
    </row>
    <row r="557" spans="1:1" x14ac:dyDescent="0.25">
      <c r="A557" s="27" t="s">
        <v>506</v>
      </c>
    </row>
    <row r="558" spans="1:1" x14ac:dyDescent="0.25">
      <c r="A558" s="27" t="s">
        <v>507</v>
      </c>
    </row>
    <row r="559" spans="1:1" x14ac:dyDescent="0.25">
      <c r="A559" s="27" t="s">
        <v>508</v>
      </c>
    </row>
    <row r="560" spans="1:1" x14ac:dyDescent="0.25">
      <c r="A560" t="s">
        <v>509</v>
      </c>
    </row>
    <row r="561" spans="1:1" x14ac:dyDescent="0.25">
      <c r="A561" t="s">
        <v>510</v>
      </c>
    </row>
    <row r="562" spans="1:1" x14ac:dyDescent="0.25">
      <c r="A562" t="s">
        <v>511</v>
      </c>
    </row>
    <row r="563" spans="1:1" x14ac:dyDescent="0.25">
      <c r="A563" s="27" t="s">
        <v>512</v>
      </c>
    </row>
    <row r="564" spans="1:1" x14ac:dyDescent="0.25">
      <c r="A564" s="27" t="s">
        <v>513</v>
      </c>
    </row>
    <row r="565" spans="1:1" x14ac:dyDescent="0.25">
      <c r="A565" s="27" t="s">
        <v>514</v>
      </c>
    </row>
    <row r="566" spans="1:1" x14ac:dyDescent="0.25">
      <c r="A566" s="27" t="s">
        <v>515</v>
      </c>
    </row>
    <row r="567" spans="1:1" x14ac:dyDescent="0.25">
      <c r="A567" s="27" t="s">
        <v>516</v>
      </c>
    </row>
    <row r="568" spans="1:1" x14ac:dyDescent="0.25">
      <c r="A568" s="27" t="s">
        <v>517</v>
      </c>
    </row>
    <row r="569" spans="1:1" x14ac:dyDescent="0.25">
      <c r="A569" s="27" t="s">
        <v>518</v>
      </c>
    </row>
    <row r="570" spans="1:1" x14ac:dyDescent="0.25">
      <c r="A570" s="27" t="s">
        <v>519</v>
      </c>
    </row>
    <row r="571" spans="1:1" x14ac:dyDescent="0.25">
      <c r="A571" s="27" t="s">
        <v>520</v>
      </c>
    </row>
    <row r="572" spans="1:1" x14ac:dyDescent="0.25">
      <c r="A572" s="27" t="s">
        <v>521</v>
      </c>
    </row>
    <row r="573" spans="1:1" x14ac:dyDescent="0.25">
      <c r="A573" s="27" t="s">
        <v>522</v>
      </c>
    </row>
    <row r="574" spans="1:1" x14ac:dyDescent="0.25">
      <c r="A574" s="27" t="s">
        <v>523</v>
      </c>
    </row>
    <row r="575" spans="1:1" x14ac:dyDescent="0.25">
      <c r="A575" s="27" t="s">
        <v>524</v>
      </c>
    </row>
    <row r="576" spans="1:1" x14ac:dyDescent="0.25">
      <c r="A576" s="27" t="s">
        <v>525</v>
      </c>
    </row>
    <row r="577" spans="1:1" x14ac:dyDescent="0.25">
      <c r="A577" s="27" t="s">
        <v>526</v>
      </c>
    </row>
    <row r="578" spans="1:1" x14ac:dyDescent="0.25">
      <c r="A578" s="27" t="s">
        <v>527</v>
      </c>
    </row>
    <row r="579" spans="1:1" x14ac:dyDescent="0.25">
      <c r="A579" s="27" t="s">
        <v>528</v>
      </c>
    </row>
    <row r="580" spans="1:1" x14ac:dyDescent="0.25">
      <c r="A580" s="27" t="s">
        <v>529</v>
      </c>
    </row>
    <row r="581" spans="1:1" x14ac:dyDescent="0.25">
      <c r="A581" s="27" t="s">
        <v>530</v>
      </c>
    </row>
    <row r="582" spans="1:1" x14ac:dyDescent="0.25">
      <c r="A582" s="27" t="s">
        <v>531</v>
      </c>
    </row>
    <row r="583" spans="1:1" x14ac:dyDescent="0.25">
      <c r="A583" s="27" t="s">
        <v>532</v>
      </c>
    </row>
    <row r="584" spans="1:1" x14ac:dyDescent="0.25">
      <c r="A584" s="27" t="s">
        <v>533</v>
      </c>
    </row>
    <row r="585" spans="1:1" x14ac:dyDescent="0.25">
      <c r="A585" s="27" t="s">
        <v>534</v>
      </c>
    </row>
    <row r="586" spans="1:1" x14ac:dyDescent="0.25">
      <c r="A586" s="27" t="s">
        <v>535</v>
      </c>
    </row>
    <row r="587" spans="1:1" x14ac:dyDescent="0.25">
      <c r="A587" s="27" t="s">
        <v>536</v>
      </c>
    </row>
    <row r="588" spans="1:1" x14ac:dyDescent="0.25">
      <c r="A588" s="27" t="s">
        <v>537</v>
      </c>
    </row>
    <row r="589" spans="1:1" x14ac:dyDescent="0.25">
      <c r="A589" s="27" t="s">
        <v>538</v>
      </c>
    </row>
    <row r="590" spans="1:1" x14ac:dyDescent="0.25">
      <c r="A590" s="27" t="s">
        <v>539</v>
      </c>
    </row>
    <row r="591" spans="1:1" x14ac:dyDescent="0.25">
      <c r="A591" s="27" t="s">
        <v>540</v>
      </c>
    </row>
    <row r="592" spans="1:1" x14ac:dyDescent="0.25">
      <c r="A592" s="27" t="s">
        <v>541</v>
      </c>
    </row>
    <row r="593" spans="1:1" x14ac:dyDescent="0.25">
      <c r="A593" s="27" t="s">
        <v>542</v>
      </c>
    </row>
    <row r="594" spans="1:1" x14ac:dyDescent="0.25">
      <c r="A594" s="27" t="s">
        <v>543</v>
      </c>
    </row>
    <row r="595" spans="1:1" x14ac:dyDescent="0.25">
      <c r="A595" s="27" t="s">
        <v>544</v>
      </c>
    </row>
    <row r="596" spans="1:1" x14ac:dyDescent="0.25">
      <c r="A596" s="27" t="s">
        <v>545</v>
      </c>
    </row>
    <row r="597" spans="1:1" x14ac:dyDescent="0.25">
      <c r="A597" s="27" t="s">
        <v>546</v>
      </c>
    </row>
    <row r="598" spans="1:1" x14ac:dyDescent="0.25">
      <c r="A598" s="27" t="s">
        <v>547</v>
      </c>
    </row>
    <row r="599" spans="1:1" x14ac:dyDescent="0.25">
      <c r="A599" s="27" t="s">
        <v>548</v>
      </c>
    </row>
    <row r="600" spans="1:1" x14ac:dyDescent="0.25">
      <c r="A600" s="27" t="s">
        <v>549</v>
      </c>
    </row>
    <row r="601" spans="1:1" x14ac:dyDescent="0.25">
      <c r="A601" s="27" t="s">
        <v>550</v>
      </c>
    </row>
    <row r="602" spans="1:1" x14ac:dyDescent="0.25">
      <c r="A602" s="27" t="s">
        <v>551</v>
      </c>
    </row>
    <row r="603" spans="1:1" x14ac:dyDescent="0.25">
      <c r="A603" s="27" t="s">
        <v>552</v>
      </c>
    </row>
    <row r="604" spans="1:1" x14ac:dyDescent="0.25">
      <c r="A604" s="27" t="s">
        <v>553</v>
      </c>
    </row>
    <row r="605" spans="1:1" x14ac:dyDescent="0.25">
      <c r="A605" s="27" t="s">
        <v>554</v>
      </c>
    </row>
    <row r="606" spans="1:1" x14ac:dyDescent="0.25">
      <c r="A606" s="27" t="s">
        <v>555</v>
      </c>
    </row>
    <row r="607" spans="1:1" x14ac:dyDescent="0.25">
      <c r="A607" s="27" t="s">
        <v>556</v>
      </c>
    </row>
    <row r="608" spans="1:1" x14ac:dyDescent="0.25">
      <c r="A608" s="27" t="s">
        <v>557</v>
      </c>
    </row>
    <row r="609" spans="1:1" x14ac:dyDescent="0.25">
      <c r="A609" s="27" t="s">
        <v>558</v>
      </c>
    </row>
    <row r="610" spans="1:1" x14ac:dyDescent="0.25">
      <c r="A610" s="27" t="s">
        <v>559</v>
      </c>
    </row>
    <row r="611" spans="1:1" x14ac:dyDescent="0.25">
      <c r="A611" s="27" t="s">
        <v>560</v>
      </c>
    </row>
    <row r="612" spans="1:1" x14ac:dyDescent="0.25">
      <c r="A612" s="27" t="s">
        <v>561</v>
      </c>
    </row>
    <row r="613" spans="1:1" x14ac:dyDescent="0.25">
      <c r="A613" s="27" t="s">
        <v>562</v>
      </c>
    </row>
    <row r="614" spans="1:1" x14ac:dyDescent="0.25">
      <c r="A614" s="27" t="s">
        <v>563</v>
      </c>
    </row>
    <row r="615" spans="1:1" x14ac:dyDescent="0.25">
      <c r="A615" s="27" t="s">
        <v>564</v>
      </c>
    </row>
    <row r="616" spans="1:1" x14ac:dyDescent="0.25">
      <c r="A616" s="27" t="s">
        <v>565</v>
      </c>
    </row>
    <row r="617" spans="1:1" x14ac:dyDescent="0.25">
      <c r="A617" s="27" t="s">
        <v>566</v>
      </c>
    </row>
    <row r="618" spans="1:1" x14ac:dyDescent="0.25">
      <c r="A618" s="27" t="s">
        <v>567</v>
      </c>
    </row>
    <row r="619" spans="1:1" x14ac:dyDescent="0.25">
      <c r="A619" s="27" t="s">
        <v>568</v>
      </c>
    </row>
    <row r="620" spans="1:1" x14ac:dyDescent="0.25">
      <c r="A620" s="27" t="s">
        <v>569</v>
      </c>
    </row>
    <row r="621" spans="1:1" x14ac:dyDescent="0.25">
      <c r="A621" s="27" t="s">
        <v>570</v>
      </c>
    </row>
    <row r="622" spans="1:1" x14ac:dyDescent="0.25">
      <c r="A622" s="27" t="s">
        <v>571</v>
      </c>
    </row>
    <row r="623" spans="1:1" x14ac:dyDescent="0.25">
      <c r="A623" s="27" t="s">
        <v>572</v>
      </c>
    </row>
    <row r="624" spans="1:1" x14ac:dyDescent="0.25">
      <c r="A624" s="27" t="s">
        <v>573</v>
      </c>
    </row>
    <row r="625" spans="1:1" x14ac:dyDescent="0.25">
      <c r="A625" s="27" t="s">
        <v>574</v>
      </c>
    </row>
    <row r="626" spans="1:1" x14ac:dyDescent="0.25">
      <c r="A626" s="27" t="s">
        <v>575</v>
      </c>
    </row>
    <row r="627" spans="1:1" x14ac:dyDescent="0.25">
      <c r="A627" s="27" t="s">
        <v>576</v>
      </c>
    </row>
    <row r="628" spans="1:1" x14ac:dyDescent="0.25">
      <c r="A628" s="27" t="s">
        <v>577</v>
      </c>
    </row>
    <row r="629" spans="1:1" x14ac:dyDescent="0.25">
      <c r="A629" s="27" t="s">
        <v>578</v>
      </c>
    </row>
    <row r="630" spans="1:1" x14ac:dyDescent="0.25">
      <c r="A630" s="27" t="s">
        <v>579</v>
      </c>
    </row>
    <row r="631" spans="1:1" x14ac:dyDescent="0.25">
      <c r="A631" s="27" t="s">
        <v>580</v>
      </c>
    </row>
    <row r="632" spans="1:1" x14ac:dyDescent="0.25">
      <c r="A632" s="27" t="s">
        <v>581</v>
      </c>
    </row>
    <row r="633" spans="1:1" x14ac:dyDescent="0.25">
      <c r="A633" s="27" t="s">
        <v>582</v>
      </c>
    </row>
    <row r="634" spans="1:1" x14ac:dyDescent="0.25">
      <c r="A634" s="27" t="s">
        <v>583</v>
      </c>
    </row>
    <row r="635" spans="1:1" x14ac:dyDescent="0.25">
      <c r="A635" s="27" t="s">
        <v>584</v>
      </c>
    </row>
    <row r="636" spans="1:1" x14ac:dyDescent="0.25">
      <c r="A636" s="127" t="s">
        <v>585</v>
      </c>
    </row>
    <row r="637" spans="1:1" x14ac:dyDescent="0.25">
      <c r="A637" s="127" t="s">
        <v>586</v>
      </c>
    </row>
    <row r="638" spans="1:1" x14ac:dyDescent="0.25">
      <c r="A638" t="s">
        <v>587</v>
      </c>
    </row>
    <row r="639" spans="1:1" x14ac:dyDescent="0.25">
      <c r="A639" s="126" t="s">
        <v>588</v>
      </c>
    </row>
    <row r="640" spans="1:1" x14ac:dyDescent="0.25">
      <c r="A640" s="127" t="s">
        <v>589</v>
      </c>
    </row>
    <row r="641" spans="1:1" x14ac:dyDescent="0.25">
      <c r="A641" t="s">
        <v>590</v>
      </c>
    </row>
    <row r="642" spans="1:1" x14ac:dyDescent="0.25">
      <c r="A642" s="126" t="s">
        <v>591</v>
      </c>
    </row>
    <row r="643" spans="1:1" x14ac:dyDescent="0.25">
      <c r="A643" s="126" t="s">
        <v>592</v>
      </c>
    </row>
    <row r="644" spans="1:1" x14ac:dyDescent="0.25">
      <c r="A644" s="27" t="s">
        <v>593</v>
      </c>
    </row>
    <row r="645" spans="1:1" x14ac:dyDescent="0.25">
      <c r="A645" s="27" t="s">
        <v>594</v>
      </c>
    </row>
    <row r="646" spans="1:1" x14ac:dyDescent="0.25">
      <c r="A646" s="27" t="s">
        <v>595</v>
      </c>
    </row>
    <row r="647" spans="1:1" x14ac:dyDescent="0.25">
      <c r="A647" t="s">
        <v>596</v>
      </c>
    </row>
    <row r="648" spans="1:1" x14ac:dyDescent="0.25">
      <c r="A648" s="127" t="s">
        <v>597</v>
      </c>
    </row>
    <row r="649" spans="1:1" x14ac:dyDescent="0.25">
      <c r="A649" t="s">
        <v>598</v>
      </c>
    </row>
    <row r="650" spans="1:1" x14ac:dyDescent="0.25">
      <c r="A650" s="126" t="s">
        <v>599</v>
      </c>
    </row>
    <row r="651" spans="1:1" x14ac:dyDescent="0.25">
      <c r="A651" s="127" t="s">
        <v>600</v>
      </c>
    </row>
    <row r="652" spans="1:1" x14ac:dyDescent="0.25">
      <c r="A652" t="s">
        <v>601</v>
      </c>
    </row>
    <row r="653" spans="1:1" x14ac:dyDescent="0.25">
      <c r="A653" s="126" t="s">
        <v>602</v>
      </c>
    </row>
    <row r="654" spans="1:1" x14ac:dyDescent="0.25">
      <c r="A654" s="126" t="s">
        <v>603</v>
      </c>
    </row>
    <row r="655" spans="1:1" x14ac:dyDescent="0.25">
      <c r="A655" s="27" t="s">
        <v>604</v>
      </c>
    </row>
    <row r="656" spans="1:1" x14ac:dyDescent="0.25">
      <c r="A656" s="27" t="s">
        <v>605</v>
      </c>
    </row>
    <row r="657" spans="1:1" x14ac:dyDescent="0.25">
      <c r="A657" s="27" t="s">
        <v>606</v>
      </c>
    </row>
    <row r="658" spans="1:1" x14ac:dyDescent="0.25">
      <c r="A658" s="27" t="s">
        <v>607</v>
      </c>
    </row>
    <row r="659" spans="1:1" x14ac:dyDescent="0.25">
      <c r="A659" s="27" t="s">
        <v>608</v>
      </c>
    </row>
    <row r="660" spans="1:1" x14ac:dyDescent="0.25">
      <c r="A660" s="27" t="s">
        <v>609</v>
      </c>
    </row>
    <row r="661" spans="1:1" x14ac:dyDescent="0.25">
      <c r="A661" s="27" t="s">
        <v>610</v>
      </c>
    </row>
    <row r="662" spans="1:1" x14ac:dyDescent="0.25">
      <c r="A662" s="27" t="s">
        <v>611</v>
      </c>
    </row>
    <row r="663" spans="1:1" x14ac:dyDescent="0.25">
      <c r="A663" s="27" t="s">
        <v>612</v>
      </c>
    </row>
    <row r="664" spans="1:1" x14ac:dyDescent="0.25">
      <c r="A664" s="27" t="s">
        <v>613</v>
      </c>
    </row>
    <row r="665" spans="1:1" x14ac:dyDescent="0.25">
      <c r="A665" s="27" t="s">
        <v>614</v>
      </c>
    </row>
    <row r="666" spans="1:1" x14ac:dyDescent="0.25">
      <c r="A666" s="27" t="s">
        <v>615</v>
      </c>
    </row>
    <row r="667" spans="1:1" x14ac:dyDescent="0.25">
      <c r="A667" s="27" t="s">
        <v>616</v>
      </c>
    </row>
    <row r="668" spans="1:1" x14ac:dyDescent="0.25">
      <c r="A668" s="27" t="s">
        <v>617</v>
      </c>
    </row>
    <row r="669" spans="1:1" x14ac:dyDescent="0.25">
      <c r="A669" t="s">
        <v>618</v>
      </c>
    </row>
    <row r="670" spans="1:1" x14ac:dyDescent="0.25">
      <c r="A670" t="s">
        <v>619</v>
      </c>
    </row>
    <row r="671" spans="1:1" x14ac:dyDescent="0.25">
      <c r="A671" t="s">
        <v>620</v>
      </c>
    </row>
    <row r="672" spans="1:1" x14ac:dyDescent="0.25">
      <c r="A672" s="27" t="s">
        <v>621</v>
      </c>
    </row>
    <row r="673" spans="1:1" x14ac:dyDescent="0.25">
      <c r="A673" s="27" t="s">
        <v>622</v>
      </c>
    </row>
    <row r="674" spans="1:1" x14ac:dyDescent="0.25">
      <c r="A674" s="27" t="s">
        <v>623</v>
      </c>
    </row>
    <row r="675" spans="1:1" x14ac:dyDescent="0.25">
      <c r="A675" s="27" t="s">
        <v>624</v>
      </c>
    </row>
    <row r="676" spans="1:1" x14ac:dyDescent="0.25">
      <c r="A676" s="27" t="s">
        <v>625</v>
      </c>
    </row>
    <row r="677" spans="1:1" x14ac:dyDescent="0.25">
      <c r="A677" s="27" t="s">
        <v>626</v>
      </c>
    </row>
    <row r="678" spans="1:1" x14ac:dyDescent="0.25">
      <c r="A678" s="27" t="s">
        <v>627</v>
      </c>
    </row>
    <row r="679" spans="1:1" x14ac:dyDescent="0.25">
      <c r="A679" s="27" t="s">
        <v>628</v>
      </c>
    </row>
    <row r="680" spans="1:1" x14ac:dyDescent="0.25">
      <c r="A680" s="27" t="s">
        <v>629</v>
      </c>
    </row>
    <row r="681" spans="1:1" x14ac:dyDescent="0.25">
      <c r="A681" s="27" t="s">
        <v>630</v>
      </c>
    </row>
    <row r="682" spans="1:1" x14ac:dyDescent="0.25">
      <c r="A682" s="27" t="s">
        <v>631</v>
      </c>
    </row>
    <row r="683" spans="1:1" x14ac:dyDescent="0.25">
      <c r="A683" s="27" t="s">
        <v>632</v>
      </c>
    </row>
    <row r="684" spans="1:1" x14ac:dyDescent="0.25">
      <c r="A684" s="27" t="s">
        <v>633</v>
      </c>
    </row>
    <row r="685" spans="1:1" x14ac:dyDescent="0.25">
      <c r="A685" s="27" t="s">
        <v>634</v>
      </c>
    </row>
    <row r="686" spans="1:1" x14ac:dyDescent="0.25">
      <c r="A686" s="27" t="s">
        <v>635</v>
      </c>
    </row>
    <row r="687" spans="1:1" x14ac:dyDescent="0.25">
      <c r="A687" s="27" t="s">
        <v>636</v>
      </c>
    </row>
    <row r="688" spans="1:1" x14ac:dyDescent="0.25">
      <c r="A688" s="27" t="s">
        <v>637</v>
      </c>
    </row>
    <row r="689" spans="1:1" x14ac:dyDescent="0.25">
      <c r="A689" s="27" t="s">
        <v>638</v>
      </c>
    </row>
    <row r="690" spans="1:1" x14ac:dyDescent="0.25">
      <c r="A690" s="127" t="s">
        <v>639</v>
      </c>
    </row>
    <row r="691" spans="1:1" x14ac:dyDescent="0.25">
      <c r="A691" s="127" t="s">
        <v>640</v>
      </c>
    </row>
    <row r="692" spans="1:1" x14ac:dyDescent="0.25">
      <c r="A692" t="s">
        <v>641</v>
      </c>
    </row>
    <row r="693" spans="1:1" x14ac:dyDescent="0.25">
      <c r="A693" s="27" t="s">
        <v>642</v>
      </c>
    </row>
    <row r="694" spans="1:1" x14ac:dyDescent="0.25">
      <c r="A694" s="27" t="s">
        <v>643</v>
      </c>
    </row>
    <row r="695" spans="1:1" x14ac:dyDescent="0.25">
      <c r="A695" s="27" t="s">
        <v>644</v>
      </c>
    </row>
    <row r="696" spans="1:1" x14ac:dyDescent="0.25">
      <c r="A696" s="27" t="s">
        <v>645</v>
      </c>
    </row>
    <row r="697" spans="1:1" x14ac:dyDescent="0.25">
      <c r="A697" s="27" t="s">
        <v>646</v>
      </c>
    </row>
    <row r="698" spans="1:1" x14ac:dyDescent="0.25">
      <c r="A698" s="27" t="s">
        <v>647</v>
      </c>
    </row>
    <row r="699" spans="1:1" x14ac:dyDescent="0.25">
      <c r="A699" s="27" t="s">
        <v>648</v>
      </c>
    </row>
    <row r="700" spans="1:1" x14ac:dyDescent="0.25">
      <c r="A700" s="27" t="s">
        <v>649</v>
      </c>
    </row>
    <row r="701" spans="1:1" x14ac:dyDescent="0.25">
      <c r="A701" s="27" t="s">
        <v>650</v>
      </c>
    </row>
    <row r="702" spans="1:1" x14ac:dyDescent="0.25">
      <c r="A702" s="126" t="s">
        <v>651</v>
      </c>
    </row>
    <row r="703" spans="1:1" x14ac:dyDescent="0.25">
      <c r="A703" s="127" t="s">
        <v>652</v>
      </c>
    </row>
    <row r="704" spans="1:1" x14ac:dyDescent="0.25">
      <c r="A704" t="s">
        <v>653</v>
      </c>
    </row>
    <row r="705" spans="1:1" x14ac:dyDescent="0.25">
      <c r="A705" s="126" t="s">
        <v>654</v>
      </c>
    </row>
    <row r="706" spans="1:1" x14ac:dyDescent="0.25">
      <c r="A706" s="126" t="s">
        <v>655</v>
      </c>
    </row>
    <row r="707" spans="1:1" x14ac:dyDescent="0.25">
      <c r="A707" s="27" t="s">
        <v>656</v>
      </c>
    </row>
    <row r="708" spans="1:1" x14ac:dyDescent="0.25">
      <c r="A708" s="27" t="s">
        <v>657</v>
      </c>
    </row>
    <row r="709" spans="1:1" x14ac:dyDescent="0.25">
      <c r="A709" s="27" t="s">
        <v>658</v>
      </c>
    </row>
    <row r="710" spans="1:1" x14ac:dyDescent="0.25">
      <c r="A710" t="s">
        <v>659</v>
      </c>
    </row>
    <row r="711" spans="1:1" x14ac:dyDescent="0.25">
      <c r="A711" s="127" t="s">
        <v>660</v>
      </c>
    </row>
    <row r="712" spans="1:1" x14ac:dyDescent="0.25">
      <c r="A712" t="s">
        <v>661</v>
      </c>
    </row>
    <row r="713" spans="1:1" x14ac:dyDescent="0.25">
      <c r="A713" s="126" t="s">
        <v>662</v>
      </c>
    </row>
    <row r="714" spans="1:1" x14ac:dyDescent="0.25">
      <c r="A714" s="127" t="s">
        <v>663</v>
      </c>
    </row>
    <row r="715" spans="1:1" x14ac:dyDescent="0.25">
      <c r="A715" t="s">
        <v>664</v>
      </c>
    </row>
    <row r="716" spans="1:1" x14ac:dyDescent="0.25">
      <c r="A716" s="126" t="s">
        <v>665</v>
      </c>
    </row>
    <row r="717" spans="1:1" x14ac:dyDescent="0.25">
      <c r="A717" s="126" t="s">
        <v>666</v>
      </c>
    </row>
    <row r="718" spans="1:1" x14ac:dyDescent="0.25">
      <c r="A718" s="27" t="s">
        <v>667</v>
      </c>
    </row>
    <row r="719" spans="1:1" x14ac:dyDescent="0.25">
      <c r="A719" s="27" t="s">
        <v>668</v>
      </c>
    </row>
    <row r="720" spans="1:1" x14ac:dyDescent="0.25">
      <c r="A720" s="27" t="s">
        <v>669</v>
      </c>
    </row>
    <row r="721" spans="1:1" x14ac:dyDescent="0.25">
      <c r="A721" s="27" t="s">
        <v>670</v>
      </c>
    </row>
    <row r="722" spans="1:1" x14ac:dyDescent="0.25">
      <c r="A722" s="27" t="s">
        <v>671</v>
      </c>
    </row>
    <row r="723" spans="1:1" x14ac:dyDescent="0.25">
      <c r="A723" s="27" t="s">
        <v>672</v>
      </c>
    </row>
    <row r="724" spans="1:1" x14ac:dyDescent="0.25">
      <c r="A724" s="27" t="s">
        <v>673</v>
      </c>
    </row>
    <row r="725" spans="1:1" x14ac:dyDescent="0.25">
      <c r="A725" s="27" t="s">
        <v>674</v>
      </c>
    </row>
    <row r="726" spans="1:1" x14ac:dyDescent="0.25">
      <c r="A726" s="27" t="s">
        <v>675</v>
      </c>
    </row>
    <row r="727" spans="1:1" x14ac:dyDescent="0.25">
      <c r="A727" s="27" t="s">
        <v>676</v>
      </c>
    </row>
    <row r="728" spans="1:1" x14ac:dyDescent="0.25">
      <c r="A728" t="s">
        <v>677</v>
      </c>
    </row>
    <row r="729" spans="1:1" x14ac:dyDescent="0.25">
      <c r="A729" t="s">
        <v>678</v>
      </c>
    </row>
    <row r="730" spans="1:1" x14ac:dyDescent="0.25">
      <c r="A730" t="s">
        <v>679</v>
      </c>
    </row>
    <row r="731" spans="1:1" x14ac:dyDescent="0.25">
      <c r="A731" s="27" t="s">
        <v>680</v>
      </c>
    </row>
    <row r="732" spans="1:1" x14ac:dyDescent="0.25">
      <c r="A732" s="27" t="s">
        <v>681</v>
      </c>
    </row>
    <row r="733" spans="1:1" x14ac:dyDescent="0.25">
      <c r="A733" s="27" t="s">
        <v>682</v>
      </c>
    </row>
    <row r="734" spans="1:1" x14ac:dyDescent="0.25">
      <c r="A734" s="27" t="s">
        <v>683</v>
      </c>
    </row>
    <row r="735" spans="1:1" x14ac:dyDescent="0.25">
      <c r="A735" s="27" t="s">
        <v>684</v>
      </c>
    </row>
    <row r="736" spans="1:1" x14ac:dyDescent="0.25">
      <c r="A736" s="27" t="s">
        <v>685</v>
      </c>
    </row>
    <row r="737" spans="1:1" x14ac:dyDescent="0.25">
      <c r="A737" s="27" t="s">
        <v>686</v>
      </c>
    </row>
    <row r="738" spans="1:1" x14ac:dyDescent="0.25">
      <c r="A738" s="27" t="s">
        <v>687</v>
      </c>
    </row>
    <row r="739" spans="1:1" x14ac:dyDescent="0.25">
      <c r="A739" s="27" t="s">
        <v>688</v>
      </c>
    </row>
    <row r="740" spans="1:1" x14ac:dyDescent="0.25">
      <c r="A740" s="27" t="s">
        <v>689</v>
      </c>
    </row>
    <row r="741" spans="1:1" x14ac:dyDescent="0.25">
      <c r="A741" s="27" t="s">
        <v>690</v>
      </c>
    </row>
    <row r="742" spans="1:1" x14ac:dyDescent="0.25">
      <c r="A742" s="27" t="s">
        <v>691</v>
      </c>
    </row>
    <row r="743" spans="1:1" x14ac:dyDescent="0.25">
      <c r="A743" s="27" t="s">
        <v>692</v>
      </c>
    </row>
    <row r="744" spans="1:1" x14ac:dyDescent="0.25">
      <c r="A744" s="27" t="s">
        <v>693</v>
      </c>
    </row>
    <row r="745" spans="1:1" x14ac:dyDescent="0.25">
      <c r="A745" s="27" t="s">
        <v>694</v>
      </c>
    </row>
    <row r="746" spans="1:1" x14ac:dyDescent="0.25">
      <c r="A746" s="27" t="s">
        <v>695</v>
      </c>
    </row>
    <row r="747" spans="1:1" x14ac:dyDescent="0.25">
      <c r="A747" s="27" t="s">
        <v>696</v>
      </c>
    </row>
    <row r="748" spans="1:1" x14ac:dyDescent="0.25">
      <c r="A748" s="27" t="s">
        <v>697</v>
      </c>
    </row>
    <row r="749" spans="1:1" x14ac:dyDescent="0.25">
      <c r="A749" s="27" t="s">
        <v>698</v>
      </c>
    </row>
    <row r="750" spans="1:1" x14ac:dyDescent="0.25">
      <c r="A750" s="27" t="s">
        <v>699</v>
      </c>
    </row>
    <row r="751" spans="1:1" x14ac:dyDescent="0.25">
      <c r="A751" s="27" t="s">
        <v>700</v>
      </c>
    </row>
    <row r="752" spans="1:1" x14ac:dyDescent="0.25">
      <c r="A752" s="27" t="s">
        <v>701</v>
      </c>
    </row>
    <row r="753" spans="1:1" x14ac:dyDescent="0.25">
      <c r="A753" s="27" t="s">
        <v>702</v>
      </c>
    </row>
    <row r="754" spans="1:1" x14ac:dyDescent="0.25">
      <c r="A754" s="27" t="s">
        <v>703</v>
      </c>
    </row>
    <row r="755" spans="1:1" x14ac:dyDescent="0.25">
      <c r="A755" s="27" t="s">
        <v>704</v>
      </c>
    </row>
    <row r="756" spans="1:1" x14ac:dyDescent="0.25">
      <c r="A756" s="27" t="s">
        <v>705</v>
      </c>
    </row>
    <row r="757" spans="1:1" x14ac:dyDescent="0.25">
      <c r="A757" s="27" t="s">
        <v>706</v>
      </c>
    </row>
    <row r="758" spans="1:1" x14ac:dyDescent="0.25">
      <c r="A758" s="27" t="s">
        <v>707</v>
      </c>
    </row>
    <row r="759" spans="1:1" x14ac:dyDescent="0.25">
      <c r="A759" s="27" t="s">
        <v>708</v>
      </c>
    </row>
    <row r="760" spans="1:1" x14ac:dyDescent="0.25">
      <c r="A760" s="27" t="s">
        <v>709</v>
      </c>
    </row>
    <row r="761" spans="1:1" x14ac:dyDescent="0.25">
      <c r="A761" s="27" t="s">
        <v>710</v>
      </c>
    </row>
    <row r="762" spans="1:1" x14ac:dyDescent="0.25">
      <c r="A762" s="27" t="s">
        <v>711</v>
      </c>
    </row>
    <row r="763" spans="1:1" x14ac:dyDescent="0.25">
      <c r="A763" s="27" t="s">
        <v>712</v>
      </c>
    </row>
    <row r="764" spans="1:1" x14ac:dyDescent="0.25">
      <c r="A764" s="27" t="s">
        <v>713</v>
      </c>
    </row>
    <row r="765" spans="1:1" x14ac:dyDescent="0.25">
      <c r="A765" s="27" t="s">
        <v>714</v>
      </c>
    </row>
    <row r="766" spans="1:1" x14ac:dyDescent="0.25">
      <c r="A766" s="27" t="s">
        <v>715</v>
      </c>
    </row>
    <row r="767" spans="1:1" x14ac:dyDescent="0.25">
      <c r="A767" s="27" t="s">
        <v>716</v>
      </c>
    </row>
    <row r="768" spans="1:1" x14ac:dyDescent="0.25">
      <c r="A768" s="27" t="s">
        <v>717</v>
      </c>
    </row>
    <row r="769" spans="1:1" x14ac:dyDescent="0.25">
      <c r="A769" s="27" t="s">
        <v>718</v>
      </c>
    </row>
    <row r="770" spans="1:1" x14ac:dyDescent="0.25">
      <c r="A770" s="27" t="s">
        <v>719</v>
      </c>
    </row>
    <row r="771" spans="1:1" x14ac:dyDescent="0.25">
      <c r="A771" s="27" t="s">
        <v>720</v>
      </c>
    </row>
    <row r="772" spans="1:1" x14ac:dyDescent="0.25">
      <c r="A772" s="27" t="s">
        <v>721</v>
      </c>
    </row>
    <row r="773" spans="1:1" x14ac:dyDescent="0.25">
      <c r="A773" s="27" t="s">
        <v>722</v>
      </c>
    </row>
    <row r="774" spans="1:1" x14ac:dyDescent="0.25">
      <c r="A774" s="27" t="s">
        <v>723</v>
      </c>
    </row>
    <row r="775" spans="1:1" x14ac:dyDescent="0.25">
      <c r="A775" s="27" t="s">
        <v>724</v>
      </c>
    </row>
    <row r="776" spans="1:1" x14ac:dyDescent="0.25">
      <c r="A776" s="27" t="s">
        <v>725</v>
      </c>
    </row>
    <row r="777" spans="1:1" x14ac:dyDescent="0.25">
      <c r="A777" s="27" t="s">
        <v>726</v>
      </c>
    </row>
    <row r="778" spans="1:1" x14ac:dyDescent="0.25">
      <c r="A778" s="27" t="s">
        <v>727</v>
      </c>
    </row>
    <row r="779" spans="1:1" x14ac:dyDescent="0.25">
      <c r="A779" s="27" t="s">
        <v>728</v>
      </c>
    </row>
    <row r="780" spans="1:1" x14ac:dyDescent="0.25">
      <c r="A780" s="27" t="s">
        <v>729</v>
      </c>
    </row>
    <row r="781" spans="1:1" x14ac:dyDescent="0.25">
      <c r="A781" s="27" t="s">
        <v>730</v>
      </c>
    </row>
    <row r="782" spans="1:1" x14ac:dyDescent="0.25">
      <c r="A782" s="27" t="s">
        <v>731</v>
      </c>
    </row>
    <row r="783" spans="1:1" x14ac:dyDescent="0.25">
      <c r="A783" s="27" t="s">
        <v>732</v>
      </c>
    </row>
    <row r="784" spans="1:1" x14ac:dyDescent="0.25">
      <c r="A784" s="27" t="s">
        <v>733</v>
      </c>
    </row>
    <row r="785" spans="1:1" x14ac:dyDescent="0.25">
      <c r="A785" s="27" t="s">
        <v>734</v>
      </c>
    </row>
    <row r="786" spans="1:1" x14ac:dyDescent="0.25">
      <c r="A786" s="27" t="s">
        <v>735</v>
      </c>
    </row>
    <row r="787" spans="1:1" x14ac:dyDescent="0.25">
      <c r="A787" s="27" t="s">
        <v>736</v>
      </c>
    </row>
    <row r="788" spans="1:1" x14ac:dyDescent="0.25">
      <c r="A788" s="27" t="s">
        <v>737</v>
      </c>
    </row>
    <row r="789" spans="1:1" x14ac:dyDescent="0.25">
      <c r="A789" s="27" t="s">
        <v>738</v>
      </c>
    </row>
    <row r="790" spans="1:1" x14ac:dyDescent="0.25">
      <c r="A790" s="27" t="s">
        <v>739</v>
      </c>
    </row>
    <row r="791" spans="1:1" x14ac:dyDescent="0.25">
      <c r="A791" s="126" t="s">
        <v>740</v>
      </c>
    </row>
    <row r="792" spans="1:1" x14ac:dyDescent="0.25">
      <c r="A792" s="126" t="s">
        <v>741</v>
      </c>
    </row>
    <row r="793" spans="1:1" x14ac:dyDescent="0.25">
      <c r="A793" s="126" t="s">
        <v>742</v>
      </c>
    </row>
    <row r="794" spans="1:1" x14ac:dyDescent="0.25">
      <c r="A794" s="127" t="s">
        <v>743</v>
      </c>
    </row>
    <row r="795" spans="1:1" x14ac:dyDescent="0.25">
      <c r="A795" s="127" t="s">
        <v>744</v>
      </c>
    </row>
    <row r="796" spans="1:1" x14ac:dyDescent="0.25">
      <c r="A796" s="126" t="s">
        <v>745</v>
      </c>
    </row>
    <row r="797" spans="1:1" x14ac:dyDescent="0.25">
      <c r="A797" s="126" t="s">
        <v>746</v>
      </c>
    </row>
    <row r="798" spans="1:1" x14ac:dyDescent="0.25">
      <c r="A798" s="126" t="s">
        <v>747</v>
      </c>
    </row>
    <row r="799" spans="1:1" x14ac:dyDescent="0.25">
      <c r="A799" s="126" t="s">
        <v>748</v>
      </c>
    </row>
    <row r="800" spans="1:1" x14ac:dyDescent="0.25">
      <c r="A800" s="127" t="s">
        <v>749</v>
      </c>
    </row>
    <row r="801" spans="1:1" x14ac:dyDescent="0.25">
      <c r="A801" s="127" t="s">
        <v>750</v>
      </c>
    </row>
    <row r="802" spans="1:1" x14ac:dyDescent="0.25">
      <c r="A802" s="126" t="s">
        <v>751</v>
      </c>
    </row>
    <row r="803" spans="1:1" x14ac:dyDescent="0.25">
      <c r="A803" s="126" t="s">
        <v>752</v>
      </c>
    </row>
    <row r="804" spans="1:1" x14ac:dyDescent="0.25">
      <c r="A804" s="126" t="s">
        <v>753</v>
      </c>
    </row>
    <row r="805" spans="1:1" x14ac:dyDescent="0.25">
      <c r="A805" s="126" t="s">
        <v>754</v>
      </c>
    </row>
    <row r="806" spans="1:1" x14ac:dyDescent="0.25">
      <c r="A806" s="127" t="s">
        <v>755</v>
      </c>
    </row>
    <row r="807" spans="1:1" x14ac:dyDescent="0.25">
      <c r="A807" s="127" t="s">
        <v>756</v>
      </c>
    </row>
    <row r="808" spans="1:1" x14ac:dyDescent="0.25">
      <c r="A808" s="126" t="s">
        <v>757</v>
      </c>
    </row>
    <row r="809" spans="1:1" x14ac:dyDescent="0.25">
      <c r="A809" s="126" t="s">
        <v>758</v>
      </c>
    </row>
    <row r="810" spans="1:1" x14ac:dyDescent="0.25">
      <c r="A810" s="126" t="s">
        <v>759</v>
      </c>
    </row>
    <row r="811" spans="1:1" x14ac:dyDescent="0.25">
      <c r="A811" s="126" t="s">
        <v>760</v>
      </c>
    </row>
    <row r="812" spans="1:1" x14ac:dyDescent="0.25">
      <c r="A812" s="127" t="s">
        <v>761</v>
      </c>
    </row>
    <row r="813" spans="1:1" x14ac:dyDescent="0.25">
      <c r="A813" s="127" t="s">
        <v>762</v>
      </c>
    </row>
    <row r="814" spans="1:1" x14ac:dyDescent="0.25">
      <c r="A814" s="126" t="s">
        <v>763</v>
      </c>
    </row>
    <row r="815" spans="1:1" x14ac:dyDescent="0.25">
      <c r="A815" s="126" t="s">
        <v>764</v>
      </c>
    </row>
    <row r="816" spans="1:1" x14ac:dyDescent="0.25">
      <c r="A816" s="126" t="s">
        <v>765</v>
      </c>
    </row>
    <row r="817" spans="1:1" x14ac:dyDescent="0.25">
      <c r="A817" s="126" t="s">
        <v>766</v>
      </c>
    </row>
    <row r="818" spans="1:1" x14ac:dyDescent="0.25">
      <c r="A818" s="127" t="s">
        <v>767</v>
      </c>
    </row>
    <row r="819" spans="1:1" x14ac:dyDescent="0.25">
      <c r="A819" s="127" t="s">
        <v>768</v>
      </c>
    </row>
    <row r="820" spans="1:1" x14ac:dyDescent="0.25">
      <c r="A820" s="126" t="s">
        <v>769</v>
      </c>
    </row>
    <row r="821" spans="1:1" x14ac:dyDescent="0.25">
      <c r="A821" s="27" t="s">
        <v>770</v>
      </c>
    </row>
    <row r="822" spans="1:1" x14ac:dyDescent="0.25">
      <c r="A822" s="27" t="s">
        <v>771</v>
      </c>
    </row>
    <row r="823" spans="1:1" x14ac:dyDescent="0.25">
      <c r="A823" s="27" t="s">
        <v>772</v>
      </c>
    </row>
    <row r="824" spans="1:1" x14ac:dyDescent="0.25">
      <c r="A824" s="27" t="s">
        <v>773</v>
      </c>
    </row>
    <row r="825" spans="1:1" x14ac:dyDescent="0.25">
      <c r="A825" s="27" t="s">
        <v>774</v>
      </c>
    </row>
    <row r="826" spans="1:1" x14ac:dyDescent="0.25">
      <c r="A826" s="27" t="s">
        <v>775</v>
      </c>
    </row>
    <row r="827" spans="1:1" x14ac:dyDescent="0.25">
      <c r="A827" s="27" t="s">
        <v>776</v>
      </c>
    </row>
    <row r="828" spans="1:1" x14ac:dyDescent="0.25">
      <c r="A828" s="27" t="s">
        <v>777</v>
      </c>
    </row>
    <row r="829" spans="1:1" x14ac:dyDescent="0.25">
      <c r="A829" s="27" t="s">
        <v>778</v>
      </c>
    </row>
    <row r="830" spans="1:1" x14ac:dyDescent="0.25">
      <c r="A830" s="27" t="s">
        <v>779</v>
      </c>
    </row>
    <row r="831" spans="1:1" x14ac:dyDescent="0.25">
      <c r="A831" s="27" t="s">
        <v>780</v>
      </c>
    </row>
    <row r="832" spans="1:1" x14ac:dyDescent="0.25">
      <c r="A832" s="27" t="s">
        <v>781</v>
      </c>
    </row>
    <row r="833" spans="1:1" x14ac:dyDescent="0.25">
      <c r="A833" s="27" t="s">
        <v>782</v>
      </c>
    </row>
    <row r="834" spans="1:1" x14ac:dyDescent="0.25">
      <c r="A834" s="27" t="s">
        <v>783</v>
      </c>
    </row>
    <row r="835" spans="1:1" x14ac:dyDescent="0.25">
      <c r="A835" s="27" t="s">
        <v>784</v>
      </c>
    </row>
    <row r="836" spans="1:1" x14ac:dyDescent="0.25">
      <c r="A836" s="27" t="s">
        <v>785</v>
      </c>
    </row>
    <row r="837" spans="1:1" x14ac:dyDescent="0.25">
      <c r="A837" s="27" t="s">
        <v>786</v>
      </c>
    </row>
    <row r="838" spans="1:1" x14ac:dyDescent="0.25">
      <c r="A838" s="27" t="s">
        <v>787</v>
      </c>
    </row>
    <row r="839" spans="1:1" x14ac:dyDescent="0.25">
      <c r="A839" s="27" t="s">
        <v>788</v>
      </c>
    </row>
    <row r="840" spans="1:1" x14ac:dyDescent="0.25">
      <c r="A840" s="27" t="s">
        <v>789</v>
      </c>
    </row>
    <row r="841" spans="1:1" x14ac:dyDescent="0.25">
      <c r="A841" s="27" t="s">
        <v>790</v>
      </c>
    </row>
    <row r="842" spans="1:1" x14ac:dyDescent="0.25">
      <c r="A842" s="27" t="s">
        <v>791</v>
      </c>
    </row>
    <row r="843" spans="1:1" x14ac:dyDescent="0.25">
      <c r="A843" s="27" t="s">
        <v>792</v>
      </c>
    </row>
    <row r="844" spans="1:1" x14ac:dyDescent="0.25">
      <c r="A844" s="27" t="s">
        <v>793</v>
      </c>
    </row>
    <row r="845" spans="1:1" x14ac:dyDescent="0.25">
      <c r="A845" s="27" t="s">
        <v>794</v>
      </c>
    </row>
    <row r="846" spans="1:1" x14ac:dyDescent="0.25">
      <c r="A846" s="27" t="s">
        <v>795</v>
      </c>
    </row>
    <row r="847" spans="1:1" x14ac:dyDescent="0.25">
      <c r="A847" s="27" t="s">
        <v>796</v>
      </c>
    </row>
    <row r="848" spans="1:1" x14ac:dyDescent="0.25">
      <c r="A848" s="27" t="s">
        <v>797</v>
      </c>
    </row>
    <row r="849" spans="1:1" x14ac:dyDescent="0.25">
      <c r="A849" s="27" t="s">
        <v>798</v>
      </c>
    </row>
    <row r="850" spans="1:1" x14ac:dyDescent="0.25">
      <c r="A850" s="27" t="s">
        <v>799</v>
      </c>
    </row>
    <row r="851" spans="1:1" x14ac:dyDescent="0.25">
      <c r="A851" s="27" t="s">
        <v>800</v>
      </c>
    </row>
    <row r="852" spans="1:1" x14ac:dyDescent="0.25">
      <c r="A852" s="27" t="s">
        <v>801</v>
      </c>
    </row>
    <row r="853" spans="1:1" x14ac:dyDescent="0.25">
      <c r="A853" s="27" t="s">
        <v>802</v>
      </c>
    </row>
    <row r="854" spans="1:1" x14ac:dyDescent="0.25">
      <c r="A854" s="27" t="s">
        <v>803</v>
      </c>
    </row>
    <row r="855" spans="1:1" x14ac:dyDescent="0.25">
      <c r="A855" s="27" t="s">
        <v>804</v>
      </c>
    </row>
    <row r="856" spans="1:1" x14ac:dyDescent="0.25">
      <c r="A856" s="27" t="s">
        <v>805</v>
      </c>
    </row>
    <row r="857" spans="1:1" x14ac:dyDescent="0.25">
      <c r="A857" s="27" t="s">
        <v>806</v>
      </c>
    </row>
    <row r="858" spans="1:1" x14ac:dyDescent="0.25">
      <c r="A858" s="27" t="s">
        <v>807</v>
      </c>
    </row>
    <row r="859" spans="1:1" x14ac:dyDescent="0.25">
      <c r="A859" s="27" t="s">
        <v>808</v>
      </c>
    </row>
    <row r="860" spans="1:1" x14ac:dyDescent="0.25">
      <c r="A860" s="27" t="s">
        <v>809</v>
      </c>
    </row>
    <row r="861" spans="1:1" x14ac:dyDescent="0.25">
      <c r="A861" s="27" t="s">
        <v>810</v>
      </c>
    </row>
    <row r="862" spans="1:1" x14ac:dyDescent="0.25">
      <c r="A862" s="27" t="s">
        <v>811</v>
      </c>
    </row>
    <row r="863" spans="1:1" x14ac:dyDescent="0.25">
      <c r="A863" s="27" t="s">
        <v>812</v>
      </c>
    </row>
    <row r="864" spans="1:1" x14ac:dyDescent="0.25">
      <c r="A864" s="27" t="s">
        <v>813</v>
      </c>
    </row>
    <row r="865" spans="1:1" x14ac:dyDescent="0.25">
      <c r="A865" s="27" t="s">
        <v>814</v>
      </c>
    </row>
    <row r="866" spans="1:1" x14ac:dyDescent="0.25">
      <c r="A866" s="27" t="s">
        <v>815</v>
      </c>
    </row>
    <row r="867" spans="1:1" x14ac:dyDescent="0.25">
      <c r="A867" s="27" t="s">
        <v>816</v>
      </c>
    </row>
    <row r="868" spans="1:1" x14ac:dyDescent="0.25">
      <c r="A868" s="27" t="s">
        <v>817</v>
      </c>
    </row>
    <row r="869" spans="1:1" x14ac:dyDescent="0.25">
      <c r="A869" s="27" t="s">
        <v>818</v>
      </c>
    </row>
    <row r="870" spans="1:1" x14ac:dyDescent="0.25">
      <c r="A870" s="27" t="s">
        <v>819</v>
      </c>
    </row>
    <row r="871" spans="1:1" x14ac:dyDescent="0.25">
      <c r="A871" s="27" t="s">
        <v>820</v>
      </c>
    </row>
    <row r="872" spans="1:1" x14ac:dyDescent="0.25">
      <c r="A872" s="27" t="s">
        <v>821</v>
      </c>
    </row>
    <row r="873" spans="1:1" x14ac:dyDescent="0.25">
      <c r="A873" s="27" t="s">
        <v>822</v>
      </c>
    </row>
    <row r="874" spans="1:1" x14ac:dyDescent="0.25">
      <c r="A874" s="27" t="s">
        <v>823</v>
      </c>
    </row>
    <row r="875" spans="1:1" x14ac:dyDescent="0.25">
      <c r="A875" s="27" t="s">
        <v>824</v>
      </c>
    </row>
    <row r="876" spans="1:1" x14ac:dyDescent="0.25">
      <c r="A876" s="27" t="s">
        <v>825</v>
      </c>
    </row>
    <row r="877" spans="1:1" x14ac:dyDescent="0.25">
      <c r="A877" s="27" t="s">
        <v>826</v>
      </c>
    </row>
    <row r="878" spans="1:1" x14ac:dyDescent="0.25">
      <c r="A878" s="27" t="s">
        <v>827</v>
      </c>
    </row>
    <row r="879" spans="1:1" x14ac:dyDescent="0.25">
      <c r="A879" s="27" t="s">
        <v>828</v>
      </c>
    </row>
    <row r="880" spans="1:1" x14ac:dyDescent="0.25">
      <c r="A880" s="27" t="s">
        <v>829</v>
      </c>
    </row>
    <row r="881" spans="1:1" x14ac:dyDescent="0.25">
      <c r="A881" s="27" t="s">
        <v>830</v>
      </c>
    </row>
    <row r="882" spans="1:1" x14ac:dyDescent="0.25">
      <c r="A882" s="27" t="s">
        <v>831</v>
      </c>
    </row>
    <row r="883" spans="1:1" x14ac:dyDescent="0.25">
      <c r="A883" s="27" t="s">
        <v>832</v>
      </c>
    </row>
    <row r="884" spans="1:1" x14ac:dyDescent="0.25">
      <c r="A884" s="27" t="s">
        <v>833</v>
      </c>
    </row>
    <row r="885" spans="1:1" x14ac:dyDescent="0.25">
      <c r="A885" s="27" t="s">
        <v>834</v>
      </c>
    </row>
    <row r="886" spans="1:1" x14ac:dyDescent="0.25">
      <c r="A886" s="27" t="s">
        <v>835</v>
      </c>
    </row>
    <row r="887" spans="1:1" x14ac:dyDescent="0.25">
      <c r="A887" s="27" t="s">
        <v>836</v>
      </c>
    </row>
    <row r="888" spans="1:1" x14ac:dyDescent="0.25">
      <c r="A888" s="27" t="s">
        <v>837</v>
      </c>
    </row>
    <row r="889" spans="1:1" x14ac:dyDescent="0.25">
      <c r="A889" s="27" t="s">
        <v>838</v>
      </c>
    </row>
    <row r="890" spans="1:1" x14ac:dyDescent="0.25">
      <c r="A890" s="27" t="s">
        <v>839</v>
      </c>
    </row>
    <row r="891" spans="1:1" x14ac:dyDescent="0.25">
      <c r="A891" s="27" t="s">
        <v>840</v>
      </c>
    </row>
    <row r="892" spans="1:1" x14ac:dyDescent="0.25">
      <c r="A892" s="27" t="s">
        <v>841</v>
      </c>
    </row>
    <row r="893" spans="1:1" x14ac:dyDescent="0.25">
      <c r="A893" s="27" t="s">
        <v>842</v>
      </c>
    </row>
    <row r="894" spans="1:1" x14ac:dyDescent="0.25">
      <c r="A894" s="27" t="s">
        <v>843</v>
      </c>
    </row>
    <row r="895" spans="1:1" x14ac:dyDescent="0.25">
      <c r="A895" s="27" t="s">
        <v>844</v>
      </c>
    </row>
    <row r="896" spans="1:1" x14ac:dyDescent="0.25">
      <c r="A896" s="27" t="s">
        <v>845</v>
      </c>
    </row>
    <row r="897" spans="1:1" x14ac:dyDescent="0.25">
      <c r="A897" s="27" t="s">
        <v>846</v>
      </c>
    </row>
    <row r="898" spans="1:1" x14ac:dyDescent="0.25">
      <c r="A898" s="27" t="s">
        <v>847</v>
      </c>
    </row>
    <row r="899" spans="1:1" x14ac:dyDescent="0.25">
      <c r="A899" s="27" t="s">
        <v>848</v>
      </c>
    </row>
    <row r="900" spans="1:1" x14ac:dyDescent="0.25">
      <c r="A900" s="27" t="s">
        <v>849</v>
      </c>
    </row>
    <row r="901" spans="1:1" x14ac:dyDescent="0.25">
      <c r="A901" s="27" t="s">
        <v>850</v>
      </c>
    </row>
    <row r="902" spans="1:1" x14ac:dyDescent="0.25">
      <c r="A902" s="27" t="s">
        <v>851</v>
      </c>
    </row>
    <row r="903" spans="1:1" x14ac:dyDescent="0.25">
      <c r="A903" s="27" t="s">
        <v>852</v>
      </c>
    </row>
    <row r="904" spans="1:1" x14ac:dyDescent="0.25">
      <c r="A904" s="27" t="s">
        <v>853</v>
      </c>
    </row>
    <row r="905" spans="1:1" x14ac:dyDescent="0.25">
      <c r="A905" s="27" t="s">
        <v>854</v>
      </c>
    </row>
    <row r="906" spans="1:1" x14ac:dyDescent="0.25">
      <c r="A906" s="27" t="s">
        <v>855</v>
      </c>
    </row>
    <row r="907" spans="1:1" x14ac:dyDescent="0.25">
      <c r="A907" s="27" t="s">
        <v>856</v>
      </c>
    </row>
    <row r="908" spans="1:1" x14ac:dyDescent="0.25">
      <c r="A908" s="27" t="s">
        <v>857</v>
      </c>
    </row>
    <row r="909" spans="1:1" x14ac:dyDescent="0.25">
      <c r="A909" s="27" t="s">
        <v>858</v>
      </c>
    </row>
    <row r="910" spans="1:1" x14ac:dyDescent="0.25">
      <c r="A910" s="27" t="s">
        <v>859</v>
      </c>
    </row>
    <row r="911" spans="1:1" x14ac:dyDescent="0.25">
      <c r="A911" s="27" t="s">
        <v>860</v>
      </c>
    </row>
    <row r="912" spans="1:1" x14ac:dyDescent="0.25">
      <c r="A912" s="27" t="s">
        <v>861</v>
      </c>
    </row>
    <row r="913" spans="1:1" x14ac:dyDescent="0.25">
      <c r="A913" s="27" t="s">
        <v>862</v>
      </c>
    </row>
    <row r="914" spans="1:1" x14ac:dyDescent="0.25">
      <c r="A914" s="27" t="s">
        <v>863</v>
      </c>
    </row>
    <row r="915" spans="1:1" x14ac:dyDescent="0.25">
      <c r="A915" s="27" t="s">
        <v>864</v>
      </c>
    </row>
    <row r="916" spans="1:1" x14ac:dyDescent="0.25">
      <c r="A916" s="27" t="s">
        <v>865</v>
      </c>
    </row>
    <row r="917" spans="1:1" x14ac:dyDescent="0.25">
      <c r="A917" s="27" t="s">
        <v>866</v>
      </c>
    </row>
    <row r="918" spans="1:1" x14ac:dyDescent="0.25">
      <c r="A918" s="27" t="s">
        <v>867</v>
      </c>
    </row>
    <row r="919" spans="1:1" x14ac:dyDescent="0.25">
      <c r="A919" s="27" t="s">
        <v>868</v>
      </c>
    </row>
    <row r="920" spans="1:1" x14ac:dyDescent="0.25">
      <c r="A920" s="27" t="s">
        <v>869</v>
      </c>
    </row>
    <row r="921" spans="1:1" x14ac:dyDescent="0.25">
      <c r="A921" s="27" t="s">
        <v>870</v>
      </c>
    </row>
    <row r="922" spans="1:1" x14ac:dyDescent="0.25">
      <c r="A922" s="27" t="s">
        <v>871</v>
      </c>
    </row>
    <row r="923" spans="1:1" x14ac:dyDescent="0.25">
      <c r="A923" s="27" t="s">
        <v>872</v>
      </c>
    </row>
    <row r="924" spans="1:1" x14ac:dyDescent="0.25">
      <c r="A924" s="27" t="s">
        <v>873</v>
      </c>
    </row>
    <row r="925" spans="1:1" x14ac:dyDescent="0.25">
      <c r="A925" s="27" t="s">
        <v>874</v>
      </c>
    </row>
    <row r="926" spans="1:1" x14ac:dyDescent="0.25">
      <c r="A926" s="27" t="s">
        <v>875</v>
      </c>
    </row>
    <row r="927" spans="1:1" x14ac:dyDescent="0.25">
      <c r="A927" s="27" t="s">
        <v>876</v>
      </c>
    </row>
    <row r="928" spans="1:1" x14ac:dyDescent="0.25">
      <c r="A928" s="27" t="s">
        <v>877</v>
      </c>
    </row>
    <row r="929" spans="1:1" x14ac:dyDescent="0.25">
      <c r="A929" s="27" t="s">
        <v>878</v>
      </c>
    </row>
    <row r="930" spans="1:1" x14ac:dyDescent="0.25">
      <c r="A930" s="27" t="s">
        <v>879</v>
      </c>
    </row>
    <row r="931" spans="1:1" x14ac:dyDescent="0.25">
      <c r="A931" s="27" t="s">
        <v>880</v>
      </c>
    </row>
    <row r="932" spans="1:1" x14ac:dyDescent="0.25">
      <c r="A932" s="27" t="s">
        <v>881</v>
      </c>
    </row>
    <row r="933" spans="1:1" x14ac:dyDescent="0.25">
      <c r="A933" s="27" t="s">
        <v>882</v>
      </c>
    </row>
    <row r="934" spans="1:1" x14ac:dyDescent="0.25">
      <c r="A934" s="27" t="s">
        <v>883</v>
      </c>
    </row>
    <row r="935" spans="1:1" x14ac:dyDescent="0.25">
      <c r="A935" s="27" t="s">
        <v>884</v>
      </c>
    </row>
    <row r="936" spans="1:1" x14ac:dyDescent="0.25">
      <c r="A936" s="27" t="s">
        <v>885</v>
      </c>
    </row>
    <row r="937" spans="1:1" x14ac:dyDescent="0.25">
      <c r="A937" s="27" t="s">
        <v>886</v>
      </c>
    </row>
    <row r="938" spans="1:1" x14ac:dyDescent="0.25">
      <c r="A938" s="27" t="s">
        <v>887</v>
      </c>
    </row>
    <row r="939" spans="1:1" x14ac:dyDescent="0.25">
      <c r="A939" s="27" t="s">
        <v>888</v>
      </c>
    </row>
    <row r="940" spans="1:1" x14ac:dyDescent="0.25">
      <c r="A940" s="27" t="s">
        <v>889</v>
      </c>
    </row>
    <row r="941" spans="1:1" x14ac:dyDescent="0.25">
      <c r="A941" s="27" t="s">
        <v>890</v>
      </c>
    </row>
    <row r="942" spans="1:1" x14ac:dyDescent="0.25">
      <c r="A942" s="27" t="s">
        <v>891</v>
      </c>
    </row>
    <row r="943" spans="1:1" x14ac:dyDescent="0.25">
      <c r="A943" s="27" t="s">
        <v>892</v>
      </c>
    </row>
    <row r="944" spans="1:1" x14ac:dyDescent="0.25">
      <c r="A944" s="27" t="s">
        <v>893</v>
      </c>
    </row>
    <row r="945" spans="1:1" x14ac:dyDescent="0.25">
      <c r="A945" s="27" t="s">
        <v>894</v>
      </c>
    </row>
    <row r="946" spans="1:1" x14ac:dyDescent="0.25">
      <c r="A946" s="27" t="s">
        <v>895</v>
      </c>
    </row>
    <row r="947" spans="1:1" x14ac:dyDescent="0.25">
      <c r="A947" s="27" t="s">
        <v>896</v>
      </c>
    </row>
    <row r="948" spans="1:1" x14ac:dyDescent="0.25">
      <c r="A948" s="27" t="s">
        <v>897</v>
      </c>
    </row>
    <row r="949" spans="1:1" x14ac:dyDescent="0.25">
      <c r="A949" s="27" t="s">
        <v>898</v>
      </c>
    </row>
    <row r="950" spans="1:1" x14ac:dyDescent="0.25">
      <c r="A950" s="27" t="s">
        <v>899</v>
      </c>
    </row>
    <row r="951" spans="1:1" x14ac:dyDescent="0.25">
      <c r="A951" s="27" t="s">
        <v>900</v>
      </c>
    </row>
    <row r="952" spans="1:1" x14ac:dyDescent="0.25">
      <c r="A952" s="27" t="s">
        <v>901</v>
      </c>
    </row>
    <row r="953" spans="1:1" x14ac:dyDescent="0.25">
      <c r="A953" s="127" t="s">
        <v>902</v>
      </c>
    </row>
    <row r="954" spans="1:1" x14ac:dyDescent="0.25">
      <c r="A954" s="127" t="s">
        <v>903</v>
      </c>
    </row>
    <row r="955" spans="1:1" x14ac:dyDescent="0.25">
      <c r="A955" t="s">
        <v>904</v>
      </c>
    </row>
    <row r="956" spans="1:1" x14ac:dyDescent="0.25">
      <c r="A956" s="126" t="s">
        <v>905</v>
      </c>
    </row>
    <row r="957" spans="1:1" x14ac:dyDescent="0.25">
      <c r="A957" s="127" t="s">
        <v>906</v>
      </c>
    </row>
    <row r="958" spans="1:1" x14ac:dyDescent="0.25">
      <c r="A958" t="s">
        <v>907</v>
      </c>
    </row>
    <row r="959" spans="1:1" x14ac:dyDescent="0.25">
      <c r="A959" s="126" t="s">
        <v>908</v>
      </c>
    </row>
    <row r="960" spans="1:1" x14ac:dyDescent="0.25">
      <c r="A960" s="126" t="s">
        <v>909</v>
      </c>
    </row>
    <row r="961" spans="1:1" x14ac:dyDescent="0.25">
      <c r="A961" s="27" t="s">
        <v>910</v>
      </c>
    </row>
    <row r="962" spans="1:1" x14ac:dyDescent="0.25">
      <c r="A962" s="27" t="s">
        <v>911</v>
      </c>
    </row>
    <row r="963" spans="1:1" x14ac:dyDescent="0.25">
      <c r="A963" s="27" t="s">
        <v>912</v>
      </c>
    </row>
    <row r="964" spans="1:1" x14ac:dyDescent="0.25">
      <c r="A964" t="s">
        <v>913</v>
      </c>
    </row>
    <row r="965" spans="1:1" x14ac:dyDescent="0.25">
      <c r="A965" s="127" t="s">
        <v>914</v>
      </c>
    </row>
    <row r="966" spans="1:1" x14ac:dyDescent="0.25">
      <c r="A966" t="s">
        <v>915</v>
      </c>
    </row>
    <row r="967" spans="1:1" x14ac:dyDescent="0.25">
      <c r="A967" s="126" t="s">
        <v>916</v>
      </c>
    </row>
    <row r="968" spans="1:1" x14ac:dyDescent="0.25">
      <c r="A968" s="127" t="s">
        <v>917</v>
      </c>
    </row>
    <row r="969" spans="1:1" x14ac:dyDescent="0.25">
      <c r="A969" t="s">
        <v>918</v>
      </c>
    </row>
    <row r="970" spans="1:1" x14ac:dyDescent="0.25">
      <c r="A970" s="126" t="s">
        <v>919</v>
      </c>
    </row>
    <row r="971" spans="1:1" x14ac:dyDescent="0.25">
      <c r="A971" s="126" t="s">
        <v>920</v>
      </c>
    </row>
    <row r="972" spans="1:1" x14ac:dyDescent="0.25">
      <c r="A972" s="27" t="s">
        <v>921</v>
      </c>
    </row>
    <row r="973" spans="1:1" x14ac:dyDescent="0.25">
      <c r="A973" s="27" t="s">
        <v>922</v>
      </c>
    </row>
    <row r="974" spans="1:1" x14ac:dyDescent="0.25">
      <c r="A974" s="27" t="s">
        <v>923</v>
      </c>
    </row>
    <row r="975" spans="1:1" x14ac:dyDescent="0.25">
      <c r="A975" s="27" t="s">
        <v>924</v>
      </c>
    </row>
    <row r="976" spans="1:1" x14ac:dyDescent="0.25">
      <c r="A976" s="27" t="s">
        <v>925</v>
      </c>
    </row>
    <row r="977" spans="1:1" x14ac:dyDescent="0.25">
      <c r="A977" s="27" t="s">
        <v>926</v>
      </c>
    </row>
    <row r="978" spans="1:1" x14ac:dyDescent="0.25">
      <c r="A978" s="27" t="s">
        <v>927</v>
      </c>
    </row>
    <row r="979" spans="1:1" x14ac:dyDescent="0.25">
      <c r="A979" s="27" t="s">
        <v>928</v>
      </c>
    </row>
    <row r="980" spans="1:1" x14ac:dyDescent="0.25">
      <c r="A980" s="27" t="s">
        <v>929</v>
      </c>
    </row>
    <row r="981" spans="1:1" x14ac:dyDescent="0.25">
      <c r="A981" t="s">
        <v>930</v>
      </c>
    </row>
    <row r="982" spans="1:1" x14ac:dyDescent="0.25">
      <c r="A982" t="s">
        <v>931</v>
      </c>
    </row>
    <row r="983" spans="1:1" x14ac:dyDescent="0.25">
      <c r="A983" s="27" t="s">
        <v>932</v>
      </c>
    </row>
    <row r="984" spans="1:1" x14ac:dyDescent="0.25">
      <c r="A984" s="27" t="s">
        <v>933</v>
      </c>
    </row>
    <row r="985" spans="1:1" x14ac:dyDescent="0.25">
      <c r="A985" s="27" t="s">
        <v>934</v>
      </c>
    </row>
    <row r="986" spans="1:1" x14ac:dyDescent="0.25">
      <c r="A986" s="27" t="s">
        <v>935</v>
      </c>
    </row>
    <row r="987" spans="1:1" x14ac:dyDescent="0.25">
      <c r="A987" s="27" t="s">
        <v>936</v>
      </c>
    </row>
    <row r="988" spans="1:1" x14ac:dyDescent="0.25">
      <c r="A988" s="27" t="s">
        <v>937</v>
      </c>
    </row>
    <row r="989" spans="1:1" x14ac:dyDescent="0.25">
      <c r="A989" s="27" t="s">
        <v>938</v>
      </c>
    </row>
    <row r="990" spans="1:1" x14ac:dyDescent="0.25">
      <c r="A990" s="27" t="s">
        <v>939</v>
      </c>
    </row>
    <row r="991" spans="1:1" x14ac:dyDescent="0.25">
      <c r="A991" s="27" t="s">
        <v>940</v>
      </c>
    </row>
    <row r="992" spans="1:1" x14ac:dyDescent="0.25">
      <c r="A992" s="27" t="s">
        <v>941</v>
      </c>
    </row>
    <row r="993" spans="1:1" x14ac:dyDescent="0.25">
      <c r="A993" s="27" t="s">
        <v>942</v>
      </c>
    </row>
    <row r="994" spans="1:1" x14ac:dyDescent="0.25">
      <c r="A994" s="27" t="s">
        <v>943</v>
      </c>
    </row>
    <row r="995" spans="1:1" x14ac:dyDescent="0.25">
      <c r="A995" s="27" t="s">
        <v>944</v>
      </c>
    </row>
    <row r="996" spans="1:1" x14ac:dyDescent="0.25">
      <c r="A996" s="27" t="s">
        <v>945</v>
      </c>
    </row>
    <row r="997" spans="1:1" x14ac:dyDescent="0.25">
      <c r="A997" s="27" t="s">
        <v>946</v>
      </c>
    </row>
    <row r="998" spans="1:1" x14ac:dyDescent="0.25">
      <c r="A998" s="27" t="s">
        <v>947</v>
      </c>
    </row>
    <row r="999" spans="1:1" x14ac:dyDescent="0.25">
      <c r="A999" s="27" t="s">
        <v>948</v>
      </c>
    </row>
    <row r="1000" spans="1:1" x14ac:dyDescent="0.25">
      <c r="A1000" s="27" t="s">
        <v>949</v>
      </c>
    </row>
    <row r="1001" spans="1:1" x14ac:dyDescent="0.25">
      <c r="A1001" s="27" t="s">
        <v>950</v>
      </c>
    </row>
    <row r="1002" spans="1:1" x14ac:dyDescent="0.25">
      <c r="A1002" s="27" t="s">
        <v>951</v>
      </c>
    </row>
    <row r="1003" spans="1:1" x14ac:dyDescent="0.25">
      <c r="A1003" s="27" t="s">
        <v>952</v>
      </c>
    </row>
    <row r="1004" spans="1:1" x14ac:dyDescent="0.25">
      <c r="A1004" s="27" t="s">
        <v>953</v>
      </c>
    </row>
    <row r="1005" spans="1:1" x14ac:dyDescent="0.25">
      <c r="A1005" s="27" t="s">
        <v>954</v>
      </c>
    </row>
    <row r="1006" spans="1:1" x14ac:dyDescent="0.25">
      <c r="A1006" s="27" t="s">
        <v>955</v>
      </c>
    </row>
    <row r="1007" spans="1:1" x14ac:dyDescent="0.25">
      <c r="A1007" s="27" t="s">
        <v>956</v>
      </c>
    </row>
    <row r="1008" spans="1:1" x14ac:dyDescent="0.25">
      <c r="A1008" s="27" t="s">
        <v>957</v>
      </c>
    </row>
    <row r="1009" spans="1:1" x14ac:dyDescent="0.25">
      <c r="A1009" s="27" t="s">
        <v>958</v>
      </c>
    </row>
    <row r="1010" spans="1:1" x14ac:dyDescent="0.25">
      <c r="A1010" s="27" t="s">
        <v>959</v>
      </c>
    </row>
    <row r="1011" spans="1:1" x14ac:dyDescent="0.25">
      <c r="A1011" s="27" t="s">
        <v>960</v>
      </c>
    </row>
    <row r="1012" spans="1:1" x14ac:dyDescent="0.25">
      <c r="A1012" s="27" t="s">
        <v>961</v>
      </c>
    </row>
    <row r="1013" spans="1:1" x14ac:dyDescent="0.25">
      <c r="A1013" s="27" t="s">
        <v>962</v>
      </c>
    </row>
    <row r="1014" spans="1:1" x14ac:dyDescent="0.25">
      <c r="A1014" s="27" t="s">
        <v>963</v>
      </c>
    </row>
    <row r="1015" spans="1:1" x14ac:dyDescent="0.25">
      <c r="A1015" s="27" t="s">
        <v>964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8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2" t="s">
        <v>26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3"/>
      <c r="M2" s="124" t="s">
        <v>27</v>
      </c>
      <c r="N2" s="124"/>
      <c r="O2" s="124"/>
      <c r="P2" s="124"/>
      <c r="Q2" s="124"/>
      <c r="R2" s="124" t="s">
        <v>28</v>
      </c>
      <c r="S2" s="124"/>
      <c r="T2" s="124"/>
      <c r="U2" s="124"/>
      <c r="V2" s="124"/>
      <c r="W2" s="124"/>
      <c r="X2" s="124"/>
      <c r="Y2" s="100" t="s">
        <v>41</v>
      </c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25"/>
      <c r="AM2" s="125"/>
      <c r="AN2" s="12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10263</v>
      </c>
      <c r="S4" s="2" t="s">
        <v>207</v>
      </c>
      <c r="T4" s="2">
        <v>0</v>
      </c>
      <c r="U4" s="2">
        <v>10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10264</v>
      </c>
      <c r="S5" s="2" t="s">
        <v>207</v>
      </c>
      <c r="T5" s="2">
        <v>0</v>
      </c>
      <c r="U5" s="2">
        <v>-10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10263</v>
      </c>
      <c r="S6" s="2" t="s">
        <v>207</v>
      </c>
      <c r="T6" s="2">
        <v>0</v>
      </c>
      <c r="U6" s="2">
        <v>10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10263</v>
      </c>
      <c r="S7" s="2" t="s">
        <v>192</v>
      </c>
      <c r="T7" s="2">
        <v>0</v>
      </c>
      <c r="U7" s="2">
        <v>10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10264</v>
      </c>
      <c r="S8" s="2" t="s">
        <v>207</v>
      </c>
      <c r="T8" s="2">
        <v>0</v>
      </c>
      <c r="U8" s="2">
        <v>-10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10264</v>
      </c>
      <c r="S9" s="2" t="s">
        <v>192</v>
      </c>
      <c r="T9" s="2">
        <v>0</v>
      </c>
      <c r="U9" s="2">
        <v>10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179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10265</v>
      </c>
      <c r="S10" s="2" t="s">
        <v>207</v>
      </c>
      <c r="T10" s="2">
        <v>0</v>
      </c>
      <c r="U10" s="2">
        <v>10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179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10263</v>
      </c>
      <c r="S11" s="2" t="s">
        <v>194</v>
      </c>
      <c r="T11" s="2">
        <v>0</v>
      </c>
      <c r="U11" s="2">
        <v>10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10263</v>
      </c>
      <c r="S12" s="2" t="s">
        <v>212</v>
      </c>
      <c r="T12" s="2">
        <v>0</v>
      </c>
      <c r="U12" s="2">
        <v>10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10265</v>
      </c>
      <c r="S13" s="2" t="s">
        <v>207</v>
      </c>
      <c r="T13" s="2">
        <v>0</v>
      </c>
      <c r="U13" s="2">
        <v>10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10265</v>
      </c>
      <c r="S14" s="2" t="s">
        <v>192</v>
      </c>
      <c r="T14" s="2">
        <v>0</v>
      </c>
      <c r="U14" s="2">
        <v>10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10266</v>
      </c>
      <c r="S15" s="2" t="s">
        <v>207</v>
      </c>
      <c r="T15" s="2">
        <v>0</v>
      </c>
      <c r="U15" s="2">
        <v>-10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10264</v>
      </c>
      <c r="S16" s="2" t="s">
        <v>194</v>
      </c>
      <c r="T16" s="2">
        <v>0</v>
      </c>
      <c r="U16" s="2">
        <v>10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10264</v>
      </c>
      <c r="S17" s="2" t="s">
        <v>212</v>
      </c>
      <c r="T17" s="2">
        <v>0</v>
      </c>
      <c r="U17" s="2">
        <v>10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10266</v>
      </c>
      <c r="S18" s="2" t="s">
        <v>207</v>
      </c>
      <c r="T18" s="2">
        <v>0</v>
      </c>
      <c r="U18" s="2">
        <v>-10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10266</v>
      </c>
      <c r="S19" s="2" t="s">
        <v>192</v>
      </c>
      <c r="T19" s="2">
        <v>0</v>
      </c>
      <c r="U19" s="2">
        <v>10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179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10267</v>
      </c>
      <c r="S20" s="2" t="s">
        <v>207</v>
      </c>
      <c r="T20" s="2">
        <v>0</v>
      </c>
      <c r="U20" s="2">
        <v>9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179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10265</v>
      </c>
      <c r="S21" s="2" t="s">
        <v>194</v>
      </c>
      <c r="T21" s="2">
        <v>0</v>
      </c>
      <c r="U21" s="2">
        <v>10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179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10265</v>
      </c>
      <c r="S22" s="2" t="s">
        <v>212</v>
      </c>
      <c r="T22" s="2">
        <v>0</v>
      </c>
      <c r="U22" s="2">
        <v>10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179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10267</v>
      </c>
      <c r="S23" s="2" t="s">
        <v>207</v>
      </c>
      <c r="T23" s="2">
        <v>0</v>
      </c>
      <c r="U23" s="2">
        <v>9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179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10267</v>
      </c>
      <c r="S24" s="2" t="s">
        <v>192</v>
      </c>
      <c r="T24" s="2">
        <v>0</v>
      </c>
      <c r="U24" s="2">
        <v>9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179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10268</v>
      </c>
      <c r="S25" s="2" t="s">
        <v>207</v>
      </c>
      <c r="T25" s="2">
        <v>0</v>
      </c>
      <c r="U25" s="2">
        <v>10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179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10267</v>
      </c>
      <c r="S26" s="2" t="s">
        <v>194</v>
      </c>
      <c r="T26" s="2">
        <v>0</v>
      </c>
      <c r="U26" s="2">
        <v>9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179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10267</v>
      </c>
      <c r="S27" s="2" t="s">
        <v>212</v>
      </c>
      <c r="T27" s="2">
        <v>0</v>
      </c>
      <c r="U27" s="2">
        <v>9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179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10268</v>
      </c>
      <c r="S28" s="2" t="s">
        <v>207</v>
      </c>
      <c r="T28" s="2">
        <v>0</v>
      </c>
      <c r="U28" s="2">
        <v>10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179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10268</v>
      </c>
      <c r="S29" s="2" t="s">
        <v>192</v>
      </c>
      <c r="T29" s="2">
        <v>0</v>
      </c>
      <c r="U29" s="2">
        <v>10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2015-02-23T16:34:19Z</dcterms:modified>
</cp:coreProperties>
</file>