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37" i="13"/>
  <c r="AE33" i="13"/>
  <c r="AE25" i="13"/>
  <c r="AE119" i="13"/>
  <c r="AE70" i="13"/>
  <c r="AE68" i="13"/>
  <c r="AE101" i="13"/>
  <c r="AE105" i="13"/>
  <c r="AE123" i="13"/>
  <c r="AE91" i="13"/>
  <c r="AE40" i="13"/>
  <c r="AE98" i="13"/>
  <c r="AE20" i="13"/>
  <c r="AE104" i="13"/>
  <c r="AE107" i="13"/>
  <c r="AE92" i="13"/>
  <c r="AE111" i="13"/>
  <c r="AE116" i="13"/>
  <c r="AE23" i="13"/>
  <c r="AE35" i="13"/>
  <c r="AE46" i="13"/>
  <c r="AE14" i="13"/>
  <c r="AE51" i="13"/>
  <c r="AE22" i="13"/>
  <c r="AE28" i="13"/>
  <c r="AE63" i="13"/>
  <c r="AE24" i="13"/>
  <c r="AE78" i="13"/>
  <c r="AE118" i="13"/>
  <c r="AE99" i="13"/>
  <c r="AE39" i="13"/>
  <c r="AE11" i="13"/>
  <c r="AE71" i="13"/>
  <c r="AE19" i="13"/>
  <c r="AE12" i="13"/>
  <c r="AE95" i="13"/>
  <c r="AE121" i="13"/>
  <c r="AE62" i="13"/>
  <c r="AE86" i="13"/>
  <c r="AE13" i="13"/>
  <c r="AE57" i="13"/>
  <c r="AE110" i="13"/>
  <c r="AE89" i="13"/>
  <c r="AE64" i="13"/>
  <c r="AE102" i="13"/>
  <c r="AE87" i="13"/>
  <c r="AE124" i="13"/>
  <c r="AE30" i="13"/>
  <c r="AE82" i="13"/>
  <c r="AE117" i="13"/>
  <c r="AE54" i="13"/>
  <c r="AE10" i="13"/>
  <c r="AE42" i="13"/>
  <c r="AE100" i="13"/>
  <c r="AE15" i="13"/>
  <c r="AE18" i="13"/>
  <c r="AE93" i="13"/>
  <c r="AE77" i="13"/>
  <c r="AE94" i="13"/>
  <c r="AE125" i="13"/>
  <c r="AE120" i="13"/>
  <c r="AE7" i="13"/>
  <c r="AE69" i="13"/>
  <c r="AE108" i="13"/>
  <c r="AE75" i="13"/>
  <c r="AE72" i="13"/>
  <c r="AE81" i="13"/>
  <c r="AE53" i="13"/>
  <c r="AE6" i="13"/>
  <c r="AE31" i="13"/>
  <c r="AE67" i="13"/>
  <c r="AE38" i="13"/>
  <c r="AE58" i="13"/>
  <c r="AE43" i="13"/>
  <c r="AE85" i="13"/>
  <c r="AE103" i="13"/>
  <c r="AE79" i="13"/>
  <c r="AE65" i="13"/>
  <c r="AE48" i="13"/>
  <c r="AE73" i="13"/>
  <c r="AE41" i="13"/>
  <c r="AE50" i="13"/>
  <c r="AE74" i="13"/>
  <c r="AE97" i="13"/>
  <c r="AE45" i="13"/>
  <c r="AE80" i="13"/>
  <c r="AE32" i="13"/>
  <c r="AE47" i="13"/>
  <c r="AE8" i="13"/>
  <c r="AE34" i="13"/>
  <c r="AE83" i="13"/>
  <c r="AE44" i="13"/>
  <c r="AE61" i="13"/>
  <c r="AE88" i="13"/>
  <c r="AE9" i="13"/>
  <c r="AE113" i="13"/>
  <c r="AE16" i="13"/>
  <c r="AE27" i="13"/>
  <c r="AE55" i="13"/>
  <c r="AE122" i="13"/>
  <c r="AE84" i="13"/>
  <c r="AE114" i="13"/>
  <c r="AE56" i="13"/>
  <c r="AE76" i="13"/>
  <c r="AE21" i="13"/>
  <c r="AE66" i="13"/>
  <c r="AE60" i="13"/>
  <c r="AE49" i="13"/>
  <c r="AE90" i="13"/>
  <c r="AE36" i="13"/>
  <c r="AE17" i="13"/>
  <c r="AE96" i="13"/>
  <c r="AE109" i="13"/>
  <c r="AE26" i="13"/>
  <c r="AE29" i="13"/>
  <c r="AE52" i="13"/>
  <c r="AE106" i="13"/>
  <c r="AE115" i="13"/>
  <c r="AE112" i="13"/>
  <c r="AE59" i="13"/>
  <c r="F64" i="15"/>
  <c r="D64" i="15"/>
  <c r="B64" i="15"/>
  <c r="H64" i="15"/>
  <c r="AA87" i="15"/>
  <c r="AA86" i="15"/>
  <c r="AA84" i="15"/>
  <c r="AA91" i="15"/>
  <c r="AA79" i="15"/>
  <c r="AA72" i="15"/>
  <c r="AA88" i="15"/>
  <c r="AA83" i="15"/>
  <c r="AA73" i="15"/>
  <c r="AA81" i="15"/>
  <c r="AA90" i="15"/>
  <c r="AA82" i="15"/>
  <c r="AA76" i="15"/>
  <c r="AA75" i="15"/>
  <c r="AA71" i="15"/>
  <c r="AA78" i="15"/>
  <c r="AA85" i="15"/>
  <c r="AA80" i="15"/>
  <c r="AA77" i="15"/>
  <c r="AA89" i="15"/>
  <c r="AA74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77" i="15"/>
  <c r="Z87" i="15"/>
  <c r="Z80" i="15"/>
  <c r="Z75" i="15"/>
  <c r="Z91" i="15"/>
  <c r="Z72" i="15"/>
  <c r="Z71" i="15"/>
  <c r="Z84" i="15"/>
  <c r="Z78" i="15"/>
  <c r="Z86" i="15"/>
  <c r="Z79" i="15"/>
  <c r="Z88" i="15"/>
  <c r="Z82" i="15"/>
  <c r="Z73" i="15"/>
  <c r="Z90" i="15"/>
  <c r="Z76" i="15"/>
  <c r="Z89" i="15"/>
  <c r="Z85" i="15"/>
  <c r="Z83" i="15"/>
  <c r="Z81" i="15"/>
  <c r="Z74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1" i="15"/>
  <c r="R42" i="15"/>
</calcChain>
</file>

<file path=xl/sharedStrings.xml><?xml version="1.0" encoding="utf-8"?>
<sst xmlns="http://schemas.openxmlformats.org/spreadsheetml/2006/main" count="1191" uniqueCount="225">
  <si>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</si>
  <si>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</si>
  <si>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</si>
  <si>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</si>
  <si>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</si>
  <si>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</si>
  <si>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</si>
  <si>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</si>
  <si>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</si>
  <si>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</si>
  <si>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</si>
  <si>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</si>
  <si>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</si>
  <si>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</si>
  <si>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</si>
  <si>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</si>
  <si>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</si>
  <si>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</si>
  <si>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</si>
  <si>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</si>
  <si>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</si>
  <si>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</si>
  <si>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</si>
  <si>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</si>
  <si>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</si>
  <si>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</si>
  <si>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</si>
  <si>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</si>
  <si>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</si>
  <si>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</si>
  <si>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</si>
  <si>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</si>
  <si>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</si>
  <si>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</si>
  <si>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</si>
  <si>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</si>
  <si>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</si>
  <si>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</si>
  <si>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</si>
  <si>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</si>
  <si>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</si>
  <si>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</si>
  <si>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</si>
  <si>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</si>
  <si>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</si>
  <si>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</si>
  <si>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</si>
  <si>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</si>
  <si>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</si>
  <si>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</si>
  <si>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</si>
  <si>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</si>
  <si>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</si>
  <si>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</si>
  <si>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</si>
  <si>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</si>
  <si>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</si>
  <si>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</si>
  <si>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</si>
  <si>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</si>
  <si>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</si>
  <si>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</si>
  <si>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</si>
  <si>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</si>
  <si>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</si>
  <si>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</si>
  <si>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</si>
  <si>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</si>
  <si>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</si>
  <si>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</si>
  <si>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</si>
  <si>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</si>
  <si>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</si>
  <si>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</si>
  <si>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</si>
  <si>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</si>
  <si>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</si>
  <si>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</si>
  <si>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</si>
  <si>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</si>
  <si>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</si>
  <si>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</si>
  <si>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</si>
  <si>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</si>
  <si>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</si>
  <si>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</si>
  <si>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</si>
  <si>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</si>
  <si>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</si>
  <si>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</si>
  <si>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</si>
  <si>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</si>
  <si>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</si>
  <si>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</si>
  <si>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</si>
  <si>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</si>
  <si>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</si>
  <si>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</si>
  <si>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</si>
  <si>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</si>
  <si>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</si>
  <si>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</si>
  <si>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</si>
  <si>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</si>
  <si>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</si>
  <si>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</si>
  <si>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</si>
  <si>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</si>
  <si>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</si>
  <si>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</si>
  <si>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</si>
  <si>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</si>
  <si>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</si>
  <si>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</si>
  <si>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</si>
  <si>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</si>
  <si>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</si>
  <si>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</si>
  <si>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</si>
  <si>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</si>
  <si>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</si>
  <si>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</si>
  <si>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</si>
  <si>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</si>
  <si>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</si>
  <si>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</si>
  <si>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</si>
  <si>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</si>
  <si>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</si>
  <si>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</si>
  <si>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</si>
  <si>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</si>
  <si>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</si>
  <si>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</si>
  <si>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</si>
  <si>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</si>
  <si>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</si>
  <si>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</si>
  <si>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</si>
  <si>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</si>
  <si>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</si>
  <si>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</si>
  <si>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</si>
  <si>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</si>
  <si>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</si>
  <si>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</si>
  <si>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</si>
  <si>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</si>
  <si>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</si>
  <si>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</si>
  <si>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</si>
  <si>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</si>
  <si>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</si>
  <si>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</si>
  <si>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</si>
  <si>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</si>
  <si>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</si>
  <si>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</si>
  <si>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</si>
  <si>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</si>
  <si>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</si>
  <si>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</si>
  <si>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</si>
  <si>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</si>
  <si>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</si>
  <si>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</si>
  <si>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</si>
  <si>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</si>
  <si>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</si>
  <si>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</si>
  <si>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</si>
  <si>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</si>
  <si>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</si>
  <si>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</si>
  <si>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</si>
  <si>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</si>
  <si>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</si>
  <si>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</si>
  <si>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</si>
  <si>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</si>
  <si>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</si>
  <si>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</si>
  <si>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</si>
  <si>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</si>
  <si>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</si>
  <si>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</si>
  <si>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</si>
  <si>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</si>
  <si>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</si>
  <si>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</si>
  <si>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</si>
  <si>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</si>
  <si>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</si>
  <si>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</si>
  <si>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</si>
  <si>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</si>
  <si>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</si>
  <si>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</si>
  <si>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</si>
  <si>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</si>
  <si>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</si>
  <si>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</si>
  <si>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</si>
  <si>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</si>
  <si>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</si>
  <si>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</si>
  <si>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</si>
  <si>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</si>
  <si>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</si>
  <si>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</si>
  <si>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</si>
  <si>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</si>
  <si>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</si>
  <si>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</si>
  <si>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</si>
  <si>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</si>
  <si>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</si>
  <si>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TWS Control NOT connected</t>
  </si>
  <si>
    <t>Not Ready</t>
  </si>
  <si>
    <t>Distance to Strike</t>
  </si>
  <si>
    <t>Distance to Trigger</t>
  </si>
  <si>
    <t>Diatance to Strike</t>
  </si>
  <si>
    <t>2015-2-10 13:51:10.13: Main - Initialize - initializing...</t>
  </si>
  <si>
    <t>2015-2-10 13:51:10.59: RTWSControl - errMsg - got error message 501:Already Connected.with id -1</t>
  </si>
  <si>
    <t>2015-2-10 13:51:10.75: RTWSControl - errMsg - Got Error_x000D_id: -1_x000D_errorCode: 501_x000D_errorMsg: Already Connected.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</si>
</sst>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zoomScale="65" zoomScaleNormal="65" workbookViewId="0">
      <selection activeCell="K38" sqref="K38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119" t="s">
        <v>124</v>
      </c>
      <c r="B6" s="119"/>
      <c r="C6" s="119"/>
      <c r="D6" s="119"/>
      <c r="E6" s="119" t="s">
        <v>125</v>
      </c>
      <c r="F6" s="119"/>
      <c r="G6" s="119" t="s">
        <v>126</v>
      </c>
      <c r="H6" s="119"/>
      <c r="I6" s="119" t="s">
        <v>127</v>
      </c>
      <c r="J6" s="119"/>
      <c r="K6" s="119" t="s">
        <v>128</v>
      </c>
      <c r="L6" s="119"/>
      <c r="M6" s="119" t="s">
        <v>129</v>
      </c>
      <c r="N6" s="119"/>
      <c r="O6" s="119"/>
      <c r="P6" s="119"/>
      <c r="Q6" s="119"/>
      <c r="R6" s="119"/>
      <c r="S6" s="119"/>
      <c r="T6" s="119"/>
      <c r="U6" s="61"/>
      <c r="V6" s="61"/>
      <c r="W6" s="61"/>
      <c r="AF6" s="36"/>
    </row>
    <row r="7" spans="1:36" x14ac:dyDescent="0.25">
      <c r="A7" s="120" t="s">
        <v>130</v>
      </c>
      <c r="B7" s="120"/>
      <c r="C7" s="120">
        <v>7497</v>
      </c>
      <c r="D7" s="120"/>
      <c r="E7" s="120">
        <v>7</v>
      </c>
      <c r="F7" s="120"/>
      <c r="G7" s="120">
        <v>5</v>
      </c>
      <c r="H7" s="120"/>
      <c r="I7" s="121">
        <v>0.96388888888888891</v>
      </c>
      <c r="J7" s="122"/>
      <c r="K7" s="117" t="s">
        <v>217</v>
      </c>
      <c r="L7" s="118"/>
      <c r="M7" s="123"/>
      <c r="N7" s="124"/>
      <c r="O7" s="123"/>
      <c r="P7" s="124"/>
      <c r="Q7" s="123"/>
      <c r="R7" s="124"/>
      <c r="S7" s="123"/>
      <c r="T7" s="124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29" t="s">
        <v>135</v>
      </c>
      <c r="B12" s="129"/>
      <c r="C12" s="129" t="s">
        <v>136</v>
      </c>
      <c r="D12" s="129"/>
      <c r="E12" s="65" t="s">
        <v>137</v>
      </c>
      <c r="F12" s="65"/>
      <c r="G12" s="129" t="s">
        <v>138</v>
      </c>
      <c r="H12" s="129"/>
      <c r="I12" s="129" t="s">
        <v>139</v>
      </c>
      <c r="J12" s="129"/>
      <c r="K12" s="119" t="s">
        <v>140</v>
      </c>
      <c r="L12" s="119"/>
      <c r="M12" s="119" t="s">
        <v>141</v>
      </c>
      <c r="N12" s="119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/>
      <c r="B13" s="3"/>
      <c r="C13" s="5"/>
      <c r="D13" s="3">
        <v>416708.01</v>
      </c>
      <c r="E13" s="5"/>
      <c r="F13" s="5"/>
      <c r="G13" s="5"/>
      <c r="H13" s="5"/>
      <c r="I13" s="5"/>
      <c r="J13" s="5"/>
      <c r="K13" s="6"/>
      <c r="L13" s="4"/>
      <c r="M13" s="62" t="s">
        <v>216</v>
      </c>
      <c r="N13" s="63"/>
      <c r="O13" s="62" t="s">
        <v>218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74</v>
      </c>
      <c r="K16" s="64">
        <v>1.5224</v>
      </c>
      <c r="L16" s="64"/>
      <c r="M16" s="64">
        <v>6</v>
      </c>
      <c r="N16" s="64">
        <v>1.5224</v>
      </c>
      <c r="O16" s="64">
        <v>1.5225</v>
      </c>
      <c r="P16" s="64">
        <v>14</v>
      </c>
      <c r="Q16" s="64"/>
      <c r="R16" s="64">
        <v>1.5224499499999999</v>
      </c>
      <c r="S16" s="64">
        <v>7041331.1100000003</v>
      </c>
      <c r="T16" s="64">
        <v>95225.884555199998</v>
      </c>
      <c r="U16" s="64">
        <v>-5384.34</v>
      </c>
      <c r="V16" s="64">
        <v>-9045.27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25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26">
        <v>5</v>
      </c>
      <c r="F21" s="126"/>
      <c r="G21" s="81">
        <v>5</v>
      </c>
      <c r="H21" s="81">
        <v>10</v>
      </c>
      <c r="I21" s="81">
        <v>0.2</v>
      </c>
      <c r="J21" s="81"/>
      <c r="K21" s="127">
        <v>8</v>
      </c>
      <c r="L21" s="128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15" t="s">
        <v>161</v>
      </c>
      <c r="D29" s="116"/>
      <c r="E29" s="12"/>
      <c r="F29" s="12"/>
      <c r="G29" s="116" t="s">
        <v>162</v>
      </c>
      <c r="H29" s="116"/>
      <c r="I29" s="12"/>
      <c r="J29" s="12"/>
      <c r="K29" s="116" t="s">
        <v>163</v>
      </c>
      <c r="L29" s="116"/>
      <c r="M29" s="12"/>
      <c r="N29" s="13"/>
      <c r="O29" s="116" t="s">
        <v>164</v>
      </c>
      <c r="P29" s="116"/>
      <c r="Q29" s="30">
        <v>1.5224119629853112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15" t="s">
        <v>219</v>
      </c>
      <c r="D30" s="116"/>
      <c r="E30" s="12"/>
      <c r="F30" s="12"/>
      <c r="G30" s="116" t="s">
        <v>221</v>
      </c>
      <c r="H30" s="116"/>
      <c r="I30" s="12"/>
      <c r="J30" s="12"/>
      <c r="K30" s="116" t="s">
        <v>194</v>
      </c>
      <c r="L30" s="116"/>
      <c r="M30" s="12"/>
      <c r="N30" s="13"/>
      <c r="O30" s="116" t="s">
        <v>165</v>
      </c>
      <c r="P30" s="116"/>
      <c r="Q30" s="30">
        <v>1.522413175869151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15" t="s">
        <v>220</v>
      </c>
      <c r="D31" s="116"/>
      <c r="E31" s="12"/>
      <c r="F31" s="12"/>
      <c r="G31" s="116" t="s">
        <v>220</v>
      </c>
      <c r="H31" s="116"/>
      <c r="I31" s="12"/>
      <c r="J31" s="12"/>
      <c r="K31" s="116" t="s">
        <v>195</v>
      </c>
      <c r="L31" s="116"/>
      <c r="M31" s="12"/>
      <c r="N31" s="13"/>
      <c r="O31" s="116" t="s">
        <v>99</v>
      </c>
      <c r="P31" s="116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0">
        <v>73</v>
      </c>
      <c r="D32" s="99"/>
      <c r="E32" s="99">
        <v>1.5037</v>
      </c>
      <c r="F32" s="99"/>
      <c r="G32" s="99" t="s">
        <v>192</v>
      </c>
      <c r="H32" s="99"/>
      <c r="I32" s="99">
        <v>73</v>
      </c>
      <c r="J32" s="99"/>
      <c r="K32" s="99">
        <v>0</v>
      </c>
      <c r="L32" s="99"/>
      <c r="M32" s="99"/>
      <c r="N32" s="100"/>
      <c r="O32" s="99"/>
      <c r="P32" s="99"/>
      <c r="Q32" s="99"/>
      <c r="R32" s="100"/>
      <c r="S32" s="99"/>
      <c r="T32" s="100"/>
      <c r="U32" s="99"/>
      <c r="V32" s="100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14" t="s">
        <v>205</v>
      </c>
      <c r="B34" s="114"/>
      <c r="C34" s="114"/>
      <c r="D34" s="114"/>
      <c r="E34" s="114"/>
      <c r="F34" s="114"/>
      <c r="G34" s="114"/>
      <c r="H34" s="114"/>
      <c r="I34" s="114"/>
      <c r="Q34" s="101" t="s">
        <v>186</v>
      </c>
      <c r="R34" s="101"/>
      <c r="S34" s="101"/>
      <c r="T34" s="101"/>
      <c r="U34" s="101"/>
      <c r="V34" s="101"/>
      <c r="W34" s="101"/>
    </row>
    <row r="35" spans="1:31" s="11" customFormat="1" ht="27.75" customHeight="1" thickBot="1" x14ac:dyDescent="0.35">
      <c r="A35" s="98" t="s">
        <v>206</v>
      </c>
      <c r="B35" s="98"/>
      <c r="C35" s="98"/>
      <c r="D35" s="98"/>
      <c r="E35" s="98"/>
      <c r="F35" s="98" t="s">
        <v>207</v>
      </c>
      <c r="G35" s="98"/>
      <c r="H35" s="98"/>
      <c r="I35" s="98"/>
      <c r="Q35" s="71"/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213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208</v>
      </c>
      <c r="B37" s="95" t="s">
        <v>212</v>
      </c>
      <c r="C37" s="95" t="s">
        <v>209</v>
      </c>
      <c r="D37" s="95" t="s">
        <v>210</v>
      </c>
      <c r="E37" s="95" t="s">
        <v>3</v>
      </c>
      <c r="F37" s="95" t="s">
        <v>211</v>
      </c>
      <c r="G37" s="95" t="s">
        <v>209</v>
      </c>
      <c r="H37" s="95" t="s">
        <v>212</v>
      </c>
      <c r="I37" s="95" t="s">
        <v>208</v>
      </c>
      <c r="Q37" s="75">
        <f>SUM(U71:U91)+J16</f>
        <v>74</v>
      </c>
      <c r="R37" s="76">
        <f>SUM(X71:X91)</f>
        <v>0</v>
      </c>
      <c r="S37" s="74">
        <f>SUM(W71:W91)</f>
        <v>0</v>
      </c>
      <c r="T37" s="76">
        <f>S37*62500</f>
        <v>0</v>
      </c>
      <c r="U37" s="73">
        <v>0.02</v>
      </c>
      <c r="V37" s="77">
        <f>-1*U37*W37</f>
        <v>0</v>
      </c>
      <c r="W37" s="77">
        <f>AG69</f>
        <v>0</v>
      </c>
      <c r="X37" s="46"/>
      <c r="Y37" s="46"/>
      <c r="AC37" s="38"/>
    </row>
    <row r="38" spans="1:31" ht="21" x14ac:dyDescent="0.35">
      <c r="A38" s="78">
        <v>0</v>
      </c>
      <c r="B38" s="94">
        <v>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 t="e">
        <f>ticksUpToLoss(V37,Q37,R37)</f>
        <v>#NUM!</v>
      </c>
      <c r="S38" s="76" t="e">
        <f>ticksDownToLoss(V37,Q37,R37)</f>
        <v>#NUM!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 t="e">
        <f>Q37+R37*(R38*0.0001)</f>
        <v>#NUM!</v>
      </c>
      <c r="S39" s="76" t="e">
        <f>Q37+R37*(S38*0.0001)</f>
        <v>#NUM!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01" t="s">
        <v>133</v>
      </c>
      <c r="R40" s="101"/>
      <c r="S40" s="101"/>
      <c r="T40" s="101" t="s">
        <v>189</v>
      </c>
      <c r="U40" s="101"/>
      <c r="V40" s="101"/>
      <c r="W40" s="101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 t="e">
        <f>midMarket(N16,O16)+R38/10000</f>
        <v>#NUM!</v>
      </c>
      <c r="S41" s="76" t="e">
        <f>ROUND(-R39,0)</f>
        <v>#NUM!</v>
      </c>
      <c r="T41" s="72" t="s">
        <v>187</v>
      </c>
      <c r="U41" s="78">
        <v>25</v>
      </c>
      <c r="V41" s="84">
        <v>1.532</v>
      </c>
      <c r="W41" s="76">
        <v>28</v>
      </c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 t="e">
        <f>midMarket(N16,O16)+S38/10000</f>
        <v>#NUM!</v>
      </c>
      <c r="S42" s="76" t="e">
        <f>ROUND(-S39,0)</f>
        <v>#NUM!</v>
      </c>
      <c r="T42" s="72" t="s">
        <v>188</v>
      </c>
      <c r="U42" s="78">
        <v>2</v>
      </c>
      <c r="V42" s="84">
        <v>1.5217000000000001</v>
      </c>
      <c r="W42" s="76">
        <v>28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2</v>
      </c>
      <c r="C43" s="78">
        <v>-4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1</v>
      </c>
      <c r="C44" s="78">
        <v>-3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204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-1</v>
      </c>
      <c r="C46" s="78">
        <v>-1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-2</v>
      </c>
      <c r="C47" s="78">
        <v>0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-3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-4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-5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-6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-7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05" t="s">
        <v>166</v>
      </c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</row>
    <row r="57" spans="1:15" x14ac:dyDescent="0.25">
      <c r="A57" s="87" t="s">
        <v>26</v>
      </c>
      <c r="B57" s="103" t="s">
        <v>27</v>
      </c>
      <c r="C57" s="103"/>
      <c r="D57" s="103"/>
      <c r="E57" s="103"/>
      <c r="F57" s="88"/>
      <c r="G57" s="103" t="s">
        <v>28</v>
      </c>
      <c r="H57" s="103"/>
      <c r="I57" s="103"/>
      <c r="J57" s="103"/>
      <c r="K57" s="103"/>
      <c r="L57" s="88"/>
      <c r="M57" s="103" t="s">
        <v>167</v>
      </c>
      <c r="N57" s="103"/>
      <c r="O57" s="104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196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/>
      <c r="B59" s="16"/>
      <c r="C59" s="16"/>
      <c r="D59" s="16"/>
      <c r="E59" s="16"/>
      <c r="F59" s="2"/>
      <c r="G59" s="18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198</v>
      </c>
      <c r="B64" s="76">
        <f>ticksUpToLoss(F63,A63,B63)</f>
        <v>0</v>
      </c>
      <c r="C64" s="91" t="s">
        <v>199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200</v>
      </c>
      <c r="H64" s="76">
        <f>ticksUpToLoss(L63,G63,H63)</f>
        <v>0</v>
      </c>
      <c r="I64" s="113" t="s">
        <v>201</v>
      </c>
      <c r="J64" s="113"/>
      <c r="K64" s="76"/>
      <c r="L64" s="76"/>
      <c r="M64" s="76"/>
      <c r="N64" s="76"/>
      <c r="O64" s="76"/>
    </row>
    <row r="65" spans="1:33" ht="15.75" x14ac:dyDescent="0.25">
      <c r="A65" s="91" t="s">
        <v>197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09" t="s">
        <v>13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2" t="s">
        <v>101</v>
      </c>
      <c r="O69" s="102"/>
      <c r="P69" s="102"/>
      <c r="Q69" s="102"/>
      <c r="R69" s="102"/>
      <c r="S69" s="102"/>
      <c r="T69" s="102" t="s">
        <v>108</v>
      </c>
      <c r="U69" s="102"/>
      <c r="V69" s="102"/>
      <c r="W69" s="102"/>
      <c r="AG69" s="48">
        <f>SUM(AD71:AD91)</f>
        <v>0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/>
      <c r="B71" s="2"/>
      <c r="C71" s="2"/>
      <c r="D71" s="2"/>
      <c r="E71" s="2"/>
      <c r="F71" s="28"/>
      <c r="G71" s="2"/>
      <c r="H71" s="2"/>
      <c r="I71" s="2"/>
      <c r="J71" s="2"/>
      <c r="K71" s="2"/>
      <c r="L71" s="2"/>
      <c r="M71" s="2"/>
      <c r="N71" s="2"/>
      <c r="O71" s="2"/>
      <c r="P71" s="2"/>
      <c r="Q71" s="33"/>
      <c r="R71" s="2"/>
      <c r="S71" s="2"/>
      <c r="T71" s="2"/>
      <c r="U71" s="2">
        <f t="shared" ref="U71:U91" si="0">O71*B71</f>
        <v>0</v>
      </c>
      <c r="V71" s="2">
        <v>1.5804</v>
      </c>
      <c r="W71" s="2">
        <f t="shared" ref="W71:W91" si="1">Q71*B71</f>
        <v>0</v>
      </c>
      <c r="X71">
        <f>IF(ISERR(T71),0,T71*B71)</f>
        <v>0</v>
      </c>
      <c r="Y71">
        <f t="shared" ref="Y71:Y91" si="2">IF(X71 = 0,0,(W71*-10000)/X71)</f>
        <v>0</v>
      </c>
      <c r="Z71" s="85">
        <f>midMarket(K71,L71) +AA71/10000</f>
        <v>0</v>
      </c>
      <c r="AA71">
        <f>IF(rightFromSymbol(A71)="C",MAX(0,$N$16-strikeFromSymbol(A71)),MAX(0,strikeFromSymbol(A71)-$N$16))*10000</f>
        <v>0</v>
      </c>
      <c r="AB71" s="86">
        <f>MAX(0,Z71-AA71) * 10000</f>
        <v>0</v>
      </c>
      <c r="AC71" s="49">
        <f t="shared" ref="AC71:AC91" si="3">-AB71*B71</f>
        <v>0</v>
      </c>
      <c r="AD71" s="48">
        <f t="shared" ref="AD71:AD79" si="4">MAX(0,AC71*6.25)</f>
        <v>0</v>
      </c>
    </row>
    <row r="72" spans="1:33" x14ac:dyDescent="0.25">
      <c r="A72" s="2"/>
      <c r="B72" s="2"/>
      <c r="C72" s="2"/>
      <c r="D72" s="2"/>
      <c r="E72" s="2"/>
      <c r="F72" s="28"/>
      <c r="G72" s="2"/>
      <c r="H72" s="2"/>
      <c r="I72" s="2"/>
      <c r="J72" s="2"/>
      <c r="K72" s="2"/>
      <c r="L72" s="2"/>
      <c r="M72" s="2"/>
      <c r="N72" s="2"/>
      <c r="O72" s="2"/>
      <c r="P72" s="2"/>
      <c r="Q72" s="33"/>
      <c r="R72" s="2"/>
      <c r="S72" s="2"/>
      <c r="T72" s="2"/>
      <c r="U72" s="2">
        <f t="shared" si="0"/>
        <v>0</v>
      </c>
      <c r="V72" s="2">
        <v>1.5804</v>
      </c>
      <c r="W72" s="2">
        <f t="shared" si="1"/>
        <v>0</v>
      </c>
      <c r="X72">
        <f t="shared" ref="X72:X91" si="5">IF(ISERR(T72),0,T72*B72)</f>
        <v>0</v>
      </c>
      <c r="Y72">
        <f t="shared" si="2"/>
        <v>0</v>
      </c>
      <c r="Z72" s="85">
        <f>midMarket(K72,L72) +AA72/10000</f>
        <v>0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0</v>
      </c>
      <c r="AC72" s="49">
        <f t="shared" si="3"/>
        <v>0</v>
      </c>
      <c r="AD72" s="48">
        <f t="shared" si="4"/>
        <v>0</v>
      </c>
    </row>
    <row r="73" spans="1:33" x14ac:dyDescent="0.25">
      <c r="A73" s="2"/>
      <c r="B73" s="2"/>
      <c r="C73" s="2"/>
      <c r="D73" s="2"/>
      <c r="E73" s="2"/>
      <c r="F73" s="28"/>
      <c r="G73" s="2"/>
      <c r="H73" s="2"/>
      <c r="I73" s="2"/>
      <c r="J73" s="2"/>
      <c r="K73" s="2"/>
      <c r="L73" s="2"/>
      <c r="M73" s="2"/>
      <c r="N73" s="2"/>
      <c r="O73" s="2"/>
      <c r="P73" s="2"/>
      <c r="Q73" s="33"/>
      <c r="R73" s="2"/>
      <c r="S73" s="2"/>
      <c r="T73" s="2"/>
      <c r="U73" s="2">
        <f t="shared" si="0"/>
        <v>0</v>
      </c>
      <c r="V73" s="2">
        <v>1.5804</v>
      </c>
      <c r="W73" s="2">
        <f t="shared" si="1"/>
        <v>0</v>
      </c>
      <c r="X73">
        <f t="shared" si="5"/>
        <v>0</v>
      </c>
      <c r="Y73">
        <f t="shared" si="2"/>
        <v>0</v>
      </c>
      <c r="Z73" s="85">
        <f>midMarket(K73,L73) +AA73/10000</f>
        <v>0</v>
      </c>
      <c r="AA73">
        <f>IF(rightFromSymbol(A73)="C",MAX(0,$N$16-strikeFromSymbol(A73)),MAX(0,strikeFromSymbol(A73)-$N$16))*10000</f>
        <v>0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/>
      <c r="B74" s="2"/>
      <c r="C74" s="2"/>
      <c r="D74" s="2"/>
      <c r="E74" s="2"/>
      <c r="F74" s="28"/>
      <c r="G74" s="2"/>
      <c r="H74" s="2"/>
      <c r="I74" s="2"/>
      <c r="J74" s="2"/>
      <c r="K74" s="2"/>
      <c r="L74" s="2"/>
      <c r="M74" s="2"/>
      <c r="N74" s="2"/>
      <c r="O74" s="2"/>
      <c r="P74" s="2"/>
      <c r="Q74" s="33"/>
      <c r="R74" s="2"/>
      <c r="S74" s="2"/>
      <c r="T74" s="2"/>
      <c r="U74" s="2">
        <f t="shared" si="0"/>
        <v>0</v>
      </c>
      <c r="V74" s="2">
        <v>1.5804</v>
      </c>
      <c r="W74" s="2">
        <f t="shared" si="1"/>
        <v>0</v>
      </c>
      <c r="X74">
        <f t="shared" si="5"/>
        <v>0</v>
      </c>
      <c r="Y74">
        <f t="shared" si="2"/>
        <v>0</v>
      </c>
      <c r="Z74" s="85">
        <f t="shared" ref="Z74:Z91" si="7">midMarket(K74,L74) +AA74/10000</f>
        <v>0</v>
      </c>
      <c r="AA74">
        <f>IF(rightFromSymbol(A74)="C",MAX(0,$N$16-strikeFromSymbol(A74)),MAX(0,strikeFromSymbol(A74)-$N$16))*10000</f>
        <v>0</v>
      </c>
      <c r="AB74" s="86">
        <f t="shared" si="6"/>
        <v>0</v>
      </c>
      <c r="AC74" s="49">
        <f t="shared" si="3"/>
        <v>0</v>
      </c>
      <c r="AD74" s="48">
        <f t="shared" si="4"/>
        <v>0</v>
      </c>
    </row>
    <row r="75" spans="1:33" x14ac:dyDescent="0.25">
      <c r="A75" s="2"/>
      <c r="B75" s="2"/>
      <c r="C75" s="2"/>
      <c r="D75" s="2"/>
      <c r="E75" s="2"/>
      <c r="F75" s="28"/>
      <c r="G75" s="2"/>
      <c r="H75" s="2"/>
      <c r="I75" s="2"/>
      <c r="J75" s="2"/>
      <c r="K75" s="2"/>
      <c r="L75" s="2"/>
      <c r="M75" s="2"/>
      <c r="N75" s="2"/>
      <c r="O75" s="2"/>
      <c r="P75" s="34"/>
      <c r="Q75" s="33"/>
      <c r="R75" s="2"/>
      <c r="S75" s="2"/>
      <c r="T75" s="2"/>
      <c r="U75" s="2">
        <f t="shared" si="0"/>
        <v>0</v>
      </c>
      <c r="V75" s="2">
        <v>1.5804</v>
      </c>
      <c r="W75" s="2">
        <f t="shared" si="1"/>
        <v>0</v>
      </c>
      <c r="X75">
        <f t="shared" si="5"/>
        <v>0</v>
      </c>
      <c r="Y75">
        <f t="shared" si="2"/>
        <v>0</v>
      </c>
      <c r="Z75" s="85">
        <f t="shared" si="7"/>
        <v>0</v>
      </c>
      <c r="AA75">
        <f>IF(rightFromSymbol(A75)="C",MAX(0,$N$16-strikeFromSymbol(A75)),MAX(0,strikeFromSymbol(A75)-$N$16))*10000</f>
        <v>0</v>
      </c>
      <c r="AB75" s="86">
        <f t="shared" si="6"/>
        <v>0</v>
      </c>
      <c r="AC75" s="49">
        <f t="shared" si="3"/>
        <v>0</v>
      </c>
      <c r="AD75" s="48">
        <f t="shared" si="4"/>
        <v>0</v>
      </c>
    </row>
    <row r="76" spans="1:33" x14ac:dyDescent="0.25">
      <c r="A76" s="2"/>
      <c r="B76" s="2"/>
      <c r="C76" s="2"/>
      <c r="D76" s="2"/>
      <c r="E76" s="2"/>
      <c r="F76" s="28"/>
      <c r="G76" s="2"/>
      <c r="H76" s="2"/>
      <c r="I76" s="2"/>
      <c r="J76" s="2"/>
      <c r="K76" s="2"/>
      <c r="L76" s="2"/>
      <c r="M76" s="2"/>
      <c r="N76" s="2"/>
      <c r="O76" s="2"/>
      <c r="P76" s="2"/>
      <c r="Q76" s="33"/>
      <c r="R76" s="2"/>
      <c r="S76" s="2"/>
      <c r="T76" s="2"/>
      <c r="U76" s="2">
        <f t="shared" si="0"/>
        <v>0</v>
      </c>
      <c r="V76" s="2">
        <v>1.5804</v>
      </c>
      <c r="W76" s="2">
        <f t="shared" si="1"/>
        <v>0</v>
      </c>
      <c r="X76">
        <f t="shared" si="5"/>
        <v>0</v>
      </c>
      <c r="Y76">
        <f t="shared" si="2"/>
        <v>0</v>
      </c>
      <c r="Z76" s="85">
        <f t="shared" si="7"/>
        <v>0</v>
      </c>
      <c r="AA76">
        <f>IF(rightFromSymbol(A76)="C",MAX(0,$N$16-strikeFromSymbol(A76)),MAX(0,strikeFromSymbol(A76)-$N$16))*10000</f>
        <v>0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33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5">
        <f t="shared" si="7"/>
        <v>0</v>
      </c>
      <c r="AA77">
        <f>IF(rightFromSymbol(A77)="C",MAX(0,$N$16-strikeFromSymbol(A77)),MAX(0,strikeFromSymbol(A77)-$N$16))*10000</f>
        <v>0</v>
      </c>
      <c r="AB77" s="86">
        <f t="shared" si="6"/>
        <v>0</v>
      </c>
      <c r="AC77" s="49">
        <f t="shared" si="3"/>
        <v>0</v>
      </c>
      <c r="AD77" s="48">
        <f t="shared" si="4"/>
        <v>0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1" t="s">
        <v>174</v>
      </c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</row>
    <row r="98" spans="1:13" x14ac:dyDescent="0.25">
      <c r="A98" s="107" t="s">
        <v>41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1" t="s">
        <v>123</v>
      </c>
      <c r="AF1" s="131"/>
      <c r="AG1" s="131"/>
      <c r="AH1" s="131"/>
      <c r="AI1" s="131"/>
      <c r="AJ1" s="131"/>
      <c r="AK1" s="131"/>
    </row>
    <row r="4" spans="2:37" x14ac:dyDescent="0.25">
      <c r="B4" s="125" t="s">
        <v>13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25"/>
      <c r="R4" s="109"/>
      <c r="S4" s="109"/>
      <c r="T4" s="102" t="s">
        <v>101</v>
      </c>
      <c r="U4" s="102"/>
      <c r="V4" s="102"/>
      <c r="W4" s="102"/>
      <c r="X4" s="102"/>
      <c r="Y4" s="102"/>
      <c r="Z4" s="102"/>
      <c r="AA4" s="102"/>
      <c r="AB4" s="102" t="s">
        <v>108</v>
      </c>
      <c r="AC4" s="102"/>
      <c r="AD4" s="102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11" sqref="A11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202</v>
      </c>
      <c r="B10">
        <v>64</v>
      </c>
    </row>
    <row r="11" spans="1:2" x14ac:dyDescent="0.25">
      <c r="A11" t="s">
        <v>203</v>
      </c>
      <c r="B11">
        <v>65</v>
      </c>
    </row>
    <row r="12" spans="1:2" x14ac:dyDescent="0.25">
      <c r="A12" t="s">
        <v>214</v>
      </c>
      <c r="B12">
        <v>16</v>
      </c>
    </row>
    <row r="13" spans="1:2" x14ac:dyDescent="0.25">
      <c r="A13" t="s">
        <v>215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222</v>
      </c>
    </row>
    <row r="2" spans="1:1" x14ac:dyDescent="0.25">
      <c r="A2" s="27" t="s">
        <v>223</v>
      </c>
    </row>
    <row r="3" spans="1:1" x14ac:dyDescent="0.25">
      <c r="A3" s="27" t="s">
        <v>224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25" t="s">
        <v>57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2" t="s">
        <v>26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3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07" t="s">
        <v>41</v>
      </c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35"/>
      <c r="AM2" s="135"/>
      <c r="AN2" s="13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2015-02-10T13:51:11Z</dcterms:modified>
</cp:coreProperties>
</file>