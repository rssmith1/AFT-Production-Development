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11" i="13"/>
  <c r="AE122" i="13"/>
  <c r="AE49" i="13"/>
  <c r="AE110" i="13"/>
  <c r="AE42" i="13"/>
  <c r="AE37" i="13"/>
  <c r="AE123" i="13"/>
  <c r="AE96" i="13"/>
  <c r="AE80" i="13"/>
  <c r="AE121" i="13"/>
  <c r="AE102" i="13"/>
  <c r="AE78" i="13"/>
  <c r="AE29" i="13"/>
  <c r="AE31" i="13"/>
  <c r="AE65" i="13"/>
  <c r="AE85" i="13"/>
  <c r="AE116" i="13"/>
  <c r="AE84" i="13"/>
  <c r="AE72" i="13"/>
  <c r="AE108" i="13"/>
  <c r="AE100" i="13"/>
  <c r="AE33" i="13"/>
  <c r="AE91" i="13"/>
  <c r="AE107" i="13"/>
  <c r="AE32" i="13"/>
  <c r="AE62" i="13"/>
  <c r="AE87" i="13"/>
  <c r="AE16" i="13"/>
  <c r="AE71" i="13"/>
  <c r="AE67" i="13"/>
  <c r="AE48" i="13"/>
  <c r="AE66" i="13"/>
  <c r="AE23" i="13"/>
  <c r="AE114" i="13"/>
  <c r="AE90" i="13"/>
  <c r="AE54" i="13"/>
  <c r="AE15" i="13"/>
  <c r="AE61" i="13"/>
  <c r="AE40" i="13"/>
  <c r="AE95" i="13"/>
  <c r="AE47" i="13"/>
  <c r="AE25" i="13"/>
  <c r="AE124" i="13"/>
  <c r="AE101" i="13"/>
  <c r="AE52" i="13"/>
  <c r="AE86" i="13"/>
  <c r="AE73" i="13"/>
  <c r="AE118" i="13"/>
  <c r="AE35" i="13"/>
  <c r="AE115" i="13"/>
  <c r="AE11" i="13"/>
  <c r="AE97" i="13"/>
  <c r="AE18" i="13"/>
  <c r="AE38" i="13"/>
  <c r="AE98" i="13"/>
  <c r="AE75" i="13"/>
  <c r="AE8" i="13"/>
  <c r="AE28" i="13"/>
  <c r="AE30" i="13"/>
  <c r="AE89" i="13"/>
  <c r="AE81" i="13"/>
  <c r="AE56" i="13"/>
  <c r="AE41" i="13"/>
  <c r="AE109" i="13"/>
  <c r="AE46" i="13"/>
  <c r="AE120" i="13"/>
  <c r="AE36" i="13"/>
  <c r="AE27" i="13"/>
  <c r="AE93" i="13"/>
  <c r="AE119" i="13"/>
  <c r="AE20" i="13"/>
  <c r="AE103" i="13"/>
  <c r="AE34" i="13"/>
  <c r="AE88" i="13"/>
  <c r="AE82" i="13"/>
  <c r="AE92" i="13"/>
  <c r="AE106" i="13"/>
  <c r="AE12" i="13"/>
  <c r="AE50" i="13"/>
  <c r="AE59" i="13"/>
  <c r="AE14" i="13"/>
  <c r="AE13" i="13"/>
  <c r="AE17" i="13"/>
  <c r="AE60" i="13"/>
  <c r="AE77" i="13"/>
  <c r="AE63" i="13"/>
  <c r="AE104" i="13"/>
  <c r="AE10" i="13"/>
  <c r="AE83" i="13"/>
  <c r="AE58" i="13"/>
  <c r="AE69" i="13"/>
  <c r="AE99" i="13"/>
  <c r="AE19" i="13"/>
  <c r="AE7" i="13"/>
  <c r="AE117" i="13"/>
  <c r="AE105" i="13"/>
  <c r="AE51" i="13"/>
  <c r="AE76" i="13"/>
  <c r="AE43" i="13"/>
  <c r="AE45" i="13"/>
  <c r="AE94" i="13"/>
  <c r="AE9" i="13"/>
  <c r="AE113" i="13"/>
  <c r="AE39" i="13"/>
  <c r="AE44" i="13"/>
  <c r="AE6" i="13"/>
  <c r="AE74" i="13"/>
  <c r="AE64" i="13"/>
  <c r="AE53" i="13"/>
  <c r="AE70" i="13"/>
  <c r="AE21" i="13"/>
  <c r="AE26" i="13"/>
  <c r="AE22" i="13"/>
  <c r="AE24" i="13"/>
  <c r="AE112" i="13"/>
  <c r="AE55" i="13"/>
  <c r="AE125" i="13"/>
  <c r="AE57" i="13"/>
  <c r="AE68" i="13"/>
  <c r="AE79" i="13"/>
  <c r="D64" i="15"/>
  <c r="B64" i="15"/>
  <c r="H64" i="15"/>
  <c r="F64" i="15"/>
  <c r="AA74" i="15"/>
  <c r="AA80" i="15"/>
  <c r="AA75" i="15"/>
  <c r="AA87" i="15"/>
  <c r="AA79" i="15"/>
  <c r="AA71" i="15"/>
  <c r="AA85" i="15"/>
  <c r="AA89" i="15"/>
  <c r="AA91" i="15"/>
  <c r="AA81" i="15"/>
  <c r="AA83" i="15"/>
  <c r="AA84" i="15"/>
  <c r="AA78" i="15"/>
  <c r="AA90" i="15"/>
  <c r="AA73" i="15"/>
  <c r="AA86" i="15"/>
  <c r="AA76" i="15"/>
  <c r="AA88" i="15"/>
  <c r="AA77" i="15"/>
  <c r="AA72" i="15"/>
  <c r="AA82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7" i="15"/>
  <c r="Z89" i="15"/>
  <c r="Z76" i="15"/>
  <c r="Z83" i="15"/>
  <c r="Z75" i="15"/>
  <c r="Z79" i="15"/>
  <c r="Z81" i="15"/>
  <c r="Z88" i="15"/>
  <c r="Z82" i="15"/>
  <c r="Z91" i="15"/>
  <c r="Z85" i="15"/>
  <c r="Z80" i="15"/>
  <c r="Z72" i="15"/>
  <c r="Z77" i="15"/>
  <c r="Z84" i="15"/>
  <c r="Z90" i="15"/>
  <c r="Z86" i="15"/>
  <c r="Z73" i="15"/>
  <c r="Z78" i="15"/>
  <c r="Z74" i="15"/>
  <c r="Z71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1" i="15"/>
  <c r="R42" i="15"/>
</calcChain>
</file>

<file path=xl/sharedStrings.xml><?xml version="1.0" encoding="utf-8"?>
<sst xmlns="http://schemas.openxmlformats.org/spreadsheetml/2006/main" count="2537" uniqueCount="920">
  <si>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</si>
  <si>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</si>
  <si>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</si>
  <si>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</si>
  <si>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</si>
  <si>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</si>
  <si>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</si>
  <si>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</si>
  <si>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</si>
  <si>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</si>
  <si>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</si>
  <si>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</si>
  <si>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</si>
  <si>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</si>
  <si>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</si>
  <si>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</si>
  <si>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</si>
  <si>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</si>
  <si>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</si>
  <si>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</si>
  <si>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</si>
  <si>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</si>
  <si>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</si>
  <si>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</si>
  <si>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</si>
  <si>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</si>
  <si>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</si>
  <si>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</si>
  <si>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</si>
  <si>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</si>
  <si>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</si>
  <si>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</si>
  <si>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</si>
  <si>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</si>
  <si>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</si>
  <si>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</si>
  <si>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</si>
  <si>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</si>
  <si>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</si>
  <si>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</si>
  <si>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</si>
  <si>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</si>
  <si>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</si>
  <si>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</si>
  <si>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</si>
  <si>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</si>
  <si>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</si>
  <si>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</si>
  <si>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</si>
  <si>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</si>
  <si>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</si>
  <si>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</si>
  <si>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</si>
  <si>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</si>
  <si>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</si>
  <si>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</si>
  <si>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</si>
  <si>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</si>
  <si>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</si>
  <si>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</si>
  <si>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</si>
  <si>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</si>
  <si>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</si>
  <si>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</si>
  <si>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</si>
  <si>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</si>
  <si>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</si>
  <si>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</si>
  <si>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</si>
  <si>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</si>
  <si>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</si>
  <si>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</si>
  <si>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</si>
  <si>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</si>
  <si>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</si>
  <si>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</si>
  <si>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</si>
  <si>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</si>
  <si>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</si>
  <si>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</si>
  <si>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</si>
  <si>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</si>
  <si>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</si>
  <si>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</si>
  <si>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</si>
  <si>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</si>
  <si>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</si>
  <si>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</si>
  <si>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</si>
  <si>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</si>
  <si>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</si>
  <si>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</si>
  <si>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</si>
  <si>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</si>
  <si>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</si>
  <si>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</si>
  <si>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</si>
  <si>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</si>
  <si>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</si>
  <si>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</si>
  <si>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</si>
  <si>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</si>
  <si>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</si>
  <si>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</si>
  <si>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</si>
  <si>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</si>
  <si>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</si>
  <si>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</si>
  <si>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</si>
  <si>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</si>
  <si>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</si>
  <si>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</si>
  <si>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</si>
  <si>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</si>
  <si>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</si>
  <si>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</si>
  <si>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</si>
  <si>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</si>
  <si>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</si>
  <si>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</si>
  <si>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</si>
  <si>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</si>
  <si>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</si>
  <si>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</si>
  <si>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</si>
  <si>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</si>
  <si>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</si>
  <si>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</si>
  <si>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</si>
  <si>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</si>
  <si>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</si>
  <si>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</si>
  <si>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</si>
  <si>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</si>
  <si>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</si>
  <si>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</si>
  <si>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</si>
  <si>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</si>
  <si>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</si>
  <si>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</si>
  <si>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</si>
  <si>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</si>
  <si>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</si>
  <si>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</si>
  <si>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</si>
  <si>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</si>
  <si>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</si>
  <si>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</si>
  <si>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</si>
  <si>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</si>
  <si>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</si>
  <si>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</si>
  <si>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</si>
  <si>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</si>
  <si>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</si>
  <si>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</si>
  <si>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</si>
  <si>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</si>
  <si>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</si>
  <si>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</si>
  <si>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</si>
  <si>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</si>
  <si>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</si>
  <si>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</si>
  <si>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</si>
  <si>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</si>
  <si>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</si>
  <si>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</si>
  <si>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</si>
  <si>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</si>
  <si>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</si>
  <si>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</si>
  <si>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</si>
  <si>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</si>
  <si>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</si>
  <si>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</si>
  <si>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</si>
  <si>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</si>
  <si>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</si>
  <si>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</si>
  <si>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</si>
  <si>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</si>
  <si>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</si>
  <si>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</si>
  <si>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</si>
  <si>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</si>
  <si>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</si>
  <si>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</si>
  <si>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</si>
  <si>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</si>
  <si>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</si>
  <si>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</si>
  <si>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</si>
  <si>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</si>
  <si>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</si>
  <si>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</si>
  <si>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</si>
  <si>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</si>
  <si>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</si>
  <si>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</si>
  <si>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</si>
  <si>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</si>
  <si>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</si>
  <si>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</si>
  <si>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</si>
  <si>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</si>
  <si>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</si>
  <si>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</si>
  <si>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</si>
  <si>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</si>
  <si>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</si>
  <si>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</si>
  <si>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</si>
  <si>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</si>
  <si>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</si>
  <si>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</si>
  <si>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</si>
  <si>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2015-2-10 12:48:13.264: Main - Initialize - initializing...</t>
  </si>
  <si>
    <t>Not Subscribed</t>
  </si>
  <si>
    <t>Not Ready</t>
  </si>
  <si>
    <t>TWS Connected OK</t>
  </si>
  <si>
    <t>2015-2-10 12:48:19.381: RTWSControl - nextValidId - entering nextValidId id is 8815</t>
  </si>
  <si>
    <t>2015-2-10 12:48:19.459: WatchlistView - initialize - an error occurredSelect method of Range class failed</t>
  </si>
  <si>
    <t>2015-2-10 12:48:19.475: RTWSControl - errMsg - got error message 2104:Market data farm connection is OK:usfuturewith id -1</t>
  </si>
  <si>
    <t>2015-2-10 12:48:19.537: RTWSControl - errMsg - got error message 2104:Market data farm connection is OK:usfuture.uswith id -1</t>
  </si>
  <si>
    <t>2015-2-10 12:48:19.537: RTWSControl - errMsg - got error message 2104:Market data farm connection is OK:cashfarmwith id -1</t>
  </si>
  <si>
    <t>2015-2-10 12:48:19.537: RTWSControl - errMsg - got error message 2104:Market data farm connection is OK:usfarmwith id -1</t>
  </si>
  <si>
    <t>2015-2-10 12:48:19.553: RTWSControl - errMsg - got error message 2106:HMDS data farm connection is OK:ilhmdswith id -1</t>
  </si>
  <si>
    <t>2015-2-10 12:48:19.553: RTWSControl - contractDetailsEx - got contractDetails id 0 British pound 6BH5</t>
  </si>
  <si>
    <t>2015-2-10 12:48:19.568: RTWSControl - contractDetailsEnd - Got contract details end event</t>
  </si>
  <si>
    <t>2015-2-10 12:48:25.699: Algorithm - updatePortfolio - haveAllDetails is False</t>
  </si>
  <si>
    <t>6B2G5 P1510</t>
  </si>
  <si>
    <t>2015-2-10 12:48:25.746: Algorithm - updatePortfolio - haveAllDetails is False</t>
  </si>
  <si>
    <t>6B2G5 P1515</t>
  </si>
  <si>
    <t>2015-2-10 12:48:25.793: Algorithm - updatePortfolio - haveAllDetails is False</t>
  </si>
  <si>
    <t>6B2G5 C1520</t>
  </si>
  <si>
    <t>2015-2-10 12:48:25.808: Algorithm - updatePortfolio - haveAllDetails is False</t>
  </si>
  <si>
    <t>6B2G5 C1525</t>
  </si>
  <si>
    <t>2015-2-10 12:48:25.839: Algorithm - updatePortfolio - haveAllDetails is False</t>
  </si>
  <si>
    <t>6B2G5 P1520</t>
  </si>
  <si>
    <t>2015-2-10 12:48:25.871: Algorithm - updatePortfolio - haveAllDetails is False</t>
  </si>
  <si>
    <t>6B2G5 C1530</t>
  </si>
  <si>
    <t>2015-2-10 12:48:25.917: Algorithm - updatePortfolio - haveAllDetails is False</t>
  </si>
  <si>
    <t>6B2G5 C1535</t>
  </si>
  <si>
    <t>2015-2-10 12:48:25.933: Algorithm - updatePortfolio - haveAllDetails is False</t>
  </si>
  <si>
    <t>2015-2-10 12:48:25.949: Algorithm - updatePortfolio - haveAllDetails is False</t>
  </si>
  <si>
    <t>2015-2-10 12:48:25.995: RTWSControl - contractDetailsEx - got contractDetails id 0 British pound 6B2G5 P1510</t>
  </si>
  <si>
    <t>2015-2-10 12:48:26.27: RTWSControl - contractDetailsEnd - Got contract details end event</t>
  </si>
  <si>
    <t>2015-2-10 12:48:26.27: RTWSControl - contractDetailsEx - got contractDetails id 0 British pound 6B2G5 P1515</t>
  </si>
  <si>
    <t>2015-2-10 12:48:26.73: RTWSControl - contractDetailsEx - got contractDetails id 0 British pound 6B2G5 C1520</t>
  </si>
  <si>
    <t>2015-2-10 12:48:26.73: RTWSControl - contractDetailsEnd - Got contract details end event</t>
  </si>
  <si>
    <t>2015-2-10 12:48:26.73: RTWSControl - contractDetailsEx - got contractDetails id 0 British pound 6B2G5 C1525</t>
  </si>
  <si>
    <t>2015-2-10 12:48:26.105: RTWSControl - contractDetailsEnd - Got contract details end event</t>
  </si>
  <si>
    <t>2015-2-10 12:48:26.105: RTWSControl - contractDetailsEx - got contractDetails id 0 British pound 6B2G5 P1520</t>
  </si>
  <si>
    <t>2015-2-10 12:48:26.151: RTWSControl - contractDetailsEx - got contractDetails id 0 British pound 6B2G5 C1530</t>
  </si>
  <si>
    <t>2015-2-10 12:48:26.151: RTWSControl - contractDetailsEnd - Got contract details end event</t>
  </si>
  <si>
    <t>2015-2-10 12:48:26.151: RTWSControl - contractDetailsEx - got contractDetails id 0 British pound 6B2G5 C1535</t>
  </si>
  <si>
    <t>2015-2-10 12:48:26.198: RTWSControl - contractDetailsEnd - Got contract details end event</t>
  </si>
  <si>
    <t>2015-2-10 12:48:29.396: Algorithm - FindNextStrikes - price is 1.52325 nextStrikeUp/Down 1.525/1.52</t>
  </si>
  <si>
    <t>2015-2-10 12:48:29.396: Algorithm - getPortfolioForwardDelta - required deltas is 90 currentHedgePosition is 64</t>
  </si>
  <si>
    <t>2015-2-10 12:48:29.396: Algorithm - getHedgeShortfall - required deltas is 90 price is 1.52325 currentHedgePositionDeltas is 64</t>
  </si>
  <si>
    <t>2015-2-10 12:48:29.396: Algorithm - processTransitionPoint - nextUpper/LowerStrikes are 1.525/1.52 requiredDeltas/currentPosition/currentHedgeShortfall/direction/transitionPrice are 90/64/26/0/1.52325</t>
  </si>
  <si>
    <t>2015-2-10 12:48:29.396: TransitionLogger - processTransitionpoint - checking transition - currentHedgeShortfall is 26</t>
  </si>
  <si>
    <t>2015-2-10 12:48:29.396: Algorithm - updatePortfolio - haveAllDetails is True</t>
  </si>
  <si>
    <t>2015-2-10 12:48:58.601: Algorithm - rehedge - rehedging 26 contracts</t>
  </si>
  <si>
    <t>2015-2-10 12:48:58.601: Algortihm - rehedge - inside the loop</t>
  </si>
  <si>
    <t>2015-2-10 12:48:58.601: Algorithm - rehedge - trying to trade BUT contracts is 26 and direction indicator is -1</t>
  </si>
  <si>
    <t>2015-2-10 12:49:1.768: Algorithm - rehedge - rehedging 26 contracts</t>
  </si>
  <si>
    <t>2015-2-10 12:49:1.768: Algortihm - rehedge - inside the loop</t>
  </si>
  <si>
    <t>2015-2-10 12:49:1.768: Algorithm - rehedge - trying to trade BUT contracts is 26 and direction indicator is -1</t>
  </si>
  <si>
    <t>2015-2-10 12:49:4.732: Algorithm - rehedge - rehedging 26 contracts</t>
  </si>
  <si>
    <t>2015-2-10 12:49:4.732: Algortihm - rehedge - inside the loop</t>
  </si>
  <si>
    <t>2015-2-10 12:49:4.732: Algorithm - rehedge - trying to trade BUT contracts is 26 and direction indicator is -1</t>
  </si>
  <si>
    <t>2015-2-10 12:49:4.779: Algorithm - rehedge - rehedging 26 contracts</t>
  </si>
  <si>
    <t>2015-2-10 12:49:4.779: Algortihm - rehedge - inside the loop</t>
  </si>
  <si>
    <t>2015-2-10 12:49:4.779: Algorithm - rehedge - trying to trade BUT contracts is 26 and direction indicator is -1</t>
  </si>
  <si>
    <t>2015-2-10 12:49:5.75: Algorithm - rehedge - rehedging 26 contracts</t>
  </si>
  <si>
    <t>2015-2-10 12:49:5.75: Algortihm - rehedge - inside the loop</t>
  </si>
  <si>
    <t>2015-2-10 12:49:5.75: Algorithm - rehedge - trying to trade BUT contracts is 26 and direction indicator is -1</t>
  </si>
  <si>
    <t>2015-2-10 12:49:5.684: Algorithm - rehedge - rehedging 26 contracts</t>
  </si>
  <si>
    <t>2015-2-10 12:49:5.684: Algortihm - rehedge - inside the loop</t>
  </si>
  <si>
    <t>2015-2-10 12:49:5.684: Algorithm - rehedge - trying to trade BUT contracts is 26 and direction indicator is -1</t>
  </si>
  <si>
    <t>2015-2-10 12:49:6.869: Algorithm - rehedge - rehedging 26 contracts</t>
  </si>
  <si>
    <t>2015-2-10 12:49:6.869: Algortihm - rehedge - inside the loop</t>
  </si>
  <si>
    <t>2015-2-10 12:49:6.869: Algorithm - rehedge - trying to trade BUT contracts is 26 and direction indicator is -1</t>
  </si>
  <si>
    <t>2015-2-10 12:49:11.768: Algorithm - rehedge - rehedging 26 contracts</t>
  </si>
  <si>
    <t>2015-2-10 12:49:11.768: Algortihm - rehedge - inside the loop</t>
  </si>
  <si>
    <t>2015-2-10 12:49:11.768: Algorithm - rehedge - trying to trade BUT contracts is 26 and direction indicator is -1</t>
  </si>
  <si>
    <t>2015-2-10 12:49:14.201: Algorithm - rehedge - rehedging 26 contracts</t>
  </si>
  <si>
    <t>2015-2-10 12:49:14.201: Algortihm - rehedge - inside the loop</t>
  </si>
  <si>
    <t>2015-2-10 12:49:14.201: Algorithm - rehedge - trying to trade BUT contracts is 26 and direction indicator is -1</t>
  </si>
  <si>
    <t>2015-2-10 12:49:16.635: Algorithm - rehedge - rehedging 26 contracts</t>
  </si>
  <si>
    <t>2015-2-10 12:49:16.635: Algortihm - rehedge - inside the loop</t>
  </si>
  <si>
    <t>2015-2-10 12:49:16.635: Algorithm - rehedge - trying to trade BUT contracts is 26 and direction indicator is -1</t>
  </si>
  <si>
    <t>2015-2-10 12:49:19.739: Algorithm - rehedge - rehedging 26 contracts</t>
  </si>
  <si>
    <t>2015-2-10 12:49:19.739: Algortihm - rehedge - inside the loop</t>
  </si>
  <si>
    <t>2015-2-10 12:49:19.739: Algorithm - rehedge - trying to trade BUT contracts is 26 and direction indicator is -1</t>
  </si>
  <si>
    <t>2015-2-10 12:49:29.289: Algorithm - rehedge - rehedging 26 contracts</t>
  </si>
  <si>
    <t>2015-2-10 12:49:29.289: Algortihm - rehedge - inside the loop</t>
  </si>
  <si>
    <t>2015-2-10 12:49:29.289: Algorithm - rehedge - trying to trade BUT contracts is 26 and direction indicator is -1</t>
  </si>
  <si>
    <t>2015-2-10 12:49:29.523: Algorithm - rehedge - rehedging 26 contracts</t>
  </si>
  <si>
    <t>2015-2-10 12:49:29.523: Algortihm - rehedge - inside the loop</t>
  </si>
  <si>
    <t>2015-2-10 12:49:29.523: Algorithm - rehedge - trying to trade BUT contracts is 26 and direction indicator is -1</t>
  </si>
  <si>
    <t>2015-2-10 12:49:30.630: Algorithm - rehedge - rehedging 26 contracts</t>
  </si>
  <si>
    <t>2015-2-10 12:49:30.630: Algortihm - rehedge - inside the loop</t>
  </si>
  <si>
    <t>2015-2-10 12:49:30.630: Algorithm - rehedge - trying to trade BUT contracts is 26 and direction indicator is -1</t>
  </si>
  <si>
    <t>2015-2-10 12:49:54.968: Algorithm - rehedge - rehedging 26 contracts</t>
  </si>
  <si>
    <t>2015-2-10 12:49:54.968: Algortihm - rehedge - inside the loop</t>
  </si>
  <si>
    <t>2015-2-10 12:49:54.968: Algorithm - rehedge - trying to trade BUT contracts is 26 and direction indicator is -1</t>
  </si>
  <si>
    <t>2015-2-10 12:49:59.430: Algorithm - rehedge - rehedging 26 contracts</t>
  </si>
  <si>
    <t>2015-2-10 12:49:59.430: Algortihm - rehedge - inside the loop</t>
  </si>
  <si>
    <t>2015-2-10 12:49:59.430: Algorithm - rehedge - trying to trade BUT contracts is 26 and direction indicator is -1</t>
  </si>
  <si>
    <t>2015-2-10 12:49:59.867: Algorithm - rehedge - rehedging 26 contracts</t>
  </si>
  <si>
    <t>2015-2-10 12:49:59.867: Algortihm - rehedge - inside the loop</t>
  </si>
  <si>
    <t>2015-2-10 12:49:59.867: Algorithm - rehedge - trying to trade BUT contracts is 26 and direction indicator is -1</t>
  </si>
  <si>
    <t>2015-2-10 12:50:4.16: Algorithm - rehedge - rehedging 26 contracts</t>
  </si>
  <si>
    <t>2015-2-10 12:50:4.16: Algortihm - rehedge - inside the loop</t>
  </si>
  <si>
    <t>2015-2-10 12:50:4.16: Algorithm - rehedge - trying to trade BUT contracts is 26 and direction indicator is -1</t>
  </si>
  <si>
    <t>2015-2-10 12:50:30.304: Algorithm - rehedge - rehedging 26 contracts</t>
  </si>
  <si>
    <t>2015-2-10 12:50:30.304: Algortihm - rehedge - inside the loop</t>
  </si>
  <si>
    <t>2015-2-10 12:50:30.320: OrderManager - PlaceOrder - id 8815 workingQty 5</t>
  </si>
  <si>
    <t>In-Flight</t>
  </si>
  <si>
    <t>2015-2-10 12:50:30.336: OrderManager - sendOrder - exiting place order id 8815 BUY 5 1.523  - workingQty 5 currentPosition is 64 workingOrderCount is 1</t>
  </si>
  <si>
    <t>2015-2-10 12:50:30.336: Algorithm - rehedge - placing an order - orderSize is 5 workingQty is 5 working order count 1</t>
  </si>
  <si>
    <t>2015-2-10 12:50:30.944: RTWSControl - nextValidId - entering nextValidId id is 8816</t>
  </si>
  <si>
    <t>2015-2-10 12:50:31.6: openOrderEx - I am here</t>
  </si>
  <si>
    <t>2015-2-10 12:50:31.6: RTWSControl - orderStatus -  entering orderStatus id is 8815 status is Submitted</t>
  </si>
  <si>
    <t>2015-2-10 12:50:31.6: OrderManager - UpdateOrderStatus - id 8815 Setting status to Submitted workingOrderCount is now 1 workingQty 5</t>
  </si>
  <si>
    <t>Submitted</t>
  </si>
  <si>
    <t>2015-2-10 12:50:31.6: RTWSControl - OrderStatus - Got OrderStatus Message id:8815 status: Submitted filled: 0</t>
  </si>
  <si>
    <t>2015-2-10 12:50:31.6: RTWSControl - OrderStatus - exiting orderStatus</t>
  </si>
  <si>
    <t>2015-2-10 12:50:31.38: Algorithm - rehedge - rehedging 26 contracts</t>
  </si>
  <si>
    <t>2015-2-10 12:50:31.38: Algorithm - rehedge - Need to place order but already have a working order - workingQty is 5 working order count 1</t>
  </si>
  <si>
    <t>2015-2-10 12:50:31.84: Algorithm - rehedge - rehedging 26 contracts</t>
  </si>
  <si>
    <t>2015-2-10 12:50:31.84: Algorithm - rehedge - Need to place order but already have a working order - workingQty is 5 working order count 1</t>
  </si>
  <si>
    <t>2015-2-10 12:50:32.130: OrderManager - cancelOrder - cancelling order id 8815</t>
  </si>
  <si>
    <t>2015-2-10 12:50:32.130: Algorithm - checkWorkingOrders - cancelling BUY - orderPrice 1.523 too far from marketPrice 1.52315</t>
  </si>
  <si>
    <t>2015-2-10 12:50:32.130: Algorithm - rehedge - rehedging 26 contracts</t>
  </si>
  <si>
    <t>2015-2-10 12:50:32.130: Algorithm - rehedge - Need to place order but already have a working order - workingQty is 5 working order count 1</t>
  </si>
  <si>
    <t>2015-2-10 12:50:32.566: RTWSControl - orderStatus -  entering orderStatus id is 8815 status is Cancelled</t>
  </si>
  <si>
    <t>2015-2-10 12:50:32.566: OrderManager - UpdateOrderStatus - id 8815 Setting status to Cancelled workingOrderCount is now 1 workingQty 5</t>
  </si>
  <si>
    <t>2015-2-10 12:50:32.566: RTWSControl - OrderStatus - Got OrderStatus Message id:8815 status: Cancelled filled: 0</t>
  </si>
  <si>
    <t>2015-2-10 12:50:32.566: RTWSControl - OrderStatus - exiting orderStatus</t>
  </si>
  <si>
    <t>2015-2-10 12:50:32.566: RTWSControl - errMsg - got error message 202:Order Canceled - reason:with id 8815</t>
  </si>
  <si>
    <t>2015-2-10 12:50:32.566: OrderManager - canceledOrder - cleaning up after canceled order 8815BEWARE UNACCOUNTED FOR EXECUTIONS!!!</t>
  </si>
  <si>
    <t>2015-2-10 12:50:32.566: OrderManager - terminateOrder - cleaning up after Canceled 8815  order was supposed to BUY 5 1.523 LMT workingQty/OrderCount now 0/0</t>
  </si>
  <si>
    <t>Canceled</t>
  </si>
  <si>
    <t>2015-2-10 12:50:35.328: Algorithm - rehedge - rehedging 26 contracts</t>
  </si>
  <si>
    <t>2015-2-10 12:50:35.328: Algortihm - rehedge - inside the loop</t>
  </si>
  <si>
    <t>2015-2-10 12:50:35.328: OrderManager - PlaceOrder - id 8816 workingQty 5</t>
  </si>
  <si>
    <t>2015-2-10 12:50:35.328: OrderManager - sendOrder - exiting place order id 8816 BUY 5 1.5232  - workingQty 5 currentPosition is 64 workingOrderCount is 1</t>
  </si>
  <si>
    <t>2015-2-10 12:50:35.328: Algorithm - rehedge - placing an order - orderSize is 5 workingQty is 5 working order count 1</t>
  </si>
  <si>
    <t>2015-2-10 12:50:35.577: RTWSControl - nextValidId - entering nextValidId id is 8817</t>
  </si>
  <si>
    <t>2015-2-10 12:50:35.624: Algorithm - rehedge - rehedging 26 contracts</t>
  </si>
  <si>
    <t>2015-2-10 12:50:35.624: Algorithm - rehedge - Need to place order but already have a working order - workingQty is 5 working order count 1</t>
  </si>
  <si>
    <t>2015-2-10 12:50:35.702: openOrderEx - I am here</t>
  </si>
  <si>
    <t>2015-2-10 12:50:35.733: RTWSControl - orderStatus -  entering orderStatus id is 8816 status is Submitted</t>
  </si>
  <si>
    <t>2015-2-10 12:50:35.733: OrderManager - UpdateOrderStatus - id 8816 Setting status to Submitted workingOrderCount is now 1 workingQty 5</t>
  </si>
  <si>
    <t>2015-2-10 12:50:35.733: RTWSControl - OrderStatus - Got OrderStatus Message id:8816 status: Submitted filled: 0</t>
  </si>
  <si>
    <t>2015-2-10 12:50:35.733: RTWSControl - OrderStatus - exiting orderStatus</t>
  </si>
  <si>
    <t>2015-2-10 12:50:37.948: RTWSControl - execDetails -  entering execDetailsEx execution id is 0001f4e5.54d95410.01.01 shares/cumQty is 1/1</t>
  </si>
  <si>
    <t>2015-2-10 12:50:37.948: Algorithm - FindNextStrikes - price is 1.52325 nextStrikeUp/Down 1.525/1.52</t>
  </si>
  <si>
    <t>2015-2-10 12:50:37.948: Algorithm - getPortfolioForwardDelta - required deltas is 90 currentHedgePosition is 65</t>
  </si>
  <si>
    <t>2015-2-10 12:50:37.948: Algorithm - getHedgeShortfall - required deltas is 90 price is 1.52335 currentHedgePositionDeltas is 65</t>
  </si>
  <si>
    <t>2015-2-10 12:50:37.948: Algorithm - processTransitionPoint - nextUpper/LowerStrikes are 1.525/1.52 requiredDeltas/currentPosition/currentHedgeShortfall/direction/transitionPrice are 90/65/25/1/1.52335</t>
  </si>
  <si>
    <t>2015-2-10 12:50:37.948: TransitionLogger - processTransitionpoint - checking transition - currentHedgeShortfall is 25</t>
  </si>
  <si>
    <t>2015-2-10 12:50:37.948: OrderManager - updateExecution - got a fill for id 8816 qty 1 side BOT price 1.5232 - new working order size is 4 new instrument.qty is 65</t>
  </si>
  <si>
    <t>0001f4e5.54d95410.01.01</t>
  </si>
  <si>
    <t>20150210  12:50:39</t>
  </si>
  <si>
    <t>DU179595</t>
  </si>
  <si>
    <t>BOT</t>
  </si>
  <si>
    <t>2015-2-10 12:50:37.948: OrderManagerView - UpdateExecutionView - entering updateExecutionView  executionId is 0001f4e5.54d95410.01.01</t>
  </si>
  <si>
    <t>2015-2-10 12:50:37.948: OrderManagerView - updateExecutionView -  exiting UpdateExecutionView</t>
  </si>
  <si>
    <t>2015-2-10 12:50:37.948: RTWSControl - execDetails -  exiting execDetailsEx</t>
  </si>
  <si>
    <t>2015-2-10 12:50:37.948: RTWSControl - execDetails - Got execution Message id:-1</t>
  </si>
  <si>
    <t>2015-2-10 12:50:37.964: openOrderEx - I am here</t>
  </si>
  <si>
    <t>2015-2-10 12:50:37.980: RTWSControl - orderStatus -  entering orderStatus id is 8816 status is Submitted</t>
  </si>
  <si>
    <t>2015-2-10 12:50:37.980: OrderManager - UpdateOrderStatus - id 8816 Setting status to Submitted workingOrderCount is now 1 workingQty 4</t>
  </si>
  <si>
    <t>2015-2-10 12:50:37.980: RTWSControl - OrderStatus - Got OrderStatus Message id:8816 status: Submitted filled: 1</t>
  </si>
  <si>
    <t>2015-2-10 12:50:37.980: RTWSControl - OrderStatus - exiting orderStatus</t>
  </si>
  <si>
    <t>2015-2-10 12:50:38.58: Algorithm - rehedge - rehedging 25 contracts</t>
  </si>
  <si>
    <t>2015-2-10 12:50:38.58: Algorithm - rehedge - Need to place order but already have a working order - workingQty is 4 working order count 1</t>
  </si>
  <si>
    <t>2015-2-10 12:50:38.198: openOrderEx - I am here</t>
  </si>
  <si>
    <t>2015-2-10 12:50:38.198: RTWSControl - orderStatus -  entering orderStatus id is 8816 status is Submitted</t>
  </si>
  <si>
    <t>2015-2-10 12:50:38.198: OrderManager - UpdateOrderStatus - id 8816 Setting status to Submitted workingOrderCount is now 1 workingQty 4</t>
  </si>
  <si>
    <t>2015-2-10 12:50:38.198: RTWSControl - OrderStatus - Got OrderStatus Message id:8816 status: Submitted filled: 1</t>
  </si>
  <si>
    <t>2015-2-10 12:50:38.198: RTWSControl - OrderStatus - exiting orderStatus</t>
  </si>
  <si>
    <t>2015-2-10 12:50:38.229: Algorithm - rehedge - rehedging 25 contracts</t>
  </si>
  <si>
    <t>2015-2-10 12:50:38.229: Algorithm - rehedge - Need to place order but already have a working order - workingQty is 4 working order count 1</t>
  </si>
  <si>
    <t>2015-2-10 12:50:38.292: RTWSControl - execDetails -  entering execDetailsEx execution id is 0001f4e5.54d95411.01.01 shares/cumQty is 4/5</t>
  </si>
  <si>
    <t>2015-2-10 12:50:38.292: Algorithm - FindNextStrikes - price is 1.52315 nextStrikeUp/Down 1.525/1.52</t>
  </si>
  <si>
    <t>2015-2-10 12:50:38.292: Algorithm - getPortfolioForwardDelta - required deltas is 90 currentHedgePosition is 69</t>
  </si>
  <si>
    <t>2015-2-10 12:50:38.292: Algorithm - getHedgeShortfall - required deltas is 90 price is 1.52325 currentHedgePositionDeltas is 69</t>
  </si>
  <si>
    <t>2015-2-10 12:50:38.292: Algorithm - processTransitionPoint - nextUpper/LowerStrikes are 1.525/1.52 requiredDeltas/currentPosition/currentHedgeShortfall/direction/transitionPrice are 90/69/21/1/1.52325</t>
  </si>
  <si>
    <t>2015-2-10 12:50:38.292: TransitionLogger - processTransitionpoint - checking transition - currentHedgeShortfall is 21</t>
  </si>
  <si>
    <t>2015-2-10 12:50:38.292: OrderManager - updateExecution - got a fill for id 8816 qty 4 side BOT price 1.5232 - new working order size is 0 new instrument.qty is 69</t>
  </si>
  <si>
    <t>0001f4e5.54d95411.01.01</t>
  </si>
  <si>
    <t>2015-2-10 12:50:38.292: OrderManagerView - UpdateExecutionView - entering updateExecutionView  executionId is 0001f4e5.54d95411.01.01</t>
  </si>
  <si>
    <t>2015-2-10 12:50:38.292: OrderManagerView - updateExecutionView -  exiting UpdateExecutionView</t>
  </si>
  <si>
    <t>2015-2-10 12:50:38.292: RTWSControl - execDetails -  exiting execDetailsEx</t>
  </si>
  <si>
    <t>2015-2-10 12:50:38.292: RTWSControl - execDetails - Got execution Message id:-1</t>
  </si>
  <si>
    <t>2015-2-10 12:50:38.307: openOrderEx - I am here</t>
  </si>
  <si>
    <t>2015-2-10 12:50:38.323: RTWSControl - orderStatus -  entering orderStatus id is 8816 status is Filled</t>
  </si>
  <si>
    <t>2015-2-10 12:50:38.323: OrderManager - UpdateOrderStatus - id 8816 Setting status to Filled workingOrderCount is now 0 workingQty 0</t>
  </si>
  <si>
    <t>2015-2-10 12:50:38.323: OrderManager - terminateOrder - cleaning up after Filled 8816  order was supposed to BUY 5 1.5232 LMT workingQty/OrderCount now 0/-1</t>
  </si>
  <si>
    <t>2015-2-10 12:50:38.323: RTWSControl - OrderStatus - Got OrderStatus Message id:8816 status: Filled filled: 5</t>
  </si>
  <si>
    <t>2015-2-10 12:50:38.323: RTWSControl - OrderStatus - exiting orderStatus</t>
  </si>
  <si>
    <t>2015-2-10 12:50:38.323: openOrderEx - I am here</t>
  </si>
  <si>
    <t>2015-2-10 12:50:38.338: RTWSControl - orderStatus -  entering orderStatus id is 8816 status is Filled</t>
  </si>
  <si>
    <t>2015-2-10 12:50:38.338: OrderManager - UpdateOrderStatus - id 8816 Setting status to Filled workingOrderCount is now -1 workingQty 0</t>
  </si>
  <si>
    <t>2015-2-10 12:50:38.338: OrderManager - terminateOrder - cleaning up after Filled 8816  order was supposed to BUY 5 1.5232 LMT workingQty/OrderCount now 0/-2</t>
  </si>
  <si>
    <t>2015-2-10 12:50:38.338: RTWSControl - OrderStatus - Got OrderStatus Message id:8816 status: Filled filled: 5</t>
  </si>
  <si>
    <t>2015-2-10 12:50:38.338: RTWSControl - OrderStatus - exiting orderStatus</t>
  </si>
  <si>
    <t>2015-2-10 12:50:39.976: Algorithm - FindNextStrikes - price is 1.52315 nextStrikeUp/Down 1.525/1.52</t>
  </si>
  <si>
    <t>2015-2-10 12:50:39.976: Algorithm - getPortfolioForwardDelta - required deltas is 90 currentHedgePosition is 69</t>
  </si>
  <si>
    <t>2015-2-10 12:50:39.976: Algorithm - getHedgeShortfall - required deltas is 90 price is 1.52325 currentHedgePositionDeltas is 69</t>
  </si>
  <si>
    <t>2015-2-10 12:50:39.976: Algorithm - processTransitionPoint - nextUpper/LowerStrikes are 1.525/1.52 requiredDeltas/currentPosition/currentHedgeShortfall/direction/transitionPrice are 90/69/21/1/1.52325</t>
  </si>
  <si>
    <t>2015-2-10 12:50:39.976: TransitionLogger - processTransitionpoint - checking transition - currentHedgeShortfall is 21</t>
  </si>
  <si>
    <t>2015-2-10 12:50:39.976: Algorithm - rehedge - rehedging 21 contracts</t>
  </si>
  <si>
    <t>2015-2-10 12:50:39.976: Algortihm - rehedge - inside the loop</t>
  </si>
  <si>
    <t>2015-2-10 12:50:39.976: OrderManager - PlaceOrder - id 8817 workingQty 5</t>
  </si>
  <si>
    <t>2015-2-10 12:50:39.976: OrderManager - sendOrder - exiting place order id 8817 BUY 5 1.5232  - workingQty 5 currentPosition is 69 workingOrderCount is -1</t>
  </si>
  <si>
    <t>2015-2-10 12:50:39.992: Algorithm - rehedge - placing an order - orderSize is 5 workingQty is 5 working order count -1</t>
  </si>
  <si>
    <t>2015-2-10 12:50:39.992: Algorithm - updatePortfolio - haveAllDetails is True</t>
  </si>
  <si>
    <t>2015-2-10 12:50:40.8: Algorithm - FindNextStrikes - price is 1.52315 nextStrikeUp/Down 1.525/1.52</t>
  </si>
  <si>
    <t>2015-2-10 12:50:40.8: Algorithm - getPortfolioForwardDelta - required deltas is 90 currentHedgePosition is 69</t>
  </si>
  <si>
    <t>2015-2-10 12:50:40.8: Algorithm - getHedgeShortfall - required deltas is 90 price is 1.52325 currentHedgePositionDeltas is 69</t>
  </si>
  <si>
    <t>2015-2-10 12:50:40.8: Algorithm - processTransitionPoint - nextUpper/LowerStrikes are 1.525/1.52 requiredDeltas/currentPosition/currentHedgeShortfall/direction/transitionPrice are 90/69/21/1/1.52325</t>
  </si>
  <si>
    <t>2015-2-10 12:50:40.8: TransitionLogger - processTransitionpoint - checking transition - currentHedgeShortfall is 21</t>
  </si>
  <si>
    <t>2015-2-10 12:50:40.8: Algorithm - rehedge - rehedging 21 contracts</t>
  </si>
  <si>
    <t>2015-2-10 12:50:40.8: Algorithm - rehedge - Need to place order but already have a working order - workingQty is 5 working order count -1</t>
  </si>
  <si>
    <t>2015-2-10 12:50:40.8: Algorithm - updatePortfolio - haveAllDetails is True</t>
  </si>
  <si>
    <t>2015-2-10 12:50:40.39: Algorithm - FindNextStrikes - price is 1.52315 nextStrikeUp/Down 1.525/1.52</t>
  </si>
  <si>
    <t>2015-2-10 12:50:40.39: Algorithm - getPortfolioForwardDelta - required deltas is 90 currentHedgePosition is 69</t>
  </si>
  <si>
    <t>2015-2-10 12:50:40.39: Algorithm - getHedgeShortfall - required deltas is 90 price is 1.52325 currentHedgePositionDeltas is 69</t>
  </si>
  <si>
    <t>2015-2-10 12:50:40.39: Algorithm - processTransitionPoint - nextUpper/LowerStrikes are 1.525/1.52 requiredDeltas/currentPosition/currentHedgeShortfall/direction/transitionPrice are 90/69/21/1/1.52325</t>
  </si>
  <si>
    <t>2015-2-10 12:50:40.39: TransitionLogger - processTransitionpoint - checking transition - currentHedgeShortfall is 21</t>
  </si>
  <si>
    <t>2015-2-10 12:50:40.39: Algorithm - rehedge - rehedging 21 contracts</t>
  </si>
  <si>
    <t>2015-2-10 12:50:40.39: Algorithm - rehedge - Need to place order but already have a working order - workingQty is 5 working order count -1</t>
  </si>
  <si>
    <t>2015-2-10 12:50:40.39: Algorithm - updatePortfolio - haveAllDetails is True</t>
  </si>
  <si>
    <t>2015-2-10 12:50:40.70: Algorithm - FindNextStrikes - price is 1.52315 nextStrikeUp/Down 1.525/1.52</t>
  </si>
  <si>
    <t>2015-2-10 12:50:40.70: Algorithm - getPortfolioForwardDelta - required deltas is 90 currentHedgePosition is 69</t>
  </si>
  <si>
    <t>2015-2-10 12:50:40.70: Algorithm - getHedgeShortfall - required deltas is 90 price is 1.52325 currentHedgePositionDeltas is 69</t>
  </si>
  <si>
    <t>2015-2-10 12:50:40.70: Algorithm - processTransitionPoint - nextUpper/LowerStrikes are 1.525/1.52 requiredDeltas/currentPosition/currentHedgeShortfall/direction/transitionPrice are 90/69/21/1/1.52325</t>
  </si>
  <si>
    <t>2015-2-10 12:50:40.70: TransitionLogger - processTransitionpoint - checking transition - currentHedgeShortfall is 21</t>
  </si>
  <si>
    <t>2015-2-10 12:50:40.70: Algorithm - rehedge - rehedging 21 contracts</t>
  </si>
  <si>
    <t>2015-2-10 12:50:40.70: Algorithm - rehedge - Need to place order but already have a working order - workingQty is 5 working order count -1</t>
  </si>
  <si>
    <t>2015-2-10 12:50:40.86: Algorithm - updatePortfolio - haveAllDetails is True</t>
  </si>
  <si>
    <t>2015-2-10 12:50:40.101: Algorithm - FindNextStrikes - price is 1.52315 nextStrikeUp/Down 1.525/1.52</t>
  </si>
  <si>
    <t>2015-2-10 12:50:40.101: Algorithm - getPortfolioForwardDelta - required deltas is 90 currentHedgePosition is 69</t>
  </si>
  <si>
    <t>2015-2-10 12:50:40.101: Algorithm - getHedgeShortfall - required deltas is 90 price is 1.52325 currentHedgePositionDeltas is 69</t>
  </si>
  <si>
    <t>2015-2-10 12:50:40.101: Algorithm - processTransitionPoint - nextUpper/LowerStrikes are 1.525/1.52 requiredDeltas/currentPosition/currentHedgeShortfall/direction/transitionPrice are 90/69/21/1/1.52325</t>
  </si>
  <si>
    <t>2015-2-10 12:50:40.101: TransitionLogger - processTransitionpoint - checking transition - currentHedgeShortfall is 21</t>
  </si>
  <si>
    <t>2015-2-10 12:50:40.101: Algorithm - rehedge - rehedging 21 contracts</t>
  </si>
  <si>
    <t>2015-2-10 12:50:40.101: Algorithm - rehedge - Need to place order but already have a working order - workingQty is 5 working order count -1</t>
  </si>
  <si>
    <t>2015-2-10 12:50:40.101: Algorithm - updatePortfolio - haveAllDetails is True</t>
  </si>
  <si>
    <t>2015-2-10 12:50:40.132: Algorithm - FindNextStrikes - price is 1.52315 nextStrikeUp/Down 1.525/1.52</t>
  </si>
  <si>
    <t>2015-2-10 12:50:40.132: Algorithm - getPortfolioForwardDelta - required deltas is 90 currentHedgePosition is 69</t>
  </si>
  <si>
    <t>2015-2-10 12:50:40.132: Algorithm - getHedgeShortfall - required deltas is 90 price is 1.52325 currentHedgePositionDeltas is 69</t>
  </si>
  <si>
    <t>2015-2-10 12:50:40.132: Algorithm - processTransitionPoint - nextUpper/LowerStrikes are 1.525/1.52 requiredDeltas/currentPosition/currentHedgeShortfall/direction/transitionPrice are 90/69/21/1/1.52325</t>
  </si>
  <si>
    <t>2015-2-10 12:50:40.132: TransitionLogger - processTransitionpoint - checking transition - currentHedgeShortfall is 21</t>
  </si>
  <si>
    <t>2015-2-10 12:50:40.132: Algorithm - rehedge - rehedging 21 contracts</t>
  </si>
  <si>
    <t>2015-2-10 12:50:40.132: Algorithm - rehedge - Need to place order but already have a working order - workingQty is 5 working order count -1</t>
  </si>
  <si>
    <t>2015-2-10 12:50:40.132: Algorithm - updatePortfolio - haveAllDetails is True</t>
  </si>
  <si>
    <t>2015-2-10 12:50:40.164: Algorithm - FindNextStrikes - price is 1.52315 nextStrikeUp/Down 1.525/1.52</t>
  </si>
  <si>
    <t>2015-2-10 12:50:40.164: Algorithm - getPortfolioForwardDelta - required deltas is 90 currentHedgePosition is 69</t>
  </si>
  <si>
    <t>2015-2-10 12:50:40.164: Algorithm - getHedgeShortfall - required deltas is 90 price is 1.52325 currentHedgePositionDeltas is 69</t>
  </si>
  <si>
    <t>2015-2-10 12:50:40.164: Algorithm - processTransitionPoint - nextUpper/LowerStrikes are 1.525/1.52 requiredDeltas/currentPosition/currentHedgeShortfall/direction/transitionPrice are 90/69/21/1/1.52325</t>
  </si>
  <si>
    <t>2015-2-10 12:50:40.164: TransitionLogger - processTransitionpoint - checking transition - currentHedgeShortfall is 21</t>
  </si>
  <si>
    <t>2015-2-10 12:50:40.164: Algorithm - rehedge - rehedging 21 contracts</t>
  </si>
  <si>
    <t>2015-2-10 12:50:40.164: Algorithm - rehedge - Need to place order but already have a working order - workingQty is 5 working order count -1</t>
  </si>
  <si>
    <t>2015-2-10 12:50:40.164: Algorithm - updatePortfolio - haveAllDetails is True</t>
  </si>
  <si>
    <t>2015-2-10 12:50:40.195: Algorithm - FindNextStrikes - price is 1.52315 nextStrikeUp/Down 1.525/1.52</t>
  </si>
  <si>
    <t>2015-2-10 12:50:40.195: Algorithm - getPortfolioForwardDelta - required deltas is 90 currentHedgePosition is 69</t>
  </si>
  <si>
    <t>2015-2-10 12:50:40.195: Algorithm - getHedgeShortfall - required deltas is 90 price is 1.52325 currentHedgePositionDeltas is 69</t>
  </si>
  <si>
    <t>2015-2-10 12:50:40.195: Algorithm - processTransitionPoint - nextUpper/LowerStrikes are 1.525/1.52 requiredDeltas/currentPosition/currentHedgeShortfall/direction/transitionPrice are 90/69/21/1/1.52325</t>
  </si>
  <si>
    <t>2015-2-10 12:50:40.195: TransitionLogger - processTransitionpoint - checking transition - currentHedgeShortfall is 21</t>
  </si>
  <si>
    <t>2015-2-10 12:50:40.210: Algorithm - rehedge - rehedging 21 contracts</t>
  </si>
  <si>
    <t>2015-2-10 12:50:40.210: Algorithm - rehedge - Need to place order but already have a working order - workingQty is 5 working order count -1</t>
  </si>
  <si>
    <t>2015-2-10 12:50:40.210: Algorithm - updatePortfolio - haveAllDetails is True</t>
  </si>
  <si>
    <t>2015-2-10 12:50:40.226: Algorithm - FindNextStrikes - price is 1.52315 nextStrikeUp/Down 1.525/1.52</t>
  </si>
  <si>
    <t>2015-2-10 12:50:40.226: Algorithm - getPortfolioForwardDelta - required deltas is 90 currentHedgePosition is 69</t>
  </si>
  <si>
    <t>2015-2-10 12:50:40.226: Algorithm - getHedgeShortfall - required deltas is 90 price is 1.52325 currentHedgePositionDeltas is 69</t>
  </si>
  <si>
    <t>2015-2-10 12:50:40.226: Algorithm - processTransitionPoint - nextUpper/LowerStrikes are 1.525/1.52 requiredDeltas/currentPosition/currentHedgeShortfall/direction/transitionPrice are 90/69/21/1/1.52325</t>
  </si>
  <si>
    <t>2015-2-10 12:50:40.226: TransitionLogger - processTransitionpoint - checking transition - currentHedgeShortfall is 21</t>
  </si>
  <si>
    <t>2015-2-10 12:50:40.226: Algorithm - rehedge - rehedging 21 contracts</t>
  </si>
  <si>
    <t>2015-2-10 12:50:40.226: Algorithm - rehedge - Need to place order but already have a working order - workingQty is 5 working order count -1</t>
  </si>
  <si>
    <t>2015-2-10 12:50:40.226: Algorithm - updatePortfolio - haveAllDetails is True</t>
  </si>
  <si>
    <t>2015-2-10 12:50:40.273: Algorithm - rehedge - rehedging 21 contracts</t>
  </si>
  <si>
    <t>2015-2-10 12:50:40.273: Algorithm - rehedge - Need to place order but already have a working order - workingQty is 5 working order count -1</t>
  </si>
  <si>
    <t>2015-2-10 12:50:40.476: RTWSControl - nextValidId - entering nextValidId id is 8818</t>
  </si>
  <si>
    <t>2015-2-10 12:50:40.476: Algorithm - rehedge - rehedging 21 contracts</t>
  </si>
  <si>
    <t>2015-2-10 12:50:40.476: Algorithm - rehedge - Need to place order but already have a working order - workingQty is 5 working order count -1</t>
  </si>
  <si>
    <t>2015-2-10 12:50:40.507: openOrderEx - I am here</t>
  </si>
  <si>
    <t>2015-2-10 12:50:40.522: RTWSControl - orderStatus -  entering orderStatus id is 8817 status is Submitted</t>
  </si>
  <si>
    <t>2015-2-10 12:50:40.522: OrderManager - UpdateOrderStatus - id 8817 Setting status to Submitted workingOrderCount is now -1 workingQty 5</t>
  </si>
  <si>
    <t>2015-2-10 12:50:40.522: RTWSControl - OrderStatus - Got OrderStatus Message id:8817 status: Submitted filled: 0</t>
  </si>
  <si>
    <t>2015-2-10 12:50:40.522: RTWSControl - OrderStatus - exiting orderStatus</t>
  </si>
  <si>
    <t>2015-2-10 12:50:46.138: RTWSControl - execDetails -  entering execDetailsEx execution id is 0001f4e5.54d95413.01.01 shares/cumQty is 1/1</t>
  </si>
  <si>
    <t>2015-2-10 12:50:46.138: Algorithm - FindNextStrikes - price is 1.52325 nextStrikeUp/Down 1.525/1.52</t>
  </si>
  <si>
    <t>2015-2-10 12:50:46.138: Algorithm - getPortfolioForwardDelta - required deltas is 90 currentHedgePosition is 70</t>
  </si>
  <si>
    <t>2015-2-10 12:50:46.138: Algorithm - getHedgeShortfall - required deltas is 90 price is 1.52335 currentHedgePositionDeltas is 70</t>
  </si>
  <si>
    <t>2015-2-10 12:50:46.138: Algorithm - processTransitionPoint - nextUpper/LowerStrikes are 1.525/1.52 requiredDeltas/currentPosition/currentHedgeShortfall/direction/transitionPrice are 90/70/20/1/1.52335</t>
  </si>
  <si>
    <t>2015-2-10 12:50:46.138: TransitionLogger - processTransitionpoint - checking transition - currentHedgeShortfall is 20</t>
  </si>
  <si>
    <t>2015-2-10 12:50:46.138: OrderManager - updateExecution - got a fill for id 8817 qty 1 side BOT price 1.5232 - new working order size is 4 new instrument.qty is 70</t>
  </si>
  <si>
    <t>0001f4e5.54d95413.01.01</t>
  </si>
  <si>
    <t>20150210  12:50:47</t>
  </si>
  <si>
    <t>2015-2-10 12:50:46.154: OrderManagerView - UpdateExecutionView - entering updateExecutionView  executionId is 0001f4e5.54d95413.01.01</t>
  </si>
  <si>
    <t>2015-2-10 12:50:46.154: OrderManagerView - updateExecutionView -  exiting UpdateExecutionView</t>
  </si>
  <si>
    <t>2015-2-10 12:50:46.154: RTWSControl - execDetails -  exiting execDetailsEx</t>
  </si>
  <si>
    <t>2015-2-10 12:50:46.154: RTWSControl - execDetails - Got execution Message id:-1</t>
  </si>
  <si>
    <t>2015-2-10 12:50:46.170: openOrderEx - I am here</t>
  </si>
  <si>
    <t>2015-2-10 12:50:46.185: RTWSControl - orderStatus -  entering orderStatus id is 8817 status is Submitted</t>
  </si>
  <si>
    <t>2015-2-10 12:50:46.185: OrderManager - UpdateOrderStatus - id 8817 Setting status to Submitted workingOrderCount is now -1 workingQty 4</t>
  </si>
  <si>
    <t>2015-2-10 12:50:46.185: RTWSControl - OrderStatus - Got OrderStatus Message id:8817 status: Submitted filled: 1</t>
  </si>
  <si>
    <t>2015-2-10 12:50:46.185: RTWSControl - OrderStatus - exiting orderStatus</t>
  </si>
  <si>
    <t>2015-2-10 12:50:46.232: Algorithm - rehedge - rehedging 20 contracts</t>
  </si>
  <si>
    <t>2015-2-10 12:50:46.232: Algorithm - rehedge - Need to place order but already have a working order - workingQty is 4 working order count -1</t>
  </si>
  <si>
    <t>2015-2-10 12:50:46.404: Algorithm - rehedge - rehedging 20 contracts</t>
  </si>
  <si>
    <t>2015-2-10 12:50:46.404: Algorithm - rehedge - Need to place order but already have a working order - workingQty is 4 working order count -1</t>
  </si>
  <si>
    <t>2015-2-10 12:50:46.450: RTWSControl - execDetails -  entering execDetailsEx execution id is 0001f4e5.54d95414.01.01 shares/cumQty is 4/5</t>
  </si>
  <si>
    <t>2015-2-10 12:50:46.450: Algorithm - FindNextStrikes - price is 1.52315 nextStrikeUp/Down 1.525/1.52</t>
  </si>
  <si>
    <t>2015-2-10 12:50:46.450: Algorithm - getPortfolioForwardDelta - required deltas is 90 currentHedgePosition is 74</t>
  </si>
  <si>
    <t>2015-2-10 12:50:46.450: Algorithm - getHedgeShortfall - required deltas is 90 price is 1.52325 currentHedgePositionDeltas is 74</t>
  </si>
  <si>
    <t>2015-2-10 12:50:46.450: Algorithm - processTransitionPoint - nextUpper/LowerStrikes are 1.525/1.52 requiredDeltas/currentPosition/currentHedgeShortfall/direction/transitionPrice are 90/74/16/1/1.52325</t>
  </si>
  <si>
    <t>2015-2-10 12:50:46.450: TransitionLogger - processTransitionpoint - checking transition - currentHedgeShortfall is 16</t>
  </si>
  <si>
    <t>2015-2-10 12:50:46.450: OrderManager - updateExecution - got a fill for id 8817 qty 4 side BOT price 1.5232 - new working order size is 0 new instrument.qty is 74</t>
  </si>
  <si>
    <t>0001f4e5.54d95414.01.01</t>
  </si>
  <si>
    <t>2015-2-10 12:50:46.450: OrderManagerView - UpdateExecutionView - entering updateExecutionView  executionId is 0001f4e5.54d95414.01.01</t>
  </si>
  <si>
    <t>2015-2-10 12:50:46.450: OrderManagerView - updateExecutionView -  exiting UpdateExecutionView</t>
  </si>
  <si>
    <t>2015-2-10 12:50:46.450: RTWSControl - execDetails -  exiting execDetailsEx</t>
  </si>
  <si>
    <t>2015-2-10 12:50:46.450: RTWSControl - execDetails - Got execution Message id:-1</t>
  </si>
  <si>
    <t>2015-2-10 12:50:46.482: openOrderEx - I am here</t>
  </si>
  <si>
    <t>2015-2-10 12:50:46.482: RTWSControl - orderStatus -  entering orderStatus id is 8817 status is Filled</t>
  </si>
  <si>
    <t>2015-2-10 12:50:46.482: OrderManager - UpdateOrderStatus - id 8817 Setting status to Filled workingOrderCount is now -2 workingQty 0</t>
  </si>
  <si>
    <t>2015-2-10 12:50:46.482: OrderManager - terminateOrder - cleaning up after Filled 8817  order was supposed to BUY 5 1.5232 LMT workingQty/OrderCount now 0/-3</t>
  </si>
  <si>
    <t>2015-2-10 12:50:46.497: RTWSControl - OrderStatus - Got OrderStatus Message id:8817 status: Filled filled: 5</t>
  </si>
  <si>
    <t>2015-2-10 12:50:46.497: RTWSControl - OrderStatus - exiting orderStatus</t>
  </si>
  <si>
    <t>2015-2-10 12:50:46.497: openOrderEx - I am here</t>
  </si>
  <si>
    <t>2015-2-10 12:50:46.528: RTWSControl - orderStatus -  entering orderStatus id is 8817 status is Filled</t>
  </si>
  <si>
    <t>2015-2-10 12:50:46.528: OrderManager - UpdateOrderStatus - id 8817 Setting status to Filled workingOrderCount is now -3 workingQty 0</t>
  </si>
  <si>
    <t>2015-2-10 12:50:46.528: OrderManager - terminateOrder - cleaning up after Filled 8817  order was supposed to BUY 5 1.5232 LMT workingQty/OrderCount now 0/-4</t>
  </si>
  <si>
    <t>2015-2-10 12:50:46.528: RTWSControl - OrderStatus - Got OrderStatus Message id:8817 status: Filled filled: 5</t>
  </si>
  <si>
    <t>2015-2-10 12:50:46.528: RTWSControl - OrderStatus - exiting orderStatus</t>
  </si>
  <si>
    <t>2015-2-10 12:50:46.528: openOrderEx - I am here</t>
  </si>
  <si>
    <t>2015-2-10 12:50:46.544: RTWSControl - orderStatus -  entering orderStatus id is 8817 status is Filled</t>
  </si>
  <si>
    <t>2015-2-10 12:50:46.544: OrderManager - UpdateOrderStatus - id 8817 Setting status to Filled workingOrderCount is now -4 workingQty 0</t>
  </si>
  <si>
    <t>2015-2-10 12:50:46.544: OrderManager - terminateOrder - cleaning up after Filled 8817  order was supposed to BUY 5 1.5232 LMT workingQty/OrderCount now 0/-5</t>
  </si>
  <si>
    <t>2015-2-10 12:50:46.544: RTWSControl - OrderStatus - Got OrderStatus Message id:8817 status: Filled filled: 5</t>
  </si>
  <si>
    <t>2015-2-10 12:50:46.544: RTWSControl - OrderStatus - exiting orderStatus</t>
  </si>
  <si>
    <t>2015-2-10 12:50:48.120: Algorithm - FindNextStrikes - price is 1.52315 nextStrikeUp/Down 1.525/1.52</t>
  </si>
  <si>
    <t>2015-2-10 12:50:48.120: Algorithm - getPortfolioForwardDelta - required deltas is 90 currentHedgePosition is 74</t>
  </si>
  <si>
    <t>2015-2-10 12:50:48.120: Algorithm - getHedgeShortfall - required deltas is 90 price is 1.52325 currentHedgePositionDeltas is 74</t>
  </si>
  <si>
    <t>2015-2-10 12:50:48.120: Algorithm - processTransitionPoint - nextUpper/LowerStrikes are 1.525/1.52 requiredDeltas/currentPosition/currentHedgeShortfall/direction/transitionPrice are 90/74/16/1/1.52325</t>
  </si>
  <si>
    <t>2015-2-10 12:50:48.120: TransitionLogger - processTransitionpoint - checking transition - currentHedgeShortfall is 16</t>
  </si>
  <si>
    <t>2015-2-10 12:50:48.120: Algorithm - rehedge - rehedging 16 contracts</t>
  </si>
  <si>
    <t>2015-2-10 12:50:48.120: Algortihm - rehedge - inside the loop</t>
  </si>
  <si>
    <t>2015-2-10 12:50:48.120: OrderManager - PlaceOrder - id 8818 workingQty 5</t>
  </si>
  <si>
    <t>2015-2-10 12:50:48.120: OrderManager - sendOrder - exiting place order id 8818 BUY 5 1.5232  - workingQty 5 currentPosition is 74 workingOrderCount is -4</t>
  </si>
  <si>
    <t>2015-2-10 12:50:48.120: Algorithm - rehedge - placing an order - orderSize is 5 workingQty is 5 working order count -4</t>
  </si>
  <si>
    <t>2015-2-10 12:50:48.120: Algorithm - updatePortfolio - haveAllDetails is True</t>
  </si>
  <si>
    <t>2015-2-10 12:50:48.135: Algorithm - FindNextStrikes - price is 1.52315 nextStrikeUp/Down 1.525/1.52</t>
  </si>
  <si>
    <t>2015-2-10 12:50:48.135: Algorithm - getPortfolioForwardDelta - required deltas is 90 currentHedgePosition is 74</t>
  </si>
  <si>
    <t>2015-2-10 12:50:48.135: Algorithm - getHedgeShortfall - required deltas is 90 price is 1.52325 currentHedgePositionDeltas is 74</t>
  </si>
  <si>
    <t>2015-2-10 12:50:48.135: Algorithm - processTransitionPoint - nextUpper/LowerStrikes are 1.525/1.52 requiredDeltas/currentPosition/currentHedgeShortfall/direction/transitionPrice are 90/74/16/1/1.52325</t>
  </si>
  <si>
    <t>2015-2-10 12:50:48.135: TransitionLogger - processTransitionpoint - checking transition - currentHedgeShortfall is 16</t>
  </si>
  <si>
    <t>2015-2-10 12:50:48.135: Algorithm - rehedge - rehedging 16 contracts</t>
  </si>
  <si>
    <t>2015-2-10 12:50:48.135: Algorithm - rehedge - Need to place order but already have a working order - workingQty is 5 working order count -4</t>
  </si>
  <si>
    <t>2015-2-10 12:50:48.135: Algorithm - updatePortfolio - haveAllDetails is True</t>
  </si>
  <si>
    <t>2015-2-10 12:50:48.182: Algorithm - FindNextStrikes - price is 1.52315 nextStrikeUp/Down 1.525/1.52</t>
  </si>
  <si>
    <t>2015-2-10 12:50:48.182: Algorithm - getPortfolioForwardDelta - required deltas is 90 currentHedgePosition is 74</t>
  </si>
  <si>
    <t>2015-2-10 12:50:48.182: Algorithm - getHedgeShortfall - required deltas is 90 price is 1.52325 currentHedgePositionDeltas is 74</t>
  </si>
  <si>
    <t>2015-2-10 12:50:48.182: Algorithm - processTransitionPoint - nextUpper/LowerStrikes are 1.525/1.52 requiredDeltas/currentPosition/currentHedgeShortfall/direction/transitionPrice are 90/74/16/1/1.52325</t>
  </si>
  <si>
    <t>2015-2-10 12:50:48.182: TransitionLogger - processTransitionpoint - checking transition - currentHedgeShortfall is 16</t>
  </si>
  <si>
    <t>2015-2-10 12:50:48.182: Algorithm - rehedge - rehedging 16 contracts</t>
  </si>
  <si>
    <t>2015-2-10 12:50:48.182: Algorithm - rehedge - Need to place order but already have a working order - workingQty is 5 working order count -4</t>
  </si>
  <si>
    <t>2015-2-10 12:50:48.182: Algorithm - updatePortfolio - haveAllDetails is True</t>
  </si>
  <si>
    <t>2015-2-10 12:50:48.198: Algorithm - FindNextStrikes - price is 1.52315 nextStrikeUp/Down 1.525/1.52</t>
  </si>
  <si>
    <t>2015-2-10 12:50:48.198: Algorithm - getPortfolioForwardDelta - required deltas is 90 currentHedgePosition is 74</t>
  </si>
  <si>
    <t>2015-2-10 12:50:48.213: Algorithm - getHedgeShortfall - required deltas is 90 price is 1.52325 currentHedgePositionDeltas is 74</t>
  </si>
  <si>
    <t>2015-2-10 12:50:48.213: Algorithm - processTransitionPoint - nextUpper/LowerStrikes are 1.525/1.52 requiredDeltas/currentPosition/currentHedgeShortfall/direction/transitionPrice are 90/74/16/1/1.52325</t>
  </si>
  <si>
    <t>2015-2-10 12:50:48.213: TransitionLogger - processTransitionpoint - checking transition - currentHedgeShortfall is 16</t>
  </si>
  <si>
    <t>2015-2-10 12:50:48.213: Algorithm - rehedge - rehedging 16 contracts</t>
  </si>
  <si>
    <t>2015-2-10 12:50:48.213: Algorithm - rehedge - Need to place order but already have a working order - workingQty is 5 working order count -4</t>
  </si>
  <si>
    <t>2015-2-10 12:50:48.213: Algorithm - updatePortfolio - haveAllDetails is True</t>
  </si>
  <si>
    <t>2015-2-10 12:50:48.276: Algorithm - rehedge - rehedging 16 contracts</t>
  </si>
  <si>
    <t>2015-2-10 12:50:48.276: Algorithm - rehedge - Need to place order but already have a working order - workingQty is 5 working order count -4</t>
  </si>
  <si>
    <t>2015-2-10 12:50:48.322: Algorithm - rehedge - rehedging 16 contracts</t>
  </si>
  <si>
    <t>2015-2-10 12:50:48.322: Algorithm - rehedge - Need to place order but already have a working order - workingQty is 5 working order count -4</t>
  </si>
  <si>
    <t>2015-2-10 12:50:48.619: RTWSControl - nextValidId - entering nextValidId id is 8819</t>
  </si>
  <si>
    <t>2015-2-10 12:50:48.712: RTWSControl - execDetails -  entering execDetailsEx execution id is 0001f4e5.54d95415.01.01 shares/cumQty is 5/5</t>
  </si>
  <si>
    <t>2015-2-10 12:50:48.712: Algorithm - FindNextStrikes - price is 1.52305 nextStrikeUp/Down 1.525/1.52</t>
  </si>
  <si>
    <t>2015-2-10 12:50:48.712: Algorithm - getPortfolioForwardDelta - required deltas is 90 currentHedgePosition is 79</t>
  </si>
  <si>
    <t>2015-2-10 12:50:48.712: Algorithm - getHedgeShortfall - required deltas is 90 price is 1.52315 currentHedgePositionDeltas is 79</t>
  </si>
  <si>
    <t>2015-2-10 12:50:48.728: Algorithm - processTransitionPoint - nextUpper/LowerStrikes are 1.525/1.52 requiredDeltas/currentPosition/currentHedgeShortfall/direction/transitionPrice are 90/79/11/1/1.52315</t>
  </si>
  <si>
    <t>2015-2-10 12:50:48.728: TransitionLogger - processTransitionpoint - checking transition - currentHedgeShortfall is 11</t>
  </si>
  <si>
    <t>2015-2-10 12:50:48.728: OrderManager - updateExecution - got a fill for id 8818 qty 5 side BOT price 1.5231 - new working order size is 0 new instrument.qty is 79</t>
  </si>
  <si>
    <t>0001f4e5.54d95415.01.01</t>
  </si>
  <si>
    <t>20150210  12:50:49</t>
  </si>
  <si>
    <t>2015-2-10 12:50:48.728: OrderManagerView - UpdateExecutionView - entering updateExecutionView  executionId is 0001f4e5.54d95415.01.01</t>
  </si>
  <si>
    <t>2015-2-10 12:50:48.728: OrderManagerView - updateExecutionView -  exiting UpdateExecutionView</t>
  </si>
  <si>
    <t>2015-2-10 12:50:48.728: RTWSControl - execDetails -  exiting execDetailsEx</t>
  </si>
  <si>
    <t>2015-2-10 12:50:48.728: RTWSControl - execDetails - Got execution Message id:-1</t>
  </si>
  <si>
    <t>2015-2-10 12:50:48.728: openOrderEx - I am here</t>
  </si>
  <si>
    <t>2015-2-10 12:50:48.728: RTWSControl - orderStatus -  entering orderStatus id is 8818 status is Filled</t>
  </si>
  <si>
    <t>2015-2-10 12:50:48.728: OrderManager - UpdateOrderStatus - id 8818 Setting status to Filled workingOrderCount is now -5 workingQty 0</t>
  </si>
  <si>
    <t>2015-2-10 12:50:48.728: OrderManager - terminateOrder - cleaning up after Filled 8818  order was supposed to BUY 5 1.5232 LMT workingQty/OrderCount now 0/-6</t>
  </si>
  <si>
    <t>2015-2-10 12:50:48.744: RTWSControl - OrderStatus - Got OrderStatus Message id:8818 status: Filled filled: 5</t>
  </si>
  <si>
    <t>2015-2-10 12:50:48.744: RTWSControl - OrderStatus - exiting orderStatus</t>
  </si>
  <si>
    <t>2015-2-10 12:50:49.9: openOrderEx - I am here</t>
  </si>
  <si>
    <t>2015-2-10 12:50:49.24: RTWSControl - orderStatus -  entering orderStatus id is 8818 status is Filled</t>
  </si>
  <si>
    <t>2015-2-10 12:50:49.24: OrderManager - UpdateOrderStatus - id 8818 Setting status to Filled workingOrderCount is now -6 workingQty 0</t>
  </si>
  <si>
    <t>2015-2-10 12:50:49.24: OrderManager - terminateOrder - cleaning up after Filled 8818  order was supposed to BUY 5 1.5232 LMT workingQty/OrderCount now 0/-7</t>
  </si>
  <si>
    <t>2015-2-10 12:50:49.24: RTWSControl - OrderStatus - Got OrderStatus Message id:8818 status: Filled filled: 5</t>
  </si>
  <si>
    <t>2015-2-10 12:50:49.24: RTWSControl - OrderStatus - exiting orderStatus</t>
  </si>
  <si>
    <t>2015-2-10 12:50:49.40: openOrderEx - I am here</t>
  </si>
  <si>
    <t>2015-2-10 12:50:49.40: RTWSControl - orderStatus -  entering orderStatus id is 8818 status is Filled</t>
  </si>
  <si>
    <t>2015-2-10 12:50:49.40: OrderManager - UpdateOrderStatus - id 8818 Setting status to Filled workingOrderCount is now -7 workingQty 0</t>
  </si>
  <si>
    <t>2015-2-10 12:50:49.40: OrderManager - terminateOrder - cleaning up after Filled 8818  order was supposed to BUY 5 1.5232 LMT workingQty/OrderCount now 0/-8</t>
  </si>
  <si>
    <t>2015-2-10 12:50:49.40: RTWSControl - OrderStatus - Got OrderStatus Message id:8818 status: Filled filled: 5</t>
  </si>
  <si>
    <t>2015-2-10 12:50:49.40: RTWSControl - OrderStatus - exiting orderStatus</t>
  </si>
  <si>
    <t>2015-2-10 12:50:49.836: Algorithm - rehedge - rehedging 11 contracts</t>
  </si>
  <si>
    <t>2015-2-10 12:50:49.836: Algortihm - rehedge - inside the loop</t>
  </si>
  <si>
    <t>2015-2-10 12:50:49.836: OrderManager - PlaceOrder - id 8819 workingQty 5</t>
  </si>
  <si>
    <t>2015-2-10 12:50:49.836: OrderManager - sendOrder - exiting place order id 8819 BUY 5 1.523  - workingQty 5 currentPosition is 79 workingOrderCount is -7</t>
  </si>
  <si>
    <t>2015-2-10 12:50:49.836: Algorithm - rehedge - placing an order - orderSize is 5 workingQty is 5 working order count -7</t>
  </si>
  <si>
    <t>2015-2-10 12:50:50.210: Algorithm - FindNextStrikes - price is 1.5231 nextStrikeUp/Down 1.525/1.52</t>
  </si>
  <si>
    <t>2015-2-10 12:50:50.210: Algorithm - getPortfolioForwardDelta - required deltas is 90 currentHedgePosition is 79</t>
  </si>
  <si>
    <t>2015-2-10 12:50:50.210: Algorithm - getHedgeShortfall - required deltas is 90 price is 1.5232 currentHedgePositionDeltas is 79</t>
  </si>
  <si>
    <t>2015-2-10 12:50:50.210: Algorithm - processTransitionPoint - nextUpper/LowerStrikes are 1.525/1.52 requiredDeltas/currentPosition/currentHedgeShortfall/direction/transitionPrice are 90/79/11/1/1.5232</t>
  </si>
  <si>
    <t>2015-2-10 12:50:50.210: TransitionLogger - processTransitionpoint - checking transition - currentHedgeShortfall is 11</t>
  </si>
  <si>
    <t>2015-2-10 12:50:50.210: Algorithm - rehedge - rehedging 11 contracts</t>
  </si>
  <si>
    <t>2015-2-10 12:50:50.210: Algorithm - rehedge - Need to place order but already have a working order - workingQty is 5 working order count -7</t>
  </si>
  <si>
    <t>2015-2-10 12:50:50.210: Algorithm - updatePortfolio - haveAllDetails is True</t>
  </si>
  <si>
    <t>2015-2-10 12:50:50.226: Algorithm - FindNextStrikes - price is 1.5231 nextStrikeUp/Down 1.525/1.52</t>
  </si>
  <si>
    <t>2015-2-10 12:50:50.226: Algorithm - getPortfolioForwardDelta - required deltas is 90 currentHedgePosition is 79</t>
  </si>
  <si>
    <t>2015-2-10 12:50:50.226: Algorithm - getHedgeShortfall - required deltas is 90 price is 1.5232 currentHedgePositionDeltas is 79</t>
  </si>
  <si>
    <t>2015-2-10 12:50:50.226: Algorithm - processTransitionPoint - nextUpper/LowerStrikes are 1.525/1.52 requiredDeltas/currentPosition/currentHedgeShortfall/direction/transitionPrice are 90/79/11/1/1.5232</t>
  </si>
  <si>
    <t>2015-2-10 12:50:50.226: TransitionLogger - processTransitionpoint - checking transition - currentHedgeShortfall is 11</t>
  </si>
  <si>
    <t>2015-2-10 12:50:50.226: Algorithm - rehedge - rehedging 11 contracts</t>
  </si>
  <si>
    <t>2015-2-10 12:50:50.226: Algorithm - rehedge - Need to place order but already have a working order - workingQty is 5 working order count -7</t>
  </si>
  <si>
    <t>2015-2-10 12:50:50.226: Algorithm - updatePortfolio - haveAllDetails is True</t>
  </si>
  <si>
    <t>2015-2-10 12:50:50.257: Algorithm - FindNextStrikes - price is 1.5231 nextStrikeUp/Down 1.525/1.52</t>
  </si>
  <si>
    <t>2015-2-10 12:50:50.257: Algorithm - getPortfolioForwardDelta - required deltas is 90 currentHedgePosition is 79</t>
  </si>
  <si>
    <t>2015-2-10 12:50:50.257: Algorithm - getHedgeShortfall - required deltas is 90 price is 1.5232 currentHedgePositionDeltas is 79</t>
  </si>
  <si>
    <t>2015-2-10 12:50:50.257: Algorithm - processTransitionPoint - nextUpper/LowerStrikes are 1.525/1.52 requiredDeltas/currentPosition/currentHedgeShortfall/direction/transitionPrice are 90/79/11/1/1.5232</t>
  </si>
  <si>
    <t>2015-2-10 12:50:50.257: TransitionLogger - processTransitionpoint - checking transition - currentHedgeShortfall is 11</t>
  </si>
  <si>
    <t>2015-2-10 12:50:50.257: Algorithm - rehedge - rehedging 11 contracts</t>
  </si>
  <si>
    <t>2015-2-10 12:50:50.257: Algorithm - rehedge - Need to place order but already have a working order - workingQty is 5 working order count -7</t>
  </si>
  <si>
    <t>2015-2-10 12:50:50.257: Algorithm - updatePortfolio - haveAllDetails is True</t>
  </si>
  <si>
    <t>2015-2-10 12:50:50.288: Algorithm - FindNextStrikes - price is 1.5231 nextStrikeUp/Down 1.525/1.52</t>
  </si>
  <si>
    <t>2015-2-10 12:50:50.288: Algorithm - getPortfolioForwardDelta - required deltas is 90 currentHedgePosition is 79</t>
  </si>
  <si>
    <t>2015-2-10 12:50:50.288: Algorithm - getHedgeShortfall - required deltas is 90 price is 1.5232 currentHedgePositionDeltas is 79</t>
  </si>
  <si>
    <t>2015-2-10 12:50:50.288: Algorithm - processTransitionPoint - nextUpper/LowerStrikes are 1.525/1.52 requiredDeltas/currentPosition/currentHedgeShortfall/direction/transitionPrice are 90/79/11/1/1.5232</t>
  </si>
  <si>
    <t>2015-2-10 12:50:50.288: TransitionLogger - processTransitionpoint - checking transition - currentHedgeShortfall is 11</t>
  </si>
  <si>
    <t>2015-2-10 12:50:50.288: Algorithm - rehedge - rehedging 11 contracts</t>
  </si>
  <si>
    <t>2015-2-10 12:50:50.288: Algorithm - rehedge - Need to place order but already have a working order - workingQty is 5 working order count -7</t>
  </si>
  <si>
    <t>2015-2-10 12:50:50.288: Algorithm - updatePortfolio - haveAllDetails is True</t>
  </si>
  <si>
    <t>2015-2-10 12:50:50.335: Algorithm - FindNextStrikes - price is 1.5231 nextStrikeUp/Down 1.525/1.52</t>
  </si>
  <si>
    <t>2015-2-10 12:50:50.335: Algorithm - getPortfolioForwardDelta - required deltas is 90 currentHedgePosition is 79</t>
  </si>
  <si>
    <t>2015-2-10 12:50:50.335: Algorithm - getHedgeShortfall - required deltas is 90 price is 1.5232 currentHedgePositionDeltas is 79</t>
  </si>
  <si>
    <t>2015-2-10 12:50:50.335: Algorithm - processTransitionPoint - nextUpper/LowerStrikes are 1.525/1.52 requiredDeltas/currentPosition/currentHedgeShortfall/direction/transitionPrice are 90/79/11/1/1.5232</t>
  </si>
  <si>
    <t>2015-2-10 12:50:50.335: TransitionLogger - processTransitionpoint - checking transition - currentHedgeShortfall is 11</t>
  </si>
  <si>
    <t>2015-2-10 12:50:50.335: Algorithm - rehedge - rehedging 11 contracts</t>
  </si>
  <si>
    <t>2015-2-10 12:50:50.335: Algorithm - rehedge - Need to place order but already have a working order - workingQty is 5 working order count -7</t>
  </si>
  <si>
    <t>2015-2-10 12:50:50.335: Algorithm - updatePortfolio - haveAllDetails is True</t>
  </si>
  <si>
    <t>2015-2-10 12:50:50.350: Algorithm - FindNextStrikes - price is 1.5231 nextStrikeUp/Down 1.525/1.52</t>
  </si>
  <si>
    <t>2015-2-10 12:50:50.350: Algorithm - getPortfolioForwardDelta - required deltas is 90 currentHedgePosition is 79</t>
  </si>
  <si>
    <t>2015-2-10 12:50:50.350: Algorithm - getHedgeShortfall - required deltas is 90 price is 1.5232 currentHedgePositionDeltas is 79</t>
  </si>
  <si>
    <t>2015-2-10 12:50:50.350: Algorithm - processTransitionPoint - nextUpper/LowerStrikes are 1.525/1.52 requiredDeltas/currentPosition/currentHedgeShortfall/direction/transitionPrice are 90/79/11/1/1.5232</t>
  </si>
  <si>
    <t>2015-2-10 12:50:50.350: TransitionLogger - processTransitionpoint - checking transition - currentHedgeShortfall is 11</t>
  </si>
  <si>
    <t>2015-2-10 12:50:50.350: Algorithm - rehedge - rehedging 11 contracts</t>
  </si>
  <si>
    <t>2015-2-10 12:50:50.350: Algorithm - rehedge - Need to place order but already have a working order - workingQty is 5 working order count -7</t>
  </si>
  <si>
    <t>2015-2-10 12:50:50.350: Algorithm - updatePortfolio - haveAllDetails is True</t>
  </si>
  <si>
    <t>2015-2-10 12:50:50.397: Algorithm - rehedge - rehedging 11 contracts</t>
  </si>
  <si>
    <t>2015-2-10 12:50:50.397: Algorithm - rehedge - Need to place order but already have a working order - workingQty is 5 working order count -7</t>
  </si>
  <si>
    <t>2015-2-10 12:50:50.553: RTWSControl - nextValidId - entering nextValidId id is 8820</t>
  </si>
  <si>
    <t>2015-2-10 12:50:50.569: openOrderEx - I am here</t>
  </si>
  <si>
    <t>2015-2-10 12:50:50.584: RTWSControl - orderStatus -  entering orderStatus id is 8819 status is Submitted</t>
  </si>
  <si>
    <t>2015-2-10 12:50:50.584: OrderManager - UpdateOrderStatus - id 8819 Setting status to Submitted workingOrderCount is now -7 workingQty 5</t>
  </si>
  <si>
    <t>2015-2-10 12:50:50.584: RTWSControl - OrderStatus - Got OrderStatus Message id:8819 status: Submitted filled: 0</t>
  </si>
  <si>
    <t>2015-2-10 12:50:50.584: RTWSControl - OrderStatus - exiting orderStatus</t>
  </si>
  <si>
    <t>2015-2-10 12:50:52.802: Algorithm - rehedge - rehedging 11 contracts</t>
  </si>
  <si>
    <t>2015-2-10 12:50:52.802: Algorithm - rehedge - Need to place order but already have a working order - workingQty is 5 working order count -7</t>
  </si>
  <si>
    <t>2015-2-10 12:50:54.876: Algorithm - FindNextStrikes - price is 1.5231 nextStrikeUp/Down 1.525/1.52</t>
  </si>
  <si>
    <t>2015-2-10 12:50:54.876: Algorithm - getPortfolioForwardDelta - required deltas is 90 currentHedgePosition is 79</t>
  </si>
  <si>
    <t>2015-2-10 12:50:54.876: Algorithm - getHedgeShortfall - required deltas is 90 price is 1.5232 currentHedgePositionDeltas is 79</t>
  </si>
  <si>
    <t>2015-2-10 12:50:54.876: Algorithm - processTransitionPoint - nextUpper/LowerStrikes are 1.525/1.52 requiredDeltas/currentPosition/currentHedgeShortfall/direction/transitionPrice are 90/79/11/1/1.5232</t>
  </si>
  <si>
    <t>2015-2-10 12:50:54.876: TransitionLogger - processTransitionpoint - checking transition - currentHedgeShortfall is 11</t>
  </si>
  <si>
    <t>2015-2-10 12:50:54.876: Algorithm - rehedge - rehedging 11 contracts</t>
  </si>
  <si>
    <t>2015-2-10 12:50:54.876: Algorithm - rehedge - Need to place order but already have a working order - workingQty is 5 working order count -7</t>
  </si>
  <si>
    <t>2015-2-10 12:50:54.876: Algorithm - updatePortfolio - haveAllDetails is True</t>
  </si>
  <si>
    <t>2015-2-10 12:50:54.923: Algorithm - FindNextStrikes - price is 1.5231 nextStrikeUp/Down 1.525/1.52</t>
  </si>
  <si>
    <t>2015-2-10 12:50:54.923: Algorithm - getPortfolioForwardDelta - required deltas is 90 currentHedgePosition is 79</t>
  </si>
  <si>
    <t>2015-2-10 12:50:54.923: Algorithm - getHedgeShortfall - required deltas is 90 price is 1.5232 currentHedgePositionDeltas is 79</t>
  </si>
  <si>
    <t>2015-2-10 12:50:54.923: Algorithm - processTransitionPoint - nextUpper/LowerStrikes are 1.525/1.52 requiredDeltas/currentPosition/currentHedgeShortfall/direction/transitionPrice are 90/79/11/1/1.5232</t>
  </si>
  <si>
    <t>2015-2-10 12:50:54.923: TransitionLogger - processTransitionpoint - checking transition - currentHedgeShortfall is 11</t>
  </si>
  <si>
    <t>2015-2-10 12:50:54.923: Algorithm - rehedge - rehedging 11 contracts</t>
  </si>
  <si>
    <t>2015-2-10 12:50:54.923: Algorithm - rehedge - Need to place order but already have a working order - workingQty is 5 working order count -7</t>
  </si>
  <si>
    <t>2015-2-10 12:50:54.923: Algorithm - updatePortfolio - haveAllDetails is True</t>
  </si>
  <si>
    <t>2015-2-10 12:50:54.954: Algorithm - FindNextStrikes - price is 1.5231 nextStrikeUp/Down 1.525/1.52</t>
  </si>
  <si>
    <t>2015-2-10 12:50:54.954: Algorithm - getPortfolioForwardDelta - required deltas is 90 currentHedgePosition is 79</t>
  </si>
  <si>
    <t>2015-2-10 12:50:54.954: Algorithm - getHedgeShortfall - required deltas is 90 price is 1.5232 currentHedgePositionDeltas is 79</t>
  </si>
  <si>
    <t>2015-2-10 12:50:54.954: Algorithm - processTransitionPoint - nextUpper/LowerStrikes are 1.525/1.52 requiredDeltas/currentPosition/currentHedgeShortfall/direction/transitionPrice are 90/79/11/1/1.5232</t>
  </si>
  <si>
    <t>2015-2-10 12:50:54.954: TransitionLogger - processTransitionpoint - checking transition - currentHedgeShortfall is 11</t>
  </si>
  <si>
    <t>2015-2-10 12:50:54.954: Algorithm - rehedge - rehedging 11 contracts</t>
  </si>
  <si>
    <t>2015-2-10 12:50:54.954: Algorithm - rehedge - Need to place order but already have a working order - workingQty is 5 working order count -7</t>
  </si>
  <si>
    <t>2015-2-10 12:50:54.970: Algorithm - updatePortfolio - haveAllDetails is True</t>
  </si>
  <si>
    <t>2015-2-10 12:50:55.220: OrderManager - cancelOrder - cancelling order id 8819</t>
  </si>
  <si>
    <t>2015-2-10 12:50:55.220: Algorithm - checkWorkingOrders - cancelling BUY - orderPrice 1.523 too far from marketPrice 1.52315</t>
  </si>
  <si>
    <t>2015-2-10 12:50:55.220: Algorithm - rehedge - rehedging 11 contracts</t>
  </si>
  <si>
    <t>2015-2-10 12:50:55.220: Algorithm - rehedge - Need to place order but already have a working order - workingQty is 5 working order count -7</t>
  </si>
  <si>
    <t>2015-2-10 12:50:55.329: RTWSControl - orderStatus -  entering orderStatus id is 8819 status is Cancelled</t>
  </si>
  <si>
    <t>2015-2-10 12:50:55.329: OrderManager - UpdateOrderStatus - id 8819 Setting status to Cancelled workingOrderCount is now -7 workingQty 5</t>
  </si>
  <si>
    <t>2015-2-10 12:50:55.329: RTWSControl - OrderStatus - Got OrderStatus Message id:8819 status: Cancelled filled: 0</t>
  </si>
  <si>
    <t>2015-2-10 12:50:55.329: RTWSControl - OrderStatus - exiting orderStatus</t>
  </si>
  <si>
    <t>2015-2-10 12:50:55.329: RTWSControl - errMsg - got error message 202:Order Canceled - reason:with id 8819</t>
  </si>
  <si>
    <t>2015-2-10 12:50:55.329: OrderManager - canceledOrder - cleaning up after canceled order 8819BEWARE UNACCOUNTED FOR EXECUTIONS!!!</t>
  </si>
  <si>
    <t>2015-2-10 12:50:55.329: OrderManager - terminateOrder - cleaning up after Canceled 8819  order was supposed to BUY 5 1.523 LMT workingQty/OrderCount now 0/-8</t>
  </si>
  <si>
    <t>2015-2-10 12:51:0.992: Algorithm - rehedge - rehedging 11 contracts</t>
  </si>
  <si>
    <t>2015-2-10 12:51:0.992: Algortihm - rehedge - inside the loop</t>
  </si>
  <si>
    <t>2015-2-10 12:51:0.992: OrderManager - PlaceOrder - id 8820 workingQty 5</t>
  </si>
  <si>
    <t>2015-2-10 12:51:0.992: OrderManager - sendOrder - exiting place order id 8820 BUY 5 1.5232  - workingQty 5 currentPosition is 79 workingOrderCount is -7</t>
  </si>
  <si>
    <t>2015-2-10 12:51:0.992: Algorithm - rehedge - placing an order - orderSize is 5 workingQty is 5 working order count -7</t>
  </si>
  <si>
    <t>2015-2-10 12:51:1.210: RTWSControl - nextValidId - entering nextValidId id is 8821</t>
  </si>
  <si>
    <t>2015-2-10 12:51:1.319: RTWSControl - execDetails -  entering execDetailsEx execution id is 0001f4e5.54d9541d.01.01 shares/cumQty is 5/5</t>
  </si>
  <si>
    <t>2015-2-10 12:51:1.319: Algorithm - FindNextStrikes - price is 1.5231 nextStrikeUp/Down 1.525/1.52</t>
  </si>
  <si>
    <t>2015-2-10 12:51:1.319: Algorithm - getPortfolioForwardDelta - required deltas is 90 currentHedgePosition is 84</t>
  </si>
  <si>
    <t>2015-2-10 12:51:1.319: Algorithm - getHedgeShortfall - required deltas is 90 price is 1.5232 currentHedgePositionDeltas is 84</t>
  </si>
  <si>
    <t>2015-2-10 12:51:1.319: Algorithm - processTransitionPoint - nextUpper/LowerStrikes are 1.525/1.52 requiredDeltas/currentPosition/currentHedgeShortfall/direction/transitionPrice are 90/84/6/1/1.5232</t>
  </si>
  <si>
    <t>2015-2-10 12:51:1.319: TransitionLogger - processTransitionpoint - checking transition - currentHedgeShortfall is 6</t>
  </si>
  <si>
    <t>2015-2-10 12:51:1.319: OrderManager - updateExecution - got a fill for id 8820 qty 5 side BOT price 1.5232 - new working order size is 0 new instrument.qty is 84</t>
  </si>
  <si>
    <t>0001f4e5.54d9541d.01.01</t>
  </si>
  <si>
    <t>20150210  12:51:02</t>
  </si>
  <si>
    <t>2015-2-10 12:51:1.335: OrderManagerView - UpdateExecutionView - entering updateExecutionView  executionId is 0001f4e5.54d9541d.01.01</t>
  </si>
  <si>
    <t>2015-2-10 12:51:1.335: OrderManagerView - updateExecutionView -  exiting UpdateExecutionView</t>
  </si>
  <si>
    <t>2015-2-10 12:51:1.335: RTWSControl - execDetails -  exiting execDetailsEx</t>
  </si>
  <si>
    <t>2015-2-10 12:51:1.335: RTWSControl - execDetails - Got execution Message id:-1</t>
  </si>
  <si>
    <t>2015-2-10 12:51:1.350: openOrderEx - I am here</t>
  </si>
  <si>
    <t>2015-2-10 12:51:1.366: RTWSControl - orderStatus -  entering orderStatus id is 8820 status is Filled</t>
  </si>
  <si>
    <t>2015-2-10 12:51:1.366: OrderManager - UpdateOrderStatus - id 8820 Setting status to Filled workingOrderCount is now -8 workingQty 0</t>
  </si>
  <si>
    <t>2015-2-10 12:51:1.366: OrderManager - terminateOrder - cleaning up after Filled 8820  order was supposed to BUY 5 1.5232 LMT workingQty/OrderCount now 0/-9</t>
  </si>
  <si>
    <t>2015-2-10 12:51:1.366: RTWSControl - OrderStatus - Got OrderStatus Message id:8820 status: Filled filled: 5</t>
  </si>
  <si>
    <t>2015-2-10 12:51:1.366: RTWSControl - OrderStatus - exiting orderStatus</t>
  </si>
  <si>
    <t>2015-2-10 12:51:1.382: openOrderEx - I am here</t>
  </si>
  <si>
    <t>2015-2-10 12:51:1.413: RTWSControl - orderStatus -  entering orderStatus id is 8820 status is Filled</t>
  </si>
  <si>
    <t>2015-2-10 12:51:1.413: OrderManager - UpdateOrderStatus - id 8820 Setting status to Filled workingOrderCount is now -9 workingQty 0</t>
  </si>
  <si>
    <t>2015-2-10 12:51:1.413: OrderManager - terminateOrder - cleaning up after Filled 8820  order was supposed to BUY 5 1.5232 LMT workingQty/OrderCount now 0/-10</t>
  </si>
  <si>
    <t>2015-2-10 12:51:1.413: RTWSControl - OrderStatus - Got OrderStatus Message id:8820 status: Filled filled: 5</t>
  </si>
  <si>
    <t>2015-2-10 12:51:1.413: RTWSControl - OrderStatus - exiting orderStatus</t>
  </si>
  <si>
    <t>2015-2-10 12:51:1.413: openOrderEx - I am here</t>
  </si>
  <si>
    <t>2015-2-10 12:51:1.428: RTWSControl - orderStatus -  entering orderStatus id is 8820 status is Filled</t>
  </si>
  <si>
    <t>2015-2-10 12:51:1.428: OrderManager - UpdateOrderStatus - id 8820 Setting status to Filled workingOrderCount is now -10 workingQty 0</t>
  </si>
  <si>
    <t>2015-2-10 12:51:1.428: OrderManager - terminateOrder - cleaning up after Filled 8820  order was supposed to BUY 5 1.5232 LMT workingQty/OrderCount now 0/-11</t>
  </si>
  <si>
    <t>2015-2-10 12:51:1.428: RTWSControl - OrderStatus - Got OrderStatus Message id:8820 status: Filled filled: 5</t>
  </si>
  <si>
    <t>2015-2-10 12:51:1.428: RTWSControl - OrderStatus - exiting orderStatus</t>
  </si>
  <si>
    <t>2015-2-10 12:51:3.160: Algorithm - FindNextStrikes - price is 1.5231 nextStrikeUp/Down 1.525/1.52</t>
  </si>
  <si>
    <t>2015-2-10 12:51:3.160: Algorithm - getPortfolioForwardDelta - required deltas is 90 currentHedgePosition is 84</t>
  </si>
  <si>
    <t>2015-2-10 12:51:3.160: Algorithm - getHedgeShortfall - required deltas is 90 price is 1.5232 currentHedgePositionDeltas is 84</t>
  </si>
  <si>
    <t>2015-2-10 12:51:3.160: Algorithm - processTransitionPoint - nextUpper/LowerStrikes are 1.525/1.52 requiredDeltas/currentPosition/currentHedgeShortfall/direction/transitionPrice are 90/84/6/1/1.5232</t>
  </si>
  <si>
    <t>2015-2-10 12:51:3.160: TransitionLogger - processTransitionpoint - checking transition - currentHedgeShortfall is 6</t>
  </si>
  <si>
    <t>2015-2-10 12:51:3.160: Algorithm - rehedge - rehedging 6 contracts</t>
  </si>
  <si>
    <t>2015-2-10 12:51:3.160: Algortihm - rehedge - inside the loop</t>
  </si>
  <si>
    <t>2015-2-10 12:51:3.160: OrderManager - PlaceOrder - id 8821 workingQty 5</t>
  </si>
  <si>
    <t>2015-2-10 12:51:3.160: OrderManager - sendOrder - exiting place order id 8821 BUY 5 1.5232  - workingQty 5 currentPosition is 84 workingOrderCount is -10</t>
  </si>
  <si>
    <t>2015-2-10 12:51:3.160: Algorithm - rehedge - placing an order - orderSize is 5 workingQty is 5 working order count -10</t>
  </si>
  <si>
    <t>2015-2-10 12:51:3.160: Algorithm - updatePortfolio - haveAllDetails is True</t>
  </si>
  <si>
    <t>2015-2-10 12:51:3.176: Algorithm - FindNextStrikes - price is 1.5231 nextStrikeUp/Down 1.525/1.52</t>
  </si>
  <si>
    <t>2015-2-10 12:51:3.176: Algorithm - getPortfolioForwardDelta - required deltas is 90 currentHedgePosition is 84</t>
  </si>
  <si>
    <t>2015-2-10 12:51:3.176: Algorithm - getHedgeShortfall - required deltas is 90 price is 1.5232 currentHedgePositionDeltas is 84</t>
  </si>
  <si>
    <t>2015-2-10 12:51:3.176: Algorithm - processTransitionPoint - nextUpper/LowerStrikes are 1.525/1.52 requiredDeltas/currentPosition/currentHedgeShortfall/direction/transitionPrice are 90/84/6/1/1.5232</t>
  </si>
  <si>
    <t>2015-2-10 12:51:3.176: TransitionLogger - processTransitionpoint - checking transition - currentHedgeShortfall is 6</t>
  </si>
  <si>
    <t>2015-2-10 12:51:3.176: Algorithm - rehedge - rehedging 6 contracts</t>
  </si>
  <si>
    <t>2015-2-10 12:51:3.176: Algorithm - rehedge - Need to place order but already have a working order - workingQty is 5 working order count -10</t>
  </si>
  <si>
    <t>2015-2-10 12:51:3.176: Algorithm - updatePortfolio - haveAllDetails is True</t>
  </si>
  <si>
    <t>2015-2-10 12:51:3.222: Algorithm - FindNextStrikes - price is 1.5231 nextStrikeUp/Down 1.525/1.52</t>
  </si>
  <si>
    <t>2015-2-10 12:51:3.222: Algorithm - getPortfolioForwardDelta - required deltas is 90 currentHedgePosition is 84</t>
  </si>
  <si>
    <t>2015-2-10 12:51:3.222: Algorithm - getHedgeShortfall - required deltas is 90 price is 1.5232 currentHedgePositionDeltas is 84</t>
  </si>
  <si>
    <t>2015-2-10 12:51:3.222: Algorithm - processTransitionPoint - nextUpper/LowerStrikes are 1.525/1.52 requiredDeltas/currentPosition/currentHedgeShortfall/direction/transitionPrice are 90/84/6/1/1.5232</t>
  </si>
  <si>
    <t>2015-2-10 12:51:3.222: TransitionLogger - processTransitionpoint - checking transition - currentHedgeShortfall is 6</t>
  </si>
  <si>
    <t>2015-2-10 12:51:3.222: Algorithm - rehedge - rehedging 6 contracts</t>
  </si>
  <si>
    <t>2015-2-10 12:51:3.222: Algorithm - rehedge - Need to place order but already have a working order - workingQty is 5 working order count -10</t>
  </si>
  <si>
    <t>2015-2-10 12:51:3.222: Algorithm - updatePortfolio - haveAllDetails is True</t>
  </si>
  <si>
    <t>2015-2-10 12:51:3.238: RTWSControl - nextValidId - entering nextValidId id is 8822</t>
  </si>
  <si>
    <t>2015-2-10 12:51:3.503: RTWSControl - execDetails -  entering execDetailsEx execution id is 0001f4e5.54d9541e.01.01 shares/cumQty is 5/5</t>
  </si>
  <si>
    <t>2015-2-10 12:51:3.503: Algorithm - FindNextStrikes - price is 1.5231 nextStrikeUp/Down 1.525/1.52</t>
  </si>
  <si>
    <t>2015-2-10 12:51:3.503: Algorithm - getPortfolioForwardDelta - required deltas is 90 currentHedgePosition is 89</t>
  </si>
  <si>
    <t>2015-2-10 12:51:3.503: Algorithm - getHedgeShortfall - required deltas is 90 price is 1.5232 currentHedgePositionDeltas is 89</t>
  </si>
  <si>
    <t>2015-2-10 12:51:3.503: Algorithm - processTransitionPoint - nextUpper/LowerStrikes are 1.525/1.52 requiredDeltas/currentPosition/currentHedgeShortfall/direction/transitionPrice are 90/89/1/1/1.5232</t>
  </si>
  <si>
    <t>2015-2-10 12:51:3.503: TransitionLogger - processTransitionpoint - checking transition - currentHedgeShortfall is 1</t>
  </si>
  <si>
    <t>2015-2-10 12:51:3.503: OrderManager - updateExecution - got a fill for id 8821 qty 5 side BOT price 1.5232 - new working order size is 0 new instrument.qty is 89</t>
  </si>
  <si>
    <t>0001f4e5.54d9541e.01.01</t>
  </si>
  <si>
    <t>20150210  12:51:04</t>
  </si>
  <si>
    <t>2015-2-10 12:51:3.519: OrderManagerView - UpdateExecutionView - entering updateExecutionView  executionId is 0001f4e5.54d9541e.01.01</t>
  </si>
  <si>
    <t>2015-2-10 12:51:3.519: OrderManagerView - updateExecutionView -  exiting UpdateExecutionView</t>
  </si>
  <si>
    <t>2015-2-10 12:51:3.519: RTWSControl - execDetails -  exiting execDetailsEx</t>
  </si>
  <si>
    <t>2015-2-10 12:51:3.519: RTWSControl - execDetails - Got execution Message id:-1</t>
  </si>
  <si>
    <t>2015-2-10 12:51:3.581: openOrderEx - I am here</t>
  </si>
  <si>
    <t>2015-2-10 12:51:3.597: RTWSControl - orderStatus -  entering orderStatus id is 8821 status is Filled</t>
  </si>
  <si>
    <t>2015-2-10 12:51:3.597: OrderManager - UpdateOrderStatus - id 8821 Setting status to Filled workingOrderCount is now -11 workingQty 0</t>
  </si>
  <si>
    <t>2015-2-10 12:51:3.597: OrderManager - terminateOrder - cleaning up after Filled 8821  order was supposed to BUY 5 1.5232 LMT workingQty/OrderCount now 0/-12</t>
  </si>
  <si>
    <t>2015-2-10 12:51:3.612: RTWSControl - OrderStatus - Got OrderStatus Message id:8821 status: Filled filled: 5</t>
  </si>
  <si>
    <t>2015-2-10 12:51:3.612: RTWSControl - OrderStatus - exiting orderStatus</t>
  </si>
  <si>
    <t>2015-2-10 12:51:3.612: openOrderEx - I am here</t>
  </si>
  <si>
    <t>2015-2-10 12:51:3.644: RTWSControl - orderStatus -  entering orderStatus id is 8821 status is Filled</t>
  </si>
  <si>
    <t>2015-2-10 12:51:3.644: OrderManager - UpdateOrderStatus - id 8821 Setting status to Filled workingOrderCount is now -12 workingQty 0</t>
  </si>
  <si>
    <t>2015-2-10 12:51:3.644: OrderManager - terminateOrder - cleaning up after Filled 8821  order was supposed to BUY 5 1.5232 LMT workingQty/OrderCount now 0/-13</t>
  </si>
  <si>
    <t>2015-2-10 12:51:3.644: RTWSControl - OrderStatus - Got OrderStatus Message id:8821 status: Filled filled: 5</t>
  </si>
  <si>
    <t>2015-2-10 12:51:3.644: RTWSControl - OrderStatus - exiting orderStatus</t>
  </si>
  <si>
    <t>2015-2-10 12:51:3.659: openOrderEx - I am here</t>
  </si>
  <si>
    <t>2015-2-10 12:51:3.659: RTWSControl - orderStatus -  entering orderStatus id is 8821 status is Filled</t>
  </si>
  <si>
    <t>2015-2-10 12:51:3.659: OrderManager - UpdateOrderStatus - id 8821 Setting status to Filled workingOrderCount is now -13 workingQty 0</t>
  </si>
  <si>
    <t>2015-2-10 12:51:3.659: OrderManager - terminateOrder - cleaning up after Filled 8821  order was supposed to BUY 5 1.5232 LMT workingQty/OrderCount now 0/-14</t>
  </si>
  <si>
    <t>2015-2-10 12:51:3.659: RTWSControl - OrderStatus - Got OrderStatus Message id:8821 status: Filled filled: 5</t>
  </si>
  <si>
    <t>2015-2-10 12:51:3.659: RTWSControl - OrderStatus - exiting orderStatus</t>
  </si>
  <si>
    <t>2015-2-10 12:51:5.32: Algorithm - FindNextStrikes - price is 1.5231 nextStrikeUp/Down 1.525/1.52</t>
  </si>
  <si>
    <t>2015-2-10 12:51:5.32: Algorithm - getPortfolioForwardDelta - required deltas is 90 currentHedgePosition is 89</t>
  </si>
  <si>
    <t>2015-2-10 12:51:5.32: Algorithm - getHedgeShortfall - required deltas is 90 price is 1.5232 currentHedgePositionDeltas is 89</t>
  </si>
  <si>
    <t>2015-2-10 12:51:5.32: Algorithm - processTransitionPoint - nextUpper/LowerStrikes are 1.525/1.52 requiredDeltas/currentPosition/currentHedgeShortfall/direction/transitionPrice are 90/89/1/1/1.5232</t>
  </si>
  <si>
    <t>2015-2-10 12:51:5.32: TransitionLogger - processTransitionpoint - checking transition - currentHedgeShortfall is 1</t>
  </si>
  <si>
    <t>2015-2-10 12:51:5.32: Algorithm - rehedge - rehedging 1 contracts</t>
  </si>
  <si>
    <t>2015-2-10 12:51:5.32: Algortihm - rehedge - inside the loop</t>
  </si>
  <si>
    <t>2015-2-10 12:51:5.32: OrderManager - PlaceOrder - id 8822 workingQty 1</t>
  </si>
  <si>
    <t>2015-2-10 12:51:5.32: OrderManager - sendOrder - exiting place order id 8822 BUY 1 1.5232  - workingQty 1 currentPosition is 89 workingOrderCount is -13</t>
  </si>
  <si>
    <t>2015-2-10 12:51:5.32: Algorithm - rehedge - placing an order - orderSize is 1 workingQty is 1 working order count -13</t>
  </si>
  <si>
    <t>2015-2-10 12:51:5.32: Algorithm - updatePortfolio - haveAllDetails is True</t>
  </si>
  <si>
    <t>2015-2-10 12:51:5.141: Algorithm - rehedge - rehedging 1 contracts</t>
  </si>
  <si>
    <t>2015-2-10 12:51:5.141: Algorithm - rehedge - Need to place order but already have a working order - workingQty is 1 working order count -13</t>
  </si>
  <si>
    <t>2015-2-10 12:51:5.282: RTWSControl - nextValidId - entering nextValidId id is 8823</t>
  </si>
  <si>
    <t>2015-2-10 12:51:5.375: RTWSControl - execDetails -  entering execDetailsEx execution id is 0001f4e5.54d95421.01.01 shares/cumQty is 1/1</t>
  </si>
  <si>
    <t>2015-2-10 12:51:5.375: Algorithm - FindNextStrikes - price is 1.52305 nextStrikeUp/Down 1.525/1.52</t>
  </si>
  <si>
    <t>2015-2-10 12:51:5.375: Algorithm - getPortfolioForwardDelta - required deltas is 90 currentHedgePosition is 90</t>
  </si>
  <si>
    <t>2015-2-10 12:51:5.375: Algorithm - getHedgeShortfall - required deltas is 90 price is 1.52315 currentHedgePositionDeltas is 90</t>
  </si>
  <si>
    <t>2015-2-10 12:51:5.375: Algorithm - processTransitionPoint - nextUpper/LowerStrikes are 1.525/1.52 requiredDeltas/currentPosition/currentHedgeShortfall/direction/transitionPrice are 90/90/0/1/1.52315</t>
  </si>
  <si>
    <t>2015-2-10 12:51:5.375: TransitionLogger - processTransitionpoint - checking transition - currentHedgeShortfall is 0</t>
  </si>
  <si>
    <t>2015-2-10 12:51:5.375: OrderManager - updateExecution - got a fill for id 8822 qty 1 side BOT price 1.5231 - new working order size is 0 new instrument.qty is 90</t>
  </si>
  <si>
    <t>0001f4e5.54d95421.01.01</t>
  </si>
  <si>
    <t>20150210  12:51:06</t>
  </si>
  <si>
    <t>2015-2-10 12:51:5.375: OrderManagerView - UpdateExecutionView - entering updateExecutionView  executionId is 0001f4e5.54d95421.01.01</t>
  </si>
  <si>
    <t>2015-2-10 12:51:5.375: OrderManagerView - updateExecutionView -  exiting UpdateExecutionView</t>
  </si>
  <si>
    <t>2015-2-10 12:51:5.375: RTWSControl - execDetails -  exiting execDetailsEx</t>
  </si>
  <si>
    <t>2015-2-10 12:51:5.375: RTWSControl - execDetails - Got execution Message id:-1</t>
  </si>
  <si>
    <t>2015-2-10 12:51:5.406: openOrderEx - I am here</t>
  </si>
  <si>
    <t>2015-2-10 12:51:5.438: RTWSControl - orderStatus -  entering orderStatus id is 8822 status is Filled</t>
  </si>
  <si>
    <t>2015-2-10 12:51:5.438: OrderManager - UpdateOrderStatus - id 8822 Setting status to Filled workingOrderCount is now -14 workingQty 0</t>
  </si>
  <si>
    <t>2015-2-10 12:51:5.438: OrderManager - terminateOrder - cleaning up after Filled 8822  order was supposed to BUY 1 1.5232 LMT workingQty/OrderCount now 0/-15</t>
  </si>
  <si>
    <t>2015-2-10 12:51:5.438: RTWSControl - OrderStatus - Got OrderStatus Message id:8822 status: Filled filled: 1</t>
  </si>
  <si>
    <t>2015-2-10 12:51:5.438: RTWSControl - OrderStatus - exiting orderStatus</t>
  </si>
  <si>
    <t>2015-2-10 12:51:5.438: openOrderEx - I am here</t>
  </si>
  <si>
    <t>2015-2-10 12:51:5.453: RTWSControl - orderStatus -  entering orderStatus id is 8822 status is Filled</t>
  </si>
  <si>
    <t>2015-2-10 12:51:5.453: OrderManager - UpdateOrderStatus - id 8822 Setting status to Filled workingOrderCount is now -15 workingQty 0</t>
  </si>
  <si>
    <t>2015-2-10 12:51:5.453: OrderManager - terminateOrder - cleaning up after Filled 8822  order was supposed to BUY 1 1.5232 LMT workingQty/OrderCount now 0/-16</t>
  </si>
  <si>
    <t>2015-2-10 12:51:5.453: RTWSControl - OrderStatus - Got OrderStatus Message id:8822 status: Filled filled: 1</t>
  </si>
  <si>
    <t>2015-2-10 12:51:5.453: RTWSControl - OrderStatus - exiting orderStatus</t>
  </si>
  <si>
    <t>2015-2-10 12:51:5.484: openOrderEx - I am here</t>
  </si>
  <si>
    <t>2015-2-10 12:51:5.484: RTWSControl - orderStatus -  entering orderStatus id is 8822 status is Filled</t>
  </si>
  <si>
    <t>2015-2-10 12:51:5.484: OrderManager - UpdateOrderStatus - id 8822 Setting status to Filled workingOrderCount is now -16 workingQty 0</t>
  </si>
  <si>
    <t>2015-2-10 12:51:5.484: OrderManager - terminateOrder - cleaning up after Filled 8822  order was supposed to BUY 1 1.5232 LMT workingQty/OrderCount now 0/-17</t>
  </si>
  <si>
    <t>2015-2-10 12:51:5.484: RTWSControl - OrderStatus - Got OrderStatus Message id:8822 status: Filled filled: 1</t>
  </si>
  <si>
    <t>2015-2-10 12:51:5.484: RTWSControl - OrderStatus - exiting orderStatus</t>
  </si>
  <si>
    <t>2015-2-10 12:51:7.44: Algorithm - FindNextStrikes - price is 1.5231 nextStrikeUp/Down 1.525/1.52</t>
  </si>
  <si>
    <t>2015-2-10 12:51:7.44: Algorithm - getPortfolioForwardDelta - required deltas is 90 currentHedgePosition is 90</t>
  </si>
  <si>
    <t>2015-2-10 12:51:7.44: Algorithm - getHedgeShortfall - required deltas is 90 price is 1.5232 currentHedgePositionDeltas is 90</t>
  </si>
  <si>
    <t>2015-2-10 12:51:7.44: Algorithm - processTransitionPoint - nextUpper/LowerStrikes are 1.525/1.52 requiredDeltas/currentPosition/currentHedgeShortfall/direction/transitionPrice are 90/90/0/1/1.5232</t>
  </si>
  <si>
    <t>2015-2-10 12:51:7.44: TransitionLogger - processTransitionpoint - checking transition - currentHedgeShortfall is 0</t>
  </si>
  <si>
    <t>2015-2-10 12:51:7.44: Algorithm - updatePortfolio - haveAllDetails is True</t>
  </si>
  <si>
    <t>2015-2-10 12:51:17.746: Algorithm - FindNextStrikes - price is 1.52305 nextStrikeUp/Down 1.525/1.52</t>
  </si>
  <si>
    <t>2015-2-10 12:51:17.746: Algorithm - getPortfolioForwardDelta - required deltas is 90 currentHedgePosition is 90</t>
  </si>
  <si>
    <t>2015-2-10 12:51:17.746: Algorithm - getHedgeShortfall - required deltas is 90 price is 1.52315 currentHedgePositionDeltas is 90</t>
  </si>
  <si>
    <t>2015-2-10 12:51:17.746: Algorithm - processTransitionPoint - nextUpper/LowerStrikes are 1.525/1.52 requiredDeltas/currentPosition/currentHedgeShortfall/direction/transitionPrice are 90/90/0/1/1.52315</t>
  </si>
  <si>
    <t>2015-2-10 12:51:17.746: TransitionLogger - processTransitionpoint - checking transition - currentHedgeShortfall is 0</t>
  </si>
  <si>
    <t>2015-2-10 12:51:17.746: Algorithm - updatePortfolio - haveAllDetails is True</t>
  </si>
  <si>
    <t>2015-2-10 12:51:17.793: Algorithm - FindNextStrikes - price is 1.52305 nextStrikeUp/Down 1.525/1.52</t>
  </si>
  <si>
    <t>2015-2-10 12:51:17.793: Algorithm - getPortfolioForwardDelta - required deltas is 90 currentHedgePosition is 90</t>
  </si>
  <si>
    <t>2015-2-10 12:51:17.793: Algorithm - getHedgeShortfall - required deltas is 90 price is 1.52315 currentHedgePositionDeltas is 90</t>
  </si>
  <si>
    <t>2015-2-10 12:51:17.793: Algorithm - processTransitionPoint - nextUpper/LowerStrikes are 1.525/1.52 requiredDeltas/currentPosition/currentHedgeShortfall/direction/transitionPrice are 90/90/0/1/1.52315</t>
  </si>
  <si>
    <t>2015-2-10 12:51:17.793: TransitionLogger - processTransitionpoint - checking transition - currentHedgeShortfall is 0</t>
  </si>
  <si>
    <t>2015-2-10 12:51:17.793: Algorithm - updatePortfolio - haveAllDetails is True</t>
  </si>
  <si>
    <t>2015-2-10 12:51:17.808: Algorithm - FindNextStrikes - price is 1.52305 nextStrikeUp/Down 1.525/1.52</t>
  </si>
  <si>
    <t>2015-2-10 12:51:17.808: Algorithm - getPortfolioForwardDelta - required deltas is 90 currentHedgePosition is 90</t>
  </si>
  <si>
    <t>2015-2-10 12:51:17.808: Algorithm - getHedgeShortfall - required deltas is 90 price is 1.52315 currentHedgePositionDeltas is 90</t>
  </si>
  <si>
    <t>2015-2-10 12:51:17.808: Algorithm - processTransitionPoint - nextUpper/LowerStrikes are 1.525/1.52 requiredDeltas/currentPosition/currentHedgeShortfall/direction/transitionPrice are 90/90/0/1/1.52315</t>
  </si>
  <si>
    <t>2015-2-10 12:51:17.808: TransitionLogger - processTransitionpoint - checking transition - currentHedgeShortfall is 0</t>
  </si>
  <si>
    <t>2015-2-10 12:51:17.808: Algorithm - updatePortfolio - haveAllDetails is True</t>
  </si>
  <si>
    <t>2015-2-10 12:51:17.840: Algorithm - FindNextStrikes - price is 1.52305 nextStrikeUp/Down 1.525/1.52</t>
  </si>
  <si>
    <t>2015-2-10 12:51:17.840: Algorithm - getPortfolioForwardDelta - required deltas is 90 currentHedgePosition is 90</t>
  </si>
  <si>
    <t>2015-2-10 12:51:17.840: Algorithm - getHedgeShortfall - required deltas is 90 price is 1.52315 currentHedgePositionDeltas is 90</t>
  </si>
  <si>
    <t>2015-2-10 12:51:17.840: Algorithm - processTransitionPoint - nextUpper/LowerStrikes are 1.525/1.52 requiredDeltas/currentPosition/currentHedgeShortfall/direction/transitionPrice are 90/90/0/1/1.52315</t>
  </si>
  <si>
    <t>2015-2-10 12:51:17.840: TransitionLogger - processTransitionpoint - checking transition - currentHedgeShortfall is 0</t>
  </si>
  <si>
    <t>2015-2-10 12:51:17.840: Algorithm - updatePortfolio - haveAllDetails is True</t>
  </si>
  <si>
    <t>2015-2-10 12:51:17.871: Algorithm - FindNextStrikes - price is 1.52305 nextStrikeUp/Down 1.525/1.52</t>
  </si>
  <si>
    <t>2015-2-10 12:51:17.871: Algorithm - getPortfolioForwardDelta - required deltas is 90 currentHedgePosition is 90</t>
  </si>
  <si>
    <t>2015-2-10 12:51:17.871: Algorithm - getHedgeShortfall - required deltas is 90 price is 1.52315 currentHedgePositionDeltas is 90</t>
  </si>
  <si>
    <t>2015-2-10 12:51:17.871: Algorithm - processTransitionPoint - nextUpper/LowerStrikes are 1.525/1.52 requiredDeltas/currentPosition/currentHedgeShortfall/direction/transitionPrice are 90/90/0/1/1.52315</t>
  </si>
  <si>
    <t>2015-2-10 12:51:17.871: TransitionLogger - processTransitionpoint - checking transition - currentHedgeShortfall is 0</t>
  </si>
  <si>
    <t>2015-2-10 12:51:17.871: Algorithm - updatePortfolio - haveAllDetails is True</t>
  </si>
  <si>
    <t>2015-2-10 12:51:17.902: Algorithm - FindNextStrikes - price is 1.52305 nextStrikeUp/Down 1.525/1.52</t>
  </si>
  <si>
    <t>2015-2-10 12:51:17.902: Algorithm - getPortfolioForwardDelta - required deltas is 90 currentHedgePosition is 90</t>
  </si>
  <si>
    <t>2015-2-10 12:51:17.902: Algorithm - getHedgeShortfall - required deltas is 90 price is 1.52315 currentHedgePositionDeltas is 90</t>
  </si>
  <si>
    <t>2015-2-10 12:51:17.902: Algorithm - processTransitionPoint - nextUpper/LowerStrikes are 1.525/1.52 requiredDeltas/currentPosition/currentHedgeShortfall/direction/transitionPrice are 90/90/0/1/1.52315</t>
  </si>
  <si>
    <t>2015-2-10 12:51:17.902: TransitionLogger - processTransitionpoint - checking transition - currentHedgeShortfall is 0</t>
  </si>
  <si>
    <t>2015-2-10 12:51:17.918: Algorithm - updatePortfolio - haveAllDetails is True</t>
  </si>
  <si>
    <t>2015-2-10 12:51:17.933: Algorithm - FindNextStrikes - price is 1.52305 nextStrikeUp/Down 1.525/1.52</t>
  </si>
  <si>
    <t>2015-2-10 12:51:17.933: Algorithm - getPortfolioForwardDelta - required deltas is 90 currentHedgePosition is 90</t>
  </si>
  <si>
    <t>2015-2-10 12:51:17.933: Algorithm - getHedgeShortfall - required deltas is 90 price is 1.52315 currentHedgePositionDeltas is 90</t>
  </si>
  <si>
    <t>2015-2-10 12:51:17.933: Algorithm - processTransitionPoint - nextUpper/LowerStrikes are 1.525/1.52 requiredDeltas/currentPosition/currentHedgeShortfall/direction/transitionPrice are 90/90/0/1/1.52315</t>
  </si>
  <si>
    <t>2015-2-10 12:51:17.933: TransitionLogger - processTransitionpoint - checking transition - currentHedgeShortfall is 0</t>
  </si>
  <si>
    <t>2015-2-10 12:51:17.933: Algorithm - updatePortfolio - haveAllDetails is True</t>
  </si>
  <si>
    <t>2015-2-10 12:51:17.964: Algorithm - FindNextStrikes - price is 1.52305 nextStrikeUp/Down 1.525/1.52</t>
  </si>
  <si>
    <t>2015-2-10 12:51:17.964: Algorithm - getPortfolioForwardDelta - required deltas is 90 currentHedgePosition is 90</t>
  </si>
  <si>
    <t>2015-2-10 12:51:17.964: Algorithm - getHedgeShortfall - required deltas is 90 price is 1.52315 currentHedgePositionDeltas is 90</t>
  </si>
  <si>
    <t>2015-2-10 12:51:17.964: Algorithm - processTransitionPoint - nextUpper/LowerStrikes are 1.525/1.52 requiredDeltas/currentPosition/currentHedgeShortfall/direction/transitionPrice are 90/90/0/1/1.52315</t>
  </si>
  <si>
    <t>2015-2-10 12:51:17.964: TransitionLogger - processTransitionpoint - checking transition - currentHedgeShortfall is 0</t>
  </si>
  <si>
    <t>2015-2-10 12:51:17.964: Algorithm - updatePortfolio - haveAllDetails is True</t>
  </si>
  <si>
    <t>2015-2-10 12:51:17.996: Algorithm - FindNextStrikes - price is 1.52305 nextStrikeUp/Down 1.525/1.52</t>
  </si>
  <si>
    <t>2015-2-10 12:51:17.996: Algorithm - getPortfolioForwardDelta - required deltas is 90 currentHedgePosition is 90</t>
  </si>
  <si>
    <t>2015-2-10 12:51:17.996: Algorithm - getHedgeShortfall - required deltas is 90 price is 1.52315 currentHedgePositionDeltas is 90</t>
  </si>
  <si>
    <t>2015-2-10 12:51:17.996: Algorithm - processTransitionPoint - nextUpper/LowerStrikes are 1.525/1.52 requiredDeltas/currentPosition/currentHedgeShortfall/direction/transitionPrice are 90/90/0/1/1.52315</t>
  </si>
  <si>
    <t>2015-2-10 12:51:17.996: TransitionLogger - processTransitionpoint - checking transition - currentHedgeShortfall is 0</t>
  </si>
  <si>
    <t>2015-2-10 12:51:17.996: Algorithm - updatePortfolio - haveAllDetails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</si>
</sst>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zoomScale="65" zoomScaleNormal="65" workbookViewId="0">
      <selection activeCell="T22" sqref="T22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99" t="s">
        <v>124</v>
      </c>
      <c r="B6" s="99"/>
      <c r="C6" s="99"/>
      <c r="D6" s="99"/>
      <c r="E6" s="99" t="s">
        <v>125</v>
      </c>
      <c r="F6" s="99"/>
      <c r="G6" s="99" t="s">
        <v>126</v>
      </c>
      <c r="H6" s="99"/>
      <c r="I6" s="99" t="s">
        <v>127</v>
      </c>
      <c r="J6" s="99"/>
      <c r="K6" s="99" t="s">
        <v>128</v>
      </c>
      <c r="L6" s="99"/>
      <c r="M6" s="99" t="s">
        <v>129</v>
      </c>
      <c r="N6" s="99"/>
      <c r="O6" s="99"/>
      <c r="P6" s="99"/>
      <c r="Q6" s="99"/>
      <c r="R6" s="99"/>
      <c r="S6" s="99"/>
      <c r="T6" s="99"/>
      <c r="U6" s="61"/>
      <c r="V6" s="61"/>
      <c r="W6" s="61"/>
      <c r="AF6" s="36"/>
    </row>
    <row r="7" spans="1:36" x14ac:dyDescent="0.25">
      <c r="A7" s="112" t="s">
        <v>130</v>
      </c>
      <c r="B7" s="112"/>
      <c r="C7" s="112">
        <v>7497</v>
      </c>
      <c r="D7" s="112"/>
      <c r="E7" s="112">
        <v>7</v>
      </c>
      <c r="F7" s="112"/>
      <c r="G7" s="112">
        <v>5</v>
      </c>
      <c r="H7" s="112"/>
      <c r="I7" s="113">
        <v>0.96388888888888891</v>
      </c>
      <c r="J7" s="114"/>
      <c r="K7" s="110" t="s">
        <v>220</v>
      </c>
      <c r="L7" s="111"/>
      <c r="M7" s="108"/>
      <c r="N7" s="109"/>
      <c r="O7" s="108"/>
      <c r="P7" s="109"/>
      <c r="Q7" s="108"/>
      <c r="R7" s="109"/>
      <c r="S7" s="108"/>
      <c r="T7" s="109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07" t="s">
        <v>135</v>
      </c>
      <c r="B12" s="107"/>
      <c r="C12" s="107" t="s">
        <v>136</v>
      </c>
      <c r="D12" s="107"/>
      <c r="E12" s="65" t="s">
        <v>137</v>
      </c>
      <c r="F12" s="65"/>
      <c r="G12" s="107" t="s">
        <v>138</v>
      </c>
      <c r="H12" s="107"/>
      <c r="I12" s="107" t="s">
        <v>139</v>
      </c>
      <c r="J12" s="107"/>
      <c r="K12" s="99" t="s">
        <v>140</v>
      </c>
      <c r="L12" s="99"/>
      <c r="M12" s="99" t="s">
        <v>141</v>
      </c>
      <c r="N12" s="9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62" t="s">
        <v>218</v>
      </c>
      <c r="N13" s="63"/>
      <c r="O13" s="62" t="s">
        <v>219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90</v>
      </c>
      <c r="K16" s="64">
        <v>1.5230999999999999</v>
      </c>
      <c r="L16" s="64"/>
      <c r="M16" s="64">
        <v>8</v>
      </c>
      <c r="N16" s="64">
        <v>1.5230999999999999</v>
      </c>
      <c r="O16" s="64">
        <v>1.5232000000000001</v>
      </c>
      <c r="P16" s="64">
        <v>6</v>
      </c>
      <c r="Q16" s="64"/>
      <c r="R16" s="64">
        <v>1.5230499500000001</v>
      </c>
      <c r="S16" s="64">
        <v>8567155.9700000007</v>
      </c>
      <c r="T16" s="64">
        <v>95307.637028900004</v>
      </c>
      <c r="U16" s="64">
        <v>-10531.36</v>
      </c>
      <c r="V16" s="64">
        <v>0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02">
        <v>5</v>
      </c>
      <c r="F21" s="102"/>
      <c r="G21" s="81">
        <v>5</v>
      </c>
      <c r="H21" s="81">
        <v>10</v>
      </c>
      <c r="I21" s="81">
        <v>0.2</v>
      </c>
      <c r="J21" s="81"/>
      <c r="K21" s="103">
        <v>8</v>
      </c>
      <c r="L21" s="104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5" t="s">
        <v>161</v>
      </c>
      <c r="D29" s="106"/>
      <c r="E29" s="12">
        <v>1.52</v>
      </c>
      <c r="F29" s="12"/>
      <c r="G29" s="106" t="s">
        <v>162</v>
      </c>
      <c r="H29" s="106"/>
      <c r="I29" s="12">
        <v>1.5249999999999999</v>
      </c>
      <c r="J29" s="12"/>
      <c r="K29" s="106" t="s">
        <v>163</v>
      </c>
      <c r="L29" s="106"/>
      <c r="M29" s="12">
        <v>90</v>
      </c>
      <c r="N29" s="13"/>
      <c r="O29" s="106" t="s">
        <v>164</v>
      </c>
      <c r="P29" s="106"/>
      <c r="Q29" s="30">
        <v>1.5231056044646856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5"/>
      <c r="D30" s="106"/>
      <c r="E30" s="12">
        <v>31</v>
      </c>
      <c r="F30" s="12"/>
      <c r="G30" s="106" t="s">
        <v>194</v>
      </c>
      <c r="H30" s="106"/>
      <c r="I30" s="12">
        <v>18</v>
      </c>
      <c r="J30" s="12"/>
      <c r="K30" s="106" t="s">
        <v>195</v>
      </c>
      <c r="L30" s="106"/>
      <c r="M30" s="12">
        <v>90</v>
      </c>
      <c r="N30" s="13"/>
      <c r="O30" s="106" t="s">
        <v>165</v>
      </c>
      <c r="P30" s="106"/>
      <c r="Q30" s="30">
        <v>1.5231023899497305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5"/>
      <c r="D31" s="106"/>
      <c r="E31" s="12">
        <v>30</v>
      </c>
      <c r="F31" s="12"/>
      <c r="G31" s="106" t="s">
        <v>192</v>
      </c>
      <c r="H31" s="106"/>
      <c r="I31" s="12">
        <v>17</v>
      </c>
      <c r="J31" s="12"/>
      <c r="K31" s="106" t="s">
        <v>196</v>
      </c>
      <c r="L31" s="106"/>
      <c r="M31" s="12">
        <v>0</v>
      </c>
      <c r="N31" s="13"/>
      <c r="O31" s="106" t="s">
        <v>99</v>
      </c>
      <c r="P31" s="106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9">
        <v>73</v>
      </c>
      <c r="D32" s="117"/>
      <c r="E32" s="117">
        <v>1.5037</v>
      </c>
      <c r="F32" s="117"/>
      <c r="G32" s="117" t="s">
        <v>192</v>
      </c>
      <c r="H32" s="117"/>
      <c r="I32" s="117">
        <v>73</v>
      </c>
      <c r="J32" s="117"/>
      <c r="K32" s="117">
        <v>0</v>
      </c>
      <c r="L32" s="117"/>
      <c r="M32" s="117"/>
      <c r="N32" s="120"/>
      <c r="O32" s="117"/>
      <c r="P32" s="117"/>
      <c r="Q32" s="117"/>
      <c r="R32" s="120"/>
      <c r="S32" s="117"/>
      <c r="T32" s="120"/>
      <c r="U32" s="117"/>
      <c r="V32" s="120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24" t="s">
        <v>206</v>
      </c>
      <c r="B34" s="124"/>
      <c r="C34" s="124"/>
      <c r="D34" s="124"/>
      <c r="E34" s="124"/>
      <c r="F34" s="124"/>
      <c r="G34" s="124"/>
      <c r="H34" s="124"/>
      <c r="I34" s="124"/>
      <c r="Q34" s="125" t="s">
        <v>186</v>
      </c>
      <c r="R34" s="125"/>
      <c r="S34" s="125"/>
      <c r="T34" s="125"/>
      <c r="U34" s="125"/>
      <c r="V34" s="125"/>
      <c r="W34" s="125"/>
    </row>
    <row r="35" spans="1:31" s="11" customFormat="1" ht="27.75" customHeight="1" thickBot="1" x14ac:dyDescent="0.35">
      <c r="A35" s="98" t="s">
        <v>207</v>
      </c>
      <c r="B35" s="98"/>
      <c r="C35" s="98"/>
      <c r="D35" s="98"/>
      <c r="E35" s="98"/>
      <c r="F35" s="98" t="s">
        <v>208</v>
      </c>
      <c r="G35" s="98"/>
      <c r="H35" s="98"/>
      <c r="I35" s="98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214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209</v>
      </c>
      <c r="B37" s="95" t="s">
        <v>213</v>
      </c>
      <c r="C37" s="95" t="s">
        <v>210</v>
      </c>
      <c r="D37" s="95" t="s">
        <v>211</v>
      </c>
      <c r="E37" s="95" t="s">
        <v>3</v>
      </c>
      <c r="F37" s="95" t="s">
        <v>212</v>
      </c>
      <c r="G37" s="95" t="s">
        <v>210</v>
      </c>
      <c r="H37" s="95" t="s">
        <v>213</v>
      </c>
      <c r="I37" s="95" t="s">
        <v>209</v>
      </c>
      <c r="Q37" s="75">
        <f>SUM(U71:U91)+J16</f>
        <v>36.390271243978937</v>
      </c>
      <c r="R37" s="76">
        <f>SUM(X71:X91)</f>
        <v>-5492.9721302761072</v>
      </c>
      <c r="S37" s="74">
        <f>SUM(W71:W91)</f>
        <v>0.30026106737480085</v>
      </c>
      <c r="T37" s="76">
        <f>S37*62500</f>
        <v>18766.316710925053</v>
      </c>
      <c r="U37" s="73">
        <v>0.02</v>
      </c>
      <c r="V37" s="77">
        <f>-1*U37*W37</f>
        <v>-1005</v>
      </c>
      <c r="W37" s="77">
        <f>AG69</f>
        <v>50250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>
        <f>ticksUpToLoss(V37,Q37,R37)</f>
        <v>136.77804166606447</v>
      </c>
      <c r="S38" s="76">
        <f>ticksDownToLoss(V37,Q37,R37)</f>
        <v>-4.2804779394858636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>
        <f>Q37+R37*(R38*0.0001)</f>
        <v>-38.741525846564691</v>
      </c>
      <c r="S39" s="76">
        <f>Q37+R37*(S38*0.0001)</f>
        <v>38.741525846564691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25" t="s">
        <v>133</v>
      </c>
      <c r="R40" s="125"/>
      <c r="S40" s="125"/>
      <c r="T40" s="125" t="s">
        <v>189</v>
      </c>
      <c r="U40" s="125"/>
      <c r="V40" s="125"/>
      <c r="W40" s="125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>
        <f>midMarket(N16,O16)+R38/10000</f>
        <v>1.5368278041666064</v>
      </c>
      <c r="S41" s="76">
        <f>ROUND(-R39,0)</f>
        <v>39</v>
      </c>
      <c r="T41" s="72" t="s">
        <v>187</v>
      </c>
      <c r="U41" s="78">
        <v>25</v>
      </c>
      <c r="V41" s="84"/>
      <c r="W41" s="76"/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>
        <f>midMarket(N16,O16)+S38/10000</f>
        <v>1.5227219522060513</v>
      </c>
      <c r="S42" s="76">
        <f>ROUND(-S39,0)</f>
        <v>-39</v>
      </c>
      <c r="T42" s="72" t="s">
        <v>188</v>
      </c>
      <c r="U42" s="78">
        <v>2</v>
      </c>
      <c r="V42" s="84">
        <v>1.5201</v>
      </c>
      <c r="W42" s="76">
        <v>37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205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28" t="s">
        <v>166</v>
      </c>
      <c r="B56" s="129"/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</row>
    <row r="57" spans="1:15" x14ac:dyDescent="0.25">
      <c r="A57" s="87" t="s">
        <v>26</v>
      </c>
      <c r="B57" s="118" t="s">
        <v>27</v>
      </c>
      <c r="C57" s="118"/>
      <c r="D57" s="118"/>
      <c r="E57" s="118"/>
      <c r="F57" s="88"/>
      <c r="G57" s="118" t="s">
        <v>28</v>
      </c>
      <c r="H57" s="118"/>
      <c r="I57" s="118"/>
      <c r="J57" s="118"/>
      <c r="K57" s="118"/>
      <c r="L57" s="88"/>
      <c r="M57" s="118" t="s">
        <v>167</v>
      </c>
      <c r="N57" s="118"/>
      <c r="O57" s="127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/>
      <c r="C59" s="16"/>
      <c r="D59" s="16"/>
      <c r="E59" s="16"/>
      <c r="F59" s="2"/>
      <c r="G59" s="18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199</v>
      </c>
      <c r="B64" s="76">
        <f>ticksUpToLoss(F63,A63,B63)</f>
        <v>0</v>
      </c>
      <c r="C64" s="91" t="s">
        <v>200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201</v>
      </c>
      <c r="H64" s="76">
        <f>ticksUpToLoss(L63,G63,H63)</f>
        <v>0</v>
      </c>
      <c r="I64" s="123" t="s">
        <v>202</v>
      </c>
      <c r="J64" s="123"/>
      <c r="K64" s="76"/>
      <c r="L64" s="76"/>
      <c r="M64" s="76"/>
      <c r="N64" s="76"/>
      <c r="O64" s="76"/>
    </row>
    <row r="65" spans="1:33" ht="15.75" x14ac:dyDescent="0.25">
      <c r="A65" s="91" t="s">
        <v>198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1" t="s">
        <v>13</v>
      </c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26" t="s">
        <v>101</v>
      </c>
      <c r="O69" s="126"/>
      <c r="P69" s="126"/>
      <c r="Q69" s="126"/>
      <c r="R69" s="126"/>
      <c r="S69" s="126"/>
      <c r="T69" s="126" t="s">
        <v>108</v>
      </c>
      <c r="U69" s="126"/>
      <c r="V69" s="126"/>
      <c r="W69" s="126"/>
      <c r="AG69" s="48">
        <f>SUM(AD71:AD91)</f>
        <v>50250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231</v>
      </c>
      <c r="B71" s="2">
        <v>-50</v>
      </c>
      <c r="C71" s="2">
        <v>2.604E-3</v>
      </c>
      <c r="D71" s="2">
        <v>-8137.5</v>
      </c>
      <c r="E71" s="2">
        <v>191.29</v>
      </c>
      <c r="F71" s="28">
        <v>1427</v>
      </c>
      <c r="G71" s="2">
        <v>0</v>
      </c>
      <c r="H71" s="2">
        <v>2.7000000000000001E-3</v>
      </c>
      <c r="I71" s="2">
        <v>1</v>
      </c>
      <c r="J71" s="2">
        <v>30</v>
      </c>
      <c r="K71" s="2">
        <v>2.3E-3</v>
      </c>
      <c r="L71" s="2">
        <v>2.5999999999999999E-3</v>
      </c>
      <c r="M71" s="2">
        <v>40</v>
      </c>
      <c r="N71" s="2">
        <v>0.1282949480466371</v>
      </c>
      <c r="O71" s="2">
        <v>-0.23771936941928495</v>
      </c>
      <c r="P71" s="2">
        <v>0</v>
      </c>
      <c r="Q71" s="33">
        <v>-8.7437602164756715E-4</v>
      </c>
      <c r="R71" s="2">
        <v>4.4993381659588902E-4</v>
      </c>
      <c r="S71" s="2">
        <v>1.5230999999999999</v>
      </c>
      <c r="T71" s="2">
        <v>15.033481506123255</v>
      </c>
      <c r="U71" s="2">
        <f t="shared" ref="U71:U91" si="0">O71*B71</f>
        <v>11.885968470964247</v>
      </c>
      <c r="V71" s="2">
        <v>1.5804</v>
      </c>
      <c r="W71" s="2">
        <f t="shared" ref="W71:W91" si="1">Q71*B71</f>
        <v>4.3718801082378356E-2</v>
      </c>
      <c r="X71">
        <f>IF(ISERR(T71),0,T71*B71)</f>
        <v>-751.67407530616276</v>
      </c>
      <c r="Y71">
        <f t="shared" ref="Y71:Y91" si="2">IF(X71 = 0,0,(W71*-10000)/X71)</f>
        <v>0.58161911549991052</v>
      </c>
      <c r="Z71" s="85">
        <f>midMarket(K71,L71) +AA71/10000</f>
        <v>2.4499999999999999E-3</v>
      </c>
      <c r="AA71">
        <f>IF(rightFromSymbol(A71)="C",MAX(0,$N$16-strikeFromSymbol(A71)),MAX(0,strikeFromSymbol(A71)-$N$16))*10000</f>
        <v>0</v>
      </c>
      <c r="AB71" s="86">
        <f>MAX(0,Z71-AA71) * 10000</f>
        <v>24.5</v>
      </c>
      <c r="AC71" s="49">
        <f t="shared" ref="AC71:AC91" si="3">-AB71*B71</f>
        <v>1225</v>
      </c>
      <c r="AD71" s="48">
        <f t="shared" ref="AD71:AD79" si="4">MAX(0,AC71*6.25)</f>
        <v>7656.25</v>
      </c>
    </row>
    <row r="72" spans="1:33" x14ac:dyDescent="0.25">
      <c r="A72" s="2" t="s">
        <v>233</v>
      </c>
      <c r="B72" s="2">
        <v>-30</v>
      </c>
      <c r="C72" s="2">
        <v>3.8053499999999999E-3</v>
      </c>
      <c r="D72" s="2">
        <v>-7135</v>
      </c>
      <c r="E72" s="2">
        <v>268.37333335</v>
      </c>
      <c r="F72" s="28">
        <v>916.2</v>
      </c>
      <c r="G72" s="2">
        <v>0</v>
      </c>
      <c r="H72" s="2">
        <v>4.5999999999999999E-3</v>
      </c>
      <c r="I72" s="2">
        <v>1</v>
      </c>
      <c r="J72" s="2">
        <v>71</v>
      </c>
      <c r="K72" s="2">
        <v>3.5000000000000001E-3</v>
      </c>
      <c r="L72" s="2">
        <v>3.8E-3</v>
      </c>
      <c r="M72" s="2">
        <v>30</v>
      </c>
      <c r="N72" s="2">
        <v>0.12406725811468533</v>
      </c>
      <c r="O72" s="2">
        <v>-0.32363059250665466</v>
      </c>
      <c r="P72" s="2">
        <v>0</v>
      </c>
      <c r="Q72" s="33">
        <v>-9.8311749032807582E-4</v>
      </c>
      <c r="R72" s="2">
        <v>5.2905782654687943E-4</v>
      </c>
      <c r="S72" s="2">
        <v>1.5230999999999999</v>
      </c>
      <c r="T72" s="2">
        <v>17.277735096010829</v>
      </c>
      <c r="U72" s="2">
        <f t="shared" si="0"/>
        <v>9.7089177751996392</v>
      </c>
      <c r="V72" s="2">
        <v>1.5804</v>
      </c>
      <c r="W72" s="2">
        <f t="shared" si="1"/>
        <v>2.9493524709842275E-2</v>
      </c>
      <c r="X72">
        <f t="shared" ref="X72:X91" si="5">IF(ISERR(T72),0,T72*B72)</f>
        <v>-518.33205288032491</v>
      </c>
      <c r="Y72">
        <f t="shared" si="2"/>
        <v>0.5690083132221786</v>
      </c>
      <c r="Z72" s="85">
        <f>midMarket(K72,L72) +AA72/10000</f>
        <v>3.65E-3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36.5</v>
      </c>
      <c r="AC72" s="49">
        <f t="shared" si="3"/>
        <v>1095</v>
      </c>
      <c r="AD72" s="48">
        <f t="shared" si="4"/>
        <v>6843.75</v>
      </c>
    </row>
    <row r="73" spans="1:33" x14ac:dyDescent="0.25">
      <c r="A73" s="2" t="s">
        <v>235</v>
      </c>
      <c r="B73" s="2">
        <v>-90</v>
      </c>
      <c r="C73" s="2">
        <v>8.7063999999999996E-3</v>
      </c>
      <c r="D73" s="2">
        <v>-48973.5</v>
      </c>
      <c r="E73" s="2">
        <v>533.79</v>
      </c>
      <c r="F73" s="28">
        <v>-932.4</v>
      </c>
      <c r="G73" s="2">
        <v>0</v>
      </c>
      <c r="H73" s="2">
        <v>0</v>
      </c>
      <c r="I73" s="2">
        <v>0</v>
      </c>
      <c r="J73" s="2">
        <v>20</v>
      </c>
      <c r="K73" s="2">
        <v>8.3999999999999995E-3</v>
      </c>
      <c r="L73" s="2">
        <v>8.6999999999999994E-3</v>
      </c>
      <c r="M73" s="2">
        <v>25</v>
      </c>
      <c r="N73" s="2">
        <v>0.12097520952070795</v>
      </c>
      <c r="O73" s="2">
        <v>0.57272575096473766</v>
      </c>
      <c r="P73" s="2">
        <v>0</v>
      </c>
      <c r="Q73" s="33">
        <v>-1.0474541122361463E-3</v>
      </c>
      <c r="R73" s="2">
        <v>5.7409014125626469E-4</v>
      </c>
      <c r="S73" s="2">
        <v>1.5230999999999999</v>
      </c>
      <c r="T73" s="2">
        <v>18.851354861555659</v>
      </c>
      <c r="U73" s="2">
        <f t="shared" si="0"/>
        <v>-51.545317586826386</v>
      </c>
      <c r="V73" s="2">
        <v>1.5804</v>
      </c>
      <c r="W73" s="2">
        <f t="shared" si="1"/>
        <v>9.4270870101253165E-2</v>
      </c>
      <c r="X73">
        <f t="shared" si="5"/>
        <v>-1696.6219375400094</v>
      </c>
      <c r="Y73">
        <f t="shared" si="2"/>
        <v>0.55563863707868677</v>
      </c>
      <c r="Z73" s="85">
        <f>midMarket(K73,L73) +AA73/10000</f>
        <v>1.1649999999999879E-2</v>
      </c>
      <c r="AA73">
        <f>IF(rightFromSymbol(A73)="C",MAX(0,$N$16-strikeFromSymbol(A73)),MAX(0,strikeFromSymbol(A73)-$N$16))*10000</f>
        <v>30.999999999998806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237</v>
      </c>
      <c r="B74" s="2">
        <v>-30</v>
      </c>
      <c r="C74" s="2">
        <v>6.0064000000000003E-3</v>
      </c>
      <c r="D74" s="2">
        <v>-11262</v>
      </c>
      <c r="E74" s="2">
        <v>370.45666664999999</v>
      </c>
      <c r="F74" s="28">
        <v>-148.30000000000001</v>
      </c>
      <c r="G74" s="2">
        <v>0</v>
      </c>
      <c r="H74" s="2">
        <v>6.6E-3</v>
      </c>
      <c r="I74" s="2">
        <v>5</v>
      </c>
      <c r="J74" s="2">
        <v>55</v>
      </c>
      <c r="K74" s="2">
        <v>5.7000000000000002E-3</v>
      </c>
      <c r="L74" s="2">
        <v>6.0000000000000001E-3</v>
      </c>
      <c r="M74" s="2">
        <v>25</v>
      </c>
      <c r="N74" s="2">
        <v>0.11901880226470496</v>
      </c>
      <c r="O74" s="2">
        <v>0.45861415061755928</v>
      </c>
      <c r="P74" s="2">
        <v>0</v>
      </c>
      <c r="Q74" s="33">
        <v>-1.0422565946366692E-3</v>
      </c>
      <c r="R74" s="2">
        <v>5.750339214357315E-4</v>
      </c>
      <c r="S74" s="2">
        <v>1.5230999999999999</v>
      </c>
      <c r="T74" s="2">
        <v>19.316868748241131</v>
      </c>
      <c r="U74" s="2">
        <f t="shared" si="0"/>
        <v>-13.758424518526779</v>
      </c>
      <c r="V74" s="2">
        <v>1.5804</v>
      </c>
      <c r="W74" s="2">
        <f t="shared" si="1"/>
        <v>3.1267697839100078E-2</v>
      </c>
      <c r="X74">
        <f t="shared" si="5"/>
        <v>-579.50606244723394</v>
      </c>
      <c r="Y74">
        <f t="shared" si="2"/>
        <v>0.53955773485884995</v>
      </c>
      <c r="Z74" s="85">
        <f t="shared" ref="Z74:Z91" si="7">midMarket(K74,L74) +AA74/10000</f>
        <v>5.8500000000000002E-3</v>
      </c>
      <c r="AA74">
        <f>IF(rightFromSymbol(A74)="C",MAX(0,$N$16-strikeFromSymbol(A74)),MAX(0,strikeFromSymbol(A74)-$N$16))*10000</f>
        <v>0</v>
      </c>
      <c r="AB74" s="86">
        <f t="shared" si="6"/>
        <v>58.5</v>
      </c>
      <c r="AC74" s="49">
        <f t="shared" si="3"/>
        <v>1755</v>
      </c>
      <c r="AD74" s="48">
        <f t="shared" si="4"/>
        <v>10968.75</v>
      </c>
    </row>
    <row r="75" spans="1:33" x14ac:dyDescent="0.25">
      <c r="A75" s="2" t="s">
        <v>239</v>
      </c>
      <c r="B75" s="2">
        <v>-30</v>
      </c>
      <c r="C75" s="2">
        <v>5.6064000000000001E-3</v>
      </c>
      <c r="D75" s="2">
        <v>-10512</v>
      </c>
      <c r="E75" s="2">
        <v>372.54</v>
      </c>
      <c r="F75" s="28">
        <v>664.2</v>
      </c>
      <c r="G75" s="2">
        <v>0</v>
      </c>
      <c r="H75" s="2">
        <v>0</v>
      </c>
      <c r="I75" s="2">
        <v>0</v>
      </c>
      <c r="J75" s="2">
        <v>21</v>
      </c>
      <c r="K75" s="2">
        <v>5.3E-3</v>
      </c>
      <c r="L75" s="2">
        <v>5.5999999999999999E-3</v>
      </c>
      <c r="M75" s="2">
        <v>25</v>
      </c>
      <c r="N75" s="2">
        <v>0.12097520952070795</v>
      </c>
      <c r="O75" s="2">
        <v>-0.42750035118813806</v>
      </c>
      <c r="P75" s="34">
        <v>0</v>
      </c>
      <c r="Q75" s="33">
        <v>-1.0474834165211809E-3</v>
      </c>
      <c r="R75" s="2">
        <v>5.7409185108451069E-4</v>
      </c>
      <c r="S75" s="2">
        <v>1.5230999999999999</v>
      </c>
      <c r="T75" s="2">
        <v>18.851354861555659</v>
      </c>
      <c r="U75" s="2">
        <f t="shared" si="0"/>
        <v>12.825010535644141</v>
      </c>
      <c r="V75" s="2">
        <v>1.5804</v>
      </c>
      <c r="W75" s="2">
        <f t="shared" si="1"/>
        <v>3.1424502495635429E-2</v>
      </c>
      <c r="X75">
        <f t="shared" si="5"/>
        <v>-565.5406458466698</v>
      </c>
      <c r="Y75">
        <f t="shared" si="2"/>
        <v>0.55565418200118688</v>
      </c>
      <c r="Z75" s="85">
        <f t="shared" si="7"/>
        <v>5.45E-3</v>
      </c>
      <c r="AA75">
        <f>IF(rightFromSymbol(A75)="C",MAX(0,$N$16-strikeFromSymbol(A75)),MAX(0,strikeFromSymbol(A75)-$N$16))*10000</f>
        <v>0</v>
      </c>
      <c r="AB75" s="86">
        <f t="shared" si="6"/>
        <v>54.5</v>
      </c>
      <c r="AC75" s="49">
        <f t="shared" si="3"/>
        <v>1635</v>
      </c>
      <c r="AD75" s="48">
        <f t="shared" si="4"/>
        <v>10218.75</v>
      </c>
    </row>
    <row r="76" spans="1:33" x14ac:dyDescent="0.25">
      <c r="A76" s="2" t="s">
        <v>241</v>
      </c>
      <c r="B76" s="2">
        <v>-30</v>
      </c>
      <c r="C76" s="2">
        <v>3.9319999999999997E-3</v>
      </c>
      <c r="D76" s="2">
        <v>-7372.5</v>
      </c>
      <c r="E76" s="2">
        <v>241.29</v>
      </c>
      <c r="F76" s="28">
        <v>-133.80000000000001</v>
      </c>
      <c r="G76" s="2">
        <v>0</v>
      </c>
      <c r="H76" s="2">
        <v>0</v>
      </c>
      <c r="I76" s="2">
        <v>0</v>
      </c>
      <c r="J76" s="2">
        <v>46</v>
      </c>
      <c r="K76" s="2">
        <v>3.7000000000000002E-3</v>
      </c>
      <c r="L76" s="2">
        <v>4.0000000000000001E-3</v>
      </c>
      <c r="M76" s="2">
        <v>30</v>
      </c>
      <c r="N76" s="2">
        <v>0.11819803634665504</v>
      </c>
      <c r="O76" s="2">
        <v>0.34610843384252393</v>
      </c>
      <c r="P76" s="2">
        <v>0</v>
      </c>
      <c r="Q76" s="33">
        <v>-9.6178923594344664E-4</v>
      </c>
      <c r="R76" s="2">
        <v>5.3167012229593351E-4</v>
      </c>
      <c r="S76" s="2">
        <v>1.5230999999999999</v>
      </c>
      <c r="T76" s="2">
        <v>18.485196266392116</v>
      </c>
      <c r="U76" s="2">
        <f t="shared" si="0"/>
        <v>-10.383253015275718</v>
      </c>
      <c r="V76" s="2">
        <v>1.5804</v>
      </c>
      <c r="W76" s="2">
        <f t="shared" si="1"/>
        <v>2.88536770783034E-2</v>
      </c>
      <c r="X76">
        <f t="shared" si="5"/>
        <v>-554.55588799176348</v>
      </c>
      <c r="Y76">
        <f t="shared" si="2"/>
        <v>0.52030242042497166</v>
      </c>
      <c r="Z76" s="85">
        <f t="shared" si="7"/>
        <v>3.8500000000000001E-3</v>
      </c>
      <c r="AA76">
        <f>IF(rightFromSymbol(A76)="C",MAX(0,$N$16-strikeFromSymbol(A76)),MAX(0,strikeFromSymbol(A76)-$N$16))*10000</f>
        <v>0</v>
      </c>
      <c r="AB76" s="86">
        <f t="shared" si="6"/>
        <v>38.5</v>
      </c>
      <c r="AC76" s="49">
        <f t="shared" si="3"/>
        <v>1155</v>
      </c>
      <c r="AD76" s="48">
        <f t="shared" si="4"/>
        <v>7218.75</v>
      </c>
    </row>
    <row r="77" spans="1:33" x14ac:dyDescent="0.25">
      <c r="A77" s="2" t="s">
        <v>243</v>
      </c>
      <c r="B77" s="2">
        <v>-50</v>
      </c>
      <c r="C77" s="2">
        <v>2.5053499999999999E-3</v>
      </c>
      <c r="D77" s="2">
        <v>-7829.17</v>
      </c>
      <c r="E77" s="2">
        <v>153.79</v>
      </c>
      <c r="F77" s="28">
        <v>-139.66999999999999</v>
      </c>
      <c r="G77" s="2">
        <v>0</v>
      </c>
      <c r="H77" s="2">
        <v>0</v>
      </c>
      <c r="I77" s="2">
        <v>0</v>
      </c>
      <c r="J77" s="2">
        <v>80</v>
      </c>
      <c r="K77" s="2">
        <v>2.2000000000000001E-3</v>
      </c>
      <c r="L77" s="2">
        <v>2.5000000000000001E-3</v>
      </c>
      <c r="M77" s="2">
        <v>30</v>
      </c>
      <c r="N77" s="2">
        <v>0.11851291176656531</v>
      </c>
      <c r="O77" s="2">
        <v>0.24685260834400408</v>
      </c>
      <c r="P77" s="2">
        <v>0</v>
      </c>
      <c r="Q77" s="33">
        <v>-8.2463988136576266E-4</v>
      </c>
      <c r="R77" s="2">
        <v>4.5364357878814425E-4</v>
      </c>
      <c r="S77" s="2">
        <v>1.5230999999999999</v>
      </c>
      <c r="T77" s="2">
        <v>16.53482936527886</v>
      </c>
      <c r="U77" s="2">
        <f t="shared" si="0"/>
        <v>-12.342630417200203</v>
      </c>
      <c r="V77" s="2">
        <v>1.5804</v>
      </c>
      <c r="W77" s="2">
        <f t="shared" si="1"/>
        <v>4.1231994068288133E-2</v>
      </c>
      <c r="X77">
        <f t="shared" si="5"/>
        <v>-826.74146826394303</v>
      </c>
      <c r="Y77">
        <f t="shared" si="2"/>
        <v>0.49872899390023739</v>
      </c>
      <c r="Z77" s="85">
        <f t="shared" si="7"/>
        <v>2.3500000000000001E-3</v>
      </c>
      <c r="AA77">
        <f>IF(rightFromSymbol(A77)="C",MAX(0,$N$16-strikeFromSymbol(A77)),MAX(0,strikeFromSymbol(A77)-$N$16))*10000</f>
        <v>0</v>
      </c>
      <c r="AB77" s="86">
        <f t="shared" si="6"/>
        <v>23.5</v>
      </c>
      <c r="AC77" s="49">
        <f t="shared" si="3"/>
        <v>1175</v>
      </c>
      <c r="AD77" s="48">
        <f t="shared" si="4"/>
        <v>7343.75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21" t="s">
        <v>174</v>
      </c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</row>
    <row r="98" spans="1:13" x14ac:dyDescent="0.25">
      <c r="A98" s="115" t="s">
        <v>41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 t="s">
        <v>180</v>
      </c>
      <c r="B100" s="16">
        <v>8816</v>
      </c>
      <c r="C100" s="20" t="s">
        <v>367</v>
      </c>
      <c r="D100" s="16" t="s">
        <v>368</v>
      </c>
      <c r="E100" s="16" t="s">
        <v>370</v>
      </c>
      <c r="F100" s="16">
        <v>1</v>
      </c>
      <c r="G100" s="16">
        <v>1</v>
      </c>
      <c r="H100" s="16">
        <v>1.5232000000000001</v>
      </c>
      <c r="I100" s="16">
        <v>1.5232000000000001</v>
      </c>
      <c r="J100" s="16">
        <v>415885843</v>
      </c>
      <c r="K100" s="16">
        <v>0</v>
      </c>
      <c r="L100" s="16">
        <v>7</v>
      </c>
      <c r="M100" s="16"/>
    </row>
    <row r="101" spans="1:13" x14ac:dyDescent="0.25">
      <c r="A101" s="2" t="s">
        <v>180</v>
      </c>
      <c r="B101" s="16">
        <v>8816</v>
      </c>
      <c r="C101" s="20" t="s">
        <v>396</v>
      </c>
      <c r="D101" s="16" t="s">
        <v>368</v>
      </c>
      <c r="E101" s="16" t="s">
        <v>370</v>
      </c>
      <c r="F101" s="16">
        <v>4</v>
      </c>
      <c r="G101" s="16">
        <v>5</v>
      </c>
      <c r="H101" s="16">
        <v>1.5232000000000001</v>
      </c>
      <c r="I101" s="16">
        <v>1.5232000000000001</v>
      </c>
      <c r="J101" s="16">
        <v>415885843</v>
      </c>
      <c r="K101" s="16">
        <v>0</v>
      </c>
      <c r="L101" s="16">
        <v>7</v>
      </c>
      <c r="M101" s="16"/>
    </row>
    <row r="102" spans="1:13" x14ac:dyDescent="0.25">
      <c r="A102" s="2" t="s">
        <v>180</v>
      </c>
      <c r="B102" s="16">
        <v>8817</v>
      </c>
      <c r="C102" s="20" t="s">
        <v>505</v>
      </c>
      <c r="D102" s="16" t="s">
        <v>506</v>
      </c>
      <c r="E102" s="16" t="s">
        <v>370</v>
      </c>
      <c r="F102" s="16">
        <v>1</v>
      </c>
      <c r="G102" s="16">
        <v>1</v>
      </c>
      <c r="H102" s="16">
        <v>1.5232000000000001</v>
      </c>
      <c r="I102" s="16">
        <v>1.5232000000000001</v>
      </c>
      <c r="J102" s="16">
        <v>415885844</v>
      </c>
      <c r="K102" s="16">
        <v>0</v>
      </c>
      <c r="L102" s="16">
        <v>7</v>
      </c>
      <c r="M102" s="16"/>
    </row>
    <row r="103" spans="1:13" x14ac:dyDescent="0.25">
      <c r="A103" s="2" t="s">
        <v>180</v>
      </c>
      <c r="B103" s="16">
        <v>8817</v>
      </c>
      <c r="C103" s="20" t="s">
        <v>527</v>
      </c>
      <c r="D103" s="16" t="s">
        <v>506</v>
      </c>
      <c r="E103" s="16" t="s">
        <v>370</v>
      </c>
      <c r="F103" s="16">
        <v>4</v>
      </c>
      <c r="G103" s="16">
        <v>5</v>
      </c>
      <c r="H103" s="16">
        <v>1.5232000000000001</v>
      </c>
      <c r="I103" s="16">
        <v>1.5232000000000001</v>
      </c>
      <c r="J103" s="16">
        <v>415885844</v>
      </c>
      <c r="K103" s="16">
        <v>0</v>
      </c>
      <c r="L103" s="16">
        <v>7</v>
      </c>
      <c r="M103" s="16"/>
    </row>
    <row r="104" spans="1:13" x14ac:dyDescent="0.25">
      <c r="A104" s="2" t="s">
        <v>180</v>
      </c>
      <c r="B104" s="16">
        <v>8818</v>
      </c>
      <c r="C104" s="22" t="s">
        <v>597</v>
      </c>
      <c r="D104" s="16" t="s">
        <v>598</v>
      </c>
      <c r="E104" s="16" t="s">
        <v>370</v>
      </c>
      <c r="F104" s="16">
        <v>5</v>
      </c>
      <c r="G104" s="16">
        <v>5</v>
      </c>
      <c r="H104" s="16">
        <v>1.5230999999999999</v>
      </c>
      <c r="I104" s="16">
        <v>1.5230999999999999</v>
      </c>
      <c r="J104" s="16">
        <v>415885845</v>
      </c>
      <c r="K104" s="16">
        <v>0</v>
      </c>
      <c r="L104" s="16">
        <v>7</v>
      </c>
      <c r="M104" s="16"/>
    </row>
    <row r="105" spans="1:13" x14ac:dyDescent="0.25">
      <c r="A105" s="2" t="s">
        <v>180</v>
      </c>
      <c r="B105" s="16">
        <v>8820</v>
      </c>
      <c r="C105" s="22" t="s">
        <v>732</v>
      </c>
      <c r="D105" s="16" t="s">
        <v>733</v>
      </c>
      <c r="E105" s="16" t="s">
        <v>370</v>
      </c>
      <c r="F105" s="16">
        <v>5</v>
      </c>
      <c r="G105" s="16">
        <v>5</v>
      </c>
      <c r="H105" s="16">
        <v>1.5232000000000001</v>
      </c>
      <c r="I105" s="16">
        <v>1.5232000000000001</v>
      </c>
      <c r="J105" s="16">
        <v>415885847</v>
      </c>
      <c r="K105" s="16">
        <v>0</v>
      </c>
      <c r="L105" s="16">
        <v>7</v>
      </c>
      <c r="M105" s="16"/>
    </row>
    <row r="106" spans="1:13" x14ac:dyDescent="0.25">
      <c r="A106" s="2" t="s">
        <v>180</v>
      </c>
      <c r="B106" s="16">
        <v>8821</v>
      </c>
      <c r="C106" s="22" t="s">
        <v>791</v>
      </c>
      <c r="D106" s="16" t="s">
        <v>792</v>
      </c>
      <c r="E106" s="16" t="s">
        <v>370</v>
      </c>
      <c r="F106" s="16">
        <v>5</v>
      </c>
      <c r="G106" s="16">
        <v>5</v>
      </c>
      <c r="H106" s="16">
        <v>1.5232000000000001</v>
      </c>
      <c r="I106" s="16">
        <v>1.5232000000000001</v>
      </c>
      <c r="J106" s="16">
        <v>415885848</v>
      </c>
      <c r="K106" s="16">
        <v>0</v>
      </c>
      <c r="L106" s="16">
        <v>7</v>
      </c>
      <c r="M106" s="16"/>
    </row>
    <row r="107" spans="1:13" x14ac:dyDescent="0.25">
      <c r="A107" s="2" t="s">
        <v>180</v>
      </c>
      <c r="B107" s="16">
        <v>8822</v>
      </c>
      <c r="C107" s="20" t="s">
        <v>836</v>
      </c>
      <c r="D107" s="16" t="s">
        <v>837</v>
      </c>
      <c r="E107" s="16" t="s">
        <v>370</v>
      </c>
      <c r="F107" s="16">
        <v>1</v>
      </c>
      <c r="G107" s="16">
        <v>1</v>
      </c>
      <c r="H107" s="16">
        <v>1.5230999999999999</v>
      </c>
      <c r="I107" s="16">
        <v>1.5230999999999999</v>
      </c>
      <c r="J107" s="16">
        <v>415885849</v>
      </c>
      <c r="K107" s="16">
        <v>0</v>
      </c>
      <c r="L107" s="16">
        <v>7</v>
      </c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1" t="s">
        <v>123</v>
      </c>
      <c r="AF1" s="131"/>
      <c r="AG1" s="131"/>
      <c r="AH1" s="131"/>
      <c r="AI1" s="131"/>
      <c r="AJ1" s="131"/>
      <c r="AK1" s="131"/>
    </row>
    <row r="4" spans="2:37" x14ac:dyDescent="0.25">
      <c r="B4" s="100" t="s">
        <v>13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00"/>
      <c r="R4" s="101"/>
      <c r="S4" s="101"/>
      <c r="T4" s="126" t="s">
        <v>101</v>
      </c>
      <c r="U4" s="126"/>
      <c r="V4" s="126"/>
      <c r="W4" s="126"/>
      <c r="X4" s="126"/>
      <c r="Y4" s="126"/>
      <c r="Z4" s="126"/>
      <c r="AA4" s="126"/>
      <c r="AB4" s="126" t="s">
        <v>108</v>
      </c>
      <c r="AC4" s="126"/>
      <c r="AD4" s="126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64</v>
      </c>
    </row>
    <row r="11" spans="1:2" x14ac:dyDescent="0.25">
      <c r="A11" t="s">
        <v>204</v>
      </c>
      <c r="B11">
        <v>65</v>
      </c>
    </row>
    <row r="12" spans="1:2" x14ac:dyDescent="0.25">
      <c r="A12" t="s">
        <v>215</v>
      </c>
      <c r="B12">
        <v>16</v>
      </c>
    </row>
    <row r="13" spans="1:2" x14ac:dyDescent="0.25">
      <c r="A13" t="s">
        <v>216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76"/>
  <sheetViews>
    <sheetView workbookViewId="0">
      <selection activeCell="F27" sqref="F27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217</v>
      </c>
    </row>
    <row r="2" spans="1:1" x14ac:dyDescent="0.25">
      <c r="A2" s="27" t="s">
        <v>221</v>
      </c>
    </row>
    <row r="3" spans="1:1" x14ac:dyDescent="0.25">
      <c r="A3" s="27" t="s">
        <v>222</v>
      </c>
    </row>
    <row r="4" spans="1:1" x14ac:dyDescent="0.25">
      <c r="A4" s="27" t="s">
        <v>223</v>
      </c>
    </row>
    <row r="5" spans="1:1" x14ac:dyDescent="0.25">
      <c r="A5" s="27" t="s">
        <v>224</v>
      </c>
    </row>
    <row r="6" spans="1:1" x14ac:dyDescent="0.25">
      <c r="A6" s="27" t="s">
        <v>225</v>
      </c>
    </row>
    <row r="7" spans="1:1" x14ac:dyDescent="0.25">
      <c r="A7" s="27" t="s">
        <v>226</v>
      </c>
    </row>
    <row r="8" spans="1:1" x14ac:dyDescent="0.25">
      <c r="A8" s="27" t="s">
        <v>227</v>
      </c>
    </row>
    <row r="9" spans="1:1" x14ac:dyDescent="0.25">
      <c r="A9" t="s">
        <v>228</v>
      </c>
    </row>
    <row r="10" spans="1:1" x14ac:dyDescent="0.25">
      <c r="A10" t="s">
        <v>229</v>
      </c>
    </row>
    <row r="11" spans="1:1" x14ac:dyDescent="0.25">
      <c r="A11" s="136" t="s">
        <v>230</v>
      </c>
    </row>
    <row r="12" spans="1:1" x14ac:dyDescent="0.25">
      <c r="A12" s="136" t="s">
        <v>232</v>
      </c>
    </row>
    <row r="13" spans="1:1" x14ac:dyDescent="0.25">
      <c r="A13" s="136" t="s">
        <v>234</v>
      </c>
    </row>
    <row r="14" spans="1:1" x14ac:dyDescent="0.25">
      <c r="A14" s="136" t="s">
        <v>236</v>
      </c>
    </row>
    <row r="15" spans="1:1" x14ac:dyDescent="0.25">
      <c r="A15" s="136" t="s">
        <v>238</v>
      </c>
    </row>
    <row r="16" spans="1:1" x14ac:dyDescent="0.25">
      <c r="A16" s="136" t="s">
        <v>240</v>
      </c>
    </row>
    <row r="17" spans="1:1" x14ac:dyDescent="0.25">
      <c r="A17" s="136" t="s">
        <v>242</v>
      </c>
    </row>
    <row r="18" spans="1:1" x14ac:dyDescent="0.25">
      <c r="A18" s="136" t="s">
        <v>244</v>
      </c>
    </row>
    <row r="19" spans="1:1" x14ac:dyDescent="0.25">
      <c r="A19" s="136" t="s">
        <v>245</v>
      </c>
    </row>
    <row r="20" spans="1:1" x14ac:dyDescent="0.25">
      <c r="A20" t="s">
        <v>246</v>
      </c>
    </row>
    <row r="21" spans="1:1" x14ac:dyDescent="0.25">
      <c r="A21" t="s">
        <v>247</v>
      </c>
    </row>
    <row r="22" spans="1:1" x14ac:dyDescent="0.25">
      <c r="A22" t="s">
        <v>248</v>
      </c>
    </row>
    <row r="23" spans="1:1" x14ac:dyDescent="0.25">
      <c r="A23" t="s">
        <v>247</v>
      </c>
    </row>
    <row r="24" spans="1:1" x14ac:dyDescent="0.25">
      <c r="A24" t="s">
        <v>249</v>
      </c>
    </row>
    <row r="25" spans="1:1" x14ac:dyDescent="0.25">
      <c r="A25" t="s">
        <v>250</v>
      </c>
    </row>
    <row r="26" spans="1:1" x14ac:dyDescent="0.25">
      <c r="A26" t="s">
        <v>251</v>
      </c>
    </row>
    <row r="27" spans="1:1" x14ac:dyDescent="0.25">
      <c r="A27" t="s">
        <v>252</v>
      </c>
    </row>
    <row r="28" spans="1:1" x14ac:dyDescent="0.25">
      <c r="A28" t="s">
        <v>253</v>
      </c>
    </row>
    <row r="29" spans="1:1" x14ac:dyDescent="0.25">
      <c r="A29" t="s">
        <v>252</v>
      </c>
    </row>
    <row r="30" spans="1:1" x14ac:dyDescent="0.25">
      <c r="A30" t="s">
        <v>254</v>
      </c>
    </row>
    <row r="31" spans="1:1" x14ac:dyDescent="0.25">
      <c r="A31" t="s">
        <v>255</v>
      </c>
    </row>
    <row r="32" spans="1:1" x14ac:dyDescent="0.25">
      <c r="A32" t="s">
        <v>256</v>
      </c>
    </row>
    <row r="33" spans="1:1" x14ac:dyDescent="0.25">
      <c r="A33" t="s">
        <v>257</v>
      </c>
    </row>
    <row r="34" spans="1:1" x14ac:dyDescent="0.25">
      <c r="A34" s="136" t="s">
        <v>258</v>
      </c>
    </row>
    <row r="35" spans="1:1" x14ac:dyDescent="0.25">
      <c r="A35" s="136" t="s">
        <v>259</v>
      </c>
    </row>
    <row r="36" spans="1:1" x14ac:dyDescent="0.25">
      <c r="A36" s="136" t="s">
        <v>260</v>
      </c>
    </row>
    <row r="37" spans="1:1" x14ac:dyDescent="0.25">
      <c r="A37" s="137" t="s">
        <v>261</v>
      </c>
    </row>
    <row r="38" spans="1:1" x14ac:dyDescent="0.25">
      <c r="A38" s="137" t="s">
        <v>262</v>
      </c>
    </row>
    <row r="39" spans="1:1" x14ac:dyDescent="0.25">
      <c r="A39" s="136" t="s">
        <v>263</v>
      </c>
    </row>
    <row r="40" spans="1:1" x14ac:dyDescent="0.25">
      <c r="A40" s="136" t="s">
        <v>264</v>
      </c>
    </row>
    <row r="41" spans="1:1" x14ac:dyDescent="0.25">
      <c r="A41" s="137" t="s">
        <v>265</v>
      </c>
    </row>
    <row r="42" spans="1:1" x14ac:dyDescent="0.25">
      <c r="A42" s="136" t="s">
        <v>266</v>
      </c>
    </row>
    <row r="43" spans="1:1" x14ac:dyDescent="0.25">
      <c r="A43" s="136" t="s">
        <v>267</v>
      </c>
    </row>
    <row r="44" spans="1:1" x14ac:dyDescent="0.25">
      <c r="A44" s="137" t="s">
        <v>268</v>
      </c>
    </row>
    <row r="45" spans="1:1" x14ac:dyDescent="0.25">
      <c r="A45" s="136" t="s">
        <v>269</v>
      </c>
    </row>
    <row r="46" spans="1:1" x14ac:dyDescent="0.25">
      <c r="A46" s="136" t="s">
        <v>270</v>
      </c>
    </row>
    <row r="47" spans="1:1" x14ac:dyDescent="0.25">
      <c r="A47" s="137" t="s">
        <v>271</v>
      </c>
    </row>
    <row r="48" spans="1:1" x14ac:dyDescent="0.25">
      <c r="A48" s="136" t="s">
        <v>272</v>
      </c>
    </row>
    <row r="49" spans="1:1" x14ac:dyDescent="0.25">
      <c r="A49" s="136" t="s">
        <v>273</v>
      </c>
    </row>
    <row r="50" spans="1:1" x14ac:dyDescent="0.25">
      <c r="A50" s="137" t="s">
        <v>274</v>
      </c>
    </row>
    <row r="51" spans="1:1" x14ac:dyDescent="0.25">
      <c r="A51" s="136" t="s">
        <v>275</v>
      </c>
    </row>
    <row r="52" spans="1:1" x14ac:dyDescent="0.25">
      <c r="A52" s="136" t="s">
        <v>276</v>
      </c>
    </row>
    <row r="53" spans="1:1" x14ac:dyDescent="0.25">
      <c r="A53" s="137" t="s">
        <v>277</v>
      </c>
    </row>
    <row r="54" spans="1:1" x14ac:dyDescent="0.25">
      <c r="A54" s="136" t="s">
        <v>278</v>
      </c>
    </row>
    <row r="55" spans="1:1" x14ac:dyDescent="0.25">
      <c r="A55" s="136" t="s">
        <v>279</v>
      </c>
    </row>
    <row r="56" spans="1:1" x14ac:dyDescent="0.25">
      <c r="A56" s="137" t="s">
        <v>280</v>
      </c>
    </row>
    <row r="57" spans="1:1" x14ac:dyDescent="0.25">
      <c r="A57" s="136" t="s">
        <v>281</v>
      </c>
    </row>
    <row r="58" spans="1:1" x14ac:dyDescent="0.25">
      <c r="A58" s="136" t="s">
        <v>282</v>
      </c>
    </row>
    <row r="59" spans="1:1" x14ac:dyDescent="0.25">
      <c r="A59" s="137" t="s">
        <v>283</v>
      </c>
    </row>
    <row r="60" spans="1:1" x14ac:dyDescent="0.25">
      <c r="A60" s="136" t="s">
        <v>284</v>
      </c>
    </row>
    <row r="61" spans="1:1" x14ac:dyDescent="0.25">
      <c r="A61" s="136" t="s">
        <v>285</v>
      </c>
    </row>
    <row r="62" spans="1:1" x14ac:dyDescent="0.25">
      <c r="A62" s="137" t="s">
        <v>286</v>
      </c>
    </row>
    <row r="63" spans="1:1" x14ac:dyDescent="0.25">
      <c r="A63" s="136" t="s">
        <v>287</v>
      </c>
    </row>
    <row r="64" spans="1:1" x14ac:dyDescent="0.25">
      <c r="A64" s="136" t="s">
        <v>288</v>
      </c>
    </row>
    <row r="65" spans="1:1" x14ac:dyDescent="0.25">
      <c r="A65" s="137" t="s">
        <v>289</v>
      </c>
    </row>
    <row r="66" spans="1:1" x14ac:dyDescent="0.25">
      <c r="A66" s="136" t="s">
        <v>290</v>
      </c>
    </row>
    <row r="67" spans="1:1" x14ac:dyDescent="0.25">
      <c r="A67" s="136" t="s">
        <v>291</v>
      </c>
    </row>
    <row r="68" spans="1:1" x14ac:dyDescent="0.25">
      <c r="A68" s="137" t="s">
        <v>292</v>
      </c>
    </row>
    <row r="69" spans="1:1" x14ac:dyDescent="0.25">
      <c r="A69" s="136" t="s">
        <v>293</v>
      </c>
    </row>
    <row r="70" spans="1:1" x14ac:dyDescent="0.25">
      <c r="A70" s="136" t="s">
        <v>294</v>
      </c>
    </row>
    <row r="71" spans="1:1" x14ac:dyDescent="0.25">
      <c r="A71" s="137" t="s">
        <v>295</v>
      </c>
    </row>
    <row r="72" spans="1:1" x14ac:dyDescent="0.25">
      <c r="A72" s="136" t="s">
        <v>296</v>
      </c>
    </row>
    <row r="73" spans="1:1" x14ac:dyDescent="0.25">
      <c r="A73" s="136" t="s">
        <v>297</v>
      </c>
    </row>
    <row r="74" spans="1:1" x14ac:dyDescent="0.25">
      <c r="A74" s="137" t="s">
        <v>298</v>
      </c>
    </row>
    <row r="75" spans="1:1" x14ac:dyDescent="0.25">
      <c r="A75" s="136" t="s">
        <v>299</v>
      </c>
    </row>
    <row r="76" spans="1:1" x14ac:dyDescent="0.25">
      <c r="A76" s="136" t="s">
        <v>300</v>
      </c>
    </row>
    <row r="77" spans="1:1" x14ac:dyDescent="0.25">
      <c r="A77" s="137" t="s">
        <v>301</v>
      </c>
    </row>
    <row r="78" spans="1:1" x14ac:dyDescent="0.25">
      <c r="A78" s="136" t="s">
        <v>302</v>
      </c>
    </row>
    <row r="79" spans="1:1" x14ac:dyDescent="0.25">
      <c r="A79" s="136" t="s">
        <v>303</v>
      </c>
    </row>
    <row r="80" spans="1:1" x14ac:dyDescent="0.25">
      <c r="A80" s="137" t="s">
        <v>304</v>
      </c>
    </row>
    <row r="81" spans="1:1" x14ac:dyDescent="0.25">
      <c r="A81" s="136" t="s">
        <v>305</v>
      </c>
    </row>
    <row r="82" spans="1:1" x14ac:dyDescent="0.25">
      <c r="A82" s="136" t="s">
        <v>306</v>
      </c>
    </row>
    <row r="83" spans="1:1" x14ac:dyDescent="0.25">
      <c r="A83" s="137" t="s">
        <v>307</v>
      </c>
    </row>
    <row r="84" spans="1:1" x14ac:dyDescent="0.25">
      <c r="A84" s="136" t="s">
        <v>308</v>
      </c>
    </row>
    <row r="85" spans="1:1" x14ac:dyDescent="0.25">
      <c r="A85" s="136" t="s">
        <v>309</v>
      </c>
    </row>
    <row r="86" spans="1:1" x14ac:dyDescent="0.25">
      <c r="A86" s="137" t="s">
        <v>310</v>
      </c>
    </row>
    <row r="87" spans="1:1" x14ac:dyDescent="0.25">
      <c r="A87" s="136" t="s">
        <v>311</v>
      </c>
    </row>
    <row r="88" spans="1:1" x14ac:dyDescent="0.25">
      <c r="A88" s="136" t="s">
        <v>312</v>
      </c>
    </row>
    <row r="89" spans="1:1" x14ac:dyDescent="0.25">
      <c r="A89" s="137" t="s">
        <v>313</v>
      </c>
    </row>
    <row r="90" spans="1:1" x14ac:dyDescent="0.25">
      <c r="A90" s="136" t="s">
        <v>314</v>
      </c>
    </row>
    <row r="91" spans="1:1" x14ac:dyDescent="0.25">
      <c r="A91" s="136" t="s">
        <v>315</v>
      </c>
    </row>
    <row r="92" spans="1:1" x14ac:dyDescent="0.25">
      <c r="A92" s="137" t="s">
        <v>316</v>
      </c>
    </row>
    <row r="93" spans="1:1" x14ac:dyDescent="0.25">
      <c r="A93" s="136" t="s">
        <v>317</v>
      </c>
    </row>
    <row r="94" spans="1:1" x14ac:dyDescent="0.25">
      <c r="A94" s="136" t="s">
        <v>318</v>
      </c>
    </row>
    <row r="95" spans="1:1" x14ac:dyDescent="0.25">
      <c r="A95" s="137" t="s">
        <v>319</v>
      </c>
    </row>
    <row r="96" spans="1:1" x14ac:dyDescent="0.25">
      <c r="A96" s="137" t="s">
        <v>320</v>
      </c>
    </row>
    <row r="97" spans="1:1" x14ac:dyDescent="0.25">
      <c r="A97" s="137" t="s">
        <v>322</v>
      </c>
    </row>
    <row r="98" spans="1:1" x14ac:dyDescent="0.25">
      <c r="A98" s="136" t="s">
        <v>323</v>
      </c>
    </row>
    <row r="99" spans="1:1" x14ac:dyDescent="0.25">
      <c r="A99" s="27" t="s">
        <v>324</v>
      </c>
    </row>
    <row r="100" spans="1:1" x14ac:dyDescent="0.25">
      <c r="A100" s="137" t="s">
        <v>325</v>
      </c>
    </row>
    <row r="101" spans="1:1" x14ac:dyDescent="0.25">
      <c r="A101" s="136" t="s">
        <v>326</v>
      </c>
    </row>
    <row r="102" spans="1:1" x14ac:dyDescent="0.25">
      <c r="A102" s="137" t="s">
        <v>327</v>
      </c>
    </row>
    <row r="103" spans="1:1" x14ac:dyDescent="0.25">
      <c r="A103" s="136" t="s">
        <v>329</v>
      </c>
    </row>
    <row r="104" spans="1:1" x14ac:dyDescent="0.25">
      <c r="A104" s="136" t="s">
        <v>330</v>
      </c>
    </row>
    <row r="105" spans="1:1" x14ac:dyDescent="0.25">
      <c r="A105" s="136" t="s">
        <v>331</v>
      </c>
    </row>
    <row r="106" spans="1:1" x14ac:dyDescent="0.25">
      <c r="A106" s="136" t="s">
        <v>332</v>
      </c>
    </row>
    <row r="107" spans="1:1" x14ac:dyDescent="0.25">
      <c r="A107" s="136" t="s">
        <v>333</v>
      </c>
    </row>
    <row r="108" spans="1:1" x14ac:dyDescent="0.25">
      <c r="A108" s="136" t="s">
        <v>334</v>
      </c>
    </row>
    <row r="109" spans="1:1" x14ac:dyDescent="0.25">
      <c r="A109" s="137" t="s">
        <v>335</v>
      </c>
    </row>
    <row r="110" spans="1:1" x14ac:dyDescent="0.25">
      <c r="A110" s="136" t="s">
        <v>336</v>
      </c>
    </row>
    <row r="111" spans="1:1" x14ac:dyDescent="0.25">
      <c r="A111" s="136" t="s">
        <v>337</v>
      </c>
    </row>
    <row r="112" spans="1:1" x14ac:dyDescent="0.25">
      <c r="A112" s="136" t="s">
        <v>338</v>
      </c>
    </row>
    <row r="113" spans="1:1" x14ac:dyDescent="0.25">
      <c r="A113" s="136" t="s">
        <v>339</v>
      </c>
    </row>
    <row r="114" spans="1:1" x14ac:dyDescent="0.25">
      <c r="A114" s="137" t="s">
        <v>340</v>
      </c>
    </row>
    <row r="115" spans="1:1" x14ac:dyDescent="0.25">
      <c r="A115" s="136" t="s">
        <v>341</v>
      </c>
    </row>
    <row r="116" spans="1:1" x14ac:dyDescent="0.25">
      <c r="A116" s="136" t="s">
        <v>342</v>
      </c>
    </row>
    <row r="117" spans="1:1" x14ac:dyDescent="0.25">
      <c r="A117" s="27" t="s">
        <v>343</v>
      </c>
    </row>
    <row r="118" spans="1:1" x14ac:dyDescent="0.25">
      <c r="A118" s="27" t="s">
        <v>344</v>
      </c>
    </row>
    <row r="119" spans="1:1" x14ac:dyDescent="0.25">
      <c r="A119" s="27" t="s">
        <v>345</v>
      </c>
    </row>
    <row r="120" spans="1:1" x14ac:dyDescent="0.25">
      <c r="A120" s="136" t="s">
        <v>347</v>
      </c>
    </row>
    <row r="121" spans="1:1" x14ac:dyDescent="0.25">
      <c r="A121" s="137" t="s">
        <v>348</v>
      </c>
    </row>
    <row r="122" spans="1:1" x14ac:dyDescent="0.25">
      <c r="A122" s="137" t="s">
        <v>349</v>
      </c>
    </row>
    <row r="123" spans="1:1" x14ac:dyDescent="0.25">
      <c r="A123" s="137" t="s">
        <v>350</v>
      </c>
    </row>
    <row r="124" spans="1:1" x14ac:dyDescent="0.25">
      <c r="A124" s="136" t="s">
        <v>351</v>
      </c>
    </row>
    <row r="125" spans="1:1" x14ac:dyDescent="0.25">
      <c r="A125" s="27" t="s">
        <v>352</v>
      </c>
    </row>
    <row r="126" spans="1:1" x14ac:dyDescent="0.25">
      <c r="A126" s="136" t="s">
        <v>353</v>
      </c>
    </row>
    <row r="127" spans="1:1" x14ac:dyDescent="0.25">
      <c r="A127" s="136" t="s">
        <v>354</v>
      </c>
    </row>
    <row r="128" spans="1:1" x14ac:dyDescent="0.25">
      <c r="A128" s="137" t="s">
        <v>355</v>
      </c>
    </row>
    <row r="129" spans="1:1" x14ac:dyDescent="0.25">
      <c r="A129" s="136" t="s">
        <v>356</v>
      </c>
    </row>
    <row r="130" spans="1:1" x14ac:dyDescent="0.25">
      <c r="A130" s="137" t="s">
        <v>357</v>
      </c>
    </row>
    <row r="131" spans="1:1" x14ac:dyDescent="0.25">
      <c r="A131" s="136" t="s">
        <v>358</v>
      </c>
    </row>
    <row r="132" spans="1:1" x14ac:dyDescent="0.25">
      <c r="A132" s="136" t="s">
        <v>359</v>
      </c>
    </row>
    <row r="133" spans="1:1" x14ac:dyDescent="0.25">
      <c r="A133" s="137" t="s">
        <v>360</v>
      </c>
    </row>
    <row r="134" spans="1:1" x14ac:dyDescent="0.25">
      <c r="A134" s="136" t="s">
        <v>361</v>
      </c>
    </row>
    <row r="135" spans="1:1" x14ac:dyDescent="0.25">
      <c r="A135" s="136" t="s">
        <v>362</v>
      </c>
    </row>
    <row r="136" spans="1:1" x14ac:dyDescent="0.25">
      <c r="A136" s="136" t="s">
        <v>363</v>
      </c>
    </row>
    <row r="137" spans="1:1" x14ac:dyDescent="0.25">
      <c r="A137" s="137" t="s">
        <v>364</v>
      </c>
    </row>
    <row r="138" spans="1:1" x14ac:dyDescent="0.25">
      <c r="A138" s="137" t="s">
        <v>365</v>
      </c>
    </row>
    <row r="139" spans="1:1" x14ac:dyDescent="0.25">
      <c r="A139" s="137" t="s">
        <v>366</v>
      </c>
    </row>
    <row r="140" spans="1:1" x14ac:dyDescent="0.25">
      <c r="A140" t="s">
        <v>371</v>
      </c>
    </row>
    <row r="141" spans="1:1" x14ac:dyDescent="0.25">
      <c r="A141" t="s">
        <v>372</v>
      </c>
    </row>
    <row r="142" spans="1:1" x14ac:dyDescent="0.25">
      <c r="A142" s="137" t="s">
        <v>373</v>
      </c>
    </row>
    <row r="143" spans="1:1" x14ac:dyDescent="0.25">
      <c r="A143" s="137" t="s">
        <v>374</v>
      </c>
    </row>
    <row r="144" spans="1:1" x14ac:dyDescent="0.25">
      <c r="A144" s="137" t="s">
        <v>375</v>
      </c>
    </row>
    <row r="145" spans="1:1" x14ac:dyDescent="0.25">
      <c r="A145" s="136" t="s">
        <v>376</v>
      </c>
    </row>
    <row r="146" spans="1:1" x14ac:dyDescent="0.25">
      <c r="A146" s="137" t="s">
        <v>377</v>
      </c>
    </row>
    <row r="147" spans="1:1" x14ac:dyDescent="0.25">
      <c r="A147" s="136" t="s">
        <v>378</v>
      </c>
    </row>
    <row r="148" spans="1:1" x14ac:dyDescent="0.25">
      <c r="A148" s="136" t="s">
        <v>379</v>
      </c>
    </row>
    <row r="149" spans="1:1" x14ac:dyDescent="0.25">
      <c r="A149" s="136" t="s">
        <v>380</v>
      </c>
    </row>
    <row r="150" spans="1:1" x14ac:dyDescent="0.25">
      <c r="A150" s="136" t="s">
        <v>381</v>
      </c>
    </row>
    <row r="151" spans="1:1" x14ac:dyDescent="0.25">
      <c r="A151" s="137" t="s">
        <v>382</v>
      </c>
    </row>
    <row r="152" spans="1:1" x14ac:dyDescent="0.25">
      <c r="A152" s="136" t="s">
        <v>383</v>
      </c>
    </row>
    <row r="153" spans="1:1" x14ac:dyDescent="0.25">
      <c r="A153" s="137" t="s">
        <v>384</v>
      </c>
    </row>
    <row r="154" spans="1:1" x14ac:dyDescent="0.25">
      <c r="A154" s="136" t="s">
        <v>385</v>
      </c>
    </row>
    <row r="155" spans="1:1" x14ac:dyDescent="0.25">
      <c r="A155" s="136" t="s">
        <v>386</v>
      </c>
    </row>
    <row r="156" spans="1:1" x14ac:dyDescent="0.25">
      <c r="A156" s="136" t="s">
        <v>387</v>
      </c>
    </row>
    <row r="157" spans="1:1" x14ac:dyDescent="0.25">
      <c r="A157" s="136" t="s">
        <v>388</v>
      </c>
    </row>
    <row r="158" spans="1:1" x14ac:dyDescent="0.25">
      <c r="A158" s="137" t="s">
        <v>389</v>
      </c>
    </row>
    <row r="159" spans="1:1" x14ac:dyDescent="0.25">
      <c r="A159" s="136" t="s">
        <v>390</v>
      </c>
    </row>
    <row r="160" spans="1:1" x14ac:dyDescent="0.25">
      <c r="A160" s="136" t="s">
        <v>391</v>
      </c>
    </row>
    <row r="161" spans="1:1" x14ac:dyDescent="0.25">
      <c r="A161" s="136" t="s">
        <v>392</v>
      </c>
    </row>
    <row r="162" spans="1:1" x14ac:dyDescent="0.25">
      <c r="A162" s="137" t="s">
        <v>393</v>
      </c>
    </row>
    <row r="163" spans="1:1" x14ac:dyDescent="0.25">
      <c r="A163" s="137" t="s">
        <v>394</v>
      </c>
    </row>
    <row r="164" spans="1:1" x14ac:dyDescent="0.25">
      <c r="A164" s="137" t="s">
        <v>395</v>
      </c>
    </row>
    <row r="165" spans="1:1" x14ac:dyDescent="0.25">
      <c r="A165" t="s">
        <v>397</v>
      </c>
    </row>
    <row r="166" spans="1:1" x14ac:dyDescent="0.25">
      <c r="A166" t="s">
        <v>398</v>
      </c>
    </row>
    <row r="167" spans="1:1" x14ac:dyDescent="0.25">
      <c r="A167" s="137" t="s">
        <v>399</v>
      </c>
    </row>
    <row r="168" spans="1:1" x14ac:dyDescent="0.25">
      <c r="A168" s="137" t="s">
        <v>400</v>
      </c>
    </row>
    <row r="169" spans="1:1" x14ac:dyDescent="0.25">
      <c r="A169" s="137" t="s">
        <v>401</v>
      </c>
    </row>
    <row r="170" spans="1:1" x14ac:dyDescent="0.25">
      <c r="A170" s="136" t="s">
        <v>402</v>
      </c>
    </row>
    <row r="171" spans="1:1" x14ac:dyDescent="0.25">
      <c r="A171" s="137" t="s">
        <v>403</v>
      </c>
    </row>
    <row r="172" spans="1:1" x14ac:dyDescent="0.25">
      <c r="A172" s="27" t="s">
        <v>404</v>
      </c>
    </row>
    <row r="173" spans="1:1" x14ac:dyDescent="0.25">
      <c r="A173" s="136" t="s">
        <v>405</v>
      </c>
    </row>
    <row r="174" spans="1:1" x14ac:dyDescent="0.25">
      <c r="A174" s="136" t="s">
        <v>406</v>
      </c>
    </row>
    <row r="175" spans="1:1" x14ac:dyDescent="0.25">
      <c r="A175" s="137" t="s">
        <v>407</v>
      </c>
    </row>
    <row r="176" spans="1:1" x14ac:dyDescent="0.25">
      <c r="A176" s="136" t="s">
        <v>408</v>
      </c>
    </row>
    <row r="177" spans="1:1" x14ac:dyDescent="0.25">
      <c r="A177" s="137" t="s">
        <v>409</v>
      </c>
    </row>
    <row r="178" spans="1:1" x14ac:dyDescent="0.25">
      <c r="A178" s="27" t="s">
        <v>410</v>
      </c>
    </row>
    <row r="179" spans="1:1" x14ac:dyDescent="0.25">
      <c r="A179" s="136" t="s">
        <v>411</v>
      </c>
    </row>
    <row r="180" spans="1:1" x14ac:dyDescent="0.25">
      <c r="A180" s="136" t="s">
        <v>412</v>
      </c>
    </row>
    <row r="181" spans="1:1" x14ac:dyDescent="0.25">
      <c r="A181" s="136" t="s">
        <v>413</v>
      </c>
    </row>
    <row r="182" spans="1:1" x14ac:dyDescent="0.25">
      <c r="A182" s="136" t="s">
        <v>414</v>
      </c>
    </row>
    <row r="183" spans="1:1" x14ac:dyDescent="0.25">
      <c r="A183" s="136" t="s">
        <v>415</v>
      </c>
    </row>
    <row r="184" spans="1:1" x14ac:dyDescent="0.25">
      <c r="A184" s="137" t="s">
        <v>416</v>
      </c>
    </row>
    <row r="185" spans="1:1" x14ac:dyDescent="0.25">
      <c r="A185" s="137" t="s">
        <v>417</v>
      </c>
    </row>
    <row r="186" spans="1:1" x14ac:dyDescent="0.25">
      <c r="A186" s="136" t="s">
        <v>418</v>
      </c>
    </row>
    <row r="187" spans="1:1" x14ac:dyDescent="0.25">
      <c r="A187" s="137" t="s">
        <v>419</v>
      </c>
    </row>
    <row r="188" spans="1:1" x14ac:dyDescent="0.25">
      <c r="A188" s="137" t="s">
        <v>420</v>
      </c>
    </row>
    <row r="189" spans="1:1" x14ac:dyDescent="0.25">
      <c r="A189" s="137" t="s">
        <v>421</v>
      </c>
    </row>
    <row r="190" spans="1:1" x14ac:dyDescent="0.25">
      <c r="A190" s="136" t="s">
        <v>422</v>
      </c>
    </row>
    <row r="191" spans="1:1" x14ac:dyDescent="0.25">
      <c r="A191" s="136" t="s">
        <v>423</v>
      </c>
    </row>
    <row r="192" spans="1:1" x14ac:dyDescent="0.25">
      <c r="A192" s="136" t="s">
        <v>424</v>
      </c>
    </row>
    <row r="193" spans="1:1" x14ac:dyDescent="0.25">
      <c r="A193" s="136" t="s">
        <v>425</v>
      </c>
    </row>
    <row r="194" spans="1:1" x14ac:dyDescent="0.25">
      <c r="A194" s="136" t="s">
        <v>426</v>
      </c>
    </row>
    <row r="195" spans="1:1" x14ac:dyDescent="0.25">
      <c r="A195" s="137" t="s">
        <v>427</v>
      </c>
    </row>
    <row r="196" spans="1:1" x14ac:dyDescent="0.25">
      <c r="A196" s="137" t="s">
        <v>428</v>
      </c>
    </row>
    <row r="197" spans="1:1" x14ac:dyDescent="0.25">
      <c r="A197" s="136" t="s">
        <v>429</v>
      </c>
    </row>
    <row r="198" spans="1:1" x14ac:dyDescent="0.25">
      <c r="A198" s="136" t="s">
        <v>430</v>
      </c>
    </row>
    <row r="199" spans="1:1" x14ac:dyDescent="0.25">
      <c r="A199" s="136" t="s">
        <v>431</v>
      </c>
    </row>
    <row r="200" spans="1:1" x14ac:dyDescent="0.25">
      <c r="A200" s="136" t="s">
        <v>432</v>
      </c>
    </row>
    <row r="201" spans="1:1" x14ac:dyDescent="0.25">
      <c r="A201" s="136" t="s">
        <v>433</v>
      </c>
    </row>
    <row r="202" spans="1:1" x14ac:dyDescent="0.25">
      <c r="A202" s="136" t="s">
        <v>434</v>
      </c>
    </row>
    <row r="203" spans="1:1" x14ac:dyDescent="0.25">
      <c r="A203" s="137" t="s">
        <v>435</v>
      </c>
    </row>
    <row r="204" spans="1:1" x14ac:dyDescent="0.25">
      <c r="A204" s="137" t="s">
        <v>436</v>
      </c>
    </row>
    <row r="205" spans="1:1" x14ac:dyDescent="0.25">
      <c r="A205" s="136" t="s">
        <v>437</v>
      </c>
    </row>
    <row r="206" spans="1:1" x14ac:dyDescent="0.25">
      <c r="A206" s="136" t="s">
        <v>438</v>
      </c>
    </row>
    <row r="207" spans="1:1" x14ac:dyDescent="0.25">
      <c r="A207" s="136" t="s">
        <v>439</v>
      </c>
    </row>
    <row r="208" spans="1:1" x14ac:dyDescent="0.25">
      <c r="A208" s="136" t="s">
        <v>440</v>
      </c>
    </row>
    <row r="209" spans="1:1" x14ac:dyDescent="0.25">
      <c r="A209" s="136" t="s">
        <v>441</v>
      </c>
    </row>
    <row r="210" spans="1:1" x14ac:dyDescent="0.25">
      <c r="A210" s="136" t="s">
        <v>442</v>
      </c>
    </row>
    <row r="211" spans="1:1" x14ac:dyDescent="0.25">
      <c r="A211" s="137" t="s">
        <v>443</v>
      </c>
    </row>
    <row r="212" spans="1:1" x14ac:dyDescent="0.25">
      <c r="A212" s="137" t="s">
        <v>444</v>
      </c>
    </row>
    <row r="213" spans="1:1" x14ac:dyDescent="0.25">
      <c r="A213" s="136" t="s">
        <v>445</v>
      </c>
    </row>
    <row r="214" spans="1:1" x14ac:dyDescent="0.25">
      <c r="A214" s="136" t="s">
        <v>446</v>
      </c>
    </row>
    <row r="215" spans="1:1" x14ac:dyDescent="0.25">
      <c r="A215" s="136" t="s">
        <v>447</v>
      </c>
    </row>
    <row r="216" spans="1:1" x14ac:dyDescent="0.25">
      <c r="A216" s="136" t="s">
        <v>448</v>
      </c>
    </row>
    <row r="217" spans="1:1" x14ac:dyDescent="0.25">
      <c r="A217" s="136" t="s">
        <v>449</v>
      </c>
    </row>
    <row r="218" spans="1:1" x14ac:dyDescent="0.25">
      <c r="A218" s="136" t="s">
        <v>450</v>
      </c>
    </row>
    <row r="219" spans="1:1" x14ac:dyDescent="0.25">
      <c r="A219" s="137" t="s">
        <v>451</v>
      </c>
    </row>
    <row r="220" spans="1:1" x14ac:dyDescent="0.25">
      <c r="A220" s="137" t="s">
        <v>452</v>
      </c>
    </row>
    <row r="221" spans="1:1" x14ac:dyDescent="0.25">
      <c r="A221" s="136" t="s">
        <v>453</v>
      </c>
    </row>
    <row r="222" spans="1:1" x14ac:dyDescent="0.25">
      <c r="A222" s="136" t="s">
        <v>454</v>
      </c>
    </row>
    <row r="223" spans="1:1" x14ac:dyDescent="0.25">
      <c r="A223" s="136" t="s">
        <v>455</v>
      </c>
    </row>
    <row r="224" spans="1:1" x14ac:dyDescent="0.25">
      <c r="A224" s="136" t="s">
        <v>456</v>
      </c>
    </row>
    <row r="225" spans="1:1" x14ac:dyDescent="0.25">
      <c r="A225" s="136" t="s">
        <v>457</v>
      </c>
    </row>
    <row r="226" spans="1:1" x14ac:dyDescent="0.25">
      <c r="A226" s="136" t="s">
        <v>458</v>
      </c>
    </row>
    <row r="227" spans="1:1" x14ac:dyDescent="0.25">
      <c r="A227" s="137" t="s">
        <v>459</v>
      </c>
    </row>
    <row r="228" spans="1:1" x14ac:dyDescent="0.25">
      <c r="A228" s="137" t="s">
        <v>460</v>
      </c>
    </row>
    <row r="229" spans="1:1" x14ac:dyDescent="0.25">
      <c r="A229" s="136" t="s">
        <v>461</v>
      </c>
    </row>
    <row r="230" spans="1:1" x14ac:dyDescent="0.25">
      <c r="A230" s="136" t="s">
        <v>462</v>
      </c>
    </row>
    <row r="231" spans="1:1" x14ac:dyDescent="0.25">
      <c r="A231" s="136" t="s">
        <v>463</v>
      </c>
    </row>
    <row r="232" spans="1:1" x14ac:dyDescent="0.25">
      <c r="A232" s="136" t="s">
        <v>464</v>
      </c>
    </row>
    <row r="233" spans="1:1" x14ac:dyDescent="0.25">
      <c r="A233" s="136" t="s">
        <v>465</v>
      </c>
    </row>
    <row r="234" spans="1:1" x14ac:dyDescent="0.25">
      <c r="A234" s="136" t="s">
        <v>466</v>
      </c>
    </row>
    <row r="235" spans="1:1" x14ac:dyDescent="0.25">
      <c r="A235" s="137" t="s">
        <v>467</v>
      </c>
    </row>
    <row r="236" spans="1:1" x14ac:dyDescent="0.25">
      <c r="A236" s="137" t="s">
        <v>468</v>
      </c>
    </row>
    <row r="237" spans="1:1" x14ac:dyDescent="0.25">
      <c r="A237" s="136" t="s">
        <v>469</v>
      </c>
    </row>
    <row r="238" spans="1:1" x14ac:dyDescent="0.25">
      <c r="A238" s="136" t="s">
        <v>470</v>
      </c>
    </row>
    <row r="239" spans="1:1" x14ac:dyDescent="0.25">
      <c r="A239" s="136" t="s">
        <v>471</v>
      </c>
    </row>
    <row r="240" spans="1:1" x14ac:dyDescent="0.25">
      <c r="A240" s="136" t="s">
        <v>472</v>
      </c>
    </row>
    <row r="241" spans="1:1" x14ac:dyDescent="0.25">
      <c r="A241" s="136" t="s">
        <v>473</v>
      </c>
    </row>
    <row r="242" spans="1:1" x14ac:dyDescent="0.25">
      <c r="A242" s="136" t="s">
        <v>474</v>
      </c>
    </row>
    <row r="243" spans="1:1" x14ac:dyDescent="0.25">
      <c r="A243" s="137" t="s">
        <v>475</v>
      </c>
    </row>
    <row r="244" spans="1:1" x14ac:dyDescent="0.25">
      <c r="A244" s="137" t="s">
        <v>476</v>
      </c>
    </row>
    <row r="245" spans="1:1" x14ac:dyDescent="0.25">
      <c r="A245" s="136" t="s">
        <v>477</v>
      </c>
    </row>
    <row r="246" spans="1:1" x14ac:dyDescent="0.25">
      <c r="A246" s="136" t="s">
        <v>478</v>
      </c>
    </row>
    <row r="247" spans="1:1" x14ac:dyDescent="0.25">
      <c r="A247" s="136" t="s">
        <v>479</v>
      </c>
    </row>
    <row r="248" spans="1:1" x14ac:dyDescent="0.25">
      <c r="A248" s="136" t="s">
        <v>480</v>
      </c>
    </row>
    <row r="249" spans="1:1" x14ac:dyDescent="0.25">
      <c r="A249" s="136" t="s">
        <v>481</v>
      </c>
    </row>
    <row r="250" spans="1:1" x14ac:dyDescent="0.25">
      <c r="A250" s="136" t="s">
        <v>482</v>
      </c>
    </row>
    <row r="251" spans="1:1" x14ac:dyDescent="0.25">
      <c r="A251" s="137" t="s">
        <v>483</v>
      </c>
    </row>
    <row r="252" spans="1:1" x14ac:dyDescent="0.25">
      <c r="A252" s="137" t="s">
        <v>484</v>
      </c>
    </row>
    <row r="253" spans="1:1" x14ac:dyDescent="0.25">
      <c r="A253" s="136" t="s">
        <v>485</v>
      </c>
    </row>
    <row r="254" spans="1:1" x14ac:dyDescent="0.25">
      <c r="A254" s="136" t="s">
        <v>486</v>
      </c>
    </row>
    <row r="255" spans="1:1" x14ac:dyDescent="0.25">
      <c r="A255" s="136" t="s">
        <v>487</v>
      </c>
    </row>
    <row r="256" spans="1:1" x14ac:dyDescent="0.25">
      <c r="A256" s="136" t="s">
        <v>488</v>
      </c>
    </row>
    <row r="257" spans="1:1" x14ac:dyDescent="0.25">
      <c r="A257" s="136" t="s">
        <v>489</v>
      </c>
    </row>
    <row r="258" spans="1:1" x14ac:dyDescent="0.25">
      <c r="A258" s="27" t="s">
        <v>490</v>
      </c>
    </row>
    <row r="259" spans="1:1" x14ac:dyDescent="0.25">
      <c r="A259" s="136" t="s">
        <v>491</v>
      </c>
    </row>
    <row r="260" spans="1:1" x14ac:dyDescent="0.25">
      <c r="A260" s="136" t="s">
        <v>492</v>
      </c>
    </row>
    <row r="261" spans="1:1" x14ac:dyDescent="0.25">
      <c r="A261" s="137" t="s">
        <v>493</v>
      </c>
    </row>
    <row r="262" spans="1:1" x14ac:dyDescent="0.25">
      <c r="A262" s="136" t="s">
        <v>494</v>
      </c>
    </row>
    <row r="263" spans="1:1" x14ac:dyDescent="0.25">
      <c r="A263" s="137" t="s">
        <v>495</v>
      </c>
    </row>
    <row r="264" spans="1:1" x14ac:dyDescent="0.25">
      <c r="A264" s="136" t="s">
        <v>496</v>
      </c>
    </row>
    <row r="265" spans="1:1" x14ac:dyDescent="0.25">
      <c r="A265" s="136" t="s">
        <v>497</v>
      </c>
    </row>
    <row r="266" spans="1:1" x14ac:dyDescent="0.25">
      <c r="A266" s="137" t="s">
        <v>498</v>
      </c>
    </row>
    <row r="267" spans="1:1" x14ac:dyDescent="0.25">
      <c r="A267" s="136" t="s">
        <v>499</v>
      </c>
    </row>
    <row r="268" spans="1:1" x14ac:dyDescent="0.25">
      <c r="A268" s="136" t="s">
        <v>500</v>
      </c>
    </row>
    <row r="269" spans="1:1" x14ac:dyDescent="0.25">
      <c r="A269" s="136" t="s">
        <v>501</v>
      </c>
    </row>
    <row r="270" spans="1:1" x14ac:dyDescent="0.25">
      <c r="A270" s="137" t="s">
        <v>502</v>
      </c>
    </row>
    <row r="271" spans="1:1" x14ac:dyDescent="0.25">
      <c r="A271" s="137" t="s">
        <v>503</v>
      </c>
    </row>
    <row r="272" spans="1:1" x14ac:dyDescent="0.25">
      <c r="A272" s="137" t="s">
        <v>504</v>
      </c>
    </row>
    <row r="273" spans="1:1" x14ac:dyDescent="0.25">
      <c r="A273" t="s">
        <v>507</v>
      </c>
    </row>
    <row r="274" spans="1:1" x14ac:dyDescent="0.25">
      <c r="A274" t="s">
        <v>508</v>
      </c>
    </row>
    <row r="275" spans="1:1" x14ac:dyDescent="0.25">
      <c r="A275" s="137" t="s">
        <v>509</v>
      </c>
    </row>
    <row r="276" spans="1:1" x14ac:dyDescent="0.25">
      <c r="A276" s="137" t="s">
        <v>510</v>
      </c>
    </row>
    <row r="277" spans="1:1" x14ac:dyDescent="0.25">
      <c r="A277" s="137" t="s">
        <v>511</v>
      </c>
    </row>
    <row r="278" spans="1:1" x14ac:dyDescent="0.25">
      <c r="A278" s="136" t="s">
        <v>512</v>
      </c>
    </row>
    <row r="279" spans="1:1" x14ac:dyDescent="0.25">
      <c r="A279" s="137" t="s">
        <v>513</v>
      </c>
    </row>
    <row r="280" spans="1:1" x14ac:dyDescent="0.25">
      <c r="A280" s="136" t="s">
        <v>514</v>
      </c>
    </row>
    <row r="281" spans="1:1" x14ac:dyDescent="0.25">
      <c r="A281" s="136" t="s">
        <v>515</v>
      </c>
    </row>
    <row r="282" spans="1:1" x14ac:dyDescent="0.25">
      <c r="A282" s="136" t="s">
        <v>516</v>
      </c>
    </row>
    <row r="283" spans="1:1" x14ac:dyDescent="0.25">
      <c r="A283" s="136" t="s">
        <v>517</v>
      </c>
    </row>
    <row r="284" spans="1:1" x14ac:dyDescent="0.25">
      <c r="A284" s="136" t="s">
        <v>518</v>
      </c>
    </row>
    <row r="285" spans="1:1" x14ac:dyDescent="0.25">
      <c r="A285" s="136" t="s">
        <v>519</v>
      </c>
    </row>
    <row r="286" spans="1:1" x14ac:dyDescent="0.25">
      <c r="A286" s="137" t="s">
        <v>520</v>
      </c>
    </row>
    <row r="287" spans="1:1" x14ac:dyDescent="0.25">
      <c r="A287" s="136" t="s">
        <v>521</v>
      </c>
    </row>
    <row r="288" spans="1:1" x14ac:dyDescent="0.25">
      <c r="A288" s="136" t="s">
        <v>522</v>
      </c>
    </row>
    <row r="289" spans="1:1" x14ac:dyDescent="0.25">
      <c r="A289" s="136" t="s">
        <v>523</v>
      </c>
    </row>
    <row r="290" spans="1:1" x14ac:dyDescent="0.25">
      <c r="A290" s="137" t="s">
        <v>524</v>
      </c>
    </row>
    <row r="291" spans="1:1" x14ac:dyDescent="0.25">
      <c r="A291" s="137" t="s">
        <v>525</v>
      </c>
    </row>
    <row r="292" spans="1:1" x14ac:dyDescent="0.25">
      <c r="A292" s="137" t="s">
        <v>526</v>
      </c>
    </row>
    <row r="293" spans="1:1" x14ac:dyDescent="0.25">
      <c r="A293" t="s">
        <v>528</v>
      </c>
    </row>
    <row r="294" spans="1:1" x14ac:dyDescent="0.25">
      <c r="A294" t="s">
        <v>529</v>
      </c>
    </row>
    <row r="295" spans="1:1" x14ac:dyDescent="0.25">
      <c r="A295" s="137" t="s">
        <v>530</v>
      </c>
    </row>
    <row r="296" spans="1:1" x14ac:dyDescent="0.25">
      <c r="A296" s="137" t="s">
        <v>531</v>
      </c>
    </row>
    <row r="297" spans="1:1" x14ac:dyDescent="0.25">
      <c r="A297" s="137" t="s">
        <v>532</v>
      </c>
    </row>
    <row r="298" spans="1:1" x14ac:dyDescent="0.25">
      <c r="A298" s="136" t="s">
        <v>533</v>
      </c>
    </row>
    <row r="299" spans="1:1" x14ac:dyDescent="0.25">
      <c r="A299" s="137" t="s">
        <v>534</v>
      </c>
    </row>
    <row r="300" spans="1:1" x14ac:dyDescent="0.25">
      <c r="A300" s="27" t="s">
        <v>535</v>
      </c>
    </row>
    <row r="301" spans="1:1" x14ac:dyDescent="0.25">
      <c r="A301" s="136" t="s">
        <v>536</v>
      </c>
    </row>
    <row r="302" spans="1:1" x14ac:dyDescent="0.25">
      <c r="A302" s="136" t="s">
        <v>537</v>
      </c>
    </row>
    <row r="303" spans="1:1" x14ac:dyDescent="0.25">
      <c r="A303" s="137" t="s">
        <v>538</v>
      </c>
    </row>
    <row r="304" spans="1:1" x14ac:dyDescent="0.25">
      <c r="A304" s="136" t="s">
        <v>539</v>
      </c>
    </row>
    <row r="305" spans="1:1" x14ac:dyDescent="0.25">
      <c r="A305" s="137" t="s">
        <v>540</v>
      </c>
    </row>
    <row r="306" spans="1:1" x14ac:dyDescent="0.25">
      <c r="A306" s="27" t="s">
        <v>541</v>
      </c>
    </row>
    <row r="307" spans="1:1" x14ac:dyDescent="0.25">
      <c r="A307" s="136" t="s">
        <v>542</v>
      </c>
    </row>
    <row r="308" spans="1:1" x14ac:dyDescent="0.25">
      <c r="A308" s="136" t="s">
        <v>543</v>
      </c>
    </row>
    <row r="309" spans="1:1" x14ac:dyDescent="0.25">
      <c r="A309" s="137" t="s">
        <v>544</v>
      </c>
    </row>
    <row r="310" spans="1:1" x14ac:dyDescent="0.25">
      <c r="A310" s="136" t="s">
        <v>545</v>
      </c>
    </row>
    <row r="311" spans="1:1" x14ac:dyDescent="0.25">
      <c r="A311" s="137" t="s">
        <v>546</v>
      </c>
    </row>
    <row r="312" spans="1:1" x14ac:dyDescent="0.25">
      <c r="A312" s="27" t="s">
        <v>547</v>
      </c>
    </row>
    <row r="313" spans="1:1" x14ac:dyDescent="0.25">
      <c r="A313" s="136" t="s">
        <v>548</v>
      </c>
    </row>
    <row r="314" spans="1:1" x14ac:dyDescent="0.25">
      <c r="A314" s="136" t="s">
        <v>549</v>
      </c>
    </row>
    <row r="315" spans="1:1" x14ac:dyDescent="0.25">
      <c r="A315" s="136" t="s">
        <v>550</v>
      </c>
    </row>
    <row r="316" spans="1:1" x14ac:dyDescent="0.25">
      <c r="A316" s="136" t="s">
        <v>551</v>
      </c>
    </row>
    <row r="317" spans="1:1" x14ac:dyDescent="0.25">
      <c r="A317" s="136" t="s">
        <v>552</v>
      </c>
    </row>
    <row r="318" spans="1:1" x14ac:dyDescent="0.25">
      <c r="A318" s="137" t="s">
        <v>553</v>
      </c>
    </row>
    <row r="319" spans="1:1" x14ac:dyDescent="0.25">
      <c r="A319" s="137" t="s">
        <v>554</v>
      </c>
    </row>
    <row r="320" spans="1:1" x14ac:dyDescent="0.25">
      <c r="A320" s="136" t="s">
        <v>555</v>
      </c>
    </row>
    <row r="321" spans="1:1" x14ac:dyDescent="0.25">
      <c r="A321" s="137" t="s">
        <v>556</v>
      </c>
    </row>
    <row r="322" spans="1:1" x14ac:dyDescent="0.25">
      <c r="A322" s="137" t="s">
        <v>557</v>
      </c>
    </row>
    <row r="323" spans="1:1" x14ac:dyDescent="0.25">
      <c r="A323" s="137" t="s">
        <v>558</v>
      </c>
    </row>
    <row r="324" spans="1:1" x14ac:dyDescent="0.25">
      <c r="A324" s="136" t="s">
        <v>559</v>
      </c>
    </row>
    <row r="325" spans="1:1" x14ac:dyDescent="0.25">
      <c r="A325" s="136" t="s">
        <v>560</v>
      </c>
    </row>
    <row r="326" spans="1:1" x14ac:dyDescent="0.25">
      <c r="A326" s="136" t="s">
        <v>561</v>
      </c>
    </row>
    <row r="327" spans="1:1" x14ac:dyDescent="0.25">
      <c r="A327" s="136" t="s">
        <v>562</v>
      </c>
    </row>
    <row r="328" spans="1:1" x14ac:dyDescent="0.25">
      <c r="A328" s="136" t="s">
        <v>563</v>
      </c>
    </row>
    <row r="329" spans="1:1" x14ac:dyDescent="0.25">
      <c r="A329" s="137" t="s">
        <v>564</v>
      </c>
    </row>
    <row r="330" spans="1:1" x14ac:dyDescent="0.25">
      <c r="A330" s="137" t="s">
        <v>565</v>
      </c>
    </row>
    <row r="331" spans="1:1" x14ac:dyDescent="0.25">
      <c r="A331" s="136" t="s">
        <v>566</v>
      </c>
    </row>
    <row r="332" spans="1:1" x14ac:dyDescent="0.25">
      <c r="A332" s="136" t="s">
        <v>567</v>
      </c>
    </row>
    <row r="333" spans="1:1" x14ac:dyDescent="0.25">
      <c r="A333" s="136" t="s">
        <v>568</v>
      </c>
    </row>
    <row r="334" spans="1:1" x14ac:dyDescent="0.25">
      <c r="A334" s="136" t="s">
        <v>569</v>
      </c>
    </row>
    <row r="335" spans="1:1" x14ac:dyDescent="0.25">
      <c r="A335" s="136" t="s">
        <v>570</v>
      </c>
    </row>
    <row r="336" spans="1:1" x14ac:dyDescent="0.25">
      <c r="A336" s="136" t="s">
        <v>571</v>
      </c>
    </row>
    <row r="337" spans="1:1" x14ac:dyDescent="0.25">
      <c r="A337" s="137" t="s">
        <v>572</v>
      </c>
    </row>
    <row r="338" spans="1:1" x14ac:dyDescent="0.25">
      <c r="A338" s="137" t="s">
        <v>573</v>
      </c>
    </row>
    <row r="339" spans="1:1" x14ac:dyDescent="0.25">
      <c r="A339" s="136" t="s">
        <v>574</v>
      </c>
    </row>
    <row r="340" spans="1:1" x14ac:dyDescent="0.25">
      <c r="A340" s="136" t="s">
        <v>575</v>
      </c>
    </row>
    <row r="341" spans="1:1" x14ac:dyDescent="0.25">
      <c r="A341" s="136" t="s">
        <v>576</v>
      </c>
    </row>
    <row r="342" spans="1:1" x14ac:dyDescent="0.25">
      <c r="A342" s="136" t="s">
        <v>577</v>
      </c>
    </row>
    <row r="343" spans="1:1" x14ac:dyDescent="0.25">
      <c r="A343" s="136" t="s">
        <v>578</v>
      </c>
    </row>
    <row r="344" spans="1:1" x14ac:dyDescent="0.25">
      <c r="A344" s="136" t="s">
        <v>579</v>
      </c>
    </row>
    <row r="345" spans="1:1" x14ac:dyDescent="0.25">
      <c r="A345" s="137" t="s">
        <v>580</v>
      </c>
    </row>
    <row r="346" spans="1:1" x14ac:dyDescent="0.25">
      <c r="A346" s="137" t="s">
        <v>581</v>
      </c>
    </row>
    <row r="347" spans="1:1" x14ac:dyDescent="0.25">
      <c r="A347" s="136" t="s">
        <v>582</v>
      </c>
    </row>
    <row r="348" spans="1:1" x14ac:dyDescent="0.25">
      <c r="A348" s="136" t="s">
        <v>583</v>
      </c>
    </row>
    <row r="349" spans="1:1" x14ac:dyDescent="0.25">
      <c r="A349" s="136" t="s">
        <v>584</v>
      </c>
    </row>
    <row r="350" spans="1:1" x14ac:dyDescent="0.25">
      <c r="A350" s="136" t="s">
        <v>585</v>
      </c>
    </row>
    <row r="351" spans="1:1" x14ac:dyDescent="0.25">
      <c r="A351" s="136" t="s">
        <v>586</v>
      </c>
    </row>
    <row r="352" spans="1:1" x14ac:dyDescent="0.25">
      <c r="A352" s="136" t="s">
        <v>587</v>
      </c>
    </row>
    <row r="353" spans="1:1" x14ac:dyDescent="0.25">
      <c r="A353" s="136" t="s">
        <v>588</v>
      </c>
    </row>
    <row r="354" spans="1:1" x14ac:dyDescent="0.25">
      <c r="A354" s="27" t="s">
        <v>589</v>
      </c>
    </row>
    <row r="355" spans="1:1" x14ac:dyDescent="0.25">
      <c r="A355" s="137" t="s">
        <v>590</v>
      </c>
    </row>
    <row r="356" spans="1:1" x14ac:dyDescent="0.25">
      <c r="A356" s="136" t="s">
        <v>591</v>
      </c>
    </row>
    <row r="357" spans="1:1" x14ac:dyDescent="0.25">
      <c r="A357" s="136" t="s">
        <v>592</v>
      </c>
    </row>
    <row r="358" spans="1:1" x14ac:dyDescent="0.25">
      <c r="A358" s="136" t="s">
        <v>593</v>
      </c>
    </row>
    <row r="359" spans="1:1" x14ac:dyDescent="0.25">
      <c r="A359" s="137" t="s">
        <v>594</v>
      </c>
    </row>
    <row r="360" spans="1:1" x14ac:dyDescent="0.25">
      <c r="A360" s="137" t="s">
        <v>595</v>
      </c>
    </row>
    <row r="361" spans="1:1" x14ac:dyDescent="0.25">
      <c r="A361" s="137" t="s">
        <v>596</v>
      </c>
    </row>
    <row r="362" spans="1:1" x14ac:dyDescent="0.25">
      <c r="A362" t="s">
        <v>599</v>
      </c>
    </row>
    <row r="363" spans="1:1" x14ac:dyDescent="0.25">
      <c r="A363" t="s">
        <v>600</v>
      </c>
    </row>
    <row r="364" spans="1:1" x14ac:dyDescent="0.25">
      <c r="A364" s="137" t="s">
        <v>601</v>
      </c>
    </row>
    <row r="365" spans="1:1" x14ac:dyDescent="0.25">
      <c r="A365" s="137" t="s">
        <v>602</v>
      </c>
    </row>
    <row r="366" spans="1:1" x14ac:dyDescent="0.25">
      <c r="A366" s="137" t="s">
        <v>603</v>
      </c>
    </row>
    <row r="367" spans="1:1" x14ac:dyDescent="0.25">
      <c r="A367" s="136" t="s">
        <v>604</v>
      </c>
    </row>
    <row r="368" spans="1:1" x14ac:dyDescent="0.25">
      <c r="A368" s="137" t="s">
        <v>605</v>
      </c>
    </row>
    <row r="369" spans="1:1" x14ac:dyDescent="0.25">
      <c r="A369" s="27" t="s">
        <v>606</v>
      </c>
    </row>
    <row r="370" spans="1:1" x14ac:dyDescent="0.25">
      <c r="A370" s="136" t="s">
        <v>607</v>
      </c>
    </row>
    <row r="371" spans="1:1" x14ac:dyDescent="0.25">
      <c r="A371" s="136" t="s">
        <v>608</v>
      </c>
    </row>
    <row r="372" spans="1:1" x14ac:dyDescent="0.25">
      <c r="A372" s="137" t="s">
        <v>609</v>
      </c>
    </row>
    <row r="373" spans="1:1" x14ac:dyDescent="0.25">
      <c r="A373" s="136" t="s">
        <v>610</v>
      </c>
    </row>
    <row r="374" spans="1:1" x14ac:dyDescent="0.25">
      <c r="A374" s="137" t="s">
        <v>611</v>
      </c>
    </row>
    <row r="375" spans="1:1" x14ac:dyDescent="0.25">
      <c r="A375" s="27" t="s">
        <v>612</v>
      </c>
    </row>
    <row r="376" spans="1:1" x14ac:dyDescent="0.25">
      <c r="A376" s="136" t="s">
        <v>613</v>
      </c>
    </row>
    <row r="377" spans="1:1" x14ac:dyDescent="0.25">
      <c r="A377" s="136" t="s">
        <v>614</v>
      </c>
    </row>
    <row r="378" spans="1:1" x14ac:dyDescent="0.25">
      <c r="A378" s="137" t="s">
        <v>615</v>
      </c>
    </row>
    <row r="379" spans="1:1" x14ac:dyDescent="0.25">
      <c r="A379" s="136" t="s">
        <v>616</v>
      </c>
    </row>
    <row r="380" spans="1:1" x14ac:dyDescent="0.25">
      <c r="A380" s="137" t="s">
        <v>617</v>
      </c>
    </row>
    <row r="381" spans="1:1" x14ac:dyDescent="0.25">
      <c r="A381" s="27" t="s">
        <v>618</v>
      </c>
    </row>
    <row r="382" spans="1:1" x14ac:dyDescent="0.25">
      <c r="A382" s="136" t="s">
        <v>619</v>
      </c>
    </row>
    <row r="383" spans="1:1" x14ac:dyDescent="0.25">
      <c r="A383" s="136" t="s">
        <v>620</v>
      </c>
    </row>
    <row r="384" spans="1:1" x14ac:dyDescent="0.25">
      <c r="A384" s="136" t="s">
        <v>621</v>
      </c>
    </row>
    <row r="385" spans="1:1" x14ac:dyDescent="0.25">
      <c r="A385" s="137" t="s">
        <v>622</v>
      </c>
    </row>
    <row r="386" spans="1:1" x14ac:dyDescent="0.25">
      <c r="A386" s="137" t="s">
        <v>623</v>
      </c>
    </row>
    <row r="387" spans="1:1" x14ac:dyDescent="0.25">
      <c r="A387" s="137" t="s">
        <v>624</v>
      </c>
    </row>
    <row r="388" spans="1:1" x14ac:dyDescent="0.25">
      <c r="A388" s="136" t="s">
        <v>625</v>
      </c>
    </row>
    <row r="389" spans="1:1" x14ac:dyDescent="0.25">
      <c r="A389" s="136" t="s">
        <v>626</v>
      </c>
    </row>
    <row r="390" spans="1:1" x14ac:dyDescent="0.25">
      <c r="A390" s="136" t="s">
        <v>627</v>
      </c>
    </row>
    <row r="391" spans="1:1" x14ac:dyDescent="0.25">
      <c r="A391" s="136" t="s">
        <v>628</v>
      </c>
    </row>
    <row r="392" spans="1:1" x14ac:dyDescent="0.25">
      <c r="A392" s="137" t="s">
        <v>629</v>
      </c>
    </row>
    <row r="393" spans="1:1" x14ac:dyDescent="0.25">
      <c r="A393" s="137" t="s">
        <v>630</v>
      </c>
    </row>
    <row r="394" spans="1:1" x14ac:dyDescent="0.25">
      <c r="A394" s="136" t="s">
        <v>631</v>
      </c>
    </row>
    <row r="395" spans="1:1" x14ac:dyDescent="0.25">
      <c r="A395" s="136" t="s">
        <v>632</v>
      </c>
    </row>
    <row r="396" spans="1:1" x14ac:dyDescent="0.25">
      <c r="A396" s="136" t="s">
        <v>633</v>
      </c>
    </row>
    <row r="397" spans="1:1" x14ac:dyDescent="0.25">
      <c r="A397" s="136" t="s">
        <v>634</v>
      </c>
    </row>
    <row r="398" spans="1:1" x14ac:dyDescent="0.25">
      <c r="A398" s="136" t="s">
        <v>635</v>
      </c>
    </row>
    <row r="399" spans="1:1" x14ac:dyDescent="0.25">
      <c r="A399" s="136" t="s">
        <v>636</v>
      </c>
    </row>
    <row r="400" spans="1:1" x14ac:dyDescent="0.25">
      <c r="A400" s="137" t="s">
        <v>637</v>
      </c>
    </row>
    <row r="401" spans="1:1" x14ac:dyDescent="0.25">
      <c r="A401" s="137" t="s">
        <v>638</v>
      </c>
    </row>
    <row r="402" spans="1:1" x14ac:dyDescent="0.25">
      <c r="A402" s="136" t="s">
        <v>639</v>
      </c>
    </row>
    <row r="403" spans="1:1" x14ac:dyDescent="0.25">
      <c r="A403" s="136" t="s">
        <v>640</v>
      </c>
    </row>
    <row r="404" spans="1:1" x14ac:dyDescent="0.25">
      <c r="A404" s="136" t="s">
        <v>641</v>
      </c>
    </row>
    <row r="405" spans="1:1" x14ac:dyDescent="0.25">
      <c r="A405" s="136" t="s">
        <v>642</v>
      </c>
    </row>
    <row r="406" spans="1:1" x14ac:dyDescent="0.25">
      <c r="A406" s="136" t="s">
        <v>643</v>
      </c>
    </row>
    <row r="407" spans="1:1" x14ac:dyDescent="0.25">
      <c r="A407" s="136" t="s">
        <v>644</v>
      </c>
    </row>
    <row r="408" spans="1:1" x14ac:dyDescent="0.25">
      <c r="A408" s="137" t="s">
        <v>645</v>
      </c>
    </row>
    <row r="409" spans="1:1" x14ac:dyDescent="0.25">
      <c r="A409" s="137" t="s">
        <v>646</v>
      </c>
    </row>
    <row r="410" spans="1:1" x14ac:dyDescent="0.25">
      <c r="A410" s="136" t="s">
        <v>647</v>
      </c>
    </row>
    <row r="411" spans="1:1" x14ac:dyDescent="0.25">
      <c r="A411" s="136" t="s">
        <v>648</v>
      </c>
    </row>
    <row r="412" spans="1:1" x14ac:dyDescent="0.25">
      <c r="A412" s="136" t="s">
        <v>649</v>
      </c>
    </row>
    <row r="413" spans="1:1" x14ac:dyDescent="0.25">
      <c r="A413" s="136" t="s">
        <v>650</v>
      </c>
    </row>
    <row r="414" spans="1:1" x14ac:dyDescent="0.25">
      <c r="A414" s="136" t="s">
        <v>651</v>
      </c>
    </row>
    <row r="415" spans="1:1" x14ac:dyDescent="0.25">
      <c r="A415" s="136" t="s">
        <v>652</v>
      </c>
    </row>
    <row r="416" spans="1:1" x14ac:dyDescent="0.25">
      <c r="A416" s="137" t="s">
        <v>653</v>
      </c>
    </row>
    <row r="417" spans="1:1" x14ac:dyDescent="0.25">
      <c r="A417" s="137" t="s">
        <v>654</v>
      </c>
    </row>
    <row r="418" spans="1:1" x14ac:dyDescent="0.25">
      <c r="A418" s="136" t="s">
        <v>655</v>
      </c>
    </row>
    <row r="419" spans="1:1" x14ac:dyDescent="0.25">
      <c r="A419" s="136" t="s">
        <v>656</v>
      </c>
    </row>
    <row r="420" spans="1:1" x14ac:dyDescent="0.25">
      <c r="A420" s="136" t="s">
        <v>657</v>
      </c>
    </row>
    <row r="421" spans="1:1" x14ac:dyDescent="0.25">
      <c r="A421" s="136" t="s">
        <v>658</v>
      </c>
    </row>
    <row r="422" spans="1:1" x14ac:dyDescent="0.25">
      <c r="A422" s="136" t="s">
        <v>659</v>
      </c>
    </row>
    <row r="423" spans="1:1" x14ac:dyDescent="0.25">
      <c r="A423" s="136" t="s">
        <v>660</v>
      </c>
    </row>
    <row r="424" spans="1:1" x14ac:dyDescent="0.25">
      <c r="A424" s="137" t="s">
        <v>661</v>
      </c>
    </row>
    <row r="425" spans="1:1" x14ac:dyDescent="0.25">
      <c r="A425" s="137" t="s">
        <v>662</v>
      </c>
    </row>
    <row r="426" spans="1:1" x14ac:dyDescent="0.25">
      <c r="A426" s="136" t="s">
        <v>663</v>
      </c>
    </row>
    <row r="427" spans="1:1" x14ac:dyDescent="0.25">
      <c r="A427" s="136" t="s">
        <v>664</v>
      </c>
    </row>
    <row r="428" spans="1:1" x14ac:dyDescent="0.25">
      <c r="A428" s="136" t="s">
        <v>665</v>
      </c>
    </row>
    <row r="429" spans="1:1" x14ac:dyDescent="0.25">
      <c r="A429" s="136" t="s">
        <v>666</v>
      </c>
    </row>
    <row r="430" spans="1:1" x14ac:dyDescent="0.25">
      <c r="A430" s="136" t="s">
        <v>667</v>
      </c>
    </row>
    <row r="431" spans="1:1" x14ac:dyDescent="0.25">
      <c r="A431" s="136" t="s">
        <v>668</v>
      </c>
    </row>
    <row r="432" spans="1:1" x14ac:dyDescent="0.25">
      <c r="A432" s="137" t="s">
        <v>669</v>
      </c>
    </row>
    <row r="433" spans="1:1" x14ac:dyDescent="0.25">
      <c r="A433" s="137" t="s">
        <v>670</v>
      </c>
    </row>
    <row r="434" spans="1:1" x14ac:dyDescent="0.25">
      <c r="A434" s="136" t="s">
        <v>671</v>
      </c>
    </row>
    <row r="435" spans="1:1" x14ac:dyDescent="0.25">
      <c r="A435" s="136" t="s">
        <v>672</v>
      </c>
    </row>
    <row r="436" spans="1:1" x14ac:dyDescent="0.25">
      <c r="A436" s="136" t="s">
        <v>673</v>
      </c>
    </row>
    <row r="437" spans="1:1" x14ac:dyDescent="0.25">
      <c r="A437" s="136" t="s">
        <v>674</v>
      </c>
    </row>
    <row r="438" spans="1:1" x14ac:dyDescent="0.25">
      <c r="A438" s="136" t="s">
        <v>675</v>
      </c>
    </row>
    <row r="439" spans="1:1" x14ac:dyDescent="0.25">
      <c r="A439" s="27" t="s">
        <v>676</v>
      </c>
    </row>
    <row r="440" spans="1:1" x14ac:dyDescent="0.25">
      <c r="A440" s="137" t="s">
        <v>677</v>
      </c>
    </row>
    <row r="441" spans="1:1" x14ac:dyDescent="0.25">
      <c r="A441" s="136" t="s">
        <v>678</v>
      </c>
    </row>
    <row r="442" spans="1:1" x14ac:dyDescent="0.25">
      <c r="A442" s="137" t="s">
        <v>679</v>
      </c>
    </row>
    <row r="443" spans="1:1" x14ac:dyDescent="0.25">
      <c r="A443" s="136" t="s">
        <v>680</v>
      </c>
    </row>
    <row r="444" spans="1:1" x14ac:dyDescent="0.25">
      <c r="A444" s="136" t="s">
        <v>681</v>
      </c>
    </row>
    <row r="445" spans="1:1" x14ac:dyDescent="0.25">
      <c r="A445" s="136" t="s">
        <v>682</v>
      </c>
    </row>
    <row r="446" spans="1:1" x14ac:dyDescent="0.25">
      <c r="A446" s="136" t="s">
        <v>683</v>
      </c>
    </row>
    <row r="447" spans="1:1" x14ac:dyDescent="0.25">
      <c r="A447" s="136" t="s">
        <v>684</v>
      </c>
    </row>
    <row r="448" spans="1:1" x14ac:dyDescent="0.25">
      <c r="A448" s="136" t="s">
        <v>685</v>
      </c>
    </row>
    <row r="449" spans="1:1" x14ac:dyDescent="0.25">
      <c r="A449" s="136" t="s">
        <v>686</v>
      </c>
    </row>
    <row r="450" spans="1:1" x14ac:dyDescent="0.25">
      <c r="A450" s="137" t="s">
        <v>687</v>
      </c>
    </row>
    <row r="451" spans="1:1" x14ac:dyDescent="0.25">
      <c r="A451" s="137" t="s">
        <v>688</v>
      </c>
    </row>
    <row r="452" spans="1:1" x14ac:dyDescent="0.25">
      <c r="A452" s="136" t="s">
        <v>689</v>
      </c>
    </row>
    <row r="453" spans="1:1" x14ac:dyDescent="0.25">
      <c r="A453" s="136" t="s">
        <v>690</v>
      </c>
    </row>
    <row r="454" spans="1:1" x14ac:dyDescent="0.25">
      <c r="A454" s="136" t="s">
        <v>691</v>
      </c>
    </row>
    <row r="455" spans="1:1" x14ac:dyDescent="0.25">
      <c r="A455" s="136" t="s">
        <v>692</v>
      </c>
    </row>
    <row r="456" spans="1:1" x14ac:dyDescent="0.25">
      <c r="A456" s="136" t="s">
        <v>693</v>
      </c>
    </row>
    <row r="457" spans="1:1" x14ac:dyDescent="0.25">
      <c r="A457" s="136" t="s">
        <v>694</v>
      </c>
    </row>
    <row r="458" spans="1:1" x14ac:dyDescent="0.25">
      <c r="A458" s="137" t="s">
        <v>695</v>
      </c>
    </row>
    <row r="459" spans="1:1" x14ac:dyDescent="0.25">
      <c r="A459" s="137" t="s">
        <v>696</v>
      </c>
    </row>
    <row r="460" spans="1:1" x14ac:dyDescent="0.25">
      <c r="A460" s="136" t="s">
        <v>697</v>
      </c>
    </row>
    <row r="461" spans="1:1" x14ac:dyDescent="0.25">
      <c r="A461" s="136" t="s">
        <v>698</v>
      </c>
    </row>
    <row r="462" spans="1:1" x14ac:dyDescent="0.25">
      <c r="A462" s="136" t="s">
        <v>699</v>
      </c>
    </row>
    <row r="463" spans="1:1" x14ac:dyDescent="0.25">
      <c r="A463" s="136" t="s">
        <v>700</v>
      </c>
    </row>
    <row r="464" spans="1:1" x14ac:dyDescent="0.25">
      <c r="A464" s="136" t="s">
        <v>701</v>
      </c>
    </row>
    <row r="465" spans="1:1" x14ac:dyDescent="0.25">
      <c r="A465" s="136" t="s">
        <v>702</v>
      </c>
    </row>
    <row r="466" spans="1:1" x14ac:dyDescent="0.25">
      <c r="A466" s="137" t="s">
        <v>703</v>
      </c>
    </row>
    <row r="467" spans="1:1" x14ac:dyDescent="0.25">
      <c r="A467" s="137" t="s">
        <v>704</v>
      </c>
    </row>
    <row r="468" spans="1:1" x14ac:dyDescent="0.25">
      <c r="A468" s="136" t="s">
        <v>705</v>
      </c>
    </row>
    <row r="469" spans="1:1" x14ac:dyDescent="0.25">
      <c r="A469" s="136" t="s">
        <v>706</v>
      </c>
    </row>
    <row r="470" spans="1:1" x14ac:dyDescent="0.25">
      <c r="A470" s="136" t="s">
        <v>707</v>
      </c>
    </row>
    <row r="471" spans="1:1" x14ac:dyDescent="0.25">
      <c r="A471" s="137" t="s">
        <v>708</v>
      </c>
    </row>
    <row r="472" spans="1:1" x14ac:dyDescent="0.25">
      <c r="A472" s="136" t="s">
        <v>709</v>
      </c>
    </row>
    <row r="473" spans="1:1" x14ac:dyDescent="0.25">
      <c r="A473" s="136" t="s">
        <v>710</v>
      </c>
    </row>
    <row r="474" spans="1:1" x14ac:dyDescent="0.25">
      <c r="A474" s="136" t="s">
        <v>711</v>
      </c>
    </row>
    <row r="475" spans="1:1" x14ac:dyDescent="0.25">
      <c r="A475" s="136" t="s">
        <v>712</v>
      </c>
    </row>
    <row r="476" spans="1:1" x14ac:dyDescent="0.25">
      <c r="A476" s="137" t="s">
        <v>713</v>
      </c>
    </row>
    <row r="477" spans="1:1" x14ac:dyDescent="0.25">
      <c r="A477" s="136" t="s">
        <v>714</v>
      </c>
    </row>
    <row r="478" spans="1:1" x14ac:dyDescent="0.25">
      <c r="A478" s="136" t="s">
        <v>715</v>
      </c>
    </row>
    <row r="479" spans="1:1" x14ac:dyDescent="0.25">
      <c r="A479" s="27" t="s">
        <v>716</v>
      </c>
    </row>
    <row r="480" spans="1:1" x14ac:dyDescent="0.25">
      <c r="A480" s="27" t="s">
        <v>717</v>
      </c>
    </row>
    <row r="481" spans="1:1" x14ac:dyDescent="0.25">
      <c r="A481" s="27" t="s">
        <v>718</v>
      </c>
    </row>
    <row r="482" spans="1:1" x14ac:dyDescent="0.25">
      <c r="A482" s="136" t="s">
        <v>719</v>
      </c>
    </row>
    <row r="483" spans="1:1" x14ac:dyDescent="0.25">
      <c r="A483" s="137" t="s">
        <v>720</v>
      </c>
    </row>
    <row r="484" spans="1:1" x14ac:dyDescent="0.25">
      <c r="A484" s="137" t="s">
        <v>721</v>
      </c>
    </row>
    <row r="485" spans="1:1" x14ac:dyDescent="0.25">
      <c r="A485" s="137" t="s">
        <v>722</v>
      </c>
    </row>
    <row r="486" spans="1:1" x14ac:dyDescent="0.25">
      <c r="A486" s="136" t="s">
        <v>723</v>
      </c>
    </row>
    <row r="487" spans="1:1" x14ac:dyDescent="0.25">
      <c r="A487" s="27" t="s">
        <v>724</v>
      </c>
    </row>
    <row r="488" spans="1:1" x14ac:dyDescent="0.25">
      <c r="A488" s="137" t="s">
        <v>725</v>
      </c>
    </row>
    <row r="489" spans="1:1" x14ac:dyDescent="0.25">
      <c r="A489" s="136" t="s">
        <v>726</v>
      </c>
    </row>
    <row r="490" spans="1:1" x14ac:dyDescent="0.25">
      <c r="A490" s="136" t="s">
        <v>727</v>
      </c>
    </row>
    <row r="491" spans="1:1" x14ac:dyDescent="0.25">
      <c r="A491" s="136" t="s">
        <v>728</v>
      </c>
    </row>
    <row r="492" spans="1:1" x14ac:dyDescent="0.25">
      <c r="A492" s="137" t="s">
        <v>729</v>
      </c>
    </row>
    <row r="493" spans="1:1" x14ac:dyDescent="0.25">
      <c r="A493" s="137" t="s">
        <v>730</v>
      </c>
    </row>
    <row r="494" spans="1:1" x14ac:dyDescent="0.25">
      <c r="A494" s="137" t="s">
        <v>731</v>
      </c>
    </row>
    <row r="495" spans="1:1" x14ac:dyDescent="0.25">
      <c r="A495" t="s">
        <v>734</v>
      </c>
    </row>
    <row r="496" spans="1:1" x14ac:dyDescent="0.25">
      <c r="A496" t="s">
        <v>735</v>
      </c>
    </row>
    <row r="497" spans="1:1" x14ac:dyDescent="0.25">
      <c r="A497" s="137" t="s">
        <v>736</v>
      </c>
    </row>
    <row r="498" spans="1:1" x14ac:dyDescent="0.25">
      <c r="A498" s="137" t="s">
        <v>737</v>
      </c>
    </row>
    <row r="499" spans="1:1" x14ac:dyDescent="0.25">
      <c r="A499" s="137" t="s">
        <v>738</v>
      </c>
    </row>
    <row r="500" spans="1:1" x14ac:dyDescent="0.25">
      <c r="A500" s="136" t="s">
        <v>739</v>
      </c>
    </row>
    <row r="501" spans="1:1" x14ac:dyDescent="0.25">
      <c r="A501" s="137" t="s">
        <v>740</v>
      </c>
    </row>
    <row r="502" spans="1:1" x14ac:dyDescent="0.25">
      <c r="A502" s="27" t="s">
        <v>741</v>
      </c>
    </row>
    <row r="503" spans="1:1" x14ac:dyDescent="0.25">
      <c r="A503" s="136" t="s">
        <v>742</v>
      </c>
    </row>
    <row r="504" spans="1:1" x14ac:dyDescent="0.25">
      <c r="A504" s="136" t="s">
        <v>743</v>
      </c>
    </row>
    <row r="505" spans="1:1" x14ac:dyDescent="0.25">
      <c r="A505" s="137" t="s">
        <v>744</v>
      </c>
    </row>
    <row r="506" spans="1:1" x14ac:dyDescent="0.25">
      <c r="A506" s="136" t="s">
        <v>745</v>
      </c>
    </row>
    <row r="507" spans="1:1" x14ac:dyDescent="0.25">
      <c r="A507" s="137" t="s">
        <v>746</v>
      </c>
    </row>
    <row r="508" spans="1:1" x14ac:dyDescent="0.25">
      <c r="A508" s="27" t="s">
        <v>747</v>
      </c>
    </row>
    <row r="509" spans="1:1" x14ac:dyDescent="0.25">
      <c r="A509" s="136" t="s">
        <v>748</v>
      </c>
    </row>
    <row r="510" spans="1:1" x14ac:dyDescent="0.25">
      <c r="A510" s="136" t="s">
        <v>749</v>
      </c>
    </row>
    <row r="511" spans="1:1" x14ac:dyDescent="0.25">
      <c r="A511" s="137" t="s">
        <v>750</v>
      </c>
    </row>
    <row r="512" spans="1:1" x14ac:dyDescent="0.25">
      <c r="A512" s="136" t="s">
        <v>751</v>
      </c>
    </row>
    <row r="513" spans="1:1" x14ac:dyDescent="0.25">
      <c r="A513" s="137" t="s">
        <v>752</v>
      </c>
    </row>
    <row r="514" spans="1:1" x14ac:dyDescent="0.25">
      <c r="A514" s="27" t="s">
        <v>753</v>
      </c>
    </row>
    <row r="515" spans="1:1" x14ac:dyDescent="0.25">
      <c r="A515" s="136" t="s">
        <v>754</v>
      </c>
    </row>
    <row r="516" spans="1:1" x14ac:dyDescent="0.25">
      <c r="A516" s="136" t="s">
        <v>755</v>
      </c>
    </row>
    <row r="517" spans="1:1" x14ac:dyDescent="0.25">
      <c r="A517" s="136" t="s">
        <v>756</v>
      </c>
    </row>
    <row r="518" spans="1:1" x14ac:dyDescent="0.25">
      <c r="A518" s="136" t="s">
        <v>757</v>
      </c>
    </row>
    <row r="519" spans="1:1" x14ac:dyDescent="0.25">
      <c r="A519" s="136" t="s">
        <v>758</v>
      </c>
    </row>
    <row r="520" spans="1:1" x14ac:dyDescent="0.25">
      <c r="A520" s="137" t="s">
        <v>759</v>
      </c>
    </row>
    <row r="521" spans="1:1" x14ac:dyDescent="0.25">
      <c r="A521" s="137" t="s">
        <v>760</v>
      </c>
    </row>
    <row r="522" spans="1:1" x14ac:dyDescent="0.25">
      <c r="A522" s="136" t="s">
        <v>761</v>
      </c>
    </row>
    <row r="523" spans="1:1" x14ac:dyDescent="0.25">
      <c r="A523" s="137" t="s">
        <v>762</v>
      </c>
    </row>
    <row r="524" spans="1:1" x14ac:dyDescent="0.25">
      <c r="A524" s="137" t="s">
        <v>763</v>
      </c>
    </row>
    <row r="525" spans="1:1" x14ac:dyDescent="0.25">
      <c r="A525" s="137" t="s">
        <v>764</v>
      </c>
    </row>
    <row r="526" spans="1:1" x14ac:dyDescent="0.25">
      <c r="A526" s="136" t="s">
        <v>765</v>
      </c>
    </row>
    <row r="527" spans="1:1" x14ac:dyDescent="0.25">
      <c r="A527" s="136" t="s">
        <v>766</v>
      </c>
    </row>
    <row r="528" spans="1:1" x14ac:dyDescent="0.25">
      <c r="A528" s="136" t="s">
        <v>767</v>
      </c>
    </row>
    <row r="529" spans="1:1" x14ac:dyDescent="0.25">
      <c r="A529" s="136" t="s">
        <v>768</v>
      </c>
    </row>
    <row r="530" spans="1:1" x14ac:dyDescent="0.25">
      <c r="A530" s="136" t="s">
        <v>769</v>
      </c>
    </row>
    <row r="531" spans="1:1" x14ac:dyDescent="0.25">
      <c r="A531" s="137" t="s">
        <v>770</v>
      </c>
    </row>
    <row r="532" spans="1:1" x14ac:dyDescent="0.25">
      <c r="A532" s="137" t="s">
        <v>771</v>
      </c>
    </row>
    <row r="533" spans="1:1" x14ac:dyDescent="0.25">
      <c r="A533" s="136" t="s">
        <v>772</v>
      </c>
    </row>
    <row r="534" spans="1:1" x14ac:dyDescent="0.25">
      <c r="A534" s="136" t="s">
        <v>773</v>
      </c>
    </row>
    <row r="535" spans="1:1" x14ac:dyDescent="0.25">
      <c r="A535" s="136" t="s">
        <v>774</v>
      </c>
    </row>
    <row r="536" spans="1:1" x14ac:dyDescent="0.25">
      <c r="A536" s="136" t="s">
        <v>775</v>
      </c>
    </row>
    <row r="537" spans="1:1" x14ac:dyDescent="0.25">
      <c r="A537" s="136" t="s">
        <v>776</v>
      </c>
    </row>
    <row r="538" spans="1:1" x14ac:dyDescent="0.25">
      <c r="A538" s="136" t="s">
        <v>777</v>
      </c>
    </row>
    <row r="539" spans="1:1" x14ac:dyDescent="0.25">
      <c r="A539" s="137" t="s">
        <v>778</v>
      </c>
    </row>
    <row r="540" spans="1:1" x14ac:dyDescent="0.25">
      <c r="A540" s="137" t="s">
        <v>779</v>
      </c>
    </row>
    <row r="541" spans="1:1" x14ac:dyDescent="0.25">
      <c r="A541" s="136" t="s">
        <v>780</v>
      </c>
    </row>
    <row r="542" spans="1:1" x14ac:dyDescent="0.25">
      <c r="A542" s="136" t="s">
        <v>781</v>
      </c>
    </row>
    <row r="543" spans="1:1" x14ac:dyDescent="0.25">
      <c r="A543" s="136" t="s">
        <v>782</v>
      </c>
    </row>
    <row r="544" spans="1:1" x14ac:dyDescent="0.25">
      <c r="A544" s="27" t="s">
        <v>783</v>
      </c>
    </row>
    <row r="545" spans="1:1" x14ac:dyDescent="0.25">
      <c r="A545" s="137" t="s">
        <v>784</v>
      </c>
    </row>
    <row r="546" spans="1:1" x14ac:dyDescent="0.25">
      <c r="A546" s="136" t="s">
        <v>785</v>
      </c>
    </row>
    <row r="547" spans="1:1" x14ac:dyDescent="0.25">
      <c r="A547" s="136" t="s">
        <v>786</v>
      </c>
    </row>
    <row r="548" spans="1:1" x14ac:dyDescent="0.25">
      <c r="A548" s="136" t="s">
        <v>787</v>
      </c>
    </row>
    <row r="549" spans="1:1" x14ac:dyDescent="0.25">
      <c r="A549" s="137" t="s">
        <v>788</v>
      </c>
    </row>
    <row r="550" spans="1:1" x14ac:dyDescent="0.25">
      <c r="A550" s="137" t="s">
        <v>789</v>
      </c>
    </row>
    <row r="551" spans="1:1" x14ac:dyDescent="0.25">
      <c r="A551" s="137" t="s">
        <v>790</v>
      </c>
    </row>
    <row r="552" spans="1:1" x14ac:dyDescent="0.25">
      <c r="A552" t="s">
        <v>793</v>
      </c>
    </row>
    <row r="553" spans="1:1" x14ac:dyDescent="0.25">
      <c r="A553" t="s">
        <v>794</v>
      </c>
    </row>
    <row r="554" spans="1:1" x14ac:dyDescent="0.25">
      <c r="A554" s="137" t="s">
        <v>795</v>
      </c>
    </row>
    <row r="555" spans="1:1" x14ac:dyDescent="0.25">
      <c r="A555" s="137" t="s">
        <v>796</v>
      </c>
    </row>
    <row r="556" spans="1:1" x14ac:dyDescent="0.25">
      <c r="A556" s="137" t="s">
        <v>797</v>
      </c>
    </row>
    <row r="557" spans="1:1" x14ac:dyDescent="0.25">
      <c r="A557" s="136" t="s">
        <v>798</v>
      </c>
    </row>
    <row r="558" spans="1:1" x14ac:dyDescent="0.25">
      <c r="A558" s="137" t="s">
        <v>799</v>
      </c>
    </row>
    <row r="559" spans="1:1" x14ac:dyDescent="0.25">
      <c r="A559" s="27" t="s">
        <v>800</v>
      </c>
    </row>
    <row r="560" spans="1:1" x14ac:dyDescent="0.25">
      <c r="A560" s="136" t="s">
        <v>801</v>
      </c>
    </row>
    <row r="561" spans="1:1" x14ac:dyDescent="0.25">
      <c r="A561" s="136" t="s">
        <v>802</v>
      </c>
    </row>
    <row r="562" spans="1:1" x14ac:dyDescent="0.25">
      <c r="A562" s="137" t="s">
        <v>803</v>
      </c>
    </row>
    <row r="563" spans="1:1" x14ac:dyDescent="0.25">
      <c r="A563" s="136" t="s">
        <v>804</v>
      </c>
    </row>
    <row r="564" spans="1:1" x14ac:dyDescent="0.25">
      <c r="A564" s="137" t="s">
        <v>805</v>
      </c>
    </row>
    <row r="565" spans="1:1" x14ac:dyDescent="0.25">
      <c r="A565" s="27" t="s">
        <v>806</v>
      </c>
    </row>
    <row r="566" spans="1:1" x14ac:dyDescent="0.25">
      <c r="A566" s="136" t="s">
        <v>807</v>
      </c>
    </row>
    <row r="567" spans="1:1" x14ac:dyDescent="0.25">
      <c r="A567" s="136" t="s">
        <v>808</v>
      </c>
    </row>
    <row r="568" spans="1:1" x14ac:dyDescent="0.25">
      <c r="A568" s="137" t="s">
        <v>809</v>
      </c>
    </row>
    <row r="569" spans="1:1" x14ac:dyDescent="0.25">
      <c r="A569" s="136" t="s">
        <v>810</v>
      </c>
    </row>
    <row r="570" spans="1:1" x14ac:dyDescent="0.25">
      <c r="A570" s="137" t="s">
        <v>811</v>
      </c>
    </row>
    <row r="571" spans="1:1" x14ac:dyDescent="0.25">
      <c r="A571" s="27" t="s">
        <v>812</v>
      </c>
    </row>
    <row r="572" spans="1:1" x14ac:dyDescent="0.25">
      <c r="A572" s="136" t="s">
        <v>813</v>
      </c>
    </row>
    <row r="573" spans="1:1" x14ac:dyDescent="0.25">
      <c r="A573" s="136" t="s">
        <v>814</v>
      </c>
    </row>
    <row r="574" spans="1:1" x14ac:dyDescent="0.25">
      <c r="A574" s="136" t="s">
        <v>815</v>
      </c>
    </row>
    <row r="575" spans="1:1" x14ac:dyDescent="0.25">
      <c r="A575" s="136" t="s">
        <v>816</v>
      </c>
    </row>
    <row r="576" spans="1:1" x14ac:dyDescent="0.25">
      <c r="A576" s="136" t="s">
        <v>817</v>
      </c>
    </row>
    <row r="577" spans="1:1" x14ac:dyDescent="0.25">
      <c r="A577" s="137" t="s">
        <v>818</v>
      </c>
    </row>
    <row r="578" spans="1:1" x14ac:dyDescent="0.25">
      <c r="A578" s="137" t="s">
        <v>819</v>
      </c>
    </row>
    <row r="579" spans="1:1" x14ac:dyDescent="0.25">
      <c r="A579" s="136" t="s">
        <v>820</v>
      </c>
    </row>
    <row r="580" spans="1:1" x14ac:dyDescent="0.25">
      <c r="A580" s="137" t="s">
        <v>821</v>
      </c>
    </row>
    <row r="581" spans="1:1" x14ac:dyDescent="0.25">
      <c r="A581" s="137" t="s">
        <v>822</v>
      </c>
    </row>
    <row r="582" spans="1:1" x14ac:dyDescent="0.25">
      <c r="A582" s="137" t="s">
        <v>823</v>
      </c>
    </row>
    <row r="583" spans="1:1" x14ac:dyDescent="0.25">
      <c r="A583" s="136" t="s">
        <v>824</v>
      </c>
    </row>
    <row r="584" spans="1:1" x14ac:dyDescent="0.25">
      <c r="A584" s="136" t="s">
        <v>825</v>
      </c>
    </row>
    <row r="585" spans="1:1" x14ac:dyDescent="0.25">
      <c r="A585" s="136" t="s">
        <v>826</v>
      </c>
    </row>
    <row r="586" spans="1:1" x14ac:dyDescent="0.25">
      <c r="A586" s="136" t="s">
        <v>827</v>
      </c>
    </row>
    <row r="587" spans="1:1" x14ac:dyDescent="0.25">
      <c r="A587" s="27" t="s">
        <v>828</v>
      </c>
    </row>
    <row r="588" spans="1:1" x14ac:dyDescent="0.25">
      <c r="A588" s="137" t="s">
        <v>829</v>
      </c>
    </row>
    <row r="589" spans="1:1" x14ac:dyDescent="0.25">
      <c r="A589" s="136" t="s">
        <v>830</v>
      </c>
    </row>
    <row r="590" spans="1:1" x14ac:dyDescent="0.25">
      <c r="A590" s="136" t="s">
        <v>831</v>
      </c>
    </row>
    <row r="591" spans="1:1" x14ac:dyDescent="0.25">
      <c r="A591" s="136" t="s">
        <v>832</v>
      </c>
    </row>
    <row r="592" spans="1:1" x14ac:dyDescent="0.25">
      <c r="A592" s="137" t="s">
        <v>833</v>
      </c>
    </row>
    <row r="593" spans="1:1" x14ac:dyDescent="0.25">
      <c r="A593" s="137" t="s">
        <v>834</v>
      </c>
    </row>
    <row r="594" spans="1:1" x14ac:dyDescent="0.25">
      <c r="A594" s="137" t="s">
        <v>835</v>
      </c>
    </row>
    <row r="595" spans="1:1" x14ac:dyDescent="0.25">
      <c r="A595" t="s">
        <v>838</v>
      </c>
    </row>
    <row r="596" spans="1:1" x14ac:dyDescent="0.25">
      <c r="A596" t="s">
        <v>839</v>
      </c>
    </row>
    <row r="597" spans="1:1" x14ac:dyDescent="0.25">
      <c r="A597" s="137" t="s">
        <v>840</v>
      </c>
    </row>
    <row r="598" spans="1:1" x14ac:dyDescent="0.25">
      <c r="A598" s="137" t="s">
        <v>841</v>
      </c>
    </row>
    <row r="599" spans="1:1" x14ac:dyDescent="0.25">
      <c r="A599" s="137" t="s">
        <v>842</v>
      </c>
    </row>
    <row r="600" spans="1:1" x14ac:dyDescent="0.25">
      <c r="A600" s="136" t="s">
        <v>843</v>
      </c>
    </row>
    <row r="601" spans="1:1" x14ac:dyDescent="0.25">
      <c r="A601" s="137" t="s">
        <v>844</v>
      </c>
    </row>
    <row r="602" spans="1:1" x14ac:dyDescent="0.25">
      <c r="A602" s="27" t="s">
        <v>845</v>
      </c>
    </row>
    <row r="603" spans="1:1" x14ac:dyDescent="0.25">
      <c r="A603" s="136" t="s">
        <v>846</v>
      </c>
    </row>
    <row r="604" spans="1:1" x14ac:dyDescent="0.25">
      <c r="A604" s="136" t="s">
        <v>847</v>
      </c>
    </row>
    <row r="605" spans="1:1" x14ac:dyDescent="0.25">
      <c r="A605" s="137" t="s">
        <v>848</v>
      </c>
    </row>
    <row r="606" spans="1:1" x14ac:dyDescent="0.25">
      <c r="A606" s="136" t="s">
        <v>849</v>
      </c>
    </row>
    <row r="607" spans="1:1" x14ac:dyDescent="0.25">
      <c r="A607" s="137" t="s">
        <v>850</v>
      </c>
    </row>
    <row r="608" spans="1:1" x14ac:dyDescent="0.25">
      <c r="A608" s="27" t="s">
        <v>851</v>
      </c>
    </row>
    <row r="609" spans="1:1" x14ac:dyDescent="0.25">
      <c r="A609" s="136" t="s">
        <v>852</v>
      </c>
    </row>
    <row r="610" spans="1:1" x14ac:dyDescent="0.25">
      <c r="A610" s="136" t="s">
        <v>853</v>
      </c>
    </row>
    <row r="611" spans="1:1" x14ac:dyDescent="0.25">
      <c r="A611" s="137" t="s">
        <v>854</v>
      </c>
    </row>
    <row r="612" spans="1:1" x14ac:dyDescent="0.25">
      <c r="A612" s="136" t="s">
        <v>855</v>
      </c>
    </row>
    <row r="613" spans="1:1" x14ac:dyDescent="0.25">
      <c r="A613" s="137" t="s">
        <v>856</v>
      </c>
    </row>
    <row r="614" spans="1:1" x14ac:dyDescent="0.25">
      <c r="A614" s="27" t="s">
        <v>857</v>
      </c>
    </row>
    <row r="615" spans="1:1" x14ac:dyDescent="0.25">
      <c r="A615" s="136" t="s">
        <v>858</v>
      </c>
    </row>
    <row r="616" spans="1:1" x14ac:dyDescent="0.25">
      <c r="A616" s="136" t="s">
        <v>859</v>
      </c>
    </row>
    <row r="617" spans="1:1" x14ac:dyDescent="0.25">
      <c r="A617" s="136" t="s">
        <v>860</v>
      </c>
    </row>
    <row r="618" spans="1:1" x14ac:dyDescent="0.25">
      <c r="A618" s="136" t="s">
        <v>861</v>
      </c>
    </row>
    <row r="619" spans="1:1" x14ac:dyDescent="0.25">
      <c r="A619" s="136" t="s">
        <v>862</v>
      </c>
    </row>
    <row r="620" spans="1:1" x14ac:dyDescent="0.25">
      <c r="A620" s="137" t="s">
        <v>863</v>
      </c>
    </row>
    <row r="621" spans="1:1" x14ac:dyDescent="0.25">
      <c r="A621" s="137" t="s">
        <v>864</v>
      </c>
    </row>
    <row r="622" spans="1:1" x14ac:dyDescent="0.25">
      <c r="A622" s="136" t="s">
        <v>865</v>
      </c>
    </row>
    <row r="623" spans="1:1" x14ac:dyDescent="0.25">
      <c r="A623" s="136" t="s">
        <v>866</v>
      </c>
    </row>
    <row r="624" spans="1:1" x14ac:dyDescent="0.25">
      <c r="A624" s="136" t="s">
        <v>867</v>
      </c>
    </row>
    <row r="625" spans="1:1" x14ac:dyDescent="0.25">
      <c r="A625" s="136" t="s">
        <v>868</v>
      </c>
    </row>
    <row r="626" spans="1:1" x14ac:dyDescent="0.25">
      <c r="A626" s="137" t="s">
        <v>869</v>
      </c>
    </row>
    <row r="627" spans="1:1" x14ac:dyDescent="0.25">
      <c r="A627" s="137" t="s">
        <v>870</v>
      </c>
    </row>
    <row r="628" spans="1:1" x14ac:dyDescent="0.25">
      <c r="A628" s="136" t="s">
        <v>871</v>
      </c>
    </row>
    <row r="629" spans="1:1" x14ac:dyDescent="0.25">
      <c r="A629" s="136" t="s">
        <v>872</v>
      </c>
    </row>
    <row r="630" spans="1:1" x14ac:dyDescent="0.25">
      <c r="A630" s="136" t="s">
        <v>873</v>
      </c>
    </row>
    <row r="631" spans="1:1" x14ac:dyDescent="0.25">
      <c r="A631" s="136" t="s">
        <v>874</v>
      </c>
    </row>
    <row r="632" spans="1:1" x14ac:dyDescent="0.25">
      <c r="A632" s="137" t="s">
        <v>875</v>
      </c>
    </row>
    <row r="633" spans="1:1" x14ac:dyDescent="0.25">
      <c r="A633" s="137" t="s">
        <v>876</v>
      </c>
    </row>
    <row r="634" spans="1:1" x14ac:dyDescent="0.25">
      <c r="A634" s="136" t="s">
        <v>877</v>
      </c>
    </row>
    <row r="635" spans="1:1" x14ac:dyDescent="0.25">
      <c r="A635" s="136" t="s">
        <v>878</v>
      </c>
    </row>
    <row r="636" spans="1:1" x14ac:dyDescent="0.25">
      <c r="A636" s="136" t="s">
        <v>879</v>
      </c>
    </row>
    <row r="637" spans="1:1" x14ac:dyDescent="0.25">
      <c r="A637" s="136" t="s">
        <v>880</v>
      </c>
    </row>
    <row r="638" spans="1:1" x14ac:dyDescent="0.25">
      <c r="A638" s="137" t="s">
        <v>881</v>
      </c>
    </row>
    <row r="639" spans="1:1" x14ac:dyDescent="0.25">
      <c r="A639" s="137" t="s">
        <v>882</v>
      </c>
    </row>
    <row r="640" spans="1:1" x14ac:dyDescent="0.25">
      <c r="A640" s="136" t="s">
        <v>883</v>
      </c>
    </row>
    <row r="641" spans="1:1" x14ac:dyDescent="0.25">
      <c r="A641" s="136" t="s">
        <v>884</v>
      </c>
    </row>
    <row r="642" spans="1:1" x14ac:dyDescent="0.25">
      <c r="A642" s="136" t="s">
        <v>885</v>
      </c>
    </row>
    <row r="643" spans="1:1" x14ac:dyDescent="0.25">
      <c r="A643" s="136" t="s">
        <v>886</v>
      </c>
    </row>
    <row r="644" spans="1:1" x14ac:dyDescent="0.25">
      <c r="A644" s="137" t="s">
        <v>887</v>
      </c>
    </row>
    <row r="645" spans="1:1" x14ac:dyDescent="0.25">
      <c r="A645" s="137" t="s">
        <v>888</v>
      </c>
    </row>
    <row r="646" spans="1:1" x14ac:dyDescent="0.25">
      <c r="A646" s="136" t="s">
        <v>889</v>
      </c>
    </row>
    <row r="647" spans="1:1" x14ac:dyDescent="0.25">
      <c r="A647" s="136" t="s">
        <v>890</v>
      </c>
    </row>
    <row r="648" spans="1:1" x14ac:dyDescent="0.25">
      <c r="A648" s="136" t="s">
        <v>891</v>
      </c>
    </row>
    <row r="649" spans="1:1" x14ac:dyDescent="0.25">
      <c r="A649" s="136" t="s">
        <v>892</v>
      </c>
    </row>
    <row r="650" spans="1:1" x14ac:dyDescent="0.25">
      <c r="A650" s="137" t="s">
        <v>893</v>
      </c>
    </row>
    <row r="651" spans="1:1" x14ac:dyDescent="0.25">
      <c r="A651" s="137" t="s">
        <v>894</v>
      </c>
    </row>
    <row r="652" spans="1:1" x14ac:dyDescent="0.25">
      <c r="A652" s="136" t="s">
        <v>895</v>
      </c>
    </row>
    <row r="653" spans="1:1" x14ac:dyDescent="0.25">
      <c r="A653" s="136" t="s">
        <v>896</v>
      </c>
    </row>
    <row r="654" spans="1:1" x14ac:dyDescent="0.25">
      <c r="A654" s="136" t="s">
        <v>897</v>
      </c>
    </row>
    <row r="655" spans="1:1" x14ac:dyDescent="0.25">
      <c r="A655" s="136" t="s">
        <v>898</v>
      </c>
    </row>
    <row r="656" spans="1:1" x14ac:dyDescent="0.25">
      <c r="A656" s="137" t="s">
        <v>899</v>
      </c>
    </row>
    <row r="657" spans="1:1" x14ac:dyDescent="0.25">
      <c r="A657" s="137" t="s">
        <v>900</v>
      </c>
    </row>
    <row r="658" spans="1:1" x14ac:dyDescent="0.25">
      <c r="A658" s="136" t="s">
        <v>901</v>
      </c>
    </row>
    <row r="659" spans="1:1" x14ac:dyDescent="0.25">
      <c r="A659" s="136" t="s">
        <v>902</v>
      </c>
    </row>
    <row r="660" spans="1:1" x14ac:dyDescent="0.25">
      <c r="A660" s="136" t="s">
        <v>903</v>
      </c>
    </row>
    <row r="661" spans="1:1" x14ac:dyDescent="0.25">
      <c r="A661" s="136" t="s">
        <v>904</v>
      </c>
    </row>
    <row r="662" spans="1:1" x14ac:dyDescent="0.25">
      <c r="A662" s="137" t="s">
        <v>905</v>
      </c>
    </row>
    <row r="663" spans="1:1" x14ac:dyDescent="0.25">
      <c r="A663" s="137" t="s">
        <v>906</v>
      </c>
    </row>
    <row r="664" spans="1:1" x14ac:dyDescent="0.25">
      <c r="A664" s="136" t="s">
        <v>907</v>
      </c>
    </row>
    <row r="665" spans="1:1" x14ac:dyDescent="0.25">
      <c r="A665" s="136" t="s">
        <v>908</v>
      </c>
    </row>
    <row r="666" spans="1:1" x14ac:dyDescent="0.25">
      <c r="A666" s="136" t="s">
        <v>909</v>
      </c>
    </row>
    <row r="667" spans="1:1" x14ac:dyDescent="0.25">
      <c r="A667" s="136" t="s">
        <v>910</v>
      </c>
    </row>
    <row r="668" spans="1:1" x14ac:dyDescent="0.25">
      <c r="A668" s="137" t="s">
        <v>911</v>
      </c>
    </row>
    <row r="669" spans="1:1" x14ac:dyDescent="0.25">
      <c r="A669" s="137" t="s">
        <v>912</v>
      </c>
    </row>
    <row r="670" spans="1:1" x14ac:dyDescent="0.25">
      <c r="A670" s="136" t="s">
        <v>913</v>
      </c>
    </row>
    <row r="671" spans="1:1" x14ac:dyDescent="0.25">
      <c r="A671" s="136" t="s">
        <v>914</v>
      </c>
    </row>
    <row r="672" spans="1:1" x14ac:dyDescent="0.25">
      <c r="A672" s="136" t="s">
        <v>915</v>
      </c>
    </row>
    <row r="673" spans="1:1" x14ac:dyDescent="0.25">
      <c r="A673" s="136" t="s">
        <v>916</v>
      </c>
    </row>
    <row r="674" spans="1:1" x14ac:dyDescent="0.25">
      <c r="A674" s="137" t="s">
        <v>917</v>
      </c>
    </row>
    <row r="675" spans="1:1" x14ac:dyDescent="0.25">
      <c r="A675" s="137" t="s">
        <v>918</v>
      </c>
    </row>
    <row r="676" spans="1:1" x14ac:dyDescent="0.25">
      <c r="A676" s="136" t="s">
        <v>919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0" t="s">
        <v>57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2" t="s">
        <v>26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3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15" t="s">
        <v>41</v>
      </c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35"/>
      <c r="AM2" s="135"/>
      <c r="AN2" s="13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8815</v>
      </c>
      <c r="S4" s="2" t="s">
        <v>321</v>
      </c>
      <c r="T4" s="2">
        <v>0</v>
      </c>
      <c r="U4" s="2">
        <v>5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8815</v>
      </c>
      <c r="S5" s="2" t="s">
        <v>321</v>
      </c>
      <c r="T5" s="2">
        <v>0</v>
      </c>
      <c r="U5" s="2">
        <v>5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8815</v>
      </c>
      <c r="S6" s="2" t="s">
        <v>328</v>
      </c>
      <c r="T6" s="2">
        <v>0</v>
      </c>
      <c r="U6" s="2">
        <v>5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8815</v>
      </c>
      <c r="S7" s="2" t="s">
        <v>194</v>
      </c>
      <c r="T7" s="2">
        <v>0</v>
      </c>
      <c r="U7" s="2">
        <v>5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8815</v>
      </c>
      <c r="S8" s="2" t="s">
        <v>346</v>
      </c>
      <c r="T8" s="2">
        <v>0</v>
      </c>
      <c r="U8" s="2">
        <v>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8816</v>
      </c>
      <c r="S9" s="2" t="s">
        <v>321</v>
      </c>
      <c r="T9" s="2">
        <v>0</v>
      </c>
      <c r="U9" s="2">
        <v>5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8816</v>
      </c>
      <c r="S10" s="2" t="s">
        <v>321</v>
      </c>
      <c r="T10" s="2">
        <v>0</v>
      </c>
      <c r="U10" s="2">
        <v>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8816</v>
      </c>
      <c r="S11" s="2" t="s">
        <v>328</v>
      </c>
      <c r="T11" s="2">
        <v>0</v>
      </c>
      <c r="U11" s="2">
        <v>5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8816</v>
      </c>
      <c r="S12" s="2" t="s">
        <v>328</v>
      </c>
      <c r="T12" s="2">
        <v>0</v>
      </c>
      <c r="U12" s="2">
        <v>3</v>
      </c>
      <c r="V12" s="2">
        <v>0</v>
      </c>
      <c r="W12" s="2">
        <v>0</v>
      </c>
      <c r="X12" s="2">
        <v>0</v>
      </c>
      <c r="Y12" s="16">
        <v>8816</v>
      </c>
      <c r="Z12" s="20" t="s">
        <v>367</v>
      </c>
      <c r="AA12" s="16" t="s">
        <v>368</v>
      </c>
      <c r="AB12" s="21" t="s">
        <v>369</v>
      </c>
      <c r="AC12" s="16" t="s">
        <v>17</v>
      </c>
      <c r="AD12" s="16" t="s">
        <v>370</v>
      </c>
      <c r="AE12" s="16">
        <v>1</v>
      </c>
      <c r="AF12" s="16">
        <v>1</v>
      </c>
      <c r="AG12" s="16">
        <v>1.5232000000000001</v>
      </c>
      <c r="AH12" s="16">
        <v>1.5232000000000001</v>
      </c>
      <c r="AI12" s="16">
        <v>415885843</v>
      </c>
      <c r="AJ12" s="16">
        <v>0</v>
      </c>
      <c r="AK12" s="16">
        <v>7</v>
      </c>
      <c r="AL12" s="16"/>
      <c r="AM12" s="16"/>
      <c r="AN12" s="16">
        <v>0</v>
      </c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8816</v>
      </c>
      <c r="S13" s="2" t="s">
        <v>328</v>
      </c>
      <c r="T13" s="2">
        <v>0</v>
      </c>
      <c r="U13" s="2">
        <v>3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8816</v>
      </c>
      <c r="S14" s="2" t="s">
        <v>328</v>
      </c>
      <c r="T14" s="2">
        <v>1</v>
      </c>
      <c r="U14" s="2">
        <v>4</v>
      </c>
      <c r="V14" s="2">
        <v>1.5232000000000001</v>
      </c>
      <c r="W14" s="2">
        <v>1.5232000000000001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8816</v>
      </c>
      <c r="S15" s="2" t="s">
        <v>328</v>
      </c>
      <c r="T15" s="2">
        <v>1</v>
      </c>
      <c r="U15" s="2">
        <v>4</v>
      </c>
      <c r="V15" s="2">
        <v>1.5232000000000001</v>
      </c>
      <c r="W15" s="2">
        <v>1.5232000000000001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8816</v>
      </c>
      <c r="S16" s="2" t="s">
        <v>328</v>
      </c>
      <c r="T16" s="2">
        <v>1</v>
      </c>
      <c r="U16" s="2">
        <v>4</v>
      </c>
      <c r="V16" s="2">
        <v>1.5232000000000001</v>
      </c>
      <c r="W16" s="2">
        <v>1.5232000000000001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8816</v>
      </c>
      <c r="S17" s="2" t="s">
        <v>328</v>
      </c>
      <c r="T17" s="2">
        <v>1</v>
      </c>
      <c r="U17" s="2">
        <v>-4</v>
      </c>
      <c r="V17" s="2">
        <v>1.5232000000000001</v>
      </c>
      <c r="W17" s="2">
        <v>1.5232000000000001</v>
      </c>
      <c r="X17" s="2">
        <v>0</v>
      </c>
      <c r="Y17" s="16">
        <v>8816</v>
      </c>
      <c r="Z17" s="20" t="s">
        <v>396</v>
      </c>
      <c r="AA17" s="16" t="s">
        <v>368</v>
      </c>
      <c r="AB17" s="21" t="s">
        <v>369</v>
      </c>
      <c r="AC17" s="16" t="s">
        <v>17</v>
      </c>
      <c r="AD17" s="16" t="s">
        <v>370</v>
      </c>
      <c r="AE17" s="16">
        <v>4</v>
      </c>
      <c r="AF17" s="16">
        <v>5</v>
      </c>
      <c r="AG17" s="16">
        <v>1.5232000000000001</v>
      </c>
      <c r="AH17" s="16">
        <v>1.5232000000000001</v>
      </c>
      <c r="AI17" s="16">
        <v>415885843</v>
      </c>
      <c r="AJ17" s="16">
        <v>0</v>
      </c>
      <c r="AK17" s="16">
        <v>7</v>
      </c>
      <c r="AL17" s="16"/>
      <c r="AM17" s="16"/>
      <c r="AN17" s="16">
        <v>0</v>
      </c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8816</v>
      </c>
      <c r="S18" s="2" t="s">
        <v>328</v>
      </c>
      <c r="T18" s="2">
        <v>1</v>
      </c>
      <c r="U18" s="2">
        <v>-4</v>
      </c>
      <c r="V18" s="2">
        <v>1.5232000000000001</v>
      </c>
      <c r="W18" s="2">
        <v>1.5232000000000001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8816</v>
      </c>
      <c r="S19" s="2" t="s">
        <v>37</v>
      </c>
      <c r="T19" s="2">
        <v>5</v>
      </c>
      <c r="U19" s="2">
        <v>0</v>
      </c>
      <c r="V19" s="2">
        <v>1.5232000000000001</v>
      </c>
      <c r="W19" s="2">
        <v>1.5232000000000001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8816</v>
      </c>
      <c r="S20" s="2" t="s">
        <v>37</v>
      </c>
      <c r="T20" s="2">
        <v>5</v>
      </c>
      <c r="U20" s="2">
        <v>0</v>
      </c>
      <c r="V20" s="2">
        <v>1.5232000000000001</v>
      </c>
      <c r="W20" s="2">
        <v>1.5232000000000001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8816</v>
      </c>
      <c r="S21" s="2" t="s">
        <v>37</v>
      </c>
      <c r="T21" s="2">
        <v>5</v>
      </c>
      <c r="U21" s="2">
        <v>0</v>
      </c>
      <c r="V21" s="2">
        <v>1.5232000000000001</v>
      </c>
      <c r="W21" s="2">
        <v>1.5232000000000001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8816</v>
      </c>
      <c r="S22" s="2" t="s">
        <v>37</v>
      </c>
      <c r="T22" s="2">
        <v>5</v>
      </c>
      <c r="U22" s="2">
        <v>0</v>
      </c>
      <c r="V22" s="2">
        <v>1.5232000000000001</v>
      </c>
      <c r="W22" s="2">
        <v>1.5232000000000001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8816</v>
      </c>
      <c r="S23" s="2" t="s">
        <v>37</v>
      </c>
      <c r="T23" s="2">
        <v>5</v>
      </c>
      <c r="U23" s="2">
        <v>0</v>
      </c>
      <c r="V23" s="2">
        <v>1.5232000000000001</v>
      </c>
      <c r="W23" s="2">
        <v>1.5232000000000001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8817</v>
      </c>
      <c r="S24" s="2" t="s">
        <v>321</v>
      </c>
      <c r="T24" s="2">
        <v>0</v>
      </c>
      <c r="U24" s="2">
        <v>5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8817</v>
      </c>
      <c r="S25" s="2" t="s">
        <v>321</v>
      </c>
      <c r="T25" s="2">
        <v>0</v>
      </c>
      <c r="U25" s="2">
        <v>5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8817</v>
      </c>
      <c r="S26" s="2" t="s">
        <v>328</v>
      </c>
      <c r="T26" s="2">
        <v>0</v>
      </c>
      <c r="U26" s="2">
        <v>5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8817</v>
      </c>
      <c r="S27" s="2" t="s">
        <v>328</v>
      </c>
      <c r="T27" s="2">
        <v>0</v>
      </c>
      <c r="U27" s="2">
        <v>3</v>
      </c>
      <c r="V27" s="2">
        <v>0</v>
      </c>
      <c r="W27" s="2">
        <v>0</v>
      </c>
      <c r="X27" s="2">
        <v>0</v>
      </c>
      <c r="Y27" s="16">
        <v>8817</v>
      </c>
      <c r="Z27" s="20" t="s">
        <v>505</v>
      </c>
      <c r="AA27" s="16" t="s">
        <v>506</v>
      </c>
      <c r="AB27" s="21" t="s">
        <v>369</v>
      </c>
      <c r="AC27" s="16" t="s">
        <v>17</v>
      </c>
      <c r="AD27" s="16" t="s">
        <v>370</v>
      </c>
      <c r="AE27" s="16">
        <v>1</v>
      </c>
      <c r="AF27" s="16">
        <v>1</v>
      </c>
      <c r="AG27" s="16">
        <v>1.5232000000000001</v>
      </c>
      <c r="AH27" s="16">
        <v>1.5232000000000001</v>
      </c>
      <c r="AI27" s="16">
        <v>415885844</v>
      </c>
      <c r="AJ27" s="16">
        <v>0</v>
      </c>
      <c r="AK27" s="16">
        <v>7</v>
      </c>
      <c r="AL27" s="16"/>
      <c r="AM27" s="16"/>
      <c r="AN27" s="16">
        <v>0</v>
      </c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8817</v>
      </c>
      <c r="S28" s="2" t="s">
        <v>328</v>
      </c>
      <c r="T28" s="2">
        <v>0</v>
      </c>
      <c r="U28" s="2">
        <v>3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8817</v>
      </c>
      <c r="S29" s="2" t="s">
        <v>328</v>
      </c>
      <c r="T29" s="2">
        <v>1</v>
      </c>
      <c r="U29" s="2">
        <v>4</v>
      </c>
      <c r="V29" s="2">
        <v>1.5232000000000001</v>
      </c>
      <c r="W29" s="2">
        <v>1.5232000000000001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8817</v>
      </c>
      <c r="S30" s="2" t="s">
        <v>328</v>
      </c>
      <c r="T30" s="2">
        <v>1</v>
      </c>
      <c r="U30" s="2">
        <v>-4</v>
      </c>
      <c r="V30" s="2">
        <v>1.5232000000000001</v>
      </c>
      <c r="W30" s="2">
        <v>1.5232000000000001</v>
      </c>
      <c r="X30" s="2">
        <v>0</v>
      </c>
      <c r="Y30" s="16">
        <v>8817</v>
      </c>
      <c r="Z30" s="20" t="s">
        <v>527</v>
      </c>
      <c r="AA30" s="16" t="s">
        <v>506</v>
      </c>
      <c r="AB30" s="21" t="s">
        <v>369</v>
      </c>
      <c r="AC30" s="16" t="s">
        <v>17</v>
      </c>
      <c r="AD30" s="16" t="s">
        <v>370</v>
      </c>
      <c r="AE30" s="16">
        <v>4</v>
      </c>
      <c r="AF30" s="16">
        <v>5</v>
      </c>
      <c r="AG30" s="16">
        <v>1.5232000000000001</v>
      </c>
      <c r="AH30" s="16">
        <v>1.5232000000000001</v>
      </c>
      <c r="AI30" s="16">
        <v>415885844</v>
      </c>
      <c r="AJ30" s="16">
        <v>0</v>
      </c>
      <c r="AK30" s="16">
        <v>7</v>
      </c>
      <c r="AL30" s="16"/>
      <c r="AM30" s="16"/>
      <c r="AN30" s="16">
        <v>0</v>
      </c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8817</v>
      </c>
      <c r="S31" s="2" t="s">
        <v>328</v>
      </c>
      <c r="T31" s="2">
        <v>1</v>
      </c>
      <c r="U31" s="2">
        <v>-4</v>
      </c>
      <c r="V31" s="2">
        <v>1.5232000000000001</v>
      </c>
      <c r="W31" s="2">
        <v>1.5232000000000001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8817</v>
      </c>
      <c r="S32" s="2" t="s">
        <v>37</v>
      </c>
      <c r="T32" s="2">
        <v>5</v>
      </c>
      <c r="U32" s="2">
        <v>0</v>
      </c>
      <c r="V32" s="2">
        <v>1.5232000000000001</v>
      </c>
      <c r="W32" s="2">
        <v>1.5232000000000001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8817</v>
      </c>
      <c r="S33" s="2" t="s">
        <v>37</v>
      </c>
      <c r="T33" s="2">
        <v>5</v>
      </c>
      <c r="U33" s="2">
        <v>0</v>
      </c>
      <c r="V33" s="2">
        <v>1.5232000000000001</v>
      </c>
      <c r="W33" s="2">
        <v>1.5232000000000001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8817</v>
      </c>
      <c r="S34" s="2" t="s">
        <v>37</v>
      </c>
      <c r="T34" s="2">
        <v>5</v>
      </c>
      <c r="U34" s="2">
        <v>0</v>
      </c>
      <c r="V34" s="2">
        <v>1.5232000000000001</v>
      </c>
      <c r="W34" s="2">
        <v>1.5232000000000001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8817</v>
      </c>
      <c r="S35" s="2" t="s">
        <v>37</v>
      </c>
      <c r="T35" s="2">
        <v>5</v>
      </c>
      <c r="U35" s="2">
        <v>0</v>
      </c>
      <c r="V35" s="2">
        <v>1.5232000000000001</v>
      </c>
      <c r="W35" s="2">
        <v>1.5232000000000001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8817</v>
      </c>
      <c r="S36" s="2" t="s">
        <v>37</v>
      </c>
      <c r="T36" s="2">
        <v>5</v>
      </c>
      <c r="U36" s="2">
        <v>0</v>
      </c>
      <c r="V36" s="2">
        <v>1.5232000000000001</v>
      </c>
      <c r="W36" s="2">
        <v>1.5232000000000001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8817</v>
      </c>
      <c r="S37" s="2" t="s">
        <v>37</v>
      </c>
      <c r="T37" s="2">
        <v>5</v>
      </c>
      <c r="U37" s="2">
        <v>0</v>
      </c>
      <c r="V37" s="2">
        <v>1.5232000000000001</v>
      </c>
      <c r="W37" s="2">
        <v>1.5232000000000001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8817</v>
      </c>
      <c r="S38" s="2" t="s">
        <v>37</v>
      </c>
      <c r="T38" s="2">
        <v>5</v>
      </c>
      <c r="U38" s="2">
        <v>0</v>
      </c>
      <c r="V38" s="2">
        <v>1.5232000000000001</v>
      </c>
      <c r="W38" s="2">
        <v>1.5232000000000001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8817</v>
      </c>
      <c r="S39" s="2" t="s">
        <v>37</v>
      </c>
      <c r="T39" s="2">
        <v>5</v>
      </c>
      <c r="U39" s="2">
        <v>0</v>
      </c>
      <c r="V39" s="2">
        <v>1.5232000000000001</v>
      </c>
      <c r="W39" s="2">
        <v>1.5232000000000001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180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8818</v>
      </c>
      <c r="S40" s="2" t="s">
        <v>321</v>
      </c>
      <c r="T40" s="2">
        <v>0</v>
      </c>
      <c r="U40" s="2">
        <v>5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180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8818</v>
      </c>
      <c r="S41" s="2" t="s">
        <v>321</v>
      </c>
      <c r="T41" s="2">
        <v>0</v>
      </c>
      <c r="U41" s="2">
        <v>-5</v>
      </c>
      <c r="V41" s="2">
        <v>0</v>
      </c>
      <c r="W41" s="2">
        <v>0</v>
      </c>
      <c r="X41" s="2">
        <v>0</v>
      </c>
      <c r="Y41" s="16">
        <v>8818</v>
      </c>
      <c r="Z41" s="20" t="s">
        <v>597</v>
      </c>
      <c r="AA41" s="16" t="s">
        <v>598</v>
      </c>
      <c r="AB41" s="21" t="s">
        <v>369</v>
      </c>
      <c r="AC41" s="16" t="s">
        <v>17</v>
      </c>
      <c r="AD41" s="16" t="s">
        <v>370</v>
      </c>
      <c r="AE41" s="16">
        <v>5</v>
      </c>
      <c r="AF41" s="16">
        <v>5</v>
      </c>
      <c r="AG41" s="16">
        <v>1.5230999999999999</v>
      </c>
      <c r="AH41" s="16">
        <v>1.5230999999999999</v>
      </c>
      <c r="AI41" s="16">
        <v>415885845</v>
      </c>
      <c r="AJ41" s="16">
        <v>0</v>
      </c>
      <c r="AK41" s="16">
        <v>7</v>
      </c>
      <c r="AL41" s="16"/>
      <c r="AM41" s="16"/>
      <c r="AN41" s="16">
        <v>0</v>
      </c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180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8818</v>
      </c>
      <c r="S42" s="2" t="s">
        <v>321</v>
      </c>
      <c r="T42" s="2">
        <v>0</v>
      </c>
      <c r="U42" s="2">
        <v>-5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180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8818</v>
      </c>
      <c r="S43" s="2" t="s">
        <v>37</v>
      </c>
      <c r="T43" s="2">
        <v>5</v>
      </c>
      <c r="U43" s="2">
        <v>0</v>
      </c>
      <c r="V43" s="2">
        <v>1.5230999999999999</v>
      </c>
      <c r="W43" s="2">
        <v>1.5230999999999999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180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8818</v>
      </c>
      <c r="S44" s="2" t="s">
        <v>37</v>
      </c>
      <c r="T44" s="2">
        <v>5</v>
      </c>
      <c r="U44" s="2">
        <v>0</v>
      </c>
      <c r="V44" s="2">
        <v>1.5230999999999999</v>
      </c>
      <c r="W44" s="2">
        <v>1.5230999999999999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180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8818</v>
      </c>
      <c r="S45" s="2" t="s">
        <v>37</v>
      </c>
      <c r="T45" s="2">
        <v>5</v>
      </c>
      <c r="U45" s="2">
        <v>0</v>
      </c>
      <c r="V45" s="2">
        <v>1.5230999999999999</v>
      </c>
      <c r="W45" s="2">
        <v>1.5230999999999999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180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8818</v>
      </c>
      <c r="S46" s="2" t="s">
        <v>37</v>
      </c>
      <c r="T46" s="2">
        <v>5</v>
      </c>
      <c r="U46" s="2">
        <v>0</v>
      </c>
      <c r="V46" s="2">
        <v>1.5230999999999999</v>
      </c>
      <c r="W46" s="2">
        <v>1.5230999999999999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180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8818</v>
      </c>
      <c r="S47" s="2" t="s">
        <v>37</v>
      </c>
      <c r="T47" s="2">
        <v>5</v>
      </c>
      <c r="U47" s="2">
        <v>0</v>
      </c>
      <c r="V47" s="2">
        <v>1.5230999999999999</v>
      </c>
      <c r="W47" s="2">
        <v>1.5230999999999999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180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8818</v>
      </c>
      <c r="S48" s="2" t="s">
        <v>37</v>
      </c>
      <c r="T48" s="2">
        <v>5</v>
      </c>
      <c r="U48" s="2">
        <v>0</v>
      </c>
      <c r="V48" s="2">
        <v>1.5230999999999999</v>
      </c>
      <c r="W48" s="2">
        <v>1.5230999999999999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180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8818</v>
      </c>
      <c r="S49" s="2" t="s">
        <v>37</v>
      </c>
      <c r="T49" s="2">
        <v>5</v>
      </c>
      <c r="U49" s="2">
        <v>0</v>
      </c>
      <c r="V49" s="2">
        <v>1.5230999999999999</v>
      </c>
      <c r="W49" s="2">
        <v>1.5230999999999999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180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8818</v>
      </c>
      <c r="S50" s="2" t="s">
        <v>37</v>
      </c>
      <c r="T50" s="2">
        <v>5</v>
      </c>
      <c r="U50" s="2">
        <v>0</v>
      </c>
      <c r="V50" s="2">
        <v>1.5230999999999999</v>
      </c>
      <c r="W50" s="2">
        <v>1.5230999999999999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180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8819</v>
      </c>
      <c r="S51" s="2" t="s">
        <v>321</v>
      </c>
      <c r="T51" s="2">
        <v>0</v>
      </c>
      <c r="U51" s="2">
        <v>5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180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8819</v>
      </c>
      <c r="S52" s="2" t="s">
        <v>321</v>
      </c>
      <c r="T52" s="2">
        <v>0</v>
      </c>
      <c r="U52" s="2">
        <v>5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180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8819</v>
      </c>
      <c r="S53" s="2" t="s">
        <v>328</v>
      </c>
      <c r="T53" s="2">
        <v>0</v>
      </c>
      <c r="U53" s="2">
        <v>5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180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8819</v>
      </c>
      <c r="S54" s="2" t="s">
        <v>194</v>
      </c>
      <c r="T54" s="2">
        <v>0</v>
      </c>
      <c r="U54" s="2">
        <v>5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180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8819</v>
      </c>
      <c r="S55" s="2" t="s">
        <v>346</v>
      </c>
      <c r="T55" s="2">
        <v>0</v>
      </c>
      <c r="U55" s="2">
        <v>5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180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8820</v>
      </c>
      <c r="S56" s="2" t="s">
        <v>321</v>
      </c>
      <c r="T56" s="2">
        <v>0</v>
      </c>
      <c r="U56" s="2">
        <v>5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180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8820</v>
      </c>
      <c r="S57" s="2" t="s">
        <v>321</v>
      </c>
      <c r="T57" s="2">
        <v>0</v>
      </c>
      <c r="U57" s="2">
        <v>-5</v>
      </c>
      <c r="V57" s="2">
        <v>0</v>
      </c>
      <c r="W57" s="2">
        <v>0</v>
      </c>
      <c r="X57" s="2">
        <v>0</v>
      </c>
      <c r="Y57" s="16">
        <v>8820</v>
      </c>
      <c r="Z57" s="20" t="s">
        <v>732</v>
      </c>
      <c r="AA57" s="16" t="s">
        <v>733</v>
      </c>
      <c r="AB57" s="21" t="s">
        <v>369</v>
      </c>
      <c r="AC57" s="16" t="s">
        <v>17</v>
      </c>
      <c r="AD57" s="16" t="s">
        <v>370</v>
      </c>
      <c r="AE57" s="16">
        <v>5</v>
      </c>
      <c r="AF57" s="16">
        <v>5</v>
      </c>
      <c r="AG57" s="16">
        <v>1.5232000000000001</v>
      </c>
      <c r="AH57" s="16">
        <v>1.5232000000000001</v>
      </c>
      <c r="AI57" s="16">
        <v>415885847</v>
      </c>
      <c r="AJ57" s="16">
        <v>0</v>
      </c>
      <c r="AK57" s="16">
        <v>7</v>
      </c>
      <c r="AL57" s="16"/>
      <c r="AM57" s="16"/>
      <c r="AN57" s="16">
        <v>0</v>
      </c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180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8820</v>
      </c>
      <c r="S58" s="2" t="s">
        <v>321</v>
      </c>
      <c r="T58" s="2">
        <v>0</v>
      </c>
      <c r="U58" s="2">
        <v>-5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180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8820</v>
      </c>
      <c r="S59" s="2" t="s">
        <v>37</v>
      </c>
      <c r="T59" s="2">
        <v>5</v>
      </c>
      <c r="U59" s="2">
        <v>0</v>
      </c>
      <c r="V59" s="2">
        <v>1.5232000000000001</v>
      </c>
      <c r="W59" s="2">
        <v>1.5232000000000001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180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8820</v>
      </c>
      <c r="S60" s="2" t="s">
        <v>37</v>
      </c>
      <c r="T60" s="2">
        <v>5</v>
      </c>
      <c r="U60" s="2">
        <v>0</v>
      </c>
      <c r="V60" s="2">
        <v>1.5232000000000001</v>
      </c>
      <c r="W60" s="2">
        <v>1.5232000000000001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180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8820</v>
      </c>
      <c r="S61" s="2" t="s">
        <v>37</v>
      </c>
      <c r="T61" s="2">
        <v>5</v>
      </c>
      <c r="U61" s="2">
        <v>0</v>
      </c>
      <c r="V61" s="2">
        <v>1.5232000000000001</v>
      </c>
      <c r="W61" s="2">
        <v>1.5232000000000001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180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8820</v>
      </c>
      <c r="S62" s="2" t="s">
        <v>37</v>
      </c>
      <c r="T62" s="2">
        <v>5</v>
      </c>
      <c r="U62" s="2">
        <v>0</v>
      </c>
      <c r="V62" s="2">
        <v>1.5232000000000001</v>
      </c>
      <c r="W62" s="2">
        <v>1.5232000000000001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180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8820</v>
      </c>
      <c r="S63" s="2" t="s">
        <v>37</v>
      </c>
      <c r="T63" s="2">
        <v>5</v>
      </c>
      <c r="U63" s="2">
        <v>0</v>
      </c>
      <c r="V63" s="2">
        <v>1.5232000000000001</v>
      </c>
      <c r="W63" s="2">
        <v>1.5232000000000001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180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8820</v>
      </c>
      <c r="S64" s="2" t="s">
        <v>37</v>
      </c>
      <c r="T64" s="2">
        <v>5</v>
      </c>
      <c r="U64" s="2">
        <v>0</v>
      </c>
      <c r="V64" s="2">
        <v>1.5232000000000001</v>
      </c>
      <c r="W64" s="2">
        <v>1.5232000000000001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180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8820</v>
      </c>
      <c r="S65" s="2" t="s">
        <v>37</v>
      </c>
      <c r="T65" s="2">
        <v>5</v>
      </c>
      <c r="U65" s="2">
        <v>0</v>
      </c>
      <c r="V65" s="2">
        <v>1.5232000000000001</v>
      </c>
      <c r="W65" s="2">
        <v>1.5232000000000001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180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8820</v>
      </c>
      <c r="S66" s="2" t="s">
        <v>37</v>
      </c>
      <c r="T66" s="2">
        <v>5</v>
      </c>
      <c r="U66" s="2">
        <v>0</v>
      </c>
      <c r="V66" s="2">
        <v>1.5232000000000001</v>
      </c>
      <c r="W66" s="2">
        <v>1.5232000000000001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180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8821</v>
      </c>
      <c r="S67" s="2" t="s">
        <v>321</v>
      </c>
      <c r="T67" s="2">
        <v>0</v>
      </c>
      <c r="U67" s="2">
        <v>5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180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8821</v>
      </c>
      <c r="S68" s="2" t="s">
        <v>321</v>
      </c>
      <c r="T68" s="2">
        <v>0</v>
      </c>
      <c r="U68" s="2">
        <v>-5</v>
      </c>
      <c r="V68" s="2">
        <v>0</v>
      </c>
      <c r="W68" s="2">
        <v>0</v>
      </c>
      <c r="X68" s="2">
        <v>0</v>
      </c>
      <c r="Y68" s="16">
        <v>8821</v>
      </c>
      <c r="Z68" s="20" t="s">
        <v>791</v>
      </c>
      <c r="AA68" s="16" t="s">
        <v>792</v>
      </c>
      <c r="AB68" s="21" t="s">
        <v>369</v>
      </c>
      <c r="AC68" s="16" t="s">
        <v>17</v>
      </c>
      <c r="AD68" s="16" t="s">
        <v>370</v>
      </c>
      <c r="AE68" s="16">
        <v>5</v>
      </c>
      <c r="AF68" s="16">
        <v>5</v>
      </c>
      <c r="AG68" s="16">
        <v>1.5232000000000001</v>
      </c>
      <c r="AH68" s="16">
        <v>1.5232000000000001</v>
      </c>
      <c r="AI68" s="16">
        <v>415885848</v>
      </c>
      <c r="AJ68" s="16">
        <v>0</v>
      </c>
      <c r="AK68" s="16">
        <v>7</v>
      </c>
      <c r="AL68" s="16"/>
      <c r="AM68" s="16"/>
      <c r="AN68" s="16">
        <v>0</v>
      </c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180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8821</v>
      </c>
      <c r="S69" s="2" t="s">
        <v>321</v>
      </c>
      <c r="T69" s="2">
        <v>0</v>
      </c>
      <c r="U69" s="2">
        <v>-5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180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8821</v>
      </c>
      <c r="S70" s="2" t="s">
        <v>37</v>
      </c>
      <c r="T70" s="2">
        <v>5</v>
      </c>
      <c r="U70" s="2">
        <v>0</v>
      </c>
      <c r="V70" s="2">
        <v>1.5232000000000001</v>
      </c>
      <c r="W70" s="2">
        <v>1.5232000000000001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180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8821</v>
      </c>
      <c r="S71" s="2" t="s">
        <v>37</v>
      </c>
      <c r="T71" s="2">
        <v>5</v>
      </c>
      <c r="U71" s="2">
        <v>0</v>
      </c>
      <c r="V71" s="2">
        <v>1.5232000000000001</v>
      </c>
      <c r="W71" s="2">
        <v>1.5232000000000001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180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8821</v>
      </c>
      <c r="S72" s="2" t="s">
        <v>37</v>
      </c>
      <c r="T72" s="2">
        <v>5</v>
      </c>
      <c r="U72" s="2">
        <v>0</v>
      </c>
      <c r="V72" s="2">
        <v>1.5232000000000001</v>
      </c>
      <c r="W72" s="2">
        <v>1.5232000000000001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180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8821</v>
      </c>
      <c r="S73" s="2" t="s">
        <v>37</v>
      </c>
      <c r="T73" s="2">
        <v>5</v>
      </c>
      <c r="U73" s="2">
        <v>0</v>
      </c>
      <c r="V73" s="2">
        <v>1.5232000000000001</v>
      </c>
      <c r="W73" s="2">
        <v>1.5232000000000001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180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8821</v>
      </c>
      <c r="S74" s="2" t="s">
        <v>37</v>
      </c>
      <c r="T74" s="2">
        <v>5</v>
      </c>
      <c r="U74" s="2">
        <v>0</v>
      </c>
      <c r="V74" s="2">
        <v>1.5232000000000001</v>
      </c>
      <c r="W74" s="2">
        <v>1.5232000000000001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180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8821</v>
      </c>
      <c r="S75" s="2" t="s">
        <v>37</v>
      </c>
      <c r="T75" s="2">
        <v>5</v>
      </c>
      <c r="U75" s="2">
        <v>0</v>
      </c>
      <c r="V75" s="2">
        <v>1.5232000000000001</v>
      </c>
      <c r="W75" s="2">
        <v>1.5232000000000001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180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8821</v>
      </c>
      <c r="S76" s="2" t="s">
        <v>37</v>
      </c>
      <c r="T76" s="2">
        <v>5</v>
      </c>
      <c r="U76" s="2">
        <v>0</v>
      </c>
      <c r="V76" s="2">
        <v>1.5232000000000001</v>
      </c>
      <c r="W76" s="2">
        <v>1.5232000000000001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180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8821</v>
      </c>
      <c r="S77" s="2" t="s">
        <v>37</v>
      </c>
      <c r="T77" s="2">
        <v>5</v>
      </c>
      <c r="U77" s="2">
        <v>0</v>
      </c>
      <c r="V77" s="2">
        <v>1.5232000000000001</v>
      </c>
      <c r="W77" s="2">
        <v>1.5232000000000001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180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8822</v>
      </c>
      <c r="S78" s="2" t="s">
        <v>321</v>
      </c>
      <c r="T78" s="2">
        <v>0</v>
      </c>
      <c r="U78" s="2">
        <v>1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180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8822</v>
      </c>
      <c r="S79" s="2" t="s">
        <v>321</v>
      </c>
      <c r="T79" s="2">
        <v>0</v>
      </c>
      <c r="U79" s="2">
        <v>-1</v>
      </c>
      <c r="V79" s="2">
        <v>0</v>
      </c>
      <c r="W79" s="2">
        <v>0</v>
      </c>
      <c r="X79" s="2">
        <v>0</v>
      </c>
      <c r="Y79" s="16">
        <v>8822</v>
      </c>
      <c r="Z79" s="20" t="s">
        <v>836</v>
      </c>
      <c r="AA79" s="16" t="s">
        <v>837</v>
      </c>
      <c r="AB79" s="21" t="s">
        <v>369</v>
      </c>
      <c r="AC79" s="16" t="s">
        <v>17</v>
      </c>
      <c r="AD79" s="16" t="s">
        <v>370</v>
      </c>
      <c r="AE79" s="16">
        <v>1</v>
      </c>
      <c r="AF79" s="16">
        <v>1</v>
      </c>
      <c r="AG79" s="16">
        <v>1.5230999999999999</v>
      </c>
      <c r="AH79" s="16">
        <v>1.5230999999999999</v>
      </c>
      <c r="AI79" s="16">
        <v>415885849</v>
      </c>
      <c r="AJ79" s="16">
        <v>0</v>
      </c>
      <c r="AK79" s="16">
        <v>7</v>
      </c>
      <c r="AL79" s="16"/>
      <c r="AM79" s="16"/>
      <c r="AN79" s="16">
        <v>0</v>
      </c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180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8822</v>
      </c>
      <c r="S80" s="2" t="s">
        <v>321</v>
      </c>
      <c r="T80" s="2">
        <v>0</v>
      </c>
      <c r="U80" s="2">
        <v>-1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180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8822</v>
      </c>
      <c r="S81" s="2" t="s">
        <v>37</v>
      </c>
      <c r="T81" s="2">
        <v>1</v>
      </c>
      <c r="U81" s="2">
        <v>0</v>
      </c>
      <c r="V81" s="2">
        <v>1.5230999999999999</v>
      </c>
      <c r="W81" s="2">
        <v>1.5230999999999999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180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8822</v>
      </c>
      <c r="S82" s="2" t="s">
        <v>37</v>
      </c>
      <c r="T82" s="2">
        <v>1</v>
      </c>
      <c r="U82" s="2">
        <v>0</v>
      </c>
      <c r="V82" s="2">
        <v>1.5230999999999999</v>
      </c>
      <c r="W82" s="2">
        <v>1.5230999999999999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180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8822</v>
      </c>
      <c r="S83" s="2" t="s">
        <v>37</v>
      </c>
      <c r="T83" s="2">
        <v>1</v>
      </c>
      <c r="U83" s="2">
        <v>0</v>
      </c>
      <c r="V83" s="2">
        <v>1.5230999999999999</v>
      </c>
      <c r="W83" s="2">
        <v>1.5230999999999999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180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8822</v>
      </c>
      <c r="S84" s="2" t="s">
        <v>37</v>
      </c>
      <c r="T84" s="2">
        <v>1</v>
      </c>
      <c r="U84" s="2">
        <v>0</v>
      </c>
      <c r="V84" s="2">
        <v>1.5230999999999999</v>
      </c>
      <c r="W84" s="2">
        <v>1.5230999999999999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180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8822</v>
      </c>
      <c r="S85" s="2" t="s">
        <v>37</v>
      </c>
      <c r="T85" s="2">
        <v>1</v>
      </c>
      <c r="U85" s="2">
        <v>0</v>
      </c>
      <c r="V85" s="2">
        <v>1.5230999999999999</v>
      </c>
      <c r="W85" s="2">
        <v>1.5230999999999999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180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8822</v>
      </c>
      <c r="S86" s="2" t="s">
        <v>37</v>
      </c>
      <c r="T86" s="2">
        <v>1</v>
      </c>
      <c r="U86" s="2">
        <v>0</v>
      </c>
      <c r="V86" s="2">
        <v>1.5230999999999999</v>
      </c>
      <c r="W86" s="2">
        <v>1.5230999999999999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180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8822</v>
      </c>
      <c r="S87" s="2" t="s">
        <v>37</v>
      </c>
      <c r="T87" s="2">
        <v>1</v>
      </c>
      <c r="U87" s="2">
        <v>0</v>
      </c>
      <c r="V87" s="2">
        <v>1.5230999999999999</v>
      </c>
      <c r="W87" s="2">
        <v>1.5230999999999999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180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8822</v>
      </c>
      <c r="S88" s="2" t="s">
        <v>37</v>
      </c>
      <c r="T88" s="2">
        <v>1</v>
      </c>
      <c r="U88" s="2">
        <v>0</v>
      </c>
      <c r="V88" s="2">
        <v>1.5230999999999999</v>
      </c>
      <c r="W88" s="2">
        <v>1.5230999999999999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2015-02-10T12:53:32Z</dcterms:modified>
</cp:coreProperties>
</file>