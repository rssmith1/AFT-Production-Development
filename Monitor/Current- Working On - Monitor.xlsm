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122" i="13"/>
  <c r="AE37" i="13"/>
  <c r="AE121" i="13"/>
  <c r="AE31" i="13"/>
  <c r="AE84" i="13"/>
  <c r="AE33" i="13"/>
  <c r="AE62" i="13"/>
  <c r="AE67" i="13"/>
  <c r="AE114" i="13"/>
  <c r="AE25" i="13"/>
  <c r="AE86" i="13"/>
  <c r="AE38" i="13"/>
  <c r="AE56" i="13"/>
  <c r="AE119" i="13"/>
  <c r="AE13" i="13"/>
  <c r="AE58" i="13"/>
  <c r="AE76" i="13"/>
  <c r="AE70" i="13"/>
  <c r="AE57" i="13"/>
  <c r="AE43" i="13"/>
  <c r="AE21" i="13"/>
  <c r="AE68" i="13"/>
  <c r="AE110" i="13"/>
  <c r="AE85" i="13"/>
  <c r="AE66" i="13"/>
  <c r="AE101" i="13"/>
  <c r="AE89" i="13"/>
  <c r="AE103" i="13"/>
  <c r="AE60" i="13"/>
  <c r="AE105" i="13"/>
  <c r="AE64" i="13"/>
  <c r="AE79" i="13"/>
  <c r="AE49" i="13"/>
  <c r="AE123" i="13"/>
  <c r="AE102" i="13"/>
  <c r="AE65" i="13"/>
  <c r="AE72" i="13"/>
  <c r="AE91" i="13"/>
  <c r="AE87" i="13"/>
  <c r="AE48" i="13"/>
  <c r="AE90" i="13"/>
  <c r="AE40" i="13"/>
  <c r="AE124" i="13"/>
  <c r="AE73" i="13"/>
  <c r="AE11" i="13"/>
  <c r="AE98" i="13"/>
  <c r="AE30" i="13"/>
  <c r="AE41" i="13"/>
  <c r="AE36" i="13"/>
  <c r="AE20" i="13"/>
  <c r="AE82" i="13"/>
  <c r="AE50" i="13"/>
  <c r="AE17" i="13"/>
  <c r="AE104" i="13"/>
  <c r="AE117" i="13"/>
  <c r="AE74" i="13"/>
  <c r="AE96" i="13"/>
  <c r="AE107" i="13"/>
  <c r="AE54" i="13"/>
  <c r="AE97" i="13"/>
  <c r="AE109" i="13"/>
  <c r="AE92" i="13"/>
  <c r="AE10" i="13"/>
  <c r="AE45" i="13"/>
  <c r="AE26" i="13"/>
  <c r="AE111" i="13"/>
  <c r="AE42" i="13"/>
  <c r="AE80" i="13"/>
  <c r="AE29" i="13"/>
  <c r="AE116" i="13"/>
  <c r="AE100" i="13"/>
  <c r="AE32" i="13"/>
  <c r="AE71" i="13"/>
  <c r="AE23" i="13"/>
  <c r="AE15" i="13"/>
  <c r="AE47" i="13"/>
  <c r="AE52" i="13"/>
  <c r="AE35" i="13"/>
  <c r="AE18" i="13"/>
  <c r="AE8" i="13"/>
  <c r="AE81" i="13"/>
  <c r="AE46" i="13"/>
  <c r="AE93" i="13"/>
  <c r="AE34" i="13"/>
  <c r="AE106" i="13"/>
  <c r="AE14" i="13"/>
  <c r="AE77" i="13"/>
  <c r="AE83" i="13"/>
  <c r="AE19" i="13"/>
  <c r="AE51" i="13"/>
  <c r="AE94" i="13"/>
  <c r="AE44" i="13"/>
  <c r="AE53" i="13"/>
  <c r="AE22" i="13"/>
  <c r="AE125" i="13"/>
  <c r="AE61" i="13"/>
  <c r="AE115" i="13"/>
  <c r="AE28" i="13"/>
  <c r="AE120" i="13"/>
  <c r="AE88" i="13"/>
  <c r="AE12" i="13"/>
  <c r="AE63" i="13"/>
  <c r="AE7" i="13"/>
  <c r="AE9" i="13"/>
  <c r="AE6" i="13"/>
  <c r="AE24" i="13"/>
  <c r="AE69" i="13"/>
  <c r="AE113" i="13"/>
  <c r="AE112" i="13"/>
  <c r="AE78" i="13"/>
  <c r="AE108" i="13"/>
  <c r="AE16" i="13"/>
  <c r="AE95" i="13"/>
  <c r="AE118" i="13"/>
  <c r="AE75" i="13"/>
  <c r="AE27" i="13"/>
  <c r="AE59" i="13"/>
  <c r="AE99" i="13"/>
  <c r="AE39" i="13"/>
  <c r="AE55" i="13"/>
  <c r="H64" i="15"/>
  <c r="F64" i="15"/>
  <c r="D64" i="15"/>
  <c r="B64" i="15"/>
  <c r="AA71" i="15"/>
  <c r="AA87" i="15"/>
  <c r="AA83" i="15"/>
  <c r="AA72" i="15"/>
  <c r="AA78" i="15"/>
  <c r="AA86" i="15"/>
  <c r="AA73" i="15"/>
  <c r="AA76" i="15"/>
  <c r="AA85" i="15"/>
  <c r="AA84" i="15"/>
  <c r="AA81" i="15"/>
  <c r="AA74" i="15"/>
  <c r="AA80" i="15"/>
  <c r="AA91" i="15"/>
  <c r="AA90" i="15"/>
  <c r="AA75" i="15"/>
  <c r="AA77" i="15"/>
  <c r="AA79" i="15"/>
  <c r="AA82" i="15"/>
  <c r="AA88" i="15"/>
  <c r="AA89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75" i="15"/>
  <c r="Z71" i="15"/>
  <c r="Z77" i="15"/>
  <c r="Z76" i="15"/>
  <c r="Z83" i="15"/>
  <c r="Z84" i="15"/>
  <c r="Z88" i="15"/>
  <c r="Z87" i="15"/>
  <c r="Z91" i="15"/>
  <c r="Z78" i="15"/>
  <c r="Z82" i="15"/>
  <c r="Z89" i="15"/>
  <c r="Z81" i="15"/>
  <c r="Z86" i="15"/>
  <c r="Z73" i="15"/>
  <c r="Z80" i="15"/>
  <c r="Z72" i="15"/>
  <c r="Z79" i="15"/>
  <c r="Z90" i="15"/>
  <c r="Z85" i="15"/>
  <c r="Z74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R38" i="15"/>
  <c r="S38" i="15"/>
  <c r="R39" i="15" l="1"/>
  <c r="S41" i="15" s="1"/>
  <c r="S39" i="15"/>
  <c r="S42" i="15" s="1"/>
  <c r="R42" i="15"/>
  <c r="R41" i="15"/>
</calcChain>
</file>

<file path=xl/sharedStrings.xml><?xml version="1.0" encoding="utf-8"?>
<sst xmlns="http://schemas.openxmlformats.org/spreadsheetml/2006/main" count="1353" uniqueCount="337">
  <si>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</si>
  <si>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</si>
  <si>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</si>
  <si>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</si>
  <si>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</si>
  <si>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</si>
  <si>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</si>
  <si>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</si>
  <si>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</si>
  <si>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</si>
  <si>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</si>
  <si>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</si>
  <si>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</si>
  <si>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</si>
  <si>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</si>
  <si>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</si>
  <si>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</si>
  <si>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</si>
  <si>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</si>
  <si>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</si>
  <si>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</si>
  <si>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</si>
  <si>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</si>
  <si>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</si>
  <si>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</si>
  <si>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</si>
  <si>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</si>
  <si>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</si>
  <si>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</si>
  <si>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</si>
  <si>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</si>
  <si>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</si>
  <si>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</si>
  <si>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</si>
  <si>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</si>
  <si>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</si>
  <si>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</si>
  <si>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</si>
  <si>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</si>
  <si>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</si>
  <si>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</si>
  <si>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</si>
  <si>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</si>
  <si>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</si>
  <si>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</si>
  <si>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</si>
  <si>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</si>
  <si>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</si>
  <si>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</si>
  <si>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</si>
  <si>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</si>
  <si>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</si>
  <si>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</si>
  <si>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</si>
  <si>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</si>
  <si>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</si>
  <si>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</si>
  <si>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</si>
  <si>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</si>
  <si>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</si>
  <si>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</si>
  <si>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</si>
  <si>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</si>
  <si>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</si>
  <si>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</si>
  <si>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</si>
  <si>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</si>
  <si>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</si>
  <si>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</si>
  <si>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</si>
  <si>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</si>
  <si>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</si>
  <si>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</si>
  <si>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</si>
  <si>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</si>
  <si>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</si>
  <si>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</si>
  <si>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</si>
  <si>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</si>
  <si>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</si>
  <si>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</si>
  <si>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</si>
  <si>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</si>
  <si>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</si>
  <si>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</si>
  <si>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</si>
  <si>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</si>
  <si>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</si>
  <si>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</si>
  <si>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</si>
  <si>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</si>
  <si>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</si>
  <si>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</si>
  <si>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</si>
  <si>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</si>
  <si>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</si>
  <si>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</si>
  <si>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</si>
  <si>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</si>
  <si>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</si>
  <si>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</si>
  <si>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</si>
  <si>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</si>
  <si>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</si>
  <si>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</si>
  <si>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</si>
  <si>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</si>
  <si>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</si>
  <si>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</si>
  <si>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</si>
  <si>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</si>
  <si>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</si>
  <si>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</si>
  <si>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</si>
  <si>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</si>
  <si>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</si>
  <si>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</si>
  <si>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</si>
  <si>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</si>
  <si>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</si>
  <si>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</si>
  <si>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</si>
  <si>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</si>
  <si>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</si>
  <si>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</si>
  <si>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</si>
  <si>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</si>
  <si>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</si>
  <si>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</si>
  <si>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</si>
  <si>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</si>
  <si>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</si>
  <si>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</si>
  <si>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</si>
  <si>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</si>
  <si>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</si>
  <si>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</si>
  <si>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</si>
  <si>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</si>
  <si>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</si>
  <si>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</si>
  <si>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</si>
  <si>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</si>
  <si>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</si>
  <si>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</si>
  <si>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</si>
  <si>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</si>
  <si>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</si>
  <si>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</si>
  <si>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</si>
  <si>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</si>
  <si>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</si>
  <si>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</si>
  <si>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</si>
  <si>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</si>
  <si>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</si>
  <si>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</si>
  <si>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</si>
  <si>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</si>
  <si>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</si>
  <si>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</si>
  <si>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</si>
  <si>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</si>
  <si>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</si>
  <si>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</si>
  <si>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</si>
  <si>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</si>
  <si>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</si>
  <si>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</si>
  <si>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</si>
  <si>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</si>
  <si>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</si>
  <si>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</si>
  <si>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</si>
  <si>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</si>
  <si>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</si>
  <si>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</si>
  <si>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</si>
  <si>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</si>
  <si>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</si>
  <si>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</si>
  <si>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</si>
  <si>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</si>
  <si>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</si>
  <si>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</si>
  <si>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</si>
  <si>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</si>
  <si>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</si>
  <si>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</si>
  <si>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</si>
  <si>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</si>
  <si>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</si>
  <si>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</si>
  <si>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</si>
  <si>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</si>
  <si>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</si>
  <si>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</si>
  <si>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</si>
  <si>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</si>
  <si>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</si>
  <si>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</si>
  <si>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</si>
  <si>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</si>
  <si>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</si>
  <si>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</si>
  <si>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</si>
  <si>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</si>
  <si>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</si>
  <si>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</si>
  <si>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</si>
  <si>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</si>
  <si>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</si>
  <si>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</si>
  <si>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</si>
  <si>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</si>
  <si>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</si>
  <si>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</si>
  <si>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</si>
  <si>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6B2G5 P1510</t>
  </si>
  <si>
    <t>6B2G5 P1515</t>
  </si>
  <si>
    <t>6B2G5 C1520</t>
  </si>
  <si>
    <t>6B2G5 C1525</t>
  </si>
  <si>
    <t>6B2G5 P1520</t>
  </si>
  <si>
    <t>6B2G5 C1530</t>
  </si>
  <si>
    <t>6B2G5 C1535</t>
  </si>
  <si>
    <t>In-Flight</t>
  </si>
  <si>
    <t>STP LMT</t>
  </si>
  <si>
    <t>TWS Control NOT connected</t>
  </si>
  <si>
    <t>2015-2-10 13:11:38.159: Main - Initialize - initializing...</t>
  </si>
  <si>
    <t>2015-2-10 13:11:50.15: RTWSControl - nextValidId - entering nextValidId id is 8823</t>
  </si>
  <si>
    <t>2015-2-10 13:11:50.31: WatchlistView - initialize - an error occurredSelect method of Range class failed</t>
  </si>
  <si>
    <t>2015-2-10 13:11:50.78: RTWSControl - errMsg - got error message 2104:Market data farm connection is OK:usfuturewith id -1</t>
  </si>
  <si>
    <t>2015-2-10 13:11:50.93: RTWSControl - errMsg - got error message 2104:Market data farm connection is OK:usfuture.uswith id -1</t>
  </si>
  <si>
    <t>2015-2-10 13:11:50.125: RTWSControl - errMsg - got error message 2104:Market data farm connection is OK:cashfarmwith id -1</t>
  </si>
  <si>
    <t>2015-2-10 13:11:50.125: RTWSControl - errMsg - got error message 2104:Market data farm connection is OK:usfarmwith id -1</t>
  </si>
  <si>
    <t>2015-2-10 13:11:50.125: RTWSControl - errMsg - got error message 2106:HMDS data farm connection is OK:ilhmdswith id -1</t>
  </si>
  <si>
    <t>2015-2-10 13:11:50.171: RTWSControl - contractDetailsEx - got contractDetails id 0 British pound 6BH5</t>
  </si>
  <si>
    <t>2015-2-10 13:11:50.187: RTWSControl - contractDetailsEnd - Got contract details end event</t>
  </si>
  <si>
    <t>2015-2-10 13:11:58.283: Algorithm - updatePortfolio - haveAllDetails is False</t>
  </si>
  <si>
    <t>2015-2-10 13:11:58.330: Algorithm - updatePortfolio - haveAllDetails is False</t>
  </si>
  <si>
    <t>2015-2-10 13:11:58.393: Algorithm - updatePortfolio - haveAllDetails is False</t>
  </si>
  <si>
    <t>2015-2-10 13:11:58.424: Algorithm - updatePortfolio - haveAllDetails is False</t>
  </si>
  <si>
    <t>2015-2-10 13:11:58.471: Algorithm - updatePortfolio - haveAllDetails is False</t>
  </si>
  <si>
    <t>2015-2-10 13:11:58.517: Algorithm - updatePortfolio - haveAllDetails is False</t>
  </si>
  <si>
    <t>2015-2-10 13:11:58.533: Algorithm - updatePortfolio - haveAllDetails is False</t>
  </si>
  <si>
    <t>2015-2-10 13:11:58.595: Algorithm - updatePortfolio - haveAllDetails is False</t>
  </si>
  <si>
    <t>2015-2-10 13:11:58.627: Algorithm - updatePortfolio - haveAllDetails is False</t>
  </si>
  <si>
    <t>2015-2-10 13:11:58.673: RTWSControl - contractDetailsEx - got contractDetails id 0 British pound 6B2G5 P1510</t>
  </si>
  <si>
    <t>2015-2-10 13:11:58.673: RTWSControl - contractDetailsEnd - Got contract details end event</t>
  </si>
  <si>
    <t>2015-2-10 13:11:58.705: RTWSControl - contractDetailsEx - got contractDetails id 0 British pound 6B2G5 P1515</t>
  </si>
  <si>
    <t>2015-2-10 13:11:58.705: RTWSControl - contractDetailsEnd - Got contract details end event</t>
  </si>
  <si>
    <t>2015-2-10 13:11:58.720: RTWSControl - contractDetailsEx - got contractDetails id 0 British pound 6B2G5 C1520</t>
  </si>
  <si>
    <t>2015-2-10 13:11:58.751: RTWSControl - contractDetailsEnd - Got contract details end event</t>
  </si>
  <si>
    <t>2015-2-10 13:11:58.751: RTWSControl - contractDetailsEx - got contractDetails id 0 British pound 6B2G5 C1525</t>
  </si>
  <si>
    <t>2015-2-10 13:11:58.798: RTWSControl - contractDetailsEx - got contractDetails id 0 British pound 6B2G5 P1520</t>
  </si>
  <si>
    <t>2015-2-10 13:11:58.798: RTWSControl - contractDetailsEnd - Got contract details end event</t>
  </si>
  <si>
    <t>2015-2-10 13:11:58.814: RTWSControl - contractDetailsEx - got contractDetails id 0 British pound 6B2G5 C1530</t>
  </si>
  <si>
    <t>2015-2-10 13:11:58.829: RTWSControl - contractDetailsEnd - Got contract details end event</t>
  </si>
  <si>
    <t>2015-2-10 13:11:58.829: RTWSControl - contractDetailsEx - got contractDetails id 0 British pound 6B2G5 C1535</t>
  </si>
  <si>
    <t>2015-2-10 13:12:0.748: Algorithm - FindNextStrikes - price is 1.52295005 nextStrikeUp/Down 1.525/1.52</t>
  </si>
  <si>
    <t>2015-2-10 13:12:0.748: Algorithm - getPortfolioForwardDelta - required deltas is 90 currentHedgePosition is 90</t>
  </si>
  <si>
    <t>2015-2-10 13:12:0.748: Algorithm - getHedgeShortfall - required deltas is 90 price is 1.52295005 currentHedgePositionDeltas is 90</t>
  </si>
  <si>
    <t>2015-2-10 13:12:0.748: Algorithm - processTransitionPoint - nextUpper/LowerStrikes are 1.525/1.52 requiredDeltas/currentPosition/currentHedgeShortfall/direction/transitionPrice are 90/90/0/0/1.52295005</t>
  </si>
  <si>
    <t>2015-2-10 13:12:0.764: TransitionLogger - processTransitionpoint - checking transition - currentHedgeShortfall is 0</t>
  </si>
  <si>
    <t>2015-2-10 13:12:0.764: Algorithm - updatePortfolio - haveAllDetails is True</t>
  </si>
  <si>
    <t>2015-2-10 13:12:7.753: OrderManager - PlaceOrder - id 8823 workingQty 39</t>
  </si>
  <si>
    <t>2015-2-10 13:12:7.753: OrderManager - sendOrder - exiting place order id 8823 BUY 39 1.5377  - workingQty 39 currentPosition is 90 workingOrderCount is 1</t>
  </si>
  <si>
    <t>2015-2-10 13:12:7.753: OrderManager - createOrder - exiting without creating order - did not have validID</t>
  </si>
  <si>
    <t>2015-2-10 13:12:7.831: OrderManager - createOrder - exiting without creating order - did not have validID</t>
  </si>
  <si>
    <t>2015-2-10 13:12:8.80: RTWSControl - nextValidId - entering nextValidId id is 8824</t>
  </si>
  <si>
    <t>2015-2-10 13:12:8.96: openOrderEx - I am here</t>
  </si>
  <si>
    <t>2015-2-10 13:12:8.127: RTWSControl - orderStatus -  entering orderStatus id is 8823 status is PreSubmitted</t>
  </si>
  <si>
    <t>2015-2-10 13:12:8.127: OrderManager - UpdateOrderStatus - id 8823 Setting status to PreSubmitted workingOrderCount is now 1 workingQty 39</t>
  </si>
  <si>
    <t>2015-2-10 13:12:8.127: RTWSControl - OrderStatus - Got OrderStatus Message id:8823 status: PreSubmitted filled: 0</t>
  </si>
  <si>
    <t>2015-2-10 13:12:8.127: RTWSControl - OrderStatus - exiting orderStatus</t>
  </si>
  <si>
    <t>2015-2-10 13:12:10.360: OrderManager - PlaceOrder - id 8824 workingQty 0</t>
  </si>
  <si>
    <t>2015-2-10 13:12:10.360: OrderManager - sendOrder - exiting place order id 8824 SELL 39 1.5217  - workingQty 0 currentPosition is 90 workingOrderCount is 2</t>
  </si>
  <si>
    <t>2015-2-10 13:12:11.124: RTWSControl - nextValidId - entering nextValidId id is 8825</t>
  </si>
  <si>
    <t>2015-2-10 13:12:11.296: openOrderEx - I am here</t>
  </si>
  <si>
    <t>2015-2-10 13:12:11.327: RTWSControl - orderStatus -  entering orderStatus id is 8824 status is PreSubmitted</t>
  </si>
  <si>
    <t>2015-2-10 13:12:11.327: OrderManager - UpdateOrderStatus - id 8824 Setting status to PreSubmitted workingOrderCount is now 2 workingQty 0</t>
  </si>
  <si>
    <t>2015-2-10 13:12:11.327: RTWSControl - OrderStatus - Got OrderStatus Message id:8824 status: PreSubmitted filled: 0</t>
  </si>
  <si>
    <t>2015-2-10 13:12:11.327: RTWSControl - OrderStatus - exiting orderStatus</t>
  </si>
  <si>
    <t>2015-2-10 13:12:19.829: Algorithm - FindNextStrikes - price is 1.52315 nextStrikeUp/Down 1.525/1.52</t>
  </si>
  <si>
    <t>2015-2-10 13:12:19.829: Algorithm - getPortfolioForwardDelta - required deltas is 90 currentHedgePosition is 90</t>
  </si>
  <si>
    <t>2015-2-10 13:12:19.829: Algorithm - getHedgeShortfall - required deltas is 90 price is 1.52325 currentHedgePositionDeltas is 90</t>
  </si>
  <si>
    <t>2015-2-10 13:12:19.829: Algorithm - processTransitionPoint - nextUpper/LowerStrikes are 1.525/1.52 requiredDeltas/currentPosition/currentHedgeShortfall/direction/transitionPrice are 90/90/0/1/1.52325</t>
  </si>
  <si>
    <t>2015-2-10 13:12:19.829: TransitionLogger - processTransitionpoint - checking transition - currentHedgeShortfall is 0</t>
  </si>
  <si>
    <t>2015-2-10 13:12:19.845: Algorithm - updatePortfolio - haveAllDetails is True</t>
  </si>
  <si>
    <t>2015-2-10 13:12:19.891: Algorithm - FindNextStrikes - price is 1.52315 nextStrikeUp/Down 1.525/1.52</t>
  </si>
  <si>
    <t>2015-2-10 13:12:19.891: Algorithm - getPortfolioForwardDelta - required deltas is 90 currentHedgePosition is 90</t>
  </si>
  <si>
    <t>2015-2-10 13:12:19.891: Algorithm - getHedgeShortfall - required deltas is 90 price is 1.52325 currentHedgePositionDeltas is 90</t>
  </si>
  <si>
    <t>2015-2-10 13:12:19.891: Algorithm - processTransitionPoint - nextUpper/LowerStrikes are 1.525/1.52 requiredDeltas/currentPosition/currentHedgeShortfall/direction/transitionPrice are 90/90/0/1/1.52325</t>
  </si>
  <si>
    <t>2015-2-10 13:12:19.891: TransitionLogger - processTransitionpoint - checking transition - currentHedgeShortfall is 0</t>
  </si>
  <si>
    <t>2015-2-10 13:12:19.891: Algorithm - updatePortfolio - haveAllDetails is True</t>
  </si>
  <si>
    <t>2015-2-10 13:12:19.923: Algorithm - FindNextStrikes - price is 1.52315 nextStrikeUp/Down 1.525/1.52</t>
  </si>
  <si>
    <t>2015-2-10 13:12:19.923: Algorithm - getPortfolioForwardDelta - required deltas is 90 currentHedgePosition is 90</t>
  </si>
  <si>
    <t>2015-2-10 13:12:19.923: Algorithm - getHedgeShortfall - required deltas is 90 price is 1.52325 currentHedgePositionDeltas is 90</t>
  </si>
  <si>
    <t>2015-2-10 13:12:19.923: Algorithm - processTransitionPoint - nextUpper/LowerStrikes are 1.525/1.52 requiredDeltas/currentPosition/currentHedgeShortfall/direction/transitionPrice are 90/90/0/1/1.52325</t>
  </si>
  <si>
    <t>2015-2-10 13:12:19.923: TransitionLogger - processTransitionpoint - checking transition - currentHedgeShortfall is 0</t>
  </si>
  <si>
    <t>2015-2-10 13:12:19.923: Algorithm - updatePortfolio - haveAllDetails is True</t>
  </si>
  <si>
    <t>2015-2-10 13:12:19.969: Algorithm - FindNextStrikes - price is 1.52315 nextStrikeUp/Down 1.525/1.52</t>
  </si>
  <si>
    <t>2015-2-10 13:12:19.969: Algorithm - getPortfolioForwardDelta - required deltas is 90 currentHedgePosition is 90</t>
  </si>
  <si>
    <t>2015-2-10 13:12:19.969: Algorithm - getHedgeShortfall - required deltas is 90 price is 1.52325 currentHedgePositionDeltas is 90</t>
  </si>
  <si>
    <t>2015-2-10 13:12:19.969: Algorithm - processTransitionPoint - nextUpper/LowerStrikes are 1.525/1.52 requiredDeltas/currentPosition/currentHedgeShortfall/direction/transitionPrice are 90/90/0/1/1.52325</t>
  </si>
  <si>
    <t>2015-2-10 13:12:19.969: TransitionLogger - processTransitionpoint - checking transition - currentHedgeShortfall is 0</t>
  </si>
  <si>
    <t>2015-2-10 13:12:19.969: Algorithm - updatePortfolio - haveAllDetails is True</t>
  </si>
  <si>
    <t>2015-2-10 13:12:20.16: Algorithm - FindNextStrikes - price is 1.52315 nextStrikeUp/Down 1.525/1.52</t>
  </si>
  <si>
    <t>2015-2-10 13:12:20.16: Algorithm - getPortfolioForwardDelta - required deltas is 90 currentHedgePosition is 90</t>
  </si>
  <si>
    <t>2015-2-10 13:12:20.16: Algorithm - getHedgeShortfall - required deltas is 90 price is 1.52325 currentHedgePositionDeltas is 90</t>
  </si>
  <si>
    <t>2015-2-10 13:12:20.16: Algorithm - processTransitionPoint - nextUpper/LowerStrikes are 1.525/1.52 requiredDeltas/currentPosition/currentHedgeShortfall/direction/transitionPrice are 90/90/0/1/1.52325</t>
  </si>
  <si>
    <t>2015-2-10 13:12:20.16: TransitionLogger - processTransitionpoint - checking transition - currentHedgeShortfall is 0</t>
  </si>
  <si>
    <t>2015-2-10 13:12:20.16: Algorithm - updatePortfolio - haveAllDetails is True</t>
  </si>
  <si>
    <t>2015-2-10 13:12:20.47: Algorithm - FindNextStrikes - price is 1.52315 nextStrikeUp/Down 1.525/1.52</t>
  </si>
  <si>
    <t>2015-2-10 13:12:20.47: Algorithm - getPortfolioForwardDelta - required deltas is 90 currentHedgePosition is 90</t>
  </si>
  <si>
    <t>2015-2-10 13:12:20.47: Algorithm - getHedgeShortfall - required deltas is 90 price is 1.52325 currentHedgePositionDeltas is 90</t>
  </si>
  <si>
    <t>2015-2-10 13:12:20.47: Algorithm - processTransitionPoint - nextUpper/LowerStrikes are 1.525/1.52 requiredDeltas/currentPosition/currentHedgeShortfall/direction/transitionPrice are 90/90/0/1/1.52325</t>
  </si>
  <si>
    <t>2015-2-10 13:12:20.47: TransitionLogger - processTransitionpoint - checking transition - currentHedgeShortfall is 0</t>
  </si>
  <si>
    <t>2015-2-10 13:12:20.47: Algorithm - updatePortfolio - haveAllDetails is True</t>
  </si>
  <si>
    <t>2015-2-10 13:12:20.94: Algorithm - FindNextStrikes - price is 1.52315 nextStrikeUp/Down 1.525/1.52</t>
  </si>
  <si>
    <t>2015-2-10 13:12:20.94: Algorithm - getPortfolioForwardDelta - required deltas is 90 currentHedgePosition is 90</t>
  </si>
  <si>
    <t>2015-2-10 13:12:20.94: Algorithm - getHedgeShortfall - required deltas is 90 price is 1.52325 currentHedgePositionDeltas is 90</t>
  </si>
  <si>
    <t>2015-2-10 13:12:20.94: Algorithm - processTransitionPoint - nextUpper/LowerStrikes are 1.525/1.52 requiredDeltas/currentPosition/currentHedgeShortfall/direction/transitionPrice are 90/90/0/1/1.52325</t>
  </si>
  <si>
    <t>2015-2-10 13:12:20.94: TransitionLogger - processTransitionpoint - checking transition - currentHedgeShortfall is 0</t>
  </si>
  <si>
    <t>2015-2-10 13:12:20.94: Algorithm - updatePortfolio - haveAllDetails is True</t>
  </si>
  <si>
    <t>2015-2-10 13:12:20.141: Algorithm - FindNextStrikes - price is 1.52315 nextStrikeUp/Down 1.525/1.52</t>
  </si>
  <si>
    <t>2015-2-10 13:12:20.141: Algorithm - getPortfolioForwardDelta - required deltas is 90 currentHedgePosition is 90</t>
  </si>
  <si>
    <t>2015-2-10 13:12:20.141: Algorithm - getHedgeShortfall - required deltas is 90 price is 1.52325 currentHedgePositionDeltas is 90</t>
  </si>
  <si>
    <t>2015-2-10 13:12:20.141: Algorithm - processTransitionPoint - nextUpper/LowerStrikes are 1.525/1.52 requiredDeltas/currentPosition/currentHedgeShortfall/direction/transitionPrice are 90/90/0/1/1.52325</t>
  </si>
  <si>
    <t>2015-2-10 13:12:20.141: TransitionLogger - processTransitionpoint - checking transition - currentHedgeShortfall is 0</t>
  </si>
  <si>
    <t>2015-2-10 13:12:20.141: Algorithm - updatePortfolio - haveAllDetails is True</t>
  </si>
  <si>
    <t>2015-2-10 13:12:20.172: Algorithm - FindNextStrikes - price is 1.52315 nextStrikeUp/Down 1.525/1.52</t>
  </si>
  <si>
    <t>2015-2-10 13:12:20.172: Algorithm - getPortfolioForwardDelta - required deltas is 90 currentHedgePosition is 90</t>
  </si>
  <si>
    <t>2015-2-10 13:12:20.172: Algorithm - getHedgeShortfall - required deltas is 90 price is 1.52325 currentHedgePositionDeltas is 90</t>
  </si>
  <si>
    <t>2015-2-10 13:12:20.172: Algorithm - processTransitionPoint - nextUpper/LowerStrikes are 1.525/1.52 requiredDeltas/currentPosition/currentHedgeShortfall/direction/transitionPrice are 90/90/0/1/1.52325</t>
  </si>
  <si>
    <t>2015-2-10 13:12:20.172: TransitionLogger - processTransitionpoint - checking transition - currentHedgeShortfall is 0</t>
  </si>
  <si>
    <t>2015-2-10 13:12:20.172: Algorithm - updatePortfolio - haveAllDetails is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</si>
</sst>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  <xf numFmtId="0" fontId="19" fillId="0" borderId="0" xfId="0" applyFont="1"/>
    <xf numFmtId="0" fontId="20" fillId="0" borderId="0" xfId="0" applyFo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zoomScale="65" zoomScaleNormal="65" workbookViewId="0">
      <selection activeCell="M42" sqref="M42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6" x14ac:dyDescent="0.25">
      <c r="A6" s="101" t="s">
        <v>124</v>
      </c>
      <c r="B6" s="101"/>
      <c r="C6" s="101"/>
      <c r="D6" s="101"/>
      <c r="E6" s="101" t="s">
        <v>125</v>
      </c>
      <c r="F6" s="101"/>
      <c r="G6" s="101" t="s">
        <v>126</v>
      </c>
      <c r="H6" s="101"/>
      <c r="I6" s="101" t="s">
        <v>127</v>
      </c>
      <c r="J6" s="101"/>
      <c r="K6" s="101" t="s">
        <v>128</v>
      </c>
      <c r="L6" s="101"/>
      <c r="M6" s="101" t="s">
        <v>129</v>
      </c>
      <c r="N6" s="101"/>
      <c r="O6" s="101"/>
      <c r="P6" s="101"/>
      <c r="Q6" s="101"/>
      <c r="R6" s="101"/>
      <c r="S6" s="101"/>
      <c r="T6" s="101"/>
      <c r="U6" s="61"/>
      <c r="V6" s="61"/>
      <c r="W6" s="61"/>
      <c r="AF6" s="36"/>
    </row>
    <row r="7" spans="1:36" x14ac:dyDescent="0.25">
      <c r="A7" s="114" t="s">
        <v>130</v>
      </c>
      <c r="B7" s="114"/>
      <c r="C7" s="114">
        <v>7497</v>
      </c>
      <c r="D7" s="114"/>
      <c r="E7" s="114">
        <v>7</v>
      </c>
      <c r="F7" s="114"/>
      <c r="G7" s="114">
        <v>5</v>
      </c>
      <c r="H7" s="114"/>
      <c r="I7" s="115">
        <v>0.96388888888888891</v>
      </c>
      <c r="J7" s="116"/>
      <c r="K7" s="112" t="s">
        <v>227</v>
      </c>
      <c r="L7" s="113"/>
      <c r="M7" s="110"/>
      <c r="N7" s="111"/>
      <c r="O7" s="110"/>
      <c r="P7" s="111"/>
      <c r="Q7" s="110"/>
      <c r="R7" s="111"/>
      <c r="S7" s="110"/>
      <c r="T7" s="111"/>
      <c r="U7" s="62"/>
      <c r="V7" s="63"/>
      <c r="W7" s="63"/>
      <c r="AF7" s="36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6" ht="23.25" x14ac:dyDescent="0.35">
      <c r="A12" s="109" t="s">
        <v>135</v>
      </c>
      <c r="B12" s="109"/>
      <c r="C12" s="109" t="s">
        <v>136</v>
      </c>
      <c r="D12" s="109"/>
      <c r="E12" s="65" t="s">
        <v>137</v>
      </c>
      <c r="F12" s="65"/>
      <c r="G12" s="109" t="s">
        <v>138</v>
      </c>
      <c r="H12" s="109"/>
      <c r="I12" s="109" t="s">
        <v>139</v>
      </c>
      <c r="J12" s="109"/>
      <c r="K12" s="101" t="s">
        <v>140</v>
      </c>
      <c r="L12" s="101"/>
      <c r="M12" s="101" t="s">
        <v>141</v>
      </c>
      <c r="N12" s="101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6" ht="23.25" x14ac:dyDescent="0.35">
      <c r="A13" s="5">
        <v>1039420.07</v>
      </c>
      <c r="B13" s="3"/>
      <c r="C13" s="5">
        <v>554039.46</v>
      </c>
      <c r="D13" s="3"/>
      <c r="E13" s="5"/>
      <c r="F13" s="5"/>
      <c r="G13" s="5"/>
      <c r="H13" s="5"/>
      <c r="I13" s="5"/>
      <c r="J13" s="5"/>
      <c r="K13" s="6"/>
      <c r="L13" s="4"/>
      <c r="M13" s="62" t="s">
        <v>217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7"/>
      <c r="Z14" s="44"/>
      <c r="AA14" s="37"/>
      <c r="AB14" s="37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8"/>
      <c r="Z15" s="38"/>
      <c r="AA15" s="38"/>
      <c r="AB15" s="38"/>
      <c r="AC15"/>
      <c r="AD15"/>
      <c r="AE15"/>
      <c r="AF15"/>
      <c r="AG15"/>
      <c r="AH15"/>
      <c r="AI15"/>
      <c r="AJ15"/>
    </row>
    <row r="16" spans="1:36" ht="18.75" x14ac:dyDescent="0.3">
      <c r="A16" s="64" t="s">
        <v>15</v>
      </c>
      <c r="B16" s="64" t="s">
        <v>24</v>
      </c>
      <c r="C16" s="64">
        <v>20150316</v>
      </c>
      <c r="D16" s="64">
        <v>62500</v>
      </c>
      <c r="E16" s="64"/>
      <c r="F16" s="64" t="s">
        <v>17</v>
      </c>
      <c r="G16" s="64" t="s">
        <v>16</v>
      </c>
      <c r="H16" s="64" t="s">
        <v>180</v>
      </c>
      <c r="I16" s="64" t="s">
        <v>25</v>
      </c>
      <c r="J16" s="64">
        <v>90</v>
      </c>
      <c r="K16" s="64">
        <v>1.5228999999999999</v>
      </c>
      <c r="L16" s="64"/>
      <c r="M16" s="64">
        <v>27</v>
      </c>
      <c r="N16" s="64">
        <v>1.5227999999999999</v>
      </c>
      <c r="O16" s="64">
        <v>1.5229999999999999</v>
      </c>
      <c r="P16" s="64">
        <v>31</v>
      </c>
      <c r="Q16" s="64"/>
      <c r="R16" s="64">
        <v>1.5231499500000001</v>
      </c>
      <c r="S16" s="64">
        <v>8567718.5700000003</v>
      </c>
      <c r="T16" s="64">
        <v>95307.637028900004</v>
      </c>
      <c r="U16" s="64">
        <v>-9968.77</v>
      </c>
      <c r="V16" s="64">
        <v>0</v>
      </c>
      <c r="W16" s="64"/>
      <c r="Y16" s="37"/>
      <c r="Z16" s="37"/>
      <c r="AA16" s="37"/>
      <c r="AB16" s="37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102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104">
        <v>5</v>
      </c>
      <c r="F21" s="104"/>
      <c r="G21" s="81">
        <v>5</v>
      </c>
      <c r="H21" s="81">
        <v>10</v>
      </c>
      <c r="I21" s="81">
        <v>0.2</v>
      </c>
      <c r="J21" s="81"/>
      <c r="K21" s="105">
        <v>8</v>
      </c>
      <c r="L21" s="106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7" t="s">
        <v>161</v>
      </c>
      <c r="D29" s="108"/>
      <c r="E29" s="12">
        <v>1.52</v>
      </c>
      <c r="F29" s="12"/>
      <c r="G29" s="108" t="s">
        <v>162</v>
      </c>
      <c r="H29" s="108"/>
      <c r="I29" s="12">
        <v>1.5249999999999999</v>
      </c>
      <c r="J29" s="12"/>
      <c r="K29" s="108" t="s">
        <v>163</v>
      </c>
      <c r="L29" s="108"/>
      <c r="M29" s="12">
        <v>90</v>
      </c>
      <c r="N29" s="13"/>
      <c r="O29" s="108" t="s">
        <v>164</v>
      </c>
      <c r="P29" s="108"/>
      <c r="Q29" s="30">
        <v>1.5229145263006418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7"/>
      <c r="D30" s="108"/>
      <c r="E30" s="12">
        <v>29</v>
      </c>
      <c r="F30" s="12"/>
      <c r="G30" s="108" t="s">
        <v>194</v>
      </c>
      <c r="H30" s="108"/>
      <c r="I30" s="12">
        <v>21</v>
      </c>
      <c r="J30" s="12"/>
      <c r="K30" s="108" t="s">
        <v>195</v>
      </c>
      <c r="L30" s="108"/>
      <c r="M30" s="12">
        <v>90</v>
      </c>
      <c r="N30" s="13"/>
      <c r="O30" s="108" t="s">
        <v>165</v>
      </c>
      <c r="P30" s="108"/>
      <c r="Q30" s="30">
        <v>1.5229132866288069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7"/>
      <c r="D31" s="108"/>
      <c r="E31" s="12">
        <v>28</v>
      </c>
      <c r="F31" s="12"/>
      <c r="G31" s="108" t="s">
        <v>192</v>
      </c>
      <c r="H31" s="108"/>
      <c r="I31" s="12">
        <v>20</v>
      </c>
      <c r="J31" s="12"/>
      <c r="K31" s="108" t="s">
        <v>196</v>
      </c>
      <c r="L31" s="108"/>
      <c r="M31" s="12">
        <v>0</v>
      </c>
      <c r="N31" s="13"/>
      <c r="O31" s="108" t="s">
        <v>99</v>
      </c>
      <c r="P31" s="108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21">
        <v>73</v>
      </c>
      <c r="D32" s="119"/>
      <c r="E32" s="119">
        <v>1.5037</v>
      </c>
      <c r="F32" s="119"/>
      <c r="G32" s="119" t="s">
        <v>192</v>
      </c>
      <c r="H32" s="119"/>
      <c r="I32" s="119">
        <v>73</v>
      </c>
      <c r="J32" s="119"/>
      <c r="K32" s="119">
        <v>0</v>
      </c>
      <c r="L32" s="119"/>
      <c r="M32" s="119"/>
      <c r="N32" s="122"/>
      <c r="O32" s="119"/>
      <c r="P32" s="119"/>
      <c r="Q32" s="119"/>
      <c r="R32" s="122"/>
      <c r="S32" s="119"/>
      <c r="T32" s="122"/>
      <c r="U32" s="119"/>
      <c r="V32" s="122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26" t="s">
        <v>206</v>
      </c>
      <c r="B34" s="126"/>
      <c r="C34" s="126"/>
      <c r="D34" s="126"/>
      <c r="E34" s="126"/>
      <c r="F34" s="126"/>
      <c r="G34" s="126"/>
      <c r="H34" s="126"/>
      <c r="I34" s="126"/>
      <c r="Q34" s="127" t="s">
        <v>186</v>
      </c>
      <c r="R34" s="127"/>
      <c r="S34" s="127"/>
      <c r="T34" s="127"/>
      <c r="U34" s="127"/>
      <c r="V34" s="127"/>
      <c r="W34" s="127"/>
    </row>
    <row r="35" spans="1:31" s="11" customFormat="1" ht="27.75" customHeight="1" thickBot="1" x14ac:dyDescent="0.35">
      <c r="A35" s="98" t="s">
        <v>207</v>
      </c>
      <c r="B35" s="98"/>
      <c r="C35" s="98"/>
      <c r="D35" s="98"/>
      <c r="E35" s="98"/>
      <c r="F35" s="98" t="s">
        <v>208</v>
      </c>
      <c r="G35" s="98"/>
      <c r="H35" s="98"/>
      <c r="I35" s="98"/>
      <c r="Q35" s="71"/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97" t="s">
        <v>214</v>
      </c>
      <c r="B36" s="96">
        <v>0.5</v>
      </c>
      <c r="C36" s="93"/>
      <c r="D36" s="93"/>
      <c r="E36" s="93"/>
      <c r="F36" s="93"/>
      <c r="G36" s="93"/>
      <c r="H36" s="93"/>
      <c r="I36" s="93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95" t="s">
        <v>209</v>
      </c>
      <c r="B37" s="95" t="s">
        <v>213</v>
      </c>
      <c r="C37" s="95" t="s">
        <v>210</v>
      </c>
      <c r="D37" s="95" t="s">
        <v>211</v>
      </c>
      <c r="E37" s="95" t="s">
        <v>3</v>
      </c>
      <c r="F37" s="95" t="s">
        <v>212</v>
      </c>
      <c r="G37" s="95" t="s">
        <v>210</v>
      </c>
      <c r="H37" s="95" t="s">
        <v>213</v>
      </c>
      <c r="I37" s="95" t="s">
        <v>209</v>
      </c>
      <c r="Q37" s="75">
        <f>SUM(U71:U91)+J16</f>
        <v>37.672790206072712</v>
      </c>
      <c r="R37" s="76">
        <f>SUM(X71:X91)</f>
        <v>-5528.597167498011</v>
      </c>
      <c r="S37" s="74">
        <f>SUM(W71:W91)</f>
        <v>0.30206001316620174</v>
      </c>
      <c r="T37" s="76">
        <f>S37*62500</f>
        <v>18878.750822887607</v>
      </c>
      <c r="U37" s="73">
        <v>0.02</v>
      </c>
      <c r="V37" s="77">
        <f>-1*U37*W37</f>
        <v>-1022.5</v>
      </c>
      <c r="W37" s="77">
        <f>AG69</f>
        <v>51125</v>
      </c>
      <c r="X37" s="46"/>
      <c r="Y37" s="46"/>
      <c r="AC37" s="38"/>
    </row>
    <row r="38" spans="1:31" ht="21" x14ac:dyDescent="0.35">
      <c r="A38" s="78">
        <v>0</v>
      </c>
      <c r="B38" s="94">
        <v>7</v>
      </c>
      <c r="C38" s="78">
        <v>0</v>
      </c>
      <c r="D38" s="76"/>
      <c r="E38" s="76"/>
      <c r="F38" s="76"/>
      <c r="G38" s="78">
        <v>0</v>
      </c>
      <c r="H38" s="94">
        <v>7</v>
      </c>
      <c r="I38" s="78">
        <v>0</v>
      </c>
      <c r="Q38" s="71" t="s">
        <v>131</v>
      </c>
      <c r="R38" s="76">
        <f>ticksUpToLoss(V37,Q37,R37)</f>
        <v>140.49581310174548</v>
      </c>
      <c r="S38" s="76">
        <f>ticksDownToLoss(V37,Q37,R37)</f>
        <v>-4.2124520077351431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94">
        <v>6</v>
      </c>
      <c r="C39" s="78">
        <v>0</v>
      </c>
      <c r="D39" s="76"/>
      <c r="E39" s="76"/>
      <c r="F39" s="76"/>
      <c r="G39" s="78">
        <v>0</v>
      </c>
      <c r="H39" s="94">
        <v>6</v>
      </c>
      <c r="I39" s="78">
        <v>0</v>
      </c>
      <c r="Q39" s="71" t="s">
        <v>132</v>
      </c>
      <c r="R39" s="76">
        <f>Q37+R37*(R38*0.0001)</f>
        <v>-40.001685229891301</v>
      </c>
      <c r="S39" s="76">
        <f>Q37+R37*(S38*0.0001)</f>
        <v>40.001685229891294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94">
        <v>5</v>
      </c>
      <c r="C40" s="78">
        <v>0</v>
      </c>
      <c r="D40" s="76"/>
      <c r="E40" s="76"/>
      <c r="F40" s="76"/>
      <c r="G40" s="78">
        <v>0</v>
      </c>
      <c r="H40" s="94">
        <v>5</v>
      </c>
      <c r="I40" s="78">
        <v>0</v>
      </c>
      <c r="Q40" s="127" t="s">
        <v>133</v>
      </c>
      <c r="R40" s="127"/>
      <c r="S40" s="127"/>
      <c r="T40" s="127" t="s">
        <v>189</v>
      </c>
      <c r="U40" s="127"/>
      <c r="V40" s="127"/>
      <c r="W40" s="127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94">
        <v>4</v>
      </c>
      <c r="C41" s="78">
        <v>0</v>
      </c>
      <c r="D41" s="76"/>
      <c r="E41" s="76"/>
      <c r="F41" s="76"/>
      <c r="G41" s="78">
        <v>0</v>
      </c>
      <c r="H41" s="94">
        <v>4</v>
      </c>
      <c r="I41" s="78">
        <v>0</v>
      </c>
      <c r="Q41" s="71" t="s">
        <v>134</v>
      </c>
      <c r="R41" s="84">
        <f>midMarket(N16,O16)+R38/10000</f>
        <v>1.5369495813101746</v>
      </c>
      <c r="S41" s="76">
        <f>ROUND(-R39,0)</f>
        <v>40</v>
      </c>
      <c r="T41" s="72" t="s">
        <v>187</v>
      </c>
      <c r="U41" s="78">
        <v>25</v>
      </c>
      <c r="V41" s="84">
        <v>1.5367</v>
      </c>
      <c r="W41" s="76">
        <v>39</v>
      </c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94">
        <v>3</v>
      </c>
      <c r="C42" s="78">
        <v>0</v>
      </c>
      <c r="D42" s="76"/>
      <c r="E42" s="76"/>
      <c r="F42" s="76"/>
      <c r="G42" s="78">
        <v>0</v>
      </c>
      <c r="H42" s="94">
        <v>3</v>
      </c>
      <c r="I42" s="78">
        <v>0</v>
      </c>
      <c r="Q42" s="71" t="s">
        <v>144</v>
      </c>
      <c r="R42" s="84">
        <f>midMarket(N16,O16)+S38/10000</f>
        <v>1.5224787547992265</v>
      </c>
      <c r="S42" s="76">
        <f>ROUND(-S39,0)</f>
        <v>-40</v>
      </c>
      <c r="T42" s="72" t="s">
        <v>188</v>
      </c>
      <c r="U42" s="78">
        <v>2</v>
      </c>
      <c r="V42" s="84">
        <v>1.5226999999999999</v>
      </c>
      <c r="W42" s="76">
        <v>39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94">
        <v>2</v>
      </c>
      <c r="C43" s="78">
        <v>-4</v>
      </c>
      <c r="D43" s="76"/>
      <c r="E43" s="76"/>
      <c r="F43" s="76"/>
      <c r="G43" s="78">
        <v>-4</v>
      </c>
      <c r="H43" s="94">
        <v>2</v>
      </c>
      <c r="I43" s="78">
        <v>8</v>
      </c>
    </row>
    <row r="44" spans="1:31" ht="21" x14ac:dyDescent="0.35">
      <c r="A44" s="78">
        <v>5</v>
      </c>
      <c r="B44" s="94">
        <v>1</v>
      </c>
      <c r="C44" s="78">
        <v>-3</v>
      </c>
      <c r="D44" s="76"/>
      <c r="E44" s="76"/>
      <c r="F44" s="76"/>
      <c r="G44" s="78">
        <v>-3</v>
      </c>
      <c r="H44" s="94">
        <v>1</v>
      </c>
      <c r="I44" s="78">
        <v>6</v>
      </c>
      <c r="P44" t="s">
        <v>205</v>
      </c>
    </row>
    <row r="45" spans="1:31" ht="21" x14ac:dyDescent="0.35">
      <c r="A45" s="78">
        <v>1</v>
      </c>
      <c r="B45" s="94">
        <v>0</v>
      </c>
      <c r="C45" s="78">
        <v>-3</v>
      </c>
      <c r="D45" s="76"/>
      <c r="E45" s="76"/>
      <c r="F45" s="76"/>
      <c r="G45" s="78">
        <v>-3</v>
      </c>
      <c r="H45" s="94">
        <v>0</v>
      </c>
      <c r="I45" s="78">
        <v>2</v>
      </c>
    </row>
    <row r="46" spans="1:31" ht="21" x14ac:dyDescent="0.35">
      <c r="A46" s="78">
        <v>3</v>
      </c>
      <c r="B46" s="94">
        <v>-1</v>
      </c>
      <c r="C46" s="78">
        <v>-1</v>
      </c>
      <c r="D46" s="76"/>
      <c r="E46" s="76"/>
      <c r="F46" s="76"/>
      <c r="G46" s="78">
        <v>-1</v>
      </c>
      <c r="H46" s="94">
        <v>-1</v>
      </c>
      <c r="I46" s="78">
        <v>4</v>
      </c>
    </row>
    <row r="47" spans="1:31" ht="21" x14ac:dyDescent="0.35">
      <c r="A47" s="78">
        <v>0</v>
      </c>
      <c r="B47" s="94">
        <v>-2</v>
      </c>
      <c r="C47" s="78">
        <v>0</v>
      </c>
      <c r="D47" s="76"/>
      <c r="E47" s="76"/>
      <c r="F47" s="76"/>
      <c r="G47" s="78">
        <v>0</v>
      </c>
      <c r="H47" s="94">
        <v>-2</v>
      </c>
      <c r="I47" s="78">
        <v>0</v>
      </c>
    </row>
    <row r="48" spans="1:31" ht="21" x14ac:dyDescent="0.35">
      <c r="A48" s="78">
        <v>0</v>
      </c>
      <c r="B48" s="94">
        <v>-3</v>
      </c>
      <c r="C48" s="78">
        <v>0</v>
      </c>
      <c r="D48" s="76"/>
      <c r="E48" s="76"/>
      <c r="F48" s="76"/>
      <c r="G48" s="78">
        <v>0</v>
      </c>
      <c r="H48" s="94">
        <v>-3</v>
      </c>
      <c r="I48" s="78">
        <v>0</v>
      </c>
    </row>
    <row r="49" spans="1:15" s="11" customFormat="1" ht="26.25" customHeight="1" x14ac:dyDescent="0.35">
      <c r="A49" s="78">
        <v>0</v>
      </c>
      <c r="B49" s="94">
        <v>-4</v>
      </c>
      <c r="C49" s="78">
        <v>0</v>
      </c>
      <c r="D49" s="76"/>
      <c r="E49" s="76"/>
      <c r="F49" s="76"/>
      <c r="G49" s="78">
        <v>0</v>
      </c>
      <c r="H49" s="94">
        <v>-4</v>
      </c>
      <c r="I49" s="78">
        <v>0</v>
      </c>
    </row>
    <row r="50" spans="1:15" ht="21" x14ac:dyDescent="0.35">
      <c r="A50" s="78">
        <v>0</v>
      </c>
      <c r="B50" s="94">
        <v>-5</v>
      </c>
      <c r="C50" s="78">
        <v>0</v>
      </c>
      <c r="D50" s="76"/>
      <c r="E50" s="76"/>
      <c r="F50" s="76"/>
      <c r="G50" s="78">
        <v>0</v>
      </c>
      <c r="H50" s="94">
        <v>-5</v>
      </c>
      <c r="I50" s="78">
        <v>0</v>
      </c>
    </row>
    <row r="51" spans="1:15" ht="21" x14ac:dyDescent="0.35">
      <c r="A51" s="78">
        <v>0</v>
      </c>
      <c r="B51" s="94">
        <v>-6</v>
      </c>
      <c r="C51" s="78">
        <v>0</v>
      </c>
      <c r="D51" s="76"/>
      <c r="E51" s="76"/>
      <c r="F51" s="76"/>
      <c r="G51" s="78">
        <v>0</v>
      </c>
      <c r="H51" s="94">
        <v>-6</v>
      </c>
      <c r="I51" s="78">
        <v>0</v>
      </c>
    </row>
    <row r="52" spans="1:15" ht="21" x14ac:dyDescent="0.35">
      <c r="A52" s="78">
        <v>0</v>
      </c>
      <c r="B52" s="94">
        <v>-7</v>
      </c>
      <c r="C52" s="78">
        <v>0</v>
      </c>
      <c r="D52" s="76"/>
      <c r="E52" s="76"/>
      <c r="F52" s="76"/>
      <c r="G52" s="78">
        <v>0</v>
      </c>
      <c r="H52" s="94">
        <v>-7</v>
      </c>
      <c r="I52" s="78">
        <v>0</v>
      </c>
    </row>
    <row r="56" spans="1:15" x14ac:dyDescent="0.25">
      <c r="A56" s="130" t="s">
        <v>166</v>
      </c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</row>
    <row r="57" spans="1:15" x14ac:dyDescent="0.25">
      <c r="A57" s="87" t="s">
        <v>26</v>
      </c>
      <c r="B57" s="120" t="s">
        <v>27</v>
      </c>
      <c r="C57" s="120"/>
      <c r="D57" s="120"/>
      <c r="E57" s="120"/>
      <c r="F57" s="88"/>
      <c r="G57" s="120" t="s">
        <v>28</v>
      </c>
      <c r="H57" s="120"/>
      <c r="I57" s="120"/>
      <c r="J57" s="120"/>
      <c r="K57" s="120"/>
      <c r="L57" s="88"/>
      <c r="M57" s="120" t="s">
        <v>167</v>
      </c>
      <c r="N57" s="120"/>
      <c r="O57" s="129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197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 t="s">
        <v>180</v>
      </c>
      <c r="B59" s="16" t="s">
        <v>184</v>
      </c>
      <c r="C59" s="16">
        <v>39</v>
      </c>
      <c r="D59" s="16" t="s">
        <v>226</v>
      </c>
      <c r="E59" s="16">
        <v>1.5367</v>
      </c>
      <c r="F59" s="2">
        <v>8823</v>
      </c>
      <c r="G59" s="18" t="s">
        <v>192</v>
      </c>
      <c r="H59" s="2">
        <v>0</v>
      </c>
      <c r="I59" s="2">
        <v>39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 t="s">
        <v>180</v>
      </c>
      <c r="B60" s="16" t="s">
        <v>193</v>
      </c>
      <c r="C60" s="16">
        <v>39</v>
      </c>
      <c r="D60" s="16" t="s">
        <v>226</v>
      </c>
      <c r="E60" s="16">
        <v>1.5226999999999999</v>
      </c>
      <c r="F60" s="2">
        <v>8824</v>
      </c>
      <c r="G60" s="18" t="s">
        <v>192</v>
      </c>
      <c r="H60" s="2">
        <v>0</v>
      </c>
      <c r="I60" s="2">
        <v>39</v>
      </c>
      <c r="J60" s="2">
        <v>0</v>
      </c>
      <c r="K60" s="2">
        <v>0</v>
      </c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199</v>
      </c>
      <c r="B64" s="76">
        <f>ticksUpToLoss(F63,A63,B63)</f>
        <v>0</v>
      </c>
      <c r="C64" s="91" t="s">
        <v>200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201</v>
      </c>
      <c r="H64" s="76">
        <f>ticksUpToLoss(L63,G63,H63)</f>
        <v>0</v>
      </c>
      <c r="I64" s="125" t="s">
        <v>202</v>
      </c>
      <c r="J64" s="125"/>
      <c r="K64" s="76"/>
      <c r="L64" s="76"/>
      <c r="M64" s="76"/>
      <c r="N64" s="76"/>
      <c r="O64" s="76"/>
    </row>
    <row r="65" spans="1:33" ht="15.75" x14ac:dyDescent="0.25">
      <c r="A65" s="91" t="s">
        <v>198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103" t="s">
        <v>13</v>
      </c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28" t="s">
        <v>101</v>
      </c>
      <c r="O69" s="128"/>
      <c r="P69" s="128"/>
      <c r="Q69" s="128"/>
      <c r="R69" s="128"/>
      <c r="S69" s="128"/>
      <c r="T69" s="128" t="s">
        <v>108</v>
      </c>
      <c r="U69" s="128"/>
      <c r="V69" s="128"/>
      <c r="W69" s="128"/>
      <c r="AG69" s="48">
        <f>SUM(AD71:AD91)</f>
        <v>51125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 t="s">
        <v>218</v>
      </c>
      <c r="B71" s="2">
        <v>-50</v>
      </c>
      <c r="C71" s="2">
        <v>2.6037999999999999E-3</v>
      </c>
      <c r="D71" s="2">
        <v>-8136.9</v>
      </c>
      <c r="E71" s="2">
        <v>191.29</v>
      </c>
      <c r="F71" s="28">
        <v>1427.6</v>
      </c>
      <c r="G71" s="2">
        <v>0</v>
      </c>
      <c r="H71" s="2">
        <v>2.7000000000000001E-3</v>
      </c>
      <c r="I71" s="2">
        <v>1</v>
      </c>
      <c r="J71" s="2">
        <v>16</v>
      </c>
      <c r="K71" s="2">
        <v>2.3999999999999998E-3</v>
      </c>
      <c r="L71" s="2">
        <v>2.5999999999999999E-3</v>
      </c>
      <c r="M71" s="2">
        <v>5</v>
      </c>
      <c r="N71" s="2">
        <v>0.12856867292799734</v>
      </c>
      <c r="O71" s="2">
        <v>-0.2410259268818985</v>
      </c>
      <c r="P71" s="2">
        <v>0</v>
      </c>
      <c r="Q71" s="33">
        <v>-8.8496602018929755E-4</v>
      </c>
      <c r="R71" s="2">
        <v>4.4886088328448997E-4</v>
      </c>
      <c r="S71" s="2">
        <v>1.5228999999999999</v>
      </c>
      <c r="T71" s="2">
        <v>15.110997296165666</v>
      </c>
      <c r="U71" s="2">
        <f t="shared" ref="U71:U91" si="0">O71*B71</f>
        <v>12.051296344094926</v>
      </c>
      <c r="V71" s="2">
        <v>1.5804</v>
      </c>
      <c r="W71" s="2">
        <f t="shared" ref="W71:W91" si="1">Q71*B71</f>
        <v>4.4248301009464877E-2</v>
      </c>
      <c r="X71">
        <f>IF(ISERR(T71),0,T71*B71)</f>
        <v>-755.54986480828325</v>
      </c>
      <c r="Y71">
        <f t="shared" ref="Y71:Y91" si="2">IF(X71 = 0,0,(W71*-10000)/X71)</f>
        <v>0.58564368905939312</v>
      </c>
      <c r="Z71" s="85">
        <f>midMarket(K71,L71) +AA71/10000</f>
        <v>2.4999999999999996E-3</v>
      </c>
      <c r="AA71">
        <f>IF(rightFromSymbol(A71)="C",MAX(0,$N$16-strikeFromSymbol(A71)),MAX(0,strikeFromSymbol(A71)-$N$16))*10000</f>
        <v>0</v>
      </c>
      <c r="AB71" s="86">
        <f>MAX(0,Z71-AA71) * 10000</f>
        <v>24.999999999999996</v>
      </c>
      <c r="AC71" s="49">
        <f t="shared" ref="AC71:AC91" si="3">-AB71*B71</f>
        <v>1249.9999999999998</v>
      </c>
      <c r="AD71" s="48">
        <f t="shared" ref="AD71:AD79" si="4">MAX(0,AC71*6.25)</f>
        <v>7812.4999999999982</v>
      </c>
    </row>
    <row r="72" spans="1:33" x14ac:dyDescent="0.25">
      <c r="A72" s="2" t="s">
        <v>219</v>
      </c>
      <c r="B72" s="2">
        <v>-30</v>
      </c>
      <c r="C72" s="2">
        <v>3.9037999999999998E-3</v>
      </c>
      <c r="D72" s="2">
        <v>-7319.64</v>
      </c>
      <c r="E72" s="2">
        <v>268.37333335</v>
      </c>
      <c r="F72" s="28">
        <v>731.56</v>
      </c>
      <c r="G72" s="2">
        <v>0</v>
      </c>
      <c r="H72" s="2">
        <v>4.5999999999999999E-3</v>
      </c>
      <c r="I72" s="2">
        <v>1</v>
      </c>
      <c r="J72" s="2">
        <v>11</v>
      </c>
      <c r="K72" s="2">
        <v>3.7000000000000002E-3</v>
      </c>
      <c r="L72" s="2">
        <v>3.8999999999999998E-3</v>
      </c>
      <c r="M72" s="2">
        <v>30</v>
      </c>
      <c r="N72" s="2">
        <v>0.12444100199129338</v>
      </c>
      <c r="O72" s="2">
        <v>-0.32780938443321317</v>
      </c>
      <c r="P72" s="2">
        <v>0</v>
      </c>
      <c r="Q72" s="33">
        <v>-9.9325981245573379E-4</v>
      </c>
      <c r="R72" s="2">
        <v>5.277961833716014E-4</v>
      </c>
      <c r="S72" s="2">
        <v>1.5228999999999999</v>
      </c>
      <c r="T72" s="2">
        <v>17.319683667766881</v>
      </c>
      <c r="U72" s="2">
        <f t="shared" si="0"/>
        <v>9.8342815329963944</v>
      </c>
      <c r="V72" s="2">
        <v>1.5804</v>
      </c>
      <c r="W72" s="2">
        <f t="shared" si="1"/>
        <v>2.9797794373672012E-2</v>
      </c>
      <c r="X72">
        <f t="shared" ref="X72:X91" si="5">IF(ISERR(T72),0,T72*B72)</f>
        <v>-519.59051003300647</v>
      </c>
      <c r="Y72">
        <f t="shared" si="2"/>
        <v>0.5734861164377143</v>
      </c>
      <c r="Z72" s="85">
        <f>midMarket(K72,L72) +AA72/10000</f>
        <v>3.8E-3</v>
      </c>
      <c r="AA72">
        <f>IF(rightFromSymbol(A72)="C",MAX(0,$N$16-strikeFromSymbol(A72)),MAX(0,strikeFromSymbol(A72)-$N$16))*10000</f>
        <v>0</v>
      </c>
      <c r="AB72" s="86">
        <f t="shared" ref="AB72:AB91" si="6">MAX(0,Z72-AA72) * 10000</f>
        <v>38</v>
      </c>
      <c r="AC72" s="49">
        <f t="shared" si="3"/>
        <v>1140</v>
      </c>
      <c r="AD72" s="48">
        <f t="shared" si="4"/>
        <v>7125</v>
      </c>
    </row>
    <row r="73" spans="1:33" x14ac:dyDescent="0.25">
      <c r="A73" s="2" t="s">
        <v>220</v>
      </c>
      <c r="B73" s="2">
        <v>-90</v>
      </c>
      <c r="C73" s="2">
        <v>8.9034000000000005E-3</v>
      </c>
      <c r="D73" s="2">
        <v>-50081.65</v>
      </c>
      <c r="E73" s="2">
        <v>533.79</v>
      </c>
      <c r="F73" s="28">
        <v>-2040.55</v>
      </c>
      <c r="G73" s="2">
        <v>0</v>
      </c>
      <c r="H73" s="2">
        <v>0</v>
      </c>
      <c r="I73" s="2">
        <v>0</v>
      </c>
      <c r="J73" s="2">
        <v>10</v>
      </c>
      <c r="K73" s="2">
        <v>8.3999999999999995E-3</v>
      </c>
      <c r="L73" s="2">
        <v>8.6999999999999994E-3</v>
      </c>
      <c r="M73" s="2">
        <v>47</v>
      </c>
      <c r="N73" s="2">
        <v>0.12140316365766068</v>
      </c>
      <c r="O73" s="2">
        <v>0.56812021781791389</v>
      </c>
      <c r="P73" s="2">
        <v>0</v>
      </c>
      <c r="Q73" s="33">
        <v>-1.0553110134294062E-3</v>
      </c>
      <c r="R73" s="2">
        <v>5.7272110192195871E-4</v>
      </c>
      <c r="S73" s="2">
        <v>1.5228999999999999</v>
      </c>
      <c r="T73" s="2">
        <v>19.308453810069746</v>
      </c>
      <c r="U73" s="2">
        <f t="shared" si="0"/>
        <v>-51.130819603612252</v>
      </c>
      <c r="V73" s="2">
        <v>1.5804</v>
      </c>
      <c r="W73" s="2">
        <f t="shared" si="1"/>
        <v>9.4977991208646556E-2</v>
      </c>
      <c r="X73">
        <f t="shared" si="5"/>
        <v>-1737.7608429062773</v>
      </c>
      <c r="Y73">
        <f t="shared" si="2"/>
        <v>0.54655386899961933</v>
      </c>
      <c r="Z73" s="85">
        <f>midMarket(K73,L73) +AA73/10000</f>
        <v>1.1349999999999912E-2</v>
      </c>
      <c r="AA73">
        <f>IF(rightFromSymbol(A73)="C",MAX(0,$N$16-strikeFromSymbol(A73)),MAX(0,strikeFromSymbol(A73)-$N$16))*10000</f>
        <v>27.999999999999137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 t="s">
        <v>221</v>
      </c>
      <c r="B74" s="2">
        <v>-30</v>
      </c>
      <c r="C74" s="2">
        <v>6.1048500000000002E-3</v>
      </c>
      <c r="D74" s="2">
        <v>-11446.59</v>
      </c>
      <c r="E74" s="2">
        <v>370.45666664999999</v>
      </c>
      <c r="F74" s="28">
        <v>-332.89</v>
      </c>
      <c r="G74" s="2">
        <v>0</v>
      </c>
      <c r="H74" s="2">
        <v>6.6E-3</v>
      </c>
      <c r="I74" s="2">
        <v>5</v>
      </c>
      <c r="J74" s="2">
        <v>2</v>
      </c>
      <c r="K74" s="2">
        <v>5.7999999999999996E-3</v>
      </c>
      <c r="L74" s="2">
        <v>6.0000000000000001E-3</v>
      </c>
      <c r="M74" s="2">
        <v>43</v>
      </c>
      <c r="N74" s="2">
        <v>0.11945515792709926</v>
      </c>
      <c r="O74" s="2">
        <v>0.4540708734269423</v>
      </c>
      <c r="P74" s="2">
        <v>0</v>
      </c>
      <c r="Q74" s="33">
        <v>-1.0467177478192967E-3</v>
      </c>
      <c r="R74" s="2">
        <v>5.7366262838139028E-4</v>
      </c>
      <c r="S74" s="2">
        <v>1.5228999999999999</v>
      </c>
      <c r="T74" s="2">
        <v>19.272712341515984</v>
      </c>
      <c r="U74" s="2">
        <f t="shared" si="0"/>
        <v>-13.622126202808269</v>
      </c>
      <c r="V74" s="2">
        <v>1.5804</v>
      </c>
      <c r="W74" s="2">
        <f t="shared" si="1"/>
        <v>3.1401532434578903E-2</v>
      </c>
      <c r="X74">
        <f t="shared" si="5"/>
        <v>-578.18137024547946</v>
      </c>
      <c r="Y74">
        <f t="shared" si="2"/>
        <v>0.54310868614197483</v>
      </c>
      <c r="Z74" s="85">
        <f t="shared" ref="Z74:Z91" si="7">midMarket(K74,L74) +AA74/10000</f>
        <v>5.8999999999999999E-3</v>
      </c>
      <c r="AA74">
        <f>IF(rightFromSymbol(A74)="C",MAX(0,$N$16-strikeFromSymbol(A74)),MAX(0,strikeFromSymbol(A74)-$N$16))*10000</f>
        <v>0</v>
      </c>
      <c r="AB74" s="86">
        <f t="shared" si="6"/>
        <v>59</v>
      </c>
      <c r="AC74" s="49">
        <f t="shared" si="3"/>
        <v>1770</v>
      </c>
      <c r="AD74" s="48">
        <f t="shared" si="4"/>
        <v>11062.5</v>
      </c>
    </row>
    <row r="75" spans="1:33" x14ac:dyDescent="0.25">
      <c r="A75" s="2" t="s">
        <v>222</v>
      </c>
      <c r="B75" s="2">
        <v>-30</v>
      </c>
      <c r="C75" s="2">
        <v>5.6039000000000002E-3</v>
      </c>
      <c r="D75" s="2">
        <v>-10507.32</v>
      </c>
      <c r="E75" s="2">
        <v>372.54</v>
      </c>
      <c r="F75" s="28">
        <v>668.88</v>
      </c>
      <c r="G75" s="2">
        <v>0</v>
      </c>
      <c r="H75" s="2">
        <v>0</v>
      </c>
      <c r="I75" s="2">
        <v>0</v>
      </c>
      <c r="J75" s="2">
        <v>11</v>
      </c>
      <c r="K75" s="2">
        <v>5.4999999999999997E-3</v>
      </c>
      <c r="L75" s="2">
        <v>5.7000000000000002E-3</v>
      </c>
      <c r="M75" s="2">
        <v>33</v>
      </c>
      <c r="N75" s="2">
        <v>0.12140316365766068</v>
      </c>
      <c r="O75" s="2">
        <v>-0.4321058897028171</v>
      </c>
      <c r="P75" s="34">
        <v>0</v>
      </c>
      <c r="Q75" s="33">
        <v>-1.0553389289051104E-3</v>
      </c>
      <c r="R75" s="2">
        <v>5.7272279980979772E-4</v>
      </c>
      <c r="S75" s="2">
        <v>1.5228999999999999</v>
      </c>
      <c r="T75" s="2">
        <v>18.870174081859236</v>
      </c>
      <c r="U75" s="2">
        <f t="shared" si="0"/>
        <v>12.963176691084513</v>
      </c>
      <c r="V75" s="2">
        <v>1.5804</v>
      </c>
      <c r="W75" s="2">
        <f t="shared" si="1"/>
        <v>3.166016786715331E-2</v>
      </c>
      <c r="X75">
        <f t="shared" si="5"/>
        <v>-566.10522245577704</v>
      </c>
      <c r="Y75">
        <f t="shared" si="2"/>
        <v>0.55926295344548838</v>
      </c>
      <c r="Z75" s="85">
        <f t="shared" si="7"/>
        <v>5.5999999999999999E-3</v>
      </c>
      <c r="AA75">
        <f>IF(rightFromSymbol(A75)="C",MAX(0,$N$16-strikeFromSymbol(A75)),MAX(0,strikeFromSymbol(A75)-$N$16))*10000</f>
        <v>0</v>
      </c>
      <c r="AB75" s="86">
        <f t="shared" si="6"/>
        <v>56</v>
      </c>
      <c r="AC75" s="49">
        <f t="shared" si="3"/>
        <v>1680</v>
      </c>
      <c r="AD75" s="48">
        <f t="shared" si="4"/>
        <v>10500</v>
      </c>
    </row>
    <row r="76" spans="1:33" x14ac:dyDescent="0.25">
      <c r="A76" s="2" t="s">
        <v>223</v>
      </c>
      <c r="B76" s="2">
        <v>-30</v>
      </c>
      <c r="C76" s="2">
        <v>4.032E-3</v>
      </c>
      <c r="D76" s="2">
        <v>-7560</v>
      </c>
      <c r="E76" s="2">
        <v>241.29</v>
      </c>
      <c r="F76" s="28">
        <v>-321.3</v>
      </c>
      <c r="G76" s="2">
        <v>0</v>
      </c>
      <c r="H76" s="2">
        <v>3.8E-3</v>
      </c>
      <c r="I76" s="2">
        <v>1</v>
      </c>
      <c r="J76" s="2">
        <v>11</v>
      </c>
      <c r="K76" s="2">
        <v>3.7000000000000002E-3</v>
      </c>
      <c r="L76" s="2">
        <v>3.8999999999999998E-3</v>
      </c>
      <c r="M76" s="2">
        <v>5</v>
      </c>
      <c r="N76" s="2">
        <v>0.11859698479960201</v>
      </c>
      <c r="O76" s="2">
        <v>0.34197674425959196</v>
      </c>
      <c r="P76" s="2">
        <v>0</v>
      </c>
      <c r="Q76" s="33">
        <v>-9.6254762906592122E-4</v>
      </c>
      <c r="R76" s="2">
        <v>5.3040224473451187E-4</v>
      </c>
      <c r="S76" s="2">
        <v>1.5228999999999999</v>
      </c>
      <c r="T76" s="2">
        <v>18.385501650498441</v>
      </c>
      <c r="U76" s="2">
        <f t="shared" si="0"/>
        <v>-10.25930232778776</v>
      </c>
      <c r="V76" s="2">
        <v>1.5804</v>
      </c>
      <c r="W76" s="2">
        <f t="shared" si="1"/>
        <v>2.8876428871977635E-2</v>
      </c>
      <c r="X76">
        <f t="shared" si="5"/>
        <v>-551.56504951495322</v>
      </c>
      <c r="Y76">
        <f t="shared" si="2"/>
        <v>0.52353623380182612</v>
      </c>
      <c r="Z76" s="85">
        <f t="shared" si="7"/>
        <v>3.8E-3</v>
      </c>
      <c r="AA76">
        <f>IF(rightFromSymbol(A76)="C",MAX(0,$N$16-strikeFromSymbol(A76)),MAX(0,strikeFromSymbol(A76)-$N$16))*10000</f>
        <v>0</v>
      </c>
      <c r="AB76" s="86">
        <f t="shared" si="6"/>
        <v>38</v>
      </c>
      <c r="AC76" s="49">
        <f t="shared" si="3"/>
        <v>1140</v>
      </c>
      <c r="AD76" s="48">
        <f t="shared" si="4"/>
        <v>7125</v>
      </c>
    </row>
    <row r="77" spans="1:33" x14ac:dyDescent="0.25">
      <c r="A77" s="2" t="s">
        <v>224</v>
      </c>
      <c r="B77" s="2">
        <v>-50</v>
      </c>
      <c r="C77" s="2">
        <v>2.6026000000000001E-3</v>
      </c>
      <c r="D77" s="2">
        <v>-8133.2</v>
      </c>
      <c r="E77" s="2">
        <v>153.79</v>
      </c>
      <c r="F77" s="28">
        <v>-443.7</v>
      </c>
      <c r="G77" s="2">
        <v>0</v>
      </c>
      <c r="H77" s="2">
        <v>0</v>
      </c>
      <c r="I77" s="2">
        <v>0</v>
      </c>
      <c r="J77" s="2">
        <v>2</v>
      </c>
      <c r="K77" s="2">
        <v>2.3E-3</v>
      </c>
      <c r="L77" s="2">
        <v>2.5000000000000001E-3</v>
      </c>
      <c r="M77" s="2">
        <v>46</v>
      </c>
      <c r="N77" s="2">
        <v>0.11882864427518314</v>
      </c>
      <c r="O77" s="2">
        <v>0.24327432455789688</v>
      </c>
      <c r="P77" s="2">
        <v>0</v>
      </c>
      <c r="Q77" s="33">
        <v>-8.2195594801416963E-4</v>
      </c>
      <c r="R77" s="2">
        <v>4.5256178130439551E-4</v>
      </c>
      <c r="S77" s="2">
        <v>1.5228999999999999</v>
      </c>
      <c r="T77" s="2">
        <v>16.396886150684697</v>
      </c>
      <c r="U77" s="2">
        <f t="shared" si="0"/>
        <v>-12.163716227894843</v>
      </c>
      <c r="V77" s="2">
        <v>1.5804</v>
      </c>
      <c r="W77" s="2">
        <f t="shared" si="1"/>
        <v>4.1097797400708479E-2</v>
      </c>
      <c r="X77">
        <f t="shared" si="5"/>
        <v>-819.84430753423487</v>
      </c>
      <c r="Y77">
        <f t="shared" si="2"/>
        <v>0.50128783017734535</v>
      </c>
      <c r="Z77" s="85">
        <f t="shared" si="7"/>
        <v>2.4000000000000002E-3</v>
      </c>
      <c r="AA77">
        <f>IF(rightFromSymbol(A77)="C",MAX(0,$N$16-strikeFromSymbol(A77)),MAX(0,strikeFromSymbol(A77)-$N$16))*10000</f>
        <v>0</v>
      </c>
      <c r="AB77" s="86">
        <f t="shared" si="6"/>
        <v>24.000000000000004</v>
      </c>
      <c r="AC77" s="49">
        <f t="shared" si="3"/>
        <v>1200.0000000000002</v>
      </c>
      <c r="AD77" s="48">
        <f t="shared" si="4"/>
        <v>7500.0000000000018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IF(rightFromSymbol(A78)="C",MAX(0,$N$16-strikeFromSymbol(A78)),MAX(0,strikeFromSymbol(A78)-$N$16))*10000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IF(rightFromSymbol(A79)="C",MAX(0,$N$16-strikeFromSymbol(A79)),MAX(0,strikeFromSymbol(A79)-$N$16))*10000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IF(rightFromSymbol(A80)="C",MAX(0,$N$16-strikeFromSymbol(A80)),MAX(0,strikeFromSymbol(A80)-$N$16))*10000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IF(rightFromSymbol(A81)="C",MAX(0,$N$16-strikeFromSymbol(A81)),MAX(0,strikeFromSymbol(A81)-$N$16))*10000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IF(rightFromSymbol(A82)="C",MAX(0,$N$16-strikeFromSymbol(A82)),MAX(0,strikeFromSymbol(A82)-$N$16))*10000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IF(rightFromSymbol(A83)="C",MAX(0,$N$16-strikeFromSymbol(A83)),MAX(0,strikeFromSymbol(A83)-$N$16))*10000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IF(rightFromSymbol(A84)="C",MAX(0,$N$16-strikeFromSymbol(A84)),MAX(0,strikeFromSymbol(A84)-$N$16))*10000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IF(rightFromSymbol(A85)="C",MAX(0,$N$16-strikeFromSymbol(A85)),MAX(0,strikeFromSymbol(A85)-$N$16))*10000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IF(rightFromSymbol(A86)="C",MAX(0,$N$16-strikeFromSymbol(A86)),MAX(0,strikeFromSymbol(A86)-$N$16))*10000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IF(rightFromSymbol(A87)="C",MAX(0,$N$16-strikeFromSymbol(A87)),MAX(0,strikeFromSymbol(A87)-$N$16))*10000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IF(rightFromSymbol(A88)="C",MAX(0,$N$16-strikeFromSymbol(A88)),MAX(0,strikeFromSymbol(A88)-$N$16))*10000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IF(rightFromSymbol(A89)="C",MAX(0,$N$16-strikeFromSymbol(A89)),MAX(0,strikeFromSymbol(A89)-$N$16))*10000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IF(rightFromSymbol(A90)="C",MAX(0,$N$16-strikeFromSymbol(A90)),MAX(0,strikeFromSymbol(A90)-$N$16))*10000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IF(rightFromSymbol(A91)="C",MAX(0,$N$16-strikeFromSymbol(A91)),MAX(0,strikeFromSymbol(A91)-$N$16))*10000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23" t="s">
        <v>174</v>
      </c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</row>
    <row r="98" spans="1:13" x14ac:dyDescent="0.25">
      <c r="A98" s="117" t="s">
        <v>41</v>
      </c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18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A34:I34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33" t="s">
        <v>123</v>
      </c>
      <c r="AF1" s="133"/>
      <c r="AG1" s="133"/>
      <c r="AH1" s="133"/>
      <c r="AI1" s="133"/>
      <c r="AJ1" s="133"/>
      <c r="AK1" s="133"/>
    </row>
    <row r="4" spans="2:37" x14ac:dyDescent="0.25">
      <c r="B4" s="102" t="s">
        <v>13</v>
      </c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02"/>
      <c r="R4" s="103"/>
      <c r="S4" s="103"/>
      <c r="T4" s="128" t="s">
        <v>101</v>
      </c>
      <c r="U4" s="128"/>
      <c r="V4" s="128"/>
      <c r="W4" s="128"/>
      <c r="X4" s="128"/>
      <c r="Y4" s="128"/>
      <c r="Z4" s="128"/>
      <c r="AA4" s="128"/>
      <c r="AB4" s="128" t="s">
        <v>108</v>
      </c>
      <c r="AC4" s="128"/>
      <c r="AD4" s="128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3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64</v>
      </c>
    </row>
    <row r="11" spans="1:2" x14ac:dyDescent="0.25">
      <c r="A11" t="s">
        <v>204</v>
      </c>
      <c r="B11">
        <v>65</v>
      </c>
    </row>
    <row r="12" spans="1:2" x14ac:dyDescent="0.25">
      <c r="A12" t="s">
        <v>215</v>
      </c>
      <c r="B12">
        <v>16</v>
      </c>
    </row>
    <row r="13" spans="1:2" x14ac:dyDescent="0.25">
      <c r="A13" t="s">
        <v>216</v>
      </c>
      <c r="B13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1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228</v>
      </c>
    </row>
    <row r="2" spans="1:1" x14ac:dyDescent="0.25">
      <c r="A2" s="27" t="s">
        <v>229</v>
      </c>
    </row>
    <row r="3" spans="1:1" x14ac:dyDescent="0.25">
      <c r="A3" s="27" t="s">
        <v>230</v>
      </c>
    </row>
    <row r="4" spans="1:1" x14ac:dyDescent="0.25">
      <c r="A4" s="27" t="s">
        <v>231</v>
      </c>
    </row>
    <row r="5" spans="1:1" x14ac:dyDescent="0.25">
      <c r="A5" s="27" t="s">
        <v>232</v>
      </c>
    </row>
    <row r="6" spans="1:1" x14ac:dyDescent="0.25">
      <c r="A6" s="27" t="s">
        <v>233</v>
      </c>
    </row>
    <row r="7" spans="1:1" x14ac:dyDescent="0.25">
      <c r="A7" s="27" t="s">
        <v>234</v>
      </c>
    </row>
    <row r="8" spans="1:1" x14ac:dyDescent="0.25">
      <c r="A8" s="27" t="s">
        <v>235</v>
      </c>
    </row>
    <row r="9" spans="1:1" x14ac:dyDescent="0.25">
      <c r="A9" t="s">
        <v>236</v>
      </c>
    </row>
    <row r="10" spans="1:1" x14ac:dyDescent="0.25">
      <c r="A10" t="s">
        <v>237</v>
      </c>
    </row>
    <row r="11" spans="1:1" x14ac:dyDescent="0.25">
      <c r="A11" s="99" t="s">
        <v>238</v>
      </c>
    </row>
    <row r="12" spans="1:1" x14ac:dyDescent="0.25">
      <c r="A12" s="99" t="s">
        <v>239</v>
      </c>
    </row>
    <row r="13" spans="1:1" x14ac:dyDescent="0.25">
      <c r="A13" s="99" t="s">
        <v>240</v>
      </c>
    </row>
    <row r="14" spans="1:1" x14ac:dyDescent="0.25">
      <c r="A14" s="99" t="s">
        <v>241</v>
      </c>
    </row>
    <row r="15" spans="1:1" x14ac:dyDescent="0.25">
      <c r="A15" s="99" t="s">
        <v>242</v>
      </c>
    </row>
    <row r="16" spans="1:1" x14ac:dyDescent="0.25">
      <c r="A16" s="99" t="s">
        <v>243</v>
      </c>
    </row>
    <row r="17" spans="1:1" x14ac:dyDescent="0.25">
      <c r="A17" s="99" t="s">
        <v>244</v>
      </c>
    </row>
    <row r="18" spans="1:1" x14ac:dyDescent="0.25">
      <c r="A18" s="99" t="s">
        <v>245</v>
      </c>
    </row>
    <row r="19" spans="1:1" x14ac:dyDescent="0.25">
      <c r="A19" s="99" t="s">
        <v>246</v>
      </c>
    </row>
    <row r="20" spans="1:1" x14ac:dyDescent="0.25">
      <c r="A20" t="s">
        <v>247</v>
      </c>
    </row>
    <row r="21" spans="1:1" x14ac:dyDescent="0.25">
      <c r="A21" t="s">
        <v>248</v>
      </c>
    </row>
    <row r="22" spans="1:1" x14ac:dyDescent="0.25">
      <c r="A22" t="s">
        <v>249</v>
      </c>
    </row>
    <row r="23" spans="1:1" x14ac:dyDescent="0.25">
      <c r="A23" t="s">
        <v>250</v>
      </c>
    </row>
    <row r="24" spans="1:1" x14ac:dyDescent="0.25">
      <c r="A24" t="s">
        <v>251</v>
      </c>
    </row>
    <row r="25" spans="1:1" x14ac:dyDescent="0.25">
      <c r="A25" t="s">
        <v>252</v>
      </c>
    </row>
    <row r="26" spans="1:1" x14ac:dyDescent="0.25">
      <c r="A26" t="s">
        <v>253</v>
      </c>
    </row>
    <row r="27" spans="1:1" x14ac:dyDescent="0.25">
      <c r="A27" t="s">
        <v>252</v>
      </c>
    </row>
    <row r="28" spans="1:1" x14ac:dyDescent="0.25">
      <c r="A28" t="s">
        <v>254</v>
      </c>
    </row>
    <row r="29" spans="1:1" x14ac:dyDescent="0.25">
      <c r="A29" t="s">
        <v>255</v>
      </c>
    </row>
    <row r="30" spans="1:1" x14ac:dyDescent="0.25">
      <c r="A30" t="s">
        <v>256</v>
      </c>
    </row>
    <row r="31" spans="1:1" x14ac:dyDescent="0.25">
      <c r="A31" t="s">
        <v>257</v>
      </c>
    </row>
    <row r="32" spans="1:1" x14ac:dyDescent="0.25">
      <c r="A32" t="s">
        <v>258</v>
      </c>
    </row>
    <row r="33" spans="1:1" x14ac:dyDescent="0.25">
      <c r="A33" t="s">
        <v>257</v>
      </c>
    </row>
    <row r="34" spans="1:1" x14ac:dyDescent="0.25">
      <c r="A34" s="99" t="s">
        <v>259</v>
      </c>
    </row>
    <row r="35" spans="1:1" x14ac:dyDescent="0.25">
      <c r="A35" s="99" t="s">
        <v>260</v>
      </c>
    </row>
    <row r="36" spans="1:1" x14ac:dyDescent="0.25">
      <c r="A36" s="99" t="s">
        <v>261</v>
      </c>
    </row>
    <row r="37" spans="1:1" x14ac:dyDescent="0.25">
      <c r="A37" s="100" t="s">
        <v>262</v>
      </c>
    </row>
    <row r="38" spans="1:1" x14ac:dyDescent="0.25">
      <c r="A38" s="100" t="s">
        <v>263</v>
      </c>
    </row>
    <row r="39" spans="1:1" x14ac:dyDescent="0.25">
      <c r="A39" s="99" t="s">
        <v>264</v>
      </c>
    </row>
    <row r="40" spans="1:1" x14ac:dyDescent="0.25">
      <c r="A40" s="100" t="s">
        <v>265</v>
      </c>
    </row>
    <row r="41" spans="1:1" x14ac:dyDescent="0.25">
      <c r="A41" s="100" t="s">
        <v>266</v>
      </c>
    </row>
    <row r="42" spans="1:1" x14ac:dyDescent="0.25">
      <c r="A42" s="100" t="s">
        <v>267</v>
      </c>
    </row>
    <row r="43" spans="1:1" x14ac:dyDescent="0.25">
      <c r="A43" s="100" t="s">
        <v>268</v>
      </c>
    </row>
    <row r="44" spans="1:1" x14ac:dyDescent="0.25">
      <c r="A44" s="27" t="s">
        <v>269</v>
      </c>
    </row>
    <row r="45" spans="1:1" x14ac:dyDescent="0.25">
      <c r="A45" s="100" t="s">
        <v>270</v>
      </c>
    </row>
    <row r="46" spans="1:1" x14ac:dyDescent="0.25">
      <c r="A46" s="99" t="s">
        <v>271</v>
      </c>
    </row>
    <row r="47" spans="1:1" x14ac:dyDescent="0.25">
      <c r="A47" s="100" t="s">
        <v>272</v>
      </c>
    </row>
    <row r="48" spans="1:1" x14ac:dyDescent="0.25">
      <c r="A48" s="99" t="s">
        <v>273</v>
      </c>
    </row>
    <row r="49" spans="1:1" x14ac:dyDescent="0.25">
      <c r="A49" s="99" t="s">
        <v>274</v>
      </c>
    </row>
    <row r="50" spans="1:1" x14ac:dyDescent="0.25">
      <c r="A50" s="100" t="s">
        <v>275</v>
      </c>
    </row>
    <row r="51" spans="1:1" x14ac:dyDescent="0.25">
      <c r="A51" s="100" t="s">
        <v>276</v>
      </c>
    </row>
    <row r="52" spans="1:1" x14ac:dyDescent="0.25">
      <c r="A52" s="27" t="s">
        <v>277</v>
      </c>
    </row>
    <row r="53" spans="1:1" x14ac:dyDescent="0.25">
      <c r="A53" s="100" t="s">
        <v>278</v>
      </c>
    </row>
    <row r="54" spans="1:1" x14ac:dyDescent="0.25">
      <c r="A54" s="99" t="s">
        <v>279</v>
      </c>
    </row>
    <row r="55" spans="1:1" x14ac:dyDescent="0.25">
      <c r="A55" s="100" t="s">
        <v>280</v>
      </c>
    </row>
    <row r="56" spans="1:1" x14ac:dyDescent="0.25">
      <c r="A56" s="99" t="s">
        <v>281</v>
      </c>
    </row>
    <row r="57" spans="1:1" x14ac:dyDescent="0.25">
      <c r="A57" s="99" t="s">
        <v>282</v>
      </c>
    </row>
    <row r="58" spans="1:1" x14ac:dyDescent="0.25">
      <c r="A58" s="99" t="s">
        <v>283</v>
      </c>
    </row>
    <row r="59" spans="1:1" x14ac:dyDescent="0.25">
      <c r="A59" s="99" t="s">
        <v>284</v>
      </c>
    </row>
    <row r="60" spans="1:1" x14ac:dyDescent="0.25">
      <c r="A60" s="99" t="s">
        <v>285</v>
      </c>
    </row>
    <row r="61" spans="1:1" x14ac:dyDescent="0.25">
      <c r="A61" s="100" t="s">
        <v>286</v>
      </c>
    </row>
    <row r="62" spans="1:1" x14ac:dyDescent="0.25">
      <c r="A62" s="100" t="s">
        <v>287</v>
      </c>
    </row>
    <row r="63" spans="1:1" x14ac:dyDescent="0.25">
      <c r="A63" s="99" t="s">
        <v>288</v>
      </c>
    </row>
    <row r="64" spans="1:1" x14ac:dyDescent="0.25">
      <c r="A64" s="99" t="s">
        <v>289</v>
      </c>
    </row>
    <row r="65" spans="1:1" x14ac:dyDescent="0.25">
      <c r="A65" s="99" t="s">
        <v>290</v>
      </c>
    </row>
    <row r="66" spans="1:1" x14ac:dyDescent="0.25">
      <c r="A66" s="99" t="s">
        <v>291</v>
      </c>
    </row>
    <row r="67" spans="1:1" x14ac:dyDescent="0.25">
      <c r="A67" s="100" t="s">
        <v>292</v>
      </c>
    </row>
    <row r="68" spans="1:1" x14ac:dyDescent="0.25">
      <c r="A68" s="100" t="s">
        <v>293</v>
      </c>
    </row>
    <row r="69" spans="1:1" x14ac:dyDescent="0.25">
      <c r="A69" s="99" t="s">
        <v>294</v>
      </c>
    </row>
    <row r="70" spans="1:1" x14ac:dyDescent="0.25">
      <c r="A70" s="99" t="s">
        <v>295</v>
      </c>
    </row>
    <row r="71" spans="1:1" x14ac:dyDescent="0.25">
      <c r="A71" s="99" t="s">
        <v>296</v>
      </c>
    </row>
    <row r="72" spans="1:1" x14ac:dyDescent="0.25">
      <c r="A72" s="99" t="s">
        <v>297</v>
      </c>
    </row>
    <row r="73" spans="1:1" x14ac:dyDescent="0.25">
      <c r="A73" s="100" t="s">
        <v>298</v>
      </c>
    </row>
    <row r="74" spans="1:1" x14ac:dyDescent="0.25">
      <c r="A74" s="100" t="s">
        <v>299</v>
      </c>
    </row>
    <row r="75" spans="1:1" x14ac:dyDescent="0.25">
      <c r="A75" s="99" t="s">
        <v>300</v>
      </c>
    </row>
    <row r="76" spans="1:1" x14ac:dyDescent="0.25">
      <c r="A76" s="99" t="s">
        <v>301</v>
      </c>
    </row>
    <row r="77" spans="1:1" x14ac:dyDescent="0.25">
      <c r="A77" s="99" t="s">
        <v>302</v>
      </c>
    </row>
    <row r="78" spans="1:1" x14ac:dyDescent="0.25">
      <c r="A78" s="99" t="s">
        <v>303</v>
      </c>
    </row>
    <row r="79" spans="1:1" x14ac:dyDescent="0.25">
      <c r="A79" s="100" t="s">
        <v>304</v>
      </c>
    </row>
    <row r="80" spans="1:1" x14ac:dyDescent="0.25">
      <c r="A80" s="100" t="s">
        <v>305</v>
      </c>
    </row>
    <row r="81" spans="1:1" x14ac:dyDescent="0.25">
      <c r="A81" s="99" t="s">
        <v>306</v>
      </c>
    </row>
    <row r="82" spans="1:1" x14ac:dyDescent="0.25">
      <c r="A82" s="99" t="s">
        <v>307</v>
      </c>
    </row>
    <row r="83" spans="1:1" x14ac:dyDescent="0.25">
      <c r="A83" s="99" t="s">
        <v>308</v>
      </c>
    </row>
    <row r="84" spans="1:1" x14ac:dyDescent="0.25">
      <c r="A84" s="99" t="s">
        <v>309</v>
      </c>
    </row>
    <row r="85" spans="1:1" x14ac:dyDescent="0.25">
      <c r="A85" s="100" t="s">
        <v>310</v>
      </c>
    </row>
    <row r="86" spans="1:1" x14ac:dyDescent="0.25">
      <c r="A86" s="100" t="s">
        <v>311</v>
      </c>
    </row>
    <row r="87" spans="1:1" x14ac:dyDescent="0.25">
      <c r="A87" s="99" t="s">
        <v>312</v>
      </c>
    </row>
    <row r="88" spans="1:1" x14ac:dyDescent="0.25">
      <c r="A88" s="99" t="s">
        <v>313</v>
      </c>
    </row>
    <row r="89" spans="1:1" x14ac:dyDescent="0.25">
      <c r="A89" s="99" t="s">
        <v>314</v>
      </c>
    </row>
    <row r="90" spans="1:1" x14ac:dyDescent="0.25">
      <c r="A90" s="99" t="s">
        <v>315</v>
      </c>
    </row>
    <row r="91" spans="1:1" x14ac:dyDescent="0.25">
      <c r="A91" s="100" t="s">
        <v>316</v>
      </c>
    </row>
    <row r="92" spans="1:1" x14ac:dyDescent="0.25">
      <c r="A92" s="100" t="s">
        <v>317</v>
      </c>
    </row>
    <row r="93" spans="1:1" x14ac:dyDescent="0.25">
      <c r="A93" s="99" t="s">
        <v>318</v>
      </c>
    </row>
    <row r="94" spans="1:1" x14ac:dyDescent="0.25">
      <c r="A94" s="99" t="s">
        <v>319</v>
      </c>
    </row>
    <row r="95" spans="1:1" x14ac:dyDescent="0.25">
      <c r="A95" s="99" t="s">
        <v>320</v>
      </c>
    </row>
    <row r="96" spans="1:1" x14ac:dyDescent="0.25">
      <c r="A96" s="99" t="s">
        <v>321</v>
      </c>
    </row>
    <row r="97" spans="1:1" x14ac:dyDescent="0.25">
      <c r="A97" s="100" t="s">
        <v>322</v>
      </c>
    </row>
    <row r="98" spans="1:1" x14ac:dyDescent="0.25">
      <c r="A98" s="100" t="s">
        <v>323</v>
      </c>
    </row>
    <row r="99" spans="1:1" x14ac:dyDescent="0.25">
      <c r="A99" s="99" t="s">
        <v>324</v>
      </c>
    </row>
    <row r="100" spans="1:1" x14ac:dyDescent="0.25">
      <c r="A100" s="99" t="s">
        <v>325</v>
      </c>
    </row>
    <row r="101" spans="1:1" x14ac:dyDescent="0.25">
      <c r="A101" s="99" t="s">
        <v>326</v>
      </c>
    </row>
    <row r="102" spans="1:1" x14ac:dyDescent="0.25">
      <c r="A102" s="99" t="s">
        <v>327</v>
      </c>
    </row>
    <row r="103" spans="1:1" x14ac:dyDescent="0.25">
      <c r="A103" s="100" t="s">
        <v>328</v>
      </c>
    </row>
    <row r="104" spans="1:1" x14ac:dyDescent="0.25">
      <c r="A104" s="100" t="s">
        <v>329</v>
      </c>
    </row>
    <row r="105" spans="1:1" x14ac:dyDescent="0.25">
      <c r="A105" s="99" t="s">
        <v>330</v>
      </c>
    </row>
    <row r="106" spans="1:1" x14ac:dyDescent="0.25">
      <c r="A106" s="99" t="s">
        <v>331</v>
      </c>
    </row>
    <row r="107" spans="1:1" x14ac:dyDescent="0.25">
      <c r="A107" s="99" t="s">
        <v>332</v>
      </c>
    </row>
    <row r="108" spans="1:1" x14ac:dyDescent="0.25">
      <c r="A108" s="99" t="s">
        <v>333</v>
      </c>
    </row>
    <row r="109" spans="1:1" x14ac:dyDescent="0.25">
      <c r="A109" s="100" t="s">
        <v>334</v>
      </c>
    </row>
    <row r="110" spans="1:1" x14ac:dyDescent="0.25">
      <c r="A110" s="100" t="s">
        <v>335</v>
      </c>
    </row>
    <row r="111" spans="1:1" x14ac:dyDescent="0.25">
      <c r="A111" s="99" t="s">
        <v>336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02" t="s">
        <v>57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34" t="s">
        <v>26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5"/>
      <c r="M2" s="136" t="s">
        <v>27</v>
      </c>
      <c r="N2" s="136"/>
      <c r="O2" s="136"/>
      <c r="P2" s="136"/>
      <c r="Q2" s="136"/>
      <c r="R2" s="136" t="s">
        <v>28</v>
      </c>
      <c r="S2" s="136"/>
      <c r="T2" s="136"/>
      <c r="U2" s="136"/>
      <c r="V2" s="136"/>
      <c r="W2" s="136"/>
      <c r="X2" s="136"/>
      <c r="Y2" s="117" t="s">
        <v>41</v>
      </c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37"/>
      <c r="AM2" s="137"/>
      <c r="AN2" s="137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8823</v>
      </c>
      <c r="S4" s="2" t="s">
        <v>225</v>
      </c>
      <c r="T4" s="2">
        <v>0</v>
      </c>
      <c r="U4" s="2">
        <v>39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8823</v>
      </c>
      <c r="S5" s="2" t="s">
        <v>225</v>
      </c>
      <c r="T5" s="2">
        <v>0</v>
      </c>
      <c r="U5" s="2">
        <v>39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8823</v>
      </c>
      <c r="S6" s="2" t="s">
        <v>192</v>
      </c>
      <c r="T6" s="2">
        <v>0</v>
      </c>
      <c r="U6" s="2">
        <v>39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8824</v>
      </c>
      <c r="S7" s="2" t="s">
        <v>225</v>
      </c>
      <c r="T7" s="2">
        <v>0</v>
      </c>
      <c r="U7" s="2">
        <v>-39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8824</v>
      </c>
      <c r="S8" s="2" t="s">
        <v>225</v>
      </c>
      <c r="T8" s="2">
        <v>0</v>
      </c>
      <c r="U8" s="2">
        <v>-39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8824</v>
      </c>
      <c r="S9" s="2" t="s">
        <v>192</v>
      </c>
      <c r="T9" s="2">
        <v>0</v>
      </c>
      <c r="U9" s="2">
        <v>39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2015-02-10T13:13:55Z</dcterms:modified>
</cp:coreProperties>
</file>