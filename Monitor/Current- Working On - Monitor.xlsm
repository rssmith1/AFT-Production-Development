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91" i="15"/>
  <c r="Y91" i="15" s="1"/>
  <c r="W91" i="15"/>
  <c r="U91" i="15"/>
  <c r="X90" i="15"/>
  <c r="Y90" i="15" s="1"/>
  <c r="W90" i="15"/>
  <c r="U90" i="15"/>
  <c r="X89" i="15"/>
  <c r="Y89" i="15" s="1"/>
  <c r="W89" i="15"/>
  <c r="U89" i="15"/>
  <c r="X88" i="15"/>
  <c r="Y88" i="15" s="1"/>
  <c r="W88" i="15"/>
  <c r="U88" i="15"/>
  <c r="X87" i="15"/>
  <c r="Y87" i="15" s="1"/>
  <c r="W87" i="15"/>
  <c r="U87" i="15"/>
  <c r="X86" i="15"/>
  <c r="Y86" i="15" s="1"/>
  <c r="W86" i="15"/>
  <c r="U86" i="15"/>
  <c r="X85" i="15"/>
  <c r="Y85" i="15" s="1"/>
  <c r="W85" i="15"/>
  <c r="U85" i="15"/>
  <c r="X84" i="15"/>
  <c r="Y84" i="15" s="1"/>
  <c r="W84" i="15"/>
  <c r="U84" i="15"/>
  <c r="X83" i="15"/>
  <c r="Y83" i="15" s="1"/>
  <c r="W83" i="15"/>
  <c r="U83" i="15"/>
  <c r="X82" i="15"/>
  <c r="Y82" i="15" s="1"/>
  <c r="W82" i="15"/>
  <c r="U82" i="15"/>
  <c r="X81" i="15"/>
  <c r="W81" i="15"/>
  <c r="U81" i="15"/>
  <c r="X80" i="15"/>
  <c r="W80" i="15"/>
  <c r="U80" i="15"/>
  <c r="X79" i="15"/>
  <c r="W79" i="15"/>
  <c r="U79" i="15"/>
  <c r="X78" i="15"/>
  <c r="W78" i="15"/>
  <c r="U78" i="15"/>
  <c r="X77" i="15"/>
  <c r="W77" i="15"/>
  <c r="U77" i="15"/>
  <c r="X76" i="15"/>
  <c r="W76" i="15"/>
  <c r="U76" i="15"/>
  <c r="X75" i="15"/>
  <c r="W75" i="15"/>
  <c r="U75" i="15"/>
  <c r="X74" i="15"/>
  <c r="W74" i="15"/>
  <c r="U74" i="15"/>
  <c r="X73" i="15"/>
  <c r="W73" i="15"/>
  <c r="U73" i="15"/>
  <c r="X72" i="15"/>
  <c r="W72" i="15"/>
  <c r="U72" i="15"/>
  <c r="X71" i="15"/>
  <c r="W71" i="15"/>
  <c r="U71" i="15"/>
  <c r="AE37" i="13"/>
  <c r="AE33" i="13"/>
  <c r="AE25" i="13"/>
  <c r="AE119" i="13"/>
  <c r="AE70" i="13"/>
  <c r="AE68" i="13"/>
  <c r="AE101" i="13"/>
  <c r="AE105" i="13"/>
  <c r="AE123" i="13"/>
  <c r="AE91" i="13"/>
  <c r="AE40" i="13"/>
  <c r="AE98" i="13"/>
  <c r="AE20" i="13"/>
  <c r="AE104" i="13"/>
  <c r="AE107" i="13"/>
  <c r="AE92" i="13"/>
  <c r="AE111" i="13"/>
  <c r="AE116" i="13"/>
  <c r="AE23" i="13"/>
  <c r="AE35" i="13"/>
  <c r="AE46" i="13"/>
  <c r="AE14" i="13"/>
  <c r="AE51" i="13"/>
  <c r="AE22" i="13"/>
  <c r="AE28" i="13"/>
  <c r="AE63" i="13"/>
  <c r="AE24" i="13"/>
  <c r="AE78" i="13"/>
  <c r="AE118" i="13"/>
  <c r="AE99" i="13"/>
  <c r="AE39" i="13"/>
  <c r="AE11" i="13"/>
  <c r="AE71" i="13"/>
  <c r="AE19" i="13"/>
  <c r="AE12" i="13"/>
  <c r="AE95" i="13"/>
  <c r="AE121" i="13"/>
  <c r="AE62" i="13"/>
  <c r="AE86" i="13"/>
  <c r="AE13" i="13"/>
  <c r="AE57" i="13"/>
  <c r="AE110" i="13"/>
  <c r="AE89" i="13"/>
  <c r="AE64" i="13"/>
  <c r="AE102" i="13"/>
  <c r="AE87" i="13"/>
  <c r="AE124" i="13"/>
  <c r="AE30" i="13"/>
  <c r="AE82" i="13"/>
  <c r="AE117" i="13"/>
  <c r="AE54" i="13"/>
  <c r="AE10" i="13"/>
  <c r="AE42" i="13"/>
  <c r="AE100" i="13"/>
  <c r="AE15" i="13"/>
  <c r="AE18" i="13"/>
  <c r="AE93" i="13"/>
  <c r="AE77" i="13"/>
  <c r="AE94" i="13"/>
  <c r="AE125" i="13"/>
  <c r="AE120" i="13"/>
  <c r="AE7" i="13"/>
  <c r="AE69" i="13"/>
  <c r="AE108" i="13"/>
  <c r="AE75" i="13"/>
  <c r="AE72" i="13"/>
  <c r="AE81" i="13"/>
  <c r="AE53" i="13"/>
  <c r="AE6" i="13"/>
  <c r="AE31" i="13"/>
  <c r="AE67" i="13"/>
  <c r="AE38" i="13"/>
  <c r="AE58" i="13"/>
  <c r="AE43" i="13"/>
  <c r="AE85" i="13"/>
  <c r="AE103" i="13"/>
  <c r="AE79" i="13"/>
  <c r="AE65" i="13"/>
  <c r="AE48" i="13"/>
  <c r="AE73" i="13"/>
  <c r="AE41" i="13"/>
  <c r="AE50" i="13"/>
  <c r="AE74" i="13"/>
  <c r="AE97" i="13"/>
  <c r="AE45" i="13"/>
  <c r="AE80" i="13"/>
  <c r="AE32" i="13"/>
  <c r="AE47" i="13"/>
  <c r="AE8" i="13"/>
  <c r="AE34" i="13"/>
  <c r="AE83" i="13"/>
  <c r="AE44" i="13"/>
  <c r="AE61" i="13"/>
  <c r="AE88" i="13"/>
  <c r="AE9" i="13"/>
  <c r="AE113" i="13"/>
  <c r="AE16" i="13"/>
  <c r="AE27" i="13"/>
  <c r="AE55" i="13"/>
  <c r="AE122" i="13"/>
  <c r="AE84" i="13"/>
  <c r="AE114" i="13"/>
  <c r="AE56" i="13"/>
  <c r="AE76" i="13"/>
  <c r="AE21" i="13"/>
  <c r="AE66" i="13"/>
  <c r="AE60" i="13"/>
  <c r="AE49" i="13"/>
  <c r="AE90" i="13"/>
  <c r="AE36" i="13"/>
  <c r="AE17" i="13"/>
  <c r="AE96" i="13"/>
  <c r="AE109" i="13"/>
  <c r="AE26" i="13"/>
  <c r="AE29" i="13"/>
  <c r="AE52" i="13"/>
  <c r="AE106" i="13"/>
  <c r="AE115" i="13"/>
  <c r="AE112" i="13"/>
  <c r="AE59" i="13"/>
  <c r="D64" i="15"/>
  <c r="H64" i="15"/>
  <c r="B64" i="15"/>
  <c r="F64" i="15"/>
  <c r="AA86" i="15"/>
  <c r="AA72" i="15"/>
  <c r="AA81" i="15"/>
  <c r="AA75" i="15"/>
  <c r="AA80" i="15"/>
  <c r="AA79" i="15"/>
  <c r="AA85" i="15"/>
  <c r="AA84" i="15"/>
  <c r="AA88" i="15"/>
  <c r="AA90" i="15"/>
  <c r="AA71" i="15"/>
  <c r="AA77" i="15"/>
  <c r="AA91" i="15"/>
  <c r="AA83" i="15"/>
  <c r="AA82" i="15"/>
  <c r="AA78" i="15"/>
  <c r="AA89" i="15"/>
  <c r="AA87" i="15"/>
  <c r="AA76" i="15"/>
  <c r="AA74" i="15"/>
  <c r="AA73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73" i="15"/>
  <c r="Y80" i="15"/>
  <c r="Y71" i="15"/>
  <c r="Y77" i="15"/>
  <c r="Y72" i="15"/>
  <c r="Y75" i="15"/>
  <c r="Y81" i="15"/>
  <c r="Y79" i="15"/>
  <c r="Y76" i="15"/>
  <c r="Y74" i="15"/>
  <c r="Y78" i="15"/>
  <c r="S37" i="15"/>
  <c r="T37" i="15" s="1"/>
  <c r="Q37" i="15"/>
  <c r="R37" i="15"/>
  <c r="Z80" i="15"/>
  <c r="Z71" i="15"/>
  <c r="Z79" i="15"/>
  <c r="Z90" i="15"/>
  <c r="Z83" i="15"/>
  <c r="Z85" i="15"/>
  <c r="Z75" i="15"/>
  <c r="Z84" i="15"/>
  <c r="Z88" i="15"/>
  <c r="Z76" i="15"/>
  <c r="Z81" i="15"/>
  <c r="Z91" i="15"/>
  <c r="Z82" i="15"/>
  <c r="Z74" i="15"/>
  <c r="Z77" i="15"/>
  <c r="Z78" i="15"/>
  <c r="Z89" i="15"/>
  <c r="Z87" i="15"/>
  <c r="Z72" i="15"/>
  <c r="Z86" i="15"/>
  <c r="Z73" i="15"/>
  <c r="AB82" i="15" l="1"/>
  <c r="AC82" i="15" s="1"/>
  <c r="AD82" i="15" s="1"/>
  <c r="AB91" i="15"/>
  <c r="AC91" i="15" s="1"/>
  <c r="AD91" i="15" s="1"/>
  <c r="AB87" i="15"/>
  <c r="AC87" i="15" s="1"/>
  <c r="AD87" i="15" s="1"/>
  <c r="AB81" i="15"/>
  <c r="AC81" i="15" s="1"/>
  <c r="AD81" i="15" s="1"/>
  <c r="AB76" i="15"/>
  <c r="AC76" i="15" s="1"/>
  <c r="AD76" i="15" s="1"/>
  <c r="AB90" i="15"/>
  <c r="AC90" i="15" s="1"/>
  <c r="AD90" i="15" s="1"/>
  <c r="AB88" i="15"/>
  <c r="AC88" i="15" s="1"/>
  <c r="AD88" i="15" s="1"/>
  <c r="AB71" i="15"/>
  <c r="AC71" i="15" s="1"/>
  <c r="AD71" i="15" s="1"/>
  <c r="AB83" i="15"/>
  <c r="AC83" i="15" s="1"/>
  <c r="AD83" i="15" s="1"/>
  <c r="AB89" i="15"/>
  <c r="AC89" i="15" s="1"/>
  <c r="AD89" i="15" s="1"/>
  <c r="AB74" i="15"/>
  <c r="AC74" i="15" s="1"/>
  <c r="AD74" i="15" s="1"/>
  <c r="AB72" i="15"/>
  <c r="AC72" i="15" s="1"/>
  <c r="AD72" i="15" s="1"/>
  <c r="AB86" i="15"/>
  <c r="AC86" i="15" s="1"/>
  <c r="AD86" i="15" s="1"/>
  <c r="AB85" i="15"/>
  <c r="AC85" i="15" s="1"/>
  <c r="AD85" i="15" s="1"/>
  <c r="AB84" i="15"/>
  <c r="AC84" i="15" s="1"/>
  <c r="AD84" i="15" s="1"/>
  <c r="AB77" i="15"/>
  <c r="AC77" i="15" s="1"/>
  <c r="AD77" i="15" s="1"/>
  <c r="AB75" i="15"/>
  <c r="AC75" i="15" s="1"/>
  <c r="AD75" i="15" s="1"/>
  <c r="AB80" i="15"/>
  <c r="AC80" i="15" s="1"/>
  <c r="AD80" i="15" s="1"/>
  <c r="AB78" i="15"/>
  <c r="AC78" i="15" s="1"/>
  <c r="AD78" i="15" s="1"/>
  <c r="AB79" i="15"/>
  <c r="AC79" i="15" s="1"/>
  <c r="AD79" i="15" s="1"/>
  <c r="AB73" i="15"/>
  <c r="AC73" i="15" s="1"/>
  <c r="AD73" i="15" s="1"/>
  <c r="AF4" i="13"/>
  <c r="AG69" i="15" l="1"/>
  <c r="W37" i="15" s="1"/>
  <c r="V37" i="15" s="1"/>
  <c r="R38" i="15"/>
  <c r="S38" i="15"/>
  <c r="R39" i="15" l="1"/>
  <c r="S41" i="15" s="1"/>
  <c r="S39" i="15"/>
  <c r="S42" i="15" s="1"/>
  <c r="R42" i="15"/>
  <c r="R41" i="15"/>
</calcChain>
</file>

<file path=xl/sharedStrings.xml><?xml version="1.0" encoding="utf-8"?>
<sst xmlns="http://schemas.openxmlformats.org/spreadsheetml/2006/main" count="1191" uniqueCount="225">
  <si>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</si>
  <si>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</si>
  <si>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</si>
  <si>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</si>
  <si>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</si>
  <si>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</si>
  <si>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</si>
  <si>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</si>
  <si>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</si>
  <si>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</si>
  <si>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</si>
  <si>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</si>
  <si>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</si>
  <si>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</si>
  <si>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</si>
  <si>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</si>
  <si>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</si>
  <si>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</si>
  <si>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</si>
  <si>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</si>
  <si>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</si>
  <si>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</si>
  <si>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</si>
  <si>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</si>
  <si>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</si>
  <si>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</si>
  <si>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</si>
  <si>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</si>
  <si>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</si>
  <si>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</si>
  <si>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</si>
  <si>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</si>
  <si>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</si>
  <si>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</si>
  <si>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</si>
  <si>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</si>
  <si>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</si>
  <si>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</si>
  <si>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</si>
  <si>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</si>
  <si>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</si>
  <si>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</si>
  <si>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</si>
  <si>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</si>
  <si>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</si>
  <si>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</si>
  <si>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</si>
  <si>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</si>
  <si>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</si>
  <si>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</si>
  <si>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</si>
  <si>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</si>
  <si>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</si>
  <si>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</si>
  <si>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</si>
  <si>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</si>
  <si>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</si>
  <si>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</si>
  <si>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</si>
  <si>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</si>
  <si>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</si>
  <si>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</si>
  <si>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</si>
  <si>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</si>
  <si>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</si>
  <si>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</si>
  <si>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</si>
  <si>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</si>
  <si>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</si>
  <si>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</si>
  <si>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</si>
  <si>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</si>
  <si>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</si>
  <si>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</si>
  <si>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</si>
  <si>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</si>
  <si>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</si>
  <si>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</si>
  <si>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</si>
  <si>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</si>
  <si>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</si>
  <si>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</si>
  <si>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</si>
  <si>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</si>
  <si>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</si>
  <si>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</si>
  <si>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</si>
  <si>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</si>
  <si>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</si>
  <si>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</si>
  <si>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</si>
  <si>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</si>
  <si>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</si>
  <si>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</si>
  <si>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</si>
  <si>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</si>
  <si>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</si>
  <si>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</si>
  <si>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</si>
  <si>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</si>
  <si>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</si>
  <si>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</si>
  <si>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</si>
  <si>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</si>
  <si>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</si>
  <si>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</si>
  <si>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</si>
  <si>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</si>
  <si>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</si>
  <si>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</si>
  <si>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</si>
  <si>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</si>
  <si>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</si>
  <si>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</si>
  <si>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</si>
  <si>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</si>
  <si>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</si>
  <si>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</si>
  <si>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</si>
  <si>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</si>
  <si>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</si>
  <si>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</si>
  <si>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</si>
  <si>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</si>
  <si>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</si>
  <si>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</si>
  <si>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</si>
  <si>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</si>
  <si>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</si>
  <si>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</si>
  <si>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</si>
  <si>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</si>
  <si>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</si>
  <si>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</si>
  <si>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</si>
  <si>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</si>
  <si>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</si>
  <si>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</si>
  <si>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</si>
  <si>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</si>
  <si>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</si>
  <si>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</si>
  <si>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</si>
  <si>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</si>
  <si>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</si>
  <si>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</si>
  <si>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</si>
  <si>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</si>
  <si>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</si>
  <si>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</si>
  <si>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</si>
  <si>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</si>
  <si>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</si>
  <si>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</si>
  <si>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</si>
  <si>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</si>
  <si>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</si>
  <si>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</si>
  <si>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</si>
  <si>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</si>
  <si>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</si>
  <si>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</si>
  <si>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</si>
  <si>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</si>
  <si>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</si>
  <si>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</si>
  <si>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</si>
  <si>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</si>
  <si>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</si>
  <si>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</si>
  <si>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</si>
  <si>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</si>
  <si>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</si>
  <si>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</si>
  <si>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</si>
  <si>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</si>
  <si>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</si>
  <si>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</si>
  <si>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</si>
  <si>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</si>
  <si>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</si>
  <si>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</si>
  <si>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</si>
  <si>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</si>
  <si>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</si>
  <si>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</si>
  <si>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</si>
  <si>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</si>
  <si>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</si>
  <si>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</si>
  <si>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</si>
  <si>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</si>
  <si>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PreSubmitted</t>
  </si>
  <si>
    <t>SELL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</si>
  <si>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</si>
  <si>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</si>
  <si>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</si>
  <si>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</si>
  <si>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</si>
  <si>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</si>
  <si>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</si>
  <si>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</si>
  <si>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</si>
  <si>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</si>
  <si>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</si>
  <si>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</si>
  <si>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</si>
  <si>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</si>
  <si>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</si>
  <si>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</si>
  <si>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</si>
  <si>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</si>
  <si>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</si>
  <si>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</si>
  <si>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</si>
  <si>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</si>
  <si>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Not Subscribed</t>
  </si>
  <si>
    <t>TWS Control NOT connected</t>
  </si>
  <si>
    <t>Not Ready</t>
  </si>
  <si>
    <t>Distance to Strike</t>
  </si>
  <si>
    <t>Distance to Trigger</t>
  </si>
  <si>
    <t>Diatance to Strike</t>
  </si>
  <si>
    <t>2015-2-10 15:27:3.435: Main - Initialize - initializing...</t>
  </si>
  <si>
    <t>2015-2-10 15:28:3.689: RTWSControl - errMsg - got error message 508:Bad messagewith id -1</t>
  </si>
  <si>
    <t>2015-2-10 15:28:3.691: RTWSControl - errMsg - Got Error_x000D_id: -1_x000D_errorCode: 508_x000D_errorMsg: Bad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</si>
</sst>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6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6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6" fillId="4" borderId="3" xfId="0" applyFont="1" applyFill="1" applyBorder="1" applyAlignment="1" applyProtection="1">
      <alignment horizontal="center" wrapText="1"/>
      <protection locked="0"/>
    </xf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0" xfId="0" applyFont="1" applyFill="1" applyBorder="1" applyAlignment="1">
      <alignment horizontal="center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13</xdr:row>
          <xdr:rowOff>19050</xdr:rowOff>
        </xdr:from>
        <xdr:to>
          <xdr:col>3</xdr:col>
          <xdr:colOff>257175</xdr:colOff>
          <xdr:row>14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33"/>
  <sheetViews>
    <sheetView tabSelected="1" zoomScale="65" zoomScaleNormal="65" workbookViewId="0">
      <selection activeCell="H25" sqref="H25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6" x14ac:dyDescent="0.25">
      <c r="A6" s="99" t="s">
        <v>124</v>
      </c>
      <c r="B6" s="99"/>
      <c r="C6" s="99"/>
      <c r="D6" s="99"/>
      <c r="E6" s="99" t="s">
        <v>125</v>
      </c>
      <c r="F6" s="99"/>
      <c r="G6" s="99" t="s">
        <v>126</v>
      </c>
      <c r="H6" s="99"/>
      <c r="I6" s="99" t="s">
        <v>127</v>
      </c>
      <c r="J6" s="99"/>
      <c r="K6" s="99" t="s">
        <v>128</v>
      </c>
      <c r="L6" s="99"/>
      <c r="M6" s="99" t="s">
        <v>129</v>
      </c>
      <c r="N6" s="99"/>
      <c r="O6" s="99"/>
      <c r="P6" s="99"/>
      <c r="Q6" s="99"/>
      <c r="R6" s="99"/>
      <c r="S6" s="99"/>
      <c r="T6" s="99"/>
      <c r="U6" s="61"/>
      <c r="V6" s="61"/>
      <c r="W6" s="61"/>
      <c r="AF6" s="36"/>
    </row>
    <row r="7" spans="1:36" x14ac:dyDescent="0.25">
      <c r="A7" s="112" t="s">
        <v>130</v>
      </c>
      <c r="B7" s="112"/>
      <c r="C7" s="112">
        <v>7497</v>
      </c>
      <c r="D7" s="112"/>
      <c r="E7" s="112">
        <v>7</v>
      </c>
      <c r="F7" s="112"/>
      <c r="G7" s="112">
        <v>5</v>
      </c>
      <c r="H7" s="112"/>
      <c r="I7" s="113">
        <v>0.96388888888888891</v>
      </c>
      <c r="J7" s="114"/>
      <c r="K7" s="110" t="s">
        <v>217</v>
      </c>
      <c r="L7" s="111"/>
      <c r="M7" s="108"/>
      <c r="N7" s="109"/>
      <c r="O7" s="108"/>
      <c r="P7" s="109"/>
      <c r="Q7" s="108"/>
      <c r="R7" s="109"/>
      <c r="S7" s="108"/>
      <c r="T7" s="109"/>
      <c r="U7" s="62"/>
      <c r="V7" s="63"/>
      <c r="W7" s="63"/>
      <c r="AF7" s="36"/>
    </row>
    <row r="11" spans="1:36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6" ht="23.25" x14ac:dyDescent="0.35">
      <c r="A12" s="107" t="s">
        <v>135</v>
      </c>
      <c r="B12" s="107"/>
      <c r="C12" s="107" t="s">
        <v>136</v>
      </c>
      <c r="D12" s="107"/>
      <c r="E12" s="65" t="s">
        <v>137</v>
      </c>
      <c r="F12" s="65"/>
      <c r="G12" s="107" t="s">
        <v>138</v>
      </c>
      <c r="H12" s="107"/>
      <c r="I12" s="107" t="s">
        <v>139</v>
      </c>
      <c r="J12" s="107"/>
      <c r="K12" s="99" t="s">
        <v>140</v>
      </c>
      <c r="L12" s="99"/>
      <c r="M12" s="99" t="s">
        <v>141</v>
      </c>
      <c r="N12" s="99"/>
      <c r="O12" s="61" t="s">
        <v>142</v>
      </c>
      <c r="P12" s="61"/>
      <c r="Q12" s="61" t="s">
        <v>143</v>
      </c>
      <c r="R12" s="61"/>
      <c r="S12" s="61"/>
      <c r="T12" s="61"/>
      <c r="U12" s="61"/>
      <c r="V12" s="61"/>
      <c r="W12" s="61"/>
      <c r="AB12" s="39"/>
    </row>
    <row r="13" spans="1:36" ht="23.25" x14ac:dyDescent="0.35">
      <c r="A13" s="5"/>
      <c r="B13" s="3"/>
      <c r="C13" s="5"/>
      <c r="D13" s="3">
        <v>360356.8</v>
      </c>
      <c r="E13" s="5"/>
      <c r="F13" s="5"/>
      <c r="G13" s="5"/>
      <c r="H13" s="5"/>
      <c r="I13" s="5"/>
      <c r="J13" s="5"/>
      <c r="K13" s="6"/>
      <c r="L13" s="4"/>
      <c r="M13" s="62" t="s">
        <v>216</v>
      </c>
      <c r="N13" s="63"/>
      <c r="O13" s="62" t="s">
        <v>218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6" ht="16.5" customHeight="1" x14ac:dyDescent="0.3">
      <c r="A14" s="17" t="s">
        <v>154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Y14" s="37"/>
      <c r="Z14" s="44"/>
      <c r="AA14" s="37"/>
      <c r="AB14" s="37"/>
    </row>
    <row r="15" spans="1:36" s="11" customFormat="1" ht="30.75" x14ac:dyDescent="0.3">
      <c r="A15" s="10" t="s">
        <v>0</v>
      </c>
      <c r="B15" s="10" t="s">
        <v>1</v>
      </c>
      <c r="C15" s="10"/>
      <c r="D15" s="10" t="s">
        <v>5</v>
      </c>
      <c r="E15" s="10"/>
      <c r="F15" s="10" t="s">
        <v>7</v>
      </c>
      <c r="G15" s="10" t="s">
        <v>8</v>
      </c>
      <c r="H15" s="10" t="s">
        <v>9</v>
      </c>
      <c r="I15" s="10" t="s">
        <v>10</v>
      </c>
      <c r="J15" s="10" t="s">
        <v>11</v>
      </c>
      <c r="K15" s="10" t="s">
        <v>19</v>
      </c>
      <c r="L15" s="10" t="s">
        <v>21</v>
      </c>
      <c r="M15" s="10" t="s">
        <v>22</v>
      </c>
      <c r="N15" s="10" t="s">
        <v>18</v>
      </c>
      <c r="O15" s="10" t="s">
        <v>20</v>
      </c>
      <c r="P15" s="10" t="s">
        <v>155</v>
      </c>
      <c r="Q15" s="10"/>
      <c r="R15" s="10" t="s">
        <v>156</v>
      </c>
      <c r="S15" s="10" t="s">
        <v>157</v>
      </c>
      <c r="T15" s="10" t="s">
        <v>158</v>
      </c>
      <c r="U15" s="10" t="s">
        <v>159</v>
      </c>
      <c r="V15" s="10" t="s">
        <v>160</v>
      </c>
      <c r="W15" s="10"/>
      <c r="Y15" s="38"/>
      <c r="Z15" s="38"/>
      <c r="AA15" s="38"/>
      <c r="AB15" s="38"/>
      <c r="AC15"/>
      <c r="AD15"/>
      <c r="AE15"/>
      <c r="AF15"/>
      <c r="AG15"/>
      <c r="AH15"/>
      <c r="AI15"/>
      <c r="AJ15"/>
    </row>
    <row r="16" spans="1:36" ht="18.75" x14ac:dyDescent="0.3">
      <c r="A16" s="64" t="s">
        <v>15</v>
      </c>
      <c r="B16" s="64" t="s">
        <v>24</v>
      </c>
      <c r="C16" s="64">
        <v>20150316</v>
      </c>
      <c r="D16" s="64">
        <v>62500</v>
      </c>
      <c r="E16" s="64"/>
      <c r="F16" s="64" t="s">
        <v>17</v>
      </c>
      <c r="G16" s="64" t="s">
        <v>16</v>
      </c>
      <c r="H16" s="64" t="s">
        <v>180</v>
      </c>
      <c r="I16" s="64" t="s">
        <v>25</v>
      </c>
      <c r="J16" s="64">
        <v>50</v>
      </c>
      <c r="K16" s="64">
        <v>1.5225</v>
      </c>
      <c r="L16" s="64"/>
      <c r="M16" s="64">
        <v>24</v>
      </c>
      <c r="N16" s="64">
        <v>1.5225</v>
      </c>
      <c r="O16" s="64">
        <v>1.5226</v>
      </c>
      <c r="P16" s="64">
        <v>38</v>
      </c>
      <c r="Q16" s="64"/>
      <c r="R16" s="64">
        <v>1.5226500000000001</v>
      </c>
      <c r="S16" s="64">
        <v>4758281.26</v>
      </c>
      <c r="T16" s="64">
        <v>95204.571439299994</v>
      </c>
      <c r="U16" s="64">
        <v>-1947.31</v>
      </c>
      <c r="V16" s="64">
        <v>-15701.42</v>
      </c>
      <c r="W16" s="64"/>
      <c r="Y16" s="37"/>
      <c r="Z16" s="37"/>
      <c r="AA16" s="37"/>
      <c r="AB16" s="37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100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Y19" s="39"/>
      <c r="Z19" s="39"/>
      <c r="AA19" s="39"/>
      <c r="AB19" s="39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02">
        <v>5</v>
      </c>
      <c r="F21" s="102"/>
      <c r="G21" s="81">
        <v>5</v>
      </c>
      <c r="H21" s="81">
        <v>10</v>
      </c>
      <c r="I21" s="81">
        <v>0.2</v>
      </c>
      <c r="J21" s="81"/>
      <c r="K21" s="103">
        <v>8</v>
      </c>
      <c r="L21" s="104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5" t="s">
        <v>161</v>
      </c>
      <c r="D29" s="106"/>
      <c r="E29" s="12"/>
      <c r="F29" s="12"/>
      <c r="G29" s="106" t="s">
        <v>162</v>
      </c>
      <c r="H29" s="106"/>
      <c r="I29" s="12"/>
      <c r="J29" s="12"/>
      <c r="K29" s="106" t="s">
        <v>163</v>
      </c>
      <c r="L29" s="106"/>
      <c r="M29" s="12"/>
      <c r="N29" s="13"/>
      <c r="O29" s="106" t="s">
        <v>164</v>
      </c>
      <c r="P29" s="106"/>
      <c r="Q29" s="30">
        <v>1.5225092689354989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5" t="s">
        <v>219</v>
      </c>
      <c r="D30" s="106"/>
      <c r="E30" s="12"/>
      <c r="F30" s="12"/>
      <c r="G30" s="106" t="s">
        <v>221</v>
      </c>
      <c r="H30" s="106"/>
      <c r="I30" s="12"/>
      <c r="J30" s="12"/>
      <c r="K30" s="106" t="s">
        <v>194</v>
      </c>
      <c r="L30" s="106"/>
      <c r="M30" s="12"/>
      <c r="N30" s="13"/>
      <c r="O30" s="106" t="s">
        <v>165</v>
      </c>
      <c r="P30" s="106"/>
      <c r="Q30" s="30">
        <v>1.5225053459202063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5" t="s">
        <v>220</v>
      </c>
      <c r="D31" s="106"/>
      <c r="E31" s="12"/>
      <c r="F31" s="12"/>
      <c r="G31" s="106" t="s">
        <v>220</v>
      </c>
      <c r="H31" s="106"/>
      <c r="I31" s="12"/>
      <c r="J31" s="12"/>
      <c r="K31" s="106" t="s">
        <v>195</v>
      </c>
      <c r="L31" s="106"/>
      <c r="M31" s="12"/>
      <c r="N31" s="13"/>
      <c r="O31" s="106" t="s">
        <v>99</v>
      </c>
      <c r="P31" s="106"/>
      <c r="Q31" s="12">
        <v>-1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180</v>
      </c>
      <c r="B32" t="s">
        <v>193</v>
      </c>
      <c r="C32" s="119">
        <v>73</v>
      </c>
      <c r="D32" s="117"/>
      <c r="E32" s="117">
        <v>1.5037</v>
      </c>
      <c r="F32" s="117"/>
      <c r="G32" s="117" t="s">
        <v>192</v>
      </c>
      <c r="H32" s="117"/>
      <c r="I32" s="117">
        <v>73</v>
      </c>
      <c r="J32" s="117"/>
      <c r="K32" s="117">
        <v>0</v>
      </c>
      <c r="L32" s="117"/>
      <c r="M32" s="117"/>
      <c r="N32" s="120"/>
      <c r="O32" s="117"/>
      <c r="P32" s="117"/>
      <c r="Q32" s="117"/>
      <c r="R32" s="120"/>
      <c r="S32" s="117"/>
      <c r="T32" s="120"/>
      <c r="U32" s="117"/>
      <c r="V32" s="120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1" ht="18.75" x14ac:dyDescent="0.3">
      <c r="Y33" s="37"/>
      <c r="Z33" s="37"/>
      <c r="AA33" s="37"/>
      <c r="AB33" s="37"/>
      <c r="AC33" s="37"/>
      <c r="AD33" s="37"/>
      <c r="AE33" s="37"/>
    </row>
    <row r="34" spans="1:31" ht="18.75" customHeight="1" x14ac:dyDescent="0.3">
      <c r="A34" s="124" t="s">
        <v>205</v>
      </c>
      <c r="B34" s="124"/>
      <c r="C34" s="124"/>
      <c r="D34" s="124"/>
      <c r="E34" s="124"/>
      <c r="F34" s="124"/>
      <c r="G34" s="124"/>
      <c r="H34" s="124"/>
      <c r="I34" s="124"/>
      <c r="Q34" s="125" t="s">
        <v>186</v>
      </c>
      <c r="R34" s="125"/>
      <c r="S34" s="125"/>
      <c r="T34" s="125"/>
      <c r="U34" s="125"/>
      <c r="V34" s="125"/>
      <c r="W34" s="125"/>
    </row>
    <row r="35" spans="1:31" s="11" customFormat="1" ht="27.75" customHeight="1" thickBot="1" x14ac:dyDescent="0.35">
      <c r="A35" s="98" t="s">
        <v>206</v>
      </c>
      <c r="B35" s="98"/>
      <c r="C35" s="98"/>
      <c r="D35" s="98"/>
      <c r="E35" s="98"/>
      <c r="F35" s="98" t="s">
        <v>207</v>
      </c>
      <c r="G35" s="98"/>
      <c r="H35" s="98"/>
      <c r="I35" s="98"/>
      <c r="Q35" s="71"/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1" s="11" customFormat="1" ht="27.75" customHeight="1" thickTop="1" x14ac:dyDescent="0.35">
      <c r="A36" s="97" t="s">
        <v>213</v>
      </c>
      <c r="B36" s="96">
        <v>0.5</v>
      </c>
      <c r="C36" s="93"/>
      <c r="D36" s="93"/>
      <c r="E36" s="93"/>
      <c r="F36" s="93"/>
      <c r="G36" s="93"/>
      <c r="H36" s="93"/>
      <c r="I36" s="93"/>
      <c r="Q36" s="92"/>
      <c r="R36" s="92"/>
      <c r="S36" s="92"/>
      <c r="T36" s="92"/>
      <c r="U36" s="92"/>
      <c r="V36" s="92"/>
      <c r="W36" s="92"/>
      <c r="X36" s="38"/>
      <c r="Y36" s="38"/>
      <c r="AC36" s="38"/>
    </row>
    <row r="37" spans="1:31" s="11" customFormat="1" ht="42" customHeight="1" x14ac:dyDescent="0.4">
      <c r="A37" s="95" t="s">
        <v>208</v>
      </c>
      <c r="B37" s="95" t="s">
        <v>212</v>
      </c>
      <c r="C37" s="95" t="s">
        <v>209</v>
      </c>
      <c r="D37" s="95" t="s">
        <v>210</v>
      </c>
      <c r="E37" s="95" t="s">
        <v>3</v>
      </c>
      <c r="F37" s="95" t="s">
        <v>211</v>
      </c>
      <c r="G37" s="95" t="s">
        <v>209</v>
      </c>
      <c r="H37" s="95" t="s">
        <v>212</v>
      </c>
      <c r="I37" s="95" t="s">
        <v>208</v>
      </c>
      <c r="Q37" s="75">
        <f>SUM(U71:U91)+J16</f>
        <v>50</v>
      </c>
      <c r="R37" s="76">
        <f>SUM(X71:X91)</f>
        <v>0</v>
      </c>
      <c r="S37" s="74">
        <f>SUM(W71:W91)</f>
        <v>0</v>
      </c>
      <c r="T37" s="76">
        <f>S37*62500</f>
        <v>0</v>
      </c>
      <c r="U37" s="73">
        <v>0.02</v>
      </c>
      <c r="V37" s="77">
        <f>-1*U37*W37</f>
        <v>0</v>
      </c>
      <c r="W37" s="77">
        <f>AG69</f>
        <v>0</v>
      </c>
      <c r="X37" s="46"/>
      <c r="Y37" s="46"/>
      <c r="AC37" s="38"/>
    </row>
    <row r="38" spans="1:31" ht="21" x14ac:dyDescent="0.35">
      <c r="A38" s="78">
        <v>0</v>
      </c>
      <c r="B38" s="94">
        <v>7</v>
      </c>
      <c r="C38" s="78">
        <v>0</v>
      </c>
      <c r="D38" s="76"/>
      <c r="E38" s="76"/>
      <c r="F38" s="76"/>
      <c r="G38" s="78">
        <v>0</v>
      </c>
      <c r="H38" s="94">
        <v>7</v>
      </c>
      <c r="I38" s="78">
        <v>0</v>
      </c>
      <c r="Q38" s="71" t="s">
        <v>131</v>
      </c>
      <c r="R38" s="76" t="e">
        <f>ticksUpToLoss(V37,Q37,R37)</f>
        <v>#NUM!</v>
      </c>
      <c r="S38" s="76" t="e">
        <f>ticksDownToLoss(V37,Q37,R37)</f>
        <v>#NUM!</v>
      </c>
      <c r="T38" s="76"/>
      <c r="U38" s="76"/>
      <c r="V38" s="76"/>
      <c r="W38" s="76"/>
      <c r="X38" s="37"/>
      <c r="Y38" s="37"/>
      <c r="Z38" s="37"/>
      <c r="AA38" s="37"/>
      <c r="AB38" s="37"/>
      <c r="AC38" s="37"/>
    </row>
    <row r="39" spans="1:31" ht="23.25" x14ac:dyDescent="0.35">
      <c r="A39" s="78">
        <v>0</v>
      </c>
      <c r="B39" s="94">
        <v>6</v>
      </c>
      <c r="C39" s="78">
        <v>0</v>
      </c>
      <c r="D39" s="76"/>
      <c r="E39" s="76"/>
      <c r="F39" s="76"/>
      <c r="G39" s="78">
        <v>0</v>
      </c>
      <c r="H39" s="94">
        <v>6</v>
      </c>
      <c r="I39" s="78">
        <v>0</v>
      </c>
      <c r="Q39" s="71" t="s">
        <v>132</v>
      </c>
      <c r="R39" s="76" t="e">
        <f>Q37+R37*(R38*0.0001)</f>
        <v>#NUM!</v>
      </c>
      <c r="S39" s="76" t="e">
        <f>Q37+R37*(S38*0.0001)</f>
        <v>#NUM!</v>
      </c>
      <c r="T39" s="76"/>
      <c r="U39" s="76"/>
      <c r="V39" s="76"/>
      <c r="W39" s="76"/>
      <c r="Y39" s="32"/>
      <c r="Z39" s="32"/>
      <c r="AA39" s="32"/>
      <c r="AB39" s="32"/>
      <c r="AC39" s="45"/>
      <c r="AD39" s="45"/>
      <c r="AE39" s="45"/>
    </row>
    <row r="40" spans="1:31" ht="21" x14ac:dyDescent="0.35">
      <c r="A40" s="78">
        <v>0</v>
      </c>
      <c r="B40" s="94">
        <v>5</v>
      </c>
      <c r="C40" s="78">
        <v>0</v>
      </c>
      <c r="D40" s="76"/>
      <c r="E40" s="76"/>
      <c r="F40" s="76"/>
      <c r="G40" s="78">
        <v>0</v>
      </c>
      <c r="H40" s="94">
        <v>5</v>
      </c>
      <c r="I40" s="78">
        <v>0</v>
      </c>
      <c r="Q40" s="125" t="s">
        <v>133</v>
      </c>
      <c r="R40" s="125"/>
      <c r="S40" s="125"/>
      <c r="T40" s="125" t="s">
        <v>189</v>
      </c>
      <c r="U40" s="125"/>
      <c r="V40" s="125"/>
      <c r="W40" s="125"/>
      <c r="Y40" s="37"/>
      <c r="Z40" s="37"/>
      <c r="AA40" s="37"/>
      <c r="AB40" s="37"/>
      <c r="AC40" s="37"/>
    </row>
    <row r="41" spans="1:31" ht="21" x14ac:dyDescent="0.35">
      <c r="A41" s="78">
        <v>0</v>
      </c>
      <c r="B41" s="94">
        <v>4</v>
      </c>
      <c r="C41" s="78">
        <v>0</v>
      </c>
      <c r="D41" s="76"/>
      <c r="E41" s="76"/>
      <c r="F41" s="76"/>
      <c r="G41" s="78">
        <v>0</v>
      </c>
      <c r="H41" s="94">
        <v>4</v>
      </c>
      <c r="I41" s="78">
        <v>0</v>
      </c>
      <c r="Q41" s="71" t="s">
        <v>134</v>
      </c>
      <c r="R41" s="84" t="e">
        <f>midMarket(N16,O16)+R38/10000</f>
        <v>#NUM!</v>
      </c>
      <c r="S41" s="76" t="e">
        <f>ROUND(-R39,0)</f>
        <v>#NUM!</v>
      </c>
      <c r="T41" s="72" t="s">
        <v>187</v>
      </c>
      <c r="U41" s="78">
        <v>25</v>
      </c>
      <c r="V41" s="84">
        <v>1.5248999999999999</v>
      </c>
      <c r="W41" s="76">
        <v>13</v>
      </c>
      <c r="Y41" s="37"/>
      <c r="Z41" s="37"/>
      <c r="AA41" s="37"/>
      <c r="AB41" s="37"/>
      <c r="AC41" s="37"/>
    </row>
    <row r="42" spans="1:31" ht="21" x14ac:dyDescent="0.35">
      <c r="A42" s="78">
        <v>0</v>
      </c>
      <c r="B42" s="94">
        <v>3</v>
      </c>
      <c r="C42" s="78">
        <v>0</v>
      </c>
      <c r="D42" s="76"/>
      <c r="E42" s="76"/>
      <c r="F42" s="76"/>
      <c r="G42" s="78">
        <v>0</v>
      </c>
      <c r="H42" s="94">
        <v>3</v>
      </c>
      <c r="I42" s="78">
        <v>0</v>
      </c>
      <c r="Q42" s="71" t="s">
        <v>144</v>
      </c>
      <c r="R42" s="84" t="e">
        <f>midMarket(N16,O16)+S38/10000</f>
        <v>#NUM!</v>
      </c>
      <c r="S42" s="76" t="e">
        <f>ROUND(-S39,0)</f>
        <v>#NUM!</v>
      </c>
      <c r="T42" s="72" t="s">
        <v>188</v>
      </c>
      <c r="U42" s="78">
        <v>2</v>
      </c>
      <c r="V42" s="84">
        <v>1.52</v>
      </c>
      <c r="W42" s="76">
        <v>13</v>
      </c>
      <c r="X42" s="37"/>
      <c r="Y42" s="37"/>
      <c r="Z42" s="37"/>
      <c r="AA42" s="37"/>
      <c r="AB42" s="37"/>
      <c r="AC42" s="37"/>
    </row>
    <row r="43" spans="1:31" ht="21" x14ac:dyDescent="0.35">
      <c r="A43" s="78">
        <v>7</v>
      </c>
      <c r="B43" s="94">
        <v>2</v>
      </c>
      <c r="C43" s="78">
        <v>-4</v>
      </c>
      <c r="D43" s="76"/>
      <c r="E43" s="76"/>
      <c r="F43" s="76"/>
      <c r="G43" s="78">
        <v>-4</v>
      </c>
      <c r="H43" s="94">
        <v>2</v>
      </c>
      <c r="I43" s="78">
        <v>8</v>
      </c>
    </row>
    <row r="44" spans="1:31" ht="21" x14ac:dyDescent="0.35">
      <c r="A44" s="78">
        <v>5</v>
      </c>
      <c r="B44" s="94">
        <v>1</v>
      </c>
      <c r="C44" s="78">
        <v>-3</v>
      </c>
      <c r="D44" s="76"/>
      <c r="E44" s="76"/>
      <c r="F44" s="76"/>
      <c r="G44" s="78">
        <v>-3</v>
      </c>
      <c r="H44" s="94">
        <v>1</v>
      </c>
      <c r="I44" s="78">
        <v>6</v>
      </c>
      <c r="P44" t="s">
        <v>204</v>
      </c>
    </row>
    <row r="45" spans="1:31" ht="21" x14ac:dyDescent="0.35">
      <c r="A45" s="78">
        <v>1</v>
      </c>
      <c r="B45" s="94">
        <v>0</v>
      </c>
      <c r="C45" s="78">
        <v>-3</v>
      </c>
      <c r="D45" s="76"/>
      <c r="E45" s="76"/>
      <c r="F45" s="76"/>
      <c r="G45" s="78">
        <v>-3</v>
      </c>
      <c r="H45" s="94">
        <v>0</v>
      </c>
      <c r="I45" s="78">
        <v>2</v>
      </c>
    </row>
    <row r="46" spans="1:31" ht="21" x14ac:dyDescent="0.35">
      <c r="A46" s="78">
        <v>3</v>
      </c>
      <c r="B46" s="94">
        <v>-1</v>
      </c>
      <c r="C46" s="78">
        <v>-1</v>
      </c>
      <c r="D46" s="76"/>
      <c r="E46" s="76"/>
      <c r="F46" s="76"/>
      <c r="G46" s="78">
        <v>-1</v>
      </c>
      <c r="H46" s="94">
        <v>-1</v>
      </c>
      <c r="I46" s="78">
        <v>4</v>
      </c>
    </row>
    <row r="47" spans="1:31" ht="21" x14ac:dyDescent="0.35">
      <c r="A47" s="78">
        <v>0</v>
      </c>
      <c r="B47" s="94">
        <v>-2</v>
      </c>
      <c r="C47" s="78">
        <v>0</v>
      </c>
      <c r="D47" s="76"/>
      <c r="E47" s="76"/>
      <c r="F47" s="76"/>
      <c r="G47" s="78">
        <v>0</v>
      </c>
      <c r="H47" s="94">
        <v>-2</v>
      </c>
      <c r="I47" s="78">
        <v>0</v>
      </c>
    </row>
    <row r="48" spans="1:31" ht="21" x14ac:dyDescent="0.35">
      <c r="A48" s="78">
        <v>0</v>
      </c>
      <c r="B48" s="94">
        <v>-3</v>
      </c>
      <c r="C48" s="78">
        <v>0</v>
      </c>
      <c r="D48" s="76"/>
      <c r="E48" s="76"/>
      <c r="F48" s="76"/>
      <c r="G48" s="78">
        <v>0</v>
      </c>
      <c r="H48" s="94">
        <v>-3</v>
      </c>
      <c r="I48" s="78">
        <v>0</v>
      </c>
    </row>
    <row r="49" spans="1:15" s="11" customFormat="1" ht="26.25" customHeight="1" x14ac:dyDescent="0.35">
      <c r="A49" s="78">
        <v>0</v>
      </c>
      <c r="B49" s="94">
        <v>-4</v>
      </c>
      <c r="C49" s="78">
        <v>0</v>
      </c>
      <c r="D49" s="76"/>
      <c r="E49" s="76"/>
      <c r="F49" s="76"/>
      <c r="G49" s="78">
        <v>0</v>
      </c>
      <c r="H49" s="94">
        <v>-4</v>
      </c>
      <c r="I49" s="78">
        <v>0</v>
      </c>
    </row>
    <row r="50" spans="1:15" ht="21" x14ac:dyDescent="0.35">
      <c r="A50" s="78">
        <v>0</v>
      </c>
      <c r="B50" s="94">
        <v>-5</v>
      </c>
      <c r="C50" s="78">
        <v>0</v>
      </c>
      <c r="D50" s="76"/>
      <c r="E50" s="76"/>
      <c r="F50" s="76"/>
      <c r="G50" s="78">
        <v>0</v>
      </c>
      <c r="H50" s="94">
        <v>-5</v>
      </c>
      <c r="I50" s="78">
        <v>0</v>
      </c>
    </row>
    <row r="51" spans="1:15" ht="21" x14ac:dyDescent="0.35">
      <c r="A51" s="78">
        <v>0</v>
      </c>
      <c r="B51" s="94">
        <v>-6</v>
      </c>
      <c r="C51" s="78">
        <v>0</v>
      </c>
      <c r="D51" s="76"/>
      <c r="E51" s="76"/>
      <c r="F51" s="76"/>
      <c r="G51" s="78">
        <v>0</v>
      </c>
      <c r="H51" s="94">
        <v>-6</v>
      </c>
      <c r="I51" s="78">
        <v>0</v>
      </c>
    </row>
    <row r="52" spans="1:15" ht="21" x14ac:dyDescent="0.35">
      <c r="A52" s="78">
        <v>0</v>
      </c>
      <c r="B52" s="94">
        <v>-7</v>
      </c>
      <c r="C52" s="78">
        <v>0</v>
      </c>
      <c r="D52" s="76"/>
      <c r="E52" s="76"/>
      <c r="F52" s="76"/>
      <c r="G52" s="78">
        <v>0</v>
      </c>
      <c r="H52" s="94">
        <v>-7</v>
      </c>
      <c r="I52" s="78">
        <v>0</v>
      </c>
    </row>
    <row r="56" spans="1:15" x14ac:dyDescent="0.25">
      <c r="A56" s="128" t="s">
        <v>166</v>
      </c>
      <c r="B56" s="129"/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</row>
    <row r="57" spans="1:15" x14ac:dyDescent="0.25">
      <c r="A57" s="87" t="s">
        <v>26</v>
      </c>
      <c r="B57" s="118" t="s">
        <v>27</v>
      </c>
      <c r="C57" s="118"/>
      <c r="D57" s="118"/>
      <c r="E57" s="118"/>
      <c r="F57" s="88"/>
      <c r="G57" s="118" t="s">
        <v>28</v>
      </c>
      <c r="H57" s="118"/>
      <c r="I57" s="118"/>
      <c r="J57" s="118"/>
      <c r="K57" s="118"/>
      <c r="L57" s="88"/>
      <c r="M57" s="118" t="s">
        <v>167</v>
      </c>
      <c r="N57" s="118"/>
      <c r="O57" s="127"/>
    </row>
    <row r="58" spans="1:15" ht="30" x14ac:dyDescent="0.25">
      <c r="A58" s="89" t="s">
        <v>0</v>
      </c>
      <c r="B58" s="90" t="s">
        <v>32</v>
      </c>
      <c r="C58" s="90" t="s">
        <v>33</v>
      </c>
      <c r="D58" s="90" t="s">
        <v>34</v>
      </c>
      <c r="E58" s="90" t="s">
        <v>47</v>
      </c>
      <c r="F58" s="90" t="s">
        <v>196</v>
      </c>
      <c r="G58" s="90" t="s">
        <v>12</v>
      </c>
      <c r="H58" s="90" t="s">
        <v>37</v>
      </c>
      <c r="I58" s="90" t="s">
        <v>38</v>
      </c>
      <c r="J58" s="90" t="s">
        <v>39</v>
      </c>
      <c r="K58" s="90" t="s">
        <v>40</v>
      </c>
      <c r="L58" s="90" t="s">
        <v>168</v>
      </c>
      <c r="M58" s="90" t="s">
        <v>169</v>
      </c>
      <c r="N58" s="90" t="s">
        <v>170</v>
      </c>
      <c r="O58" s="90" t="s">
        <v>171</v>
      </c>
    </row>
    <row r="59" spans="1:15" x14ac:dyDescent="0.25">
      <c r="A59" s="2"/>
      <c r="B59" s="16"/>
      <c r="C59" s="16"/>
      <c r="D59" s="16"/>
      <c r="E59" s="16"/>
      <c r="F59" s="2"/>
      <c r="G59" s="18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16"/>
      <c r="C60" s="16"/>
      <c r="D60" s="16"/>
      <c r="E60" s="16"/>
      <c r="F60" s="2"/>
      <c r="G60" s="18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16"/>
      <c r="C61" s="16"/>
      <c r="D61" s="16"/>
      <c r="E61" s="16"/>
      <c r="F61" s="2"/>
      <c r="G61" s="18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16"/>
      <c r="C62" s="16"/>
      <c r="D62" s="16"/>
      <c r="E62" s="16"/>
      <c r="F62" s="2"/>
      <c r="G62" s="18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16"/>
      <c r="C63" s="16"/>
      <c r="D63" s="16"/>
      <c r="E63" s="16"/>
      <c r="F63" s="2"/>
      <c r="G63" s="18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91" t="s">
        <v>198</v>
      </c>
      <c r="B64" s="76">
        <f>ticksUpToLoss(F63,A63,B63)</f>
        <v>0</v>
      </c>
      <c r="C64" s="91" t="s">
        <v>199</v>
      </c>
      <c r="D64" s="76">
        <f>ticksUpToLoss(H63,C63,D63)</f>
        <v>0</v>
      </c>
      <c r="E64" s="91" t="s">
        <v>174</v>
      </c>
      <c r="F64" s="76">
        <f>ticksUpToLoss(J63,E63,F63)</f>
        <v>0</v>
      </c>
      <c r="G64" s="91" t="s">
        <v>200</v>
      </c>
      <c r="H64" s="76">
        <f>ticksUpToLoss(L63,G63,H63)</f>
        <v>0</v>
      </c>
      <c r="I64" s="123" t="s">
        <v>201</v>
      </c>
      <c r="J64" s="123"/>
      <c r="K64" s="76"/>
      <c r="L64" s="76"/>
      <c r="M64" s="76"/>
      <c r="N64" s="76"/>
      <c r="O64" s="76"/>
    </row>
    <row r="65" spans="1:33" ht="15.75" x14ac:dyDescent="0.25">
      <c r="A65" s="91" t="s">
        <v>197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</row>
    <row r="69" spans="1:33" x14ac:dyDescent="0.25">
      <c r="A69" s="101" t="s">
        <v>13</v>
      </c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26" t="s">
        <v>101</v>
      </c>
      <c r="O69" s="126"/>
      <c r="P69" s="126"/>
      <c r="Q69" s="126"/>
      <c r="R69" s="126"/>
      <c r="S69" s="126"/>
      <c r="T69" s="126" t="s">
        <v>108</v>
      </c>
      <c r="U69" s="126"/>
      <c r="V69" s="126"/>
      <c r="W69" s="126"/>
      <c r="AG69" s="48">
        <f>SUM(AD71:AD91)</f>
        <v>0</v>
      </c>
    </row>
    <row r="70" spans="1:33" ht="30" x14ac:dyDescent="0.25">
      <c r="A70" s="1" t="s">
        <v>9</v>
      </c>
      <c r="B70" s="1" t="s">
        <v>11</v>
      </c>
      <c r="C70" s="1" t="s">
        <v>172</v>
      </c>
      <c r="D70" s="1" t="s">
        <v>157</v>
      </c>
      <c r="E70" s="1" t="s">
        <v>158</v>
      </c>
      <c r="F70" s="1" t="s">
        <v>179</v>
      </c>
      <c r="G70" s="1" t="s">
        <v>173</v>
      </c>
      <c r="H70" s="61" t="s">
        <v>19</v>
      </c>
      <c r="I70" s="61" t="s">
        <v>21</v>
      </c>
      <c r="J70" s="61" t="s">
        <v>22</v>
      </c>
      <c r="K70" s="61" t="s">
        <v>18</v>
      </c>
      <c r="L70" s="61" t="s">
        <v>20</v>
      </c>
      <c r="M70" s="61" t="s">
        <v>23</v>
      </c>
      <c r="N70" s="31" t="s">
        <v>102</v>
      </c>
      <c r="O70" s="31" t="s">
        <v>103</v>
      </c>
      <c r="P70" s="31" t="s">
        <v>104</v>
      </c>
      <c r="Q70" s="31" t="s">
        <v>105</v>
      </c>
      <c r="R70" s="31" t="s">
        <v>106</v>
      </c>
      <c r="S70" s="31" t="s">
        <v>107</v>
      </c>
      <c r="T70" s="35" t="s">
        <v>112</v>
      </c>
      <c r="U70" s="31" t="s">
        <v>103</v>
      </c>
      <c r="V70" s="31" t="s">
        <v>104</v>
      </c>
      <c r="W70" s="31" t="s">
        <v>105</v>
      </c>
      <c r="X70" s="35" t="s">
        <v>113</v>
      </c>
      <c r="Y70" s="35" t="s">
        <v>114</v>
      </c>
      <c r="Z70" s="35" t="s">
        <v>119</v>
      </c>
      <c r="AA70" s="50" t="s">
        <v>118</v>
      </c>
      <c r="AB70" s="50" t="s">
        <v>115</v>
      </c>
      <c r="AC70" s="50" t="s">
        <v>116</v>
      </c>
      <c r="AD70" s="50" t="s">
        <v>117</v>
      </c>
    </row>
    <row r="71" spans="1:33" x14ac:dyDescent="0.25">
      <c r="A71" s="2"/>
      <c r="B71" s="2"/>
      <c r="C71" s="2"/>
      <c r="D71" s="2"/>
      <c r="E71" s="2"/>
      <c r="F71" s="28"/>
      <c r="G71" s="2"/>
      <c r="H71" s="2"/>
      <c r="I71" s="2"/>
      <c r="J71" s="2"/>
      <c r="K71" s="2"/>
      <c r="L71" s="2"/>
      <c r="M71" s="2"/>
      <c r="N71" s="2"/>
      <c r="O71" s="2"/>
      <c r="P71" s="2"/>
      <c r="Q71" s="33"/>
      <c r="R71" s="2"/>
      <c r="S71" s="2"/>
      <c r="T71" s="2"/>
      <c r="U71" s="2">
        <f t="shared" ref="U71:U91" si="0">O71*B71</f>
        <v>0</v>
      </c>
      <c r="V71" s="2">
        <v>1.5804</v>
      </c>
      <c r="W71" s="2">
        <f t="shared" ref="W71:W91" si="1">Q71*B71</f>
        <v>0</v>
      </c>
      <c r="X71">
        <f>IF(ISERR(T71),0,T71*B71)</f>
        <v>0</v>
      </c>
      <c r="Y71">
        <f t="shared" ref="Y71:Y91" si="2">IF(X71 = 0,0,(W71*-10000)/X71)</f>
        <v>0</v>
      </c>
      <c r="Z71" s="85">
        <f>midMarket(K71,L71) +AA71/10000</f>
        <v>0</v>
      </c>
      <c r="AA71">
        <f>IF(rightFromSymbol(A71)="C",MAX(0,$N$16-strikeFromSymbol(A71)),MAX(0,strikeFromSymbol(A71)-$N$16))*10000</f>
        <v>0</v>
      </c>
      <c r="AB71" s="86">
        <f>MAX(0,Z71-AA71) * 10000</f>
        <v>0</v>
      </c>
      <c r="AC71" s="49">
        <f t="shared" ref="AC71:AC91" si="3">-AB71*B71</f>
        <v>0</v>
      </c>
      <c r="AD71" s="48">
        <f t="shared" ref="AD71:AD79" si="4">MAX(0,AC71*6.25)</f>
        <v>0</v>
      </c>
    </row>
    <row r="72" spans="1:33" x14ac:dyDescent="0.25">
      <c r="A72" s="2"/>
      <c r="B72" s="2"/>
      <c r="C72" s="2"/>
      <c r="D72" s="2"/>
      <c r="E72" s="2"/>
      <c r="F72" s="28"/>
      <c r="G72" s="2"/>
      <c r="H72" s="2"/>
      <c r="I72" s="2"/>
      <c r="J72" s="2"/>
      <c r="K72" s="2"/>
      <c r="L72" s="2"/>
      <c r="M72" s="2"/>
      <c r="N72" s="2"/>
      <c r="O72" s="2"/>
      <c r="P72" s="2"/>
      <c r="Q72" s="33"/>
      <c r="R72" s="2"/>
      <c r="S72" s="2"/>
      <c r="T72" s="2"/>
      <c r="U72" s="2">
        <f t="shared" si="0"/>
        <v>0</v>
      </c>
      <c r="V72" s="2">
        <v>1.5804</v>
      </c>
      <c r="W72" s="2">
        <f t="shared" si="1"/>
        <v>0</v>
      </c>
      <c r="X72">
        <f t="shared" ref="X72:X91" si="5">IF(ISERR(T72),0,T72*B72)</f>
        <v>0</v>
      </c>
      <c r="Y72">
        <f t="shared" si="2"/>
        <v>0</v>
      </c>
      <c r="Z72" s="85">
        <f>midMarket(K72,L72) +AA72/10000</f>
        <v>0</v>
      </c>
      <c r="AA72">
        <f>IF(rightFromSymbol(A72)="C",MAX(0,$N$16-strikeFromSymbol(A72)),MAX(0,strikeFromSymbol(A72)-$N$16))*10000</f>
        <v>0</v>
      </c>
      <c r="AB72" s="86">
        <f t="shared" ref="AB72:AB91" si="6">MAX(0,Z72-AA72) * 10000</f>
        <v>0</v>
      </c>
      <c r="AC72" s="49">
        <f t="shared" si="3"/>
        <v>0</v>
      </c>
      <c r="AD72" s="48">
        <f t="shared" si="4"/>
        <v>0</v>
      </c>
    </row>
    <row r="73" spans="1:33" x14ac:dyDescent="0.25">
      <c r="A73" s="2"/>
      <c r="B73" s="2"/>
      <c r="C73" s="2"/>
      <c r="D73" s="2"/>
      <c r="E73" s="2"/>
      <c r="F73" s="28"/>
      <c r="G73" s="2"/>
      <c r="H73" s="2"/>
      <c r="I73" s="2"/>
      <c r="J73" s="2"/>
      <c r="K73" s="2"/>
      <c r="L73" s="2"/>
      <c r="M73" s="2"/>
      <c r="N73" s="2"/>
      <c r="O73" s="2"/>
      <c r="P73" s="2"/>
      <c r="Q73" s="33"/>
      <c r="R73" s="2"/>
      <c r="S73" s="2"/>
      <c r="T73" s="2"/>
      <c r="U73" s="2">
        <f t="shared" si="0"/>
        <v>0</v>
      </c>
      <c r="V73" s="2">
        <v>1.5804</v>
      </c>
      <c r="W73" s="2">
        <f t="shared" si="1"/>
        <v>0</v>
      </c>
      <c r="X73">
        <f t="shared" si="5"/>
        <v>0</v>
      </c>
      <c r="Y73">
        <f t="shared" si="2"/>
        <v>0</v>
      </c>
      <c r="Z73" s="85">
        <f>midMarket(K73,L73) +AA73/10000</f>
        <v>0</v>
      </c>
      <c r="AA73">
        <f>IF(rightFromSymbol(A73)="C",MAX(0,$N$16-strikeFromSymbol(A73)),MAX(0,strikeFromSymbol(A73)-$N$16))*10000</f>
        <v>0</v>
      </c>
      <c r="AB73" s="86">
        <f t="shared" si="6"/>
        <v>0</v>
      </c>
      <c r="AC73" s="49">
        <f t="shared" si="3"/>
        <v>0</v>
      </c>
      <c r="AD73" s="48">
        <f t="shared" si="4"/>
        <v>0</v>
      </c>
    </row>
    <row r="74" spans="1:33" x14ac:dyDescent="0.25">
      <c r="A74" s="2"/>
      <c r="B74" s="2"/>
      <c r="C74" s="2"/>
      <c r="D74" s="2"/>
      <c r="E74" s="2"/>
      <c r="F74" s="28"/>
      <c r="G74" s="2"/>
      <c r="H74" s="2"/>
      <c r="I74" s="2"/>
      <c r="J74" s="2"/>
      <c r="K74" s="2"/>
      <c r="L74" s="2"/>
      <c r="M74" s="2"/>
      <c r="N74" s="2"/>
      <c r="O74" s="2"/>
      <c r="P74" s="2"/>
      <c r="Q74" s="33"/>
      <c r="R74" s="2"/>
      <c r="S74" s="2"/>
      <c r="T74" s="2"/>
      <c r="U74" s="2">
        <f t="shared" si="0"/>
        <v>0</v>
      </c>
      <c r="V74" s="2">
        <v>1.5804</v>
      </c>
      <c r="W74" s="2">
        <f t="shared" si="1"/>
        <v>0</v>
      </c>
      <c r="X74">
        <f t="shared" si="5"/>
        <v>0</v>
      </c>
      <c r="Y74">
        <f t="shared" si="2"/>
        <v>0</v>
      </c>
      <c r="Z74" s="85">
        <f t="shared" ref="Z74:Z91" si="7">midMarket(K74,L74) +AA74/10000</f>
        <v>0</v>
      </c>
      <c r="AA74">
        <f>IF(rightFromSymbol(A74)="C",MAX(0,$N$16-strikeFromSymbol(A74)),MAX(0,strikeFromSymbol(A74)-$N$16))*10000</f>
        <v>0</v>
      </c>
      <c r="AB74" s="86">
        <f t="shared" si="6"/>
        <v>0</v>
      </c>
      <c r="AC74" s="49">
        <f t="shared" si="3"/>
        <v>0</v>
      </c>
      <c r="AD74" s="48">
        <f t="shared" si="4"/>
        <v>0</v>
      </c>
    </row>
    <row r="75" spans="1:33" x14ac:dyDescent="0.25">
      <c r="A75" s="2"/>
      <c r="B75" s="2"/>
      <c r="C75" s="2"/>
      <c r="D75" s="2"/>
      <c r="E75" s="2"/>
      <c r="F75" s="28"/>
      <c r="G75" s="2"/>
      <c r="H75" s="2"/>
      <c r="I75" s="2"/>
      <c r="J75" s="2"/>
      <c r="K75" s="2"/>
      <c r="L75" s="2"/>
      <c r="M75" s="2"/>
      <c r="N75" s="2"/>
      <c r="O75" s="2"/>
      <c r="P75" s="34"/>
      <c r="Q75" s="33"/>
      <c r="R75" s="2"/>
      <c r="S75" s="2"/>
      <c r="T75" s="2"/>
      <c r="U75" s="2">
        <f t="shared" si="0"/>
        <v>0</v>
      </c>
      <c r="V75" s="2">
        <v>1.5804</v>
      </c>
      <c r="W75" s="2">
        <f t="shared" si="1"/>
        <v>0</v>
      </c>
      <c r="X75">
        <f t="shared" si="5"/>
        <v>0</v>
      </c>
      <c r="Y75">
        <f t="shared" si="2"/>
        <v>0</v>
      </c>
      <c r="Z75" s="85">
        <f t="shared" si="7"/>
        <v>0</v>
      </c>
      <c r="AA75">
        <f>IF(rightFromSymbol(A75)="C",MAX(0,$N$16-strikeFromSymbol(A75)),MAX(0,strikeFromSymbol(A75)-$N$16))*10000</f>
        <v>0</v>
      </c>
      <c r="AB75" s="86">
        <f t="shared" si="6"/>
        <v>0</v>
      </c>
      <c r="AC75" s="49">
        <f t="shared" si="3"/>
        <v>0</v>
      </c>
      <c r="AD75" s="48">
        <f t="shared" si="4"/>
        <v>0</v>
      </c>
    </row>
    <row r="76" spans="1:33" x14ac:dyDescent="0.25">
      <c r="A76" s="2"/>
      <c r="B76" s="2"/>
      <c r="C76" s="2"/>
      <c r="D76" s="2"/>
      <c r="E76" s="2"/>
      <c r="F76" s="28"/>
      <c r="G76" s="2"/>
      <c r="H76" s="2"/>
      <c r="I76" s="2"/>
      <c r="J76" s="2"/>
      <c r="K76" s="2"/>
      <c r="L76" s="2"/>
      <c r="M76" s="2"/>
      <c r="N76" s="2"/>
      <c r="O76" s="2"/>
      <c r="P76" s="2"/>
      <c r="Q76" s="33"/>
      <c r="R76" s="2"/>
      <c r="S76" s="2"/>
      <c r="T76" s="2"/>
      <c r="U76" s="2">
        <f t="shared" si="0"/>
        <v>0</v>
      </c>
      <c r="V76" s="2">
        <v>1.5804</v>
      </c>
      <c r="W76" s="2">
        <f t="shared" si="1"/>
        <v>0</v>
      </c>
      <c r="X76">
        <f t="shared" si="5"/>
        <v>0</v>
      </c>
      <c r="Y76">
        <f t="shared" si="2"/>
        <v>0</v>
      </c>
      <c r="Z76" s="85">
        <f t="shared" si="7"/>
        <v>0</v>
      </c>
      <c r="AA76">
        <f>IF(rightFromSymbol(A76)="C",MAX(0,$N$16-strikeFromSymbol(A76)),MAX(0,strikeFromSymbol(A76)-$N$16))*10000</f>
        <v>0</v>
      </c>
      <c r="AB76" s="86">
        <f t="shared" si="6"/>
        <v>0</v>
      </c>
      <c r="AC76" s="49">
        <f t="shared" si="3"/>
        <v>0</v>
      </c>
      <c r="AD76" s="48">
        <f t="shared" si="4"/>
        <v>0</v>
      </c>
    </row>
    <row r="77" spans="1:33" x14ac:dyDescent="0.25">
      <c r="A77" s="2"/>
      <c r="B77" s="2"/>
      <c r="C77" s="2"/>
      <c r="D77" s="2"/>
      <c r="E77" s="2"/>
      <c r="F77" s="28"/>
      <c r="G77" s="2"/>
      <c r="H77" s="2"/>
      <c r="I77" s="2"/>
      <c r="J77" s="2"/>
      <c r="K77" s="2"/>
      <c r="L77" s="2"/>
      <c r="M77" s="2"/>
      <c r="N77" s="2"/>
      <c r="O77" s="2"/>
      <c r="P77" s="2"/>
      <c r="Q77" s="33"/>
      <c r="R77" s="2"/>
      <c r="S77" s="2"/>
      <c r="T77" s="2"/>
      <c r="U77" s="2">
        <f t="shared" si="0"/>
        <v>0</v>
      </c>
      <c r="V77" s="2">
        <v>1.5804</v>
      </c>
      <c r="W77" s="2">
        <f t="shared" si="1"/>
        <v>0</v>
      </c>
      <c r="X77">
        <f t="shared" si="5"/>
        <v>0</v>
      </c>
      <c r="Y77">
        <f t="shared" si="2"/>
        <v>0</v>
      </c>
      <c r="Z77" s="85">
        <f t="shared" si="7"/>
        <v>0</v>
      </c>
      <c r="AA77">
        <f>IF(rightFromSymbol(A77)="C",MAX(0,$N$16-strikeFromSymbol(A77)),MAX(0,strikeFromSymbol(A77)-$N$16))*10000</f>
        <v>0</v>
      </c>
      <c r="AB77" s="86">
        <f t="shared" si="6"/>
        <v>0</v>
      </c>
      <c r="AC77" s="49">
        <f t="shared" si="3"/>
        <v>0</v>
      </c>
      <c r="AD77" s="48">
        <f t="shared" si="4"/>
        <v>0</v>
      </c>
    </row>
    <row r="78" spans="1:33" x14ac:dyDescent="0.25">
      <c r="A78" s="2"/>
      <c r="B78" s="2"/>
      <c r="C78" s="2"/>
      <c r="D78" s="2"/>
      <c r="E78" s="2"/>
      <c r="F78" s="28"/>
      <c r="G78" s="2"/>
      <c r="H78" s="2"/>
      <c r="I78" s="2"/>
      <c r="J78" s="2"/>
      <c r="K78" s="2"/>
      <c r="L78" s="2"/>
      <c r="M78" s="2"/>
      <c r="N78" s="2"/>
      <c r="O78" s="2"/>
      <c r="P78" s="2"/>
      <c r="Q78" s="33"/>
      <c r="R78" s="2"/>
      <c r="S78" s="2"/>
      <c r="T78" s="2"/>
      <c r="U78" s="2">
        <f t="shared" si="0"/>
        <v>0</v>
      </c>
      <c r="V78" s="2">
        <v>1.5804</v>
      </c>
      <c r="W78" s="2">
        <f t="shared" si="1"/>
        <v>0</v>
      </c>
      <c r="X78">
        <f t="shared" si="5"/>
        <v>0</v>
      </c>
      <c r="Y78">
        <f t="shared" si="2"/>
        <v>0</v>
      </c>
      <c r="Z78" s="85">
        <f t="shared" si="7"/>
        <v>0</v>
      </c>
      <c r="AA78">
        <f>IF(rightFromSymbol(A78)="C",MAX(0,$N$16-strikeFromSymbol(A78)),MAX(0,strikeFromSymbol(A78)-$N$16))*10000</f>
        <v>0</v>
      </c>
      <c r="AB78" s="86">
        <f t="shared" si="6"/>
        <v>0</v>
      </c>
      <c r="AC78" s="49">
        <f t="shared" si="3"/>
        <v>0</v>
      </c>
      <c r="AD78" s="48">
        <f t="shared" si="4"/>
        <v>0</v>
      </c>
    </row>
    <row r="79" spans="1:33" x14ac:dyDescent="0.25">
      <c r="A79" s="2"/>
      <c r="B79" s="2"/>
      <c r="C79" s="2"/>
      <c r="D79" s="2"/>
      <c r="E79" s="2"/>
      <c r="F79" s="28"/>
      <c r="G79" s="2"/>
      <c r="H79" s="2"/>
      <c r="I79" s="2"/>
      <c r="J79" s="2"/>
      <c r="K79" s="2"/>
      <c r="L79" s="2"/>
      <c r="M79" s="2"/>
      <c r="N79" s="2"/>
      <c r="O79" s="2"/>
      <c r="P79" s="2"/>
      <c r="Q79" s="33"/>
      <c r="R79" s="2"/>
      <c r="S79" s="2"/>
      <c r="T79" s="2"/>
      <c r="U79" s="2">
        <f t="shared" si="0"/>
        <v>0</v>
      </c>
      <c r="V79" s="2">
        <v>1.5804</v>
      </c>
      <c r="W79" s="2">
        <f t="shared" si="1"/>
        <v>0</v>
      </c>
      <c r="X79">
        <f t="shared" si="5"/>
        <v>0</v>
      </c>
      <c r="Y79">
        <f t="shared" si="2"/>
        <v>0</v>
      </c>
      <c r="Z79" s="85">
        <f t="shared" si="7"/>
        <v>0</v>
      </c>
      <c r="AA79">
        <f>IF(rightFromSymbol(A79)="C",MAX(0,$N$16-strikeFromSymbol(A79)),MAX(0,strikeFromSymbol(A79)-$N$16))*10000</f>
        <v>0</v>
      </c>
      <c r="AB79" s="86">
        <f t="shared" si="6"/>
        <v>0</v>
      </c>
      <c r="AC79" s="49">
        <f t="shared" si="3"/>
        <v>0</v>
      </c>
      <c r="AD79" s="48">
        <f t="shared" si="4"/>
        <v>0</v>
      </c>
    </row>
    <row r="80" spans="1:33" x14ac:dyDescent="0.25">
      <c r="A80" s="2"/>
      <c r="B80" s="2"/>
      <c r="C80" s="2"/>
      <c r="D80" s="2"/>
      <c r="E80" s="2"/>
      <c r="F80" s="28"/>
      <c r="G80" s="2"/>
      <c r="H80" s="2"/>
      <c r="I80" s="2"/>
      <c r="J80" s="2"/>
      <c r="K80" s="2"/>
      <c r="L80" s="2"/>
      <c r="M80" s="2"/>
      <c r="N80" s="2"/>
      <c r="O80" s="2"/>
      <c r="P80" s="2"/>
      <c r="Q80" s="33"/>
      <c r="R80" s="2"/>
      <c r="S80" s="2"/>
      <c r="T80" s="2"/>
      <c r="U80" s="2">
        <f t="shared" si="0"/>
        <v>0</v>
      </c>
      <c r="V80" s="2">
        <v>1.5804</v>
      </c>
      <c r="W80" s="2">
        <f t="shared" si="1"/>
        <v>0</v>
      </c>
      <c r="X80">
        <f t="shared" si="5"/>
        <v>0</v>
      </c>
      <c r="Y80">
        <f t="shared" si="2"/>
        <v>0</v>
      </c>
      <c r="Z80" s="85">
        <f t="shared" si="7"/>
        <v>0</v>
      </c>
      <c r="AA80">
        <f>IF(rightFromSymbol(A80)="C",MAX(0,$N$16-strikeFromSymbol(A80)),MAX(0,strikeFromSymbol(A80)-$N$16))*10000</f>
        <v>0</v>
      </c>
      <c r="AB80" s="86">
        <f t="shared" si="6"/>
        <v>0</v>
      </c>
      <c r="AC80" s="49">
        <f t="shared" si="3"/>
        <v>0</v>
      </c>
      <c r="AD80" s="48">
        <f>MAX(0,AC80*6.25)</f>
        <v>0</v>
      </c>
    </row>
    <row r="81" spans="1:30" x14ac:dyDescent="0.25">
      <c r="A81" s="2"/>
      <c r="B81" s="2"/>
      <c r="C81" s="2"/>
      <c r="D81" s="2"/>
      <c r="E81" s="2"/>
      <c r="F81" s="28"/>
      <c r="G81" s="2"/>
      <c r="H81" s="2"/>
      <c r="I81" s="2"/>
      <c r="J81" s="2"/>
      <c r="K81" s="2"/>
      <c r="L81" s="2"/>
      <c r="M81" s="2"/>
      <c r="N81" s="2"/>
      <c r="O81" s="2"/>
      <c r="P81" s="2"/>
      <c r="Q81" s="33"/>
      <c r="R81" s="2"/>
      <c r="S81" s="2"/>
      <c r="T81" s="2"/>
      <c r="U81" s="2">
        <f t="shared" si="0"/>
        <v>0</v>
      </c>
      <c r="V81" s="2">
        <v>1.5804</v>
      </c>
      <c r="W81" s="2">
        <f t="shared" si="1"/>
        <v>0</v>
      </c>
      <c r="X81">
        <f t="shared" si="5"/>
        <v>0</v>
      </c>
      <c r="Y81">
        <f t="shared" si="2"/>
        <v>0</v>
      </c>
      <c r="Z81" s="85">
        <f t="shared" si="7"/>
        <v>0</v>
      </c>
      <c r="AA81">
        <f>IF(rightFromSymbol(A81)="C",MAX(0,$N$16-strikeFromSymbol(A81)),MAX(0,strikeFromSymbol(A81)-$N$16))*10000</f>
        <v>0</v>
      </c>
      <c r="AB81" s="86">
        <f t="shared" si="6"/>
        <v>0</v>
      </c>
      <c r="AC81" s="49">
        <f t="shared" si="3"/>
        <v>0</v>
      </c>
      <c r="AD81" s="48">
        <f t="shared" ref="AD81:AD91" si="8">MAX(0,AC81*6.25)</f>
        <v>0</v>
      </c>
    </row>
    <row r="82" spans="1:30" x14ac:dyDescent="0.25">
      <c r="A82" s="2"/>
      <c r="B82" s="2"/>
      <c r="C82" s="2"/>
      <c r="D82" s="2"/>
      <c r="E82" s="2"/>
      <c r="F82" s="28"/>
      <c r="G82" s="2"/>
      <c r="H82" s="2"/>
      <c r="I82" s="2"/>
      <c r="J82" s="2"/>
      <c r="K82" s="2"/>
      <c r="L82" s="2"/>
      <c r="M82" s="2"/>
      <c r="N82" s="2"/>
      <c r="O82" s="2"/>
      <c r="P82" s="2"/>
      <c r="Q82" s="33"/>
      <c r="R82" s="2"/>
      <c r="S82" s="2"/>
      <c r="T82" s="2"/>
      <c r="U82" s="2">
        <f t="shared" si="0"/>
        <v>0</v>
      </c>
      <c r="V82" s="2"/>
      <c r="W82" s="2">
        <f t="shared" si="1"/>
        <v>0</v>
      </c>
      <c r="X82">
        <f t="shared" si="5"/>
        <v>0</v>
      </c>
      <c r="Y82">
        <f t="shared" si="2"/>
        <v>0</v>
      </c>
      <c r="Z82" s="85">
        <f t="shared" si="7"/>
        <v>0</v>
      </c>
      <c r="AA82">
        <f>IF(rightFromSymbol(A82)="C",MAX(0,$N$16-strikeFromSymbol(A82)),MAX(0,strikeFromSymbol(A82)-$N$16))*10000</f>
        <v>0</v>
      </c>
      <c r="AB82" s="86">
        <f t="shared" si="6"/>
        <v>0</v>
      </c>
      <c r="AC82" s="49">
        <f t="shared" si="3"/>
        <v>0</v>
      </c>
      <c r="AD82" s="48">
        <f t="shared" si="8"/>
        <v>0</v>
      </c>
    </row>
    <row r="83" spans="1:30" x14ac:dyDescent="0.25">
      <c r="A83" s="2"/>
      <c r="B83" s="2"/>
      <c r="C83" s="2"/>
      <c r="D83" s="2"/>
      <c r="E83" s="2"/>
      <c r="F83" s="28"/>
      <c r="G83" s="2"/>
      <c r="H83" s="2"/>
      <c r="I83" s="2"/>
      <c r="J83" s="2"/>
      <c r="K83" s="2"/>
      <c r="L83" s="2"/>
      <c r="M83" s="2"/>
      <c r="N83" s="2"/>
      <c r="O83" s="2"/>
      <c r="P83" s="2"/>
      <c r="Q83" s="33"/>
      <c r="R83" s="2"/>
      <c r="S83" s="2"/>
      <c r="T83" s="2"/>
      <c r="U83" s="2">
        <f t="shared" si="0"/>
        <v>0</v>
      </c>
      <c r="V83" s="2"/>
      <c r="W83" s="2">
        <f t="shared" si="1"/>
        <v>0</v>
      </c>
      <c r="X83">
        <f t="shared" si="5"/>
        <v>0</v>
      </c>
      <c r="Y83">
        <f t="shared" si="2"/>
        <v>0</v>
      </c>
      <c r="Z83" s="85">
        <f t="shared" si="7"/>
        <v>0</v>
      </c>
      <c r="AA83">
        <f>IF(rightFromSymbol(A83)="C",MAX(0,$N$16-strikeFromSymbol(A83)),MAX(0,strikeFromSymbol(A83)-$N$16))*10000</f>
        <v>0</v>
      </c>
      <c r="AB83" s="86">
        <f t="shared" si="6"/>
        <v>0</v>
      </c>
      <c r="AC83" s="49">
        <f t="shared" si="3"/>
        <v>0</v>
      </c>
      <c r="AD83" s="48">
        <f t="shared" si="8"/>
        <v>0</v>
      </c>
    </row>
    <row r="84" spans="1:30" x14ac:dyDescent="0.25">
      <c r="A84" s="2"/>
      <c r="B84" s="2"/>
      <c r="C84" s="2"/>
      <c r="D84" s="2"/>
      <c r="E84" s="2"/>
      <c r="F84" s="28"/>
      <c r="G84" s="2"/>
      <c r="H84" s="2"/>
      <c r="I84" s="2"/>
      <c r="J84" s="2"/>
      <c r="K84" s="2"/>
      <c r="L84" s="2"/>
      <c r="M84" s="2"/>
      <c r="N84" s="2"/>
      <c r="O84" s="2"/>
      <c r="P84" s="2"/>
      <c r="Q84" s="33"/>
      <c r="R84" s="2"/>
      <c r="S84" s="2"/>
      <c r="T84" s="2"/>
      <c r="U84" s="2">
        <f t="shared" si="0"/>
        <v>0</v>
      </c>
      <c r="V84" s="2"/>
      <c r="W84" s="2">
        <f t="shared" si="1"/>
        <v>0</v>
      </c>
      <c r="X84">
        <f t="shared" si="5"/>
        <v>0</v>
      </c>
      <c r="Y84">
        <f t="shared" si="2"/>
        <v>0</v>
      </c>
      <c r="Z84" s="85">
        <f t="shared" si="7"/>
        <v>0</v>
      </c>
      <c r="AA84">
        <f>IF(rightFromSymbol(A84)="C",MAX(0,$N$16-strikeFromSymbol(A84)),MAX(0,strikeFromSymbol(A84)-$N$16))*10000</f>
        <v>0</v>
      </c>
      <c r="AB84" s="86">
        <f t="shared" si="6"/>
        <v>0</v>
      </c>
      <c r="AC84" s="49">
        <f t="shared" si="3"/>
        <v>0</v>
      </c>
      <c r="AD84" s="48">
        <f t="shared" si="8"/>
        <v>0</v>
      </c>
    </row>
    <row r="85" spans="1:30" x14ac:dyDescent="0.25">
      <c r="A85" s="2"/>
      <c r="B85" s="2"/>
      <c r="C85" s="2"/>
      <c r="D85" s="2"/>
      <c r="E85" s="2"/>
      <c r="F85" s="28"/>
      <c r="G85" s="2"/>
      <c r="H85" s="2"/>
      <c r="I85" s="2"/>
      <c r="J85" s="2"/>
      <c r="K85" s="2"/>
      <c r="L85" s="2"/>
      <c r="M85" s="2"/>
      <c r="N85" s="2"/>
      <c r="O85" s="2"/>
      <c r="P85" s="2"/>
      <c r="Q85" s="33"/>
      <c r="R85" s="2"/>
      <c r="S85" s="2"/>
      <c r="T85" s="2"/>
      <c r="U85" s="2">
        <f t="shared" si="0"/>
        <v>0</v>
      </c>
      <c r="V85" s="2"/>
      <c r="W85" s="2">
        <f t="shared" si="1"/>
        <v>0</v>
      </c>
      <c r="X85">
        <f t="shared" si="5"/>
        <v>0</v>
      </c>
      <c r="Y85">
        <f t="shared" si="2"/>
        <v>0</v>
      </c>
      <c r="Z85" s="85">
        <f t="shared" si="7"/>
        <v>0</v>
      </c>
      <c r="AA85">
        <f>IF(rightFromSymbol(A85)="C",MAX(0,$N$16-strikeFromSymbol(A85)),MAX(0,strikeFromSymbol(A85)-$N$16))*10000</f>
        <v>0</v>
      </c>
      <c r="AB85" s="86">
        <f t="shared" si="6"/>
        <v>0</v>
      </c>
      <c r="AC85" s="49">
        <f t="shared" si="3"/>
        <v>0</v>
      </c>
      <c r="AD85" s="48">
        <f t="shared" si="8"/>
        <v>0</v>
      </c>
    </row>
    <row r="86" spans="1:30" x14ac:dyDescent="0.25">
      <c r="A86" s="2"/>
      <c r="B86" s="2"/>
      <c r="C86" s="2"/>
      <c r="D86" s="2"/>
      <c r="E86" s="2"/>
      <c r="F86" s="28"/>
      <c r="G86" s="2"/>
      <c r="H86" s="2"/>
      <c r="I86" s="2"/>
      <c r="J86" s="2"/>
      <c r="K86" s="2"/>
      <c r="L86" s="2"/>
      <c r="M86" s="2"/>
      <c r="N86" s="2"/>
      <c r="O86" s="2"/>
      <c r="P86" s="2"/>
      <c r="Q86" s="33"/>
      <c r="R86" s="2"/>
      <c r="S86" s="2"/>
      <c r="T86" s="2"/>
      <c r="U86" s="2">
        <f t="shared" si="0"/>
        <v>0</v>
      </c>
      <c r="V86" s="2"/>
      <c r="W86" s="2">
        <f t="shared" si="1"/>
        <v>0</v>
      </c>
      <c r="X86">
        <f t="shared" si="5"/>
        <v>0</v>
      </c>
      <c r="Y86">
        <f t="shared" si="2"/>
        <v>0</v>
      </c>
      <c r="Z86" s="85">
        <f t="shared" si="7"/>
        <v>0</v>
      </c>
      <c r="AA86">
        <f>IF(rightFromSymbol(A86)="C",MAX(0,$N$16-strikeFromSymbol(A86)),MAX(0,strikeFromSymbol(A86)-$N$16))*10000</f>
        <v>0</v>
      </c>
      <c r="AB86" s="86">
        <f t="shared" si="6"/>
        <v>0</v>
      </c>
      <c r="AC86" s="49">
        <f t="shared" si="3"/>
        <v>0</v>
      </c>
      <c r="AD86" s="48">
        <f t="shared" si="8"/>
        <v>0</v>
      </c>
    </row>
    <row r="87" spans="1:30" x14ac:dyDescent="0.25">
      <c r="A87" s="2"/>
      <c r="B87" s="2"/>
      <c r="C87" s="2"/>
      <c r="D87" s="2"/>
      <c r="E87" s="2"/>
      <c r="F87" s="28"/>
      <c r="G87" s="2"/>
      <c r="H87" s="2"/>
      <c r="I87" s="2"/>
      <c r="J87" s="2"/>
      <c r="K87" s="2"/>
      <c r="L87" s="2"/>
      <c r="M87" s="2"/>
      <c r="N87" s="2"/>
      <c r="O87" s="2"/>
      <c r="P87" s="2"/>
      <c r="Q87" s="33"/>
      <c r="R87" s="2"/>
      <c r="S87" s="2"/>
      <c r="T87" s="2"/>
      <c r="U87" s="2">
        <f t="shared" si="0"/>
        <v>0</v>
      </c>
      <c r="V87" s="2"/>
      <c r="W87" s="2">
        <f t="shared" si="1"/>
        <v>0</v>
      </c>
      <c r="X87">
        <f t="shared" si="5"/>
        <v>0</v>
      </c>
      <c r="Y87">
        <f t="shared" si="2"/>
        <v>0</v>
      </c>
      <c r="Z87" s="85">
        <f t="shared" si="7"/>
        <v>0</v>
      </c>
      <c r="AA87">
        <f>IF(rightFromSymbol(A87)="C",MAX(0,$N$16-strikeFromSymbol(A87)),MAX(0,strikeFromSymbol(A87)-$N$16))*10000</f>
        <v>0</v>
      </c>
      <c r="AB87" s="86">
        <f t="shared" si="6"/>
        <v>0</v>
      </c>
      <c r="AC87" s="49">
        <f t="shared" si="3"/>
        <v>0</v>
      </c>
      <c r="AD87" s="48">
        <f t="shared" si="8"/>
        <v>0</v>
      </c>
    </row>
    <row r="88" spans="1:30" x14ac:dyDescent="0.25">
      <c r="A88" s="2"/>
      <c r="B88" s="2"/>
      <c r="C88" s="2"/>
      <c r="D88" s="2"/>
      <c r="E88" s="2"/>
      <c r="F88" s="28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f t="shared" si="0"/>
        <v>0</v>
      </c>
      <c r="V88" s="2"/>
      <c r="W88" s="2">
        <f t="shared" si="1"/>
        <v>0</v>
      </c>
      <c r="X88">
        <f t="shared" si="5"/>
        <v>0</v>
      </c>
      <c r="Y88">
        <f t="shared" si="2"/>
        <v>0</v>
      </c>
      <c r="Z88" s="85">
        <f t="shared" si="7"/>
        <v>0</v>
      </c>
      <c r="AA88">
        <f>IF(rightFromSymbol(A88)="C",MAX(0,$N$16-strikeFromSymbol(A88)),MAX(0,strikeFromSymbol(A88)-$N$16))*10000</f>
        <v>0</v>
      </c>
      <c r="AB88" s="86">
        <f t="shared" si="6"/>
        <v>0</v>
      </c>
      <c r="AC88" s="49">
        <f t="shared" si="3"/>
        <v>0</v>
      </c>
      <c r="AD88" s="48">
        <f t="shared" si="8"/>
        <v>0</v>
      </c>
    </row>
    <row r="89" spans="1:30" x14ac:dyDescent="0.25">
      <c r="A89" s="2"/>
      <c r="B89" s="2"/>
      <c r="C89" s="2"/>
      <c r="D89" s="2"/>
      <c r="E89" s="2"/>
      <c r="F89" s="28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f t="shared" si="0"/>
        <v>0</v>
      </c>
      <c r="V89" s="2"/>
      <c r="W89" s="2">
        <f t="shared" si="1"/>
        <v>0</v>
      </c>
      <c r="X89">
        <f t="shared" si="5"/>
        <v>0</v>
      </c>
      <c r="Y89">
        <f t="shared" si="2"/>
        <v>0</v>
      </c>
      <c r="Z89" s="85">
        <f t="shared" si="7"/>
        <v>0</v>
      </c>
      <c r="AA89">
        <f>IF(rightFromSymbol(A89)="C",MAX(0,$N$16-strikeFromSymbol(A89)),MAX(0,strikeFromSymbol(A89)-$N$16))*10000</f>
        <v>0</v>
      </c>
      <c r="AB89" s="86">
        <f t="shared" si="6"/>
        <v>0</v>
      </c>
      <c r="AC89" s="49">
        <f t="shared" si="3"/>
        <v>0</v>
      </c>
      <c r="AD89" s="48">
        <f t="shared" si="8"/>
        <v>0</v>
      </c>
    </row>
    <row r="90" spans="1:30" x14ac:dyDescent="0.25">
      <c r="A90" s="2"/>
      <c r="B90" s="2"/>
      <c r="C90" s="2"/>
      <c r="D90" s="2"/>
      <c r="E90" s="2"/>
      <c r="F90" s="28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>
        <f t="shared" si="0"/>
        <v>0</v>
      </c>
      <c r="V90" s="2"/>
      <c r="W90" s="2">
        <f t="shared" si="1"/>
        <v>0</v>
      </c>
      <c r="X90">
        <f t="shared" si="5"/>
        <v>0</v>
      </c>
      <c r="Y90">
        <f t="shared" si="2"/>
        <v>0</v>
      </c>
      <c r="Z90" s="85">
        <f t="shared" si="7"/>
        <v>0</v>
      </c>
      <c r="AA90">
        <f>IF(rightFromSymbol(A90)="C",MAX(0,$N$16-strikeFromSymbol(A90)),MAX(0,strikeFromSymbol(A90)-$N$16))*10000</f>
        <v>0</v>
      </c>
      <c r="AB90" s="86">
        <f t="shared" si="6"/>
        <v>0</v>
      </c>
      <c r="AC90" s="49">
        <f t="shared" si="3"/>
        <v>0</v>
      </c>
      <c r="AD90" s="48">
        <f t="shared" si="8"/>
        <v>0</v>
      </c>
    </row>
    <row r="91" spans="1:30" x14ac:dyDescent="0.25">
      <c r="A91" s="2"/>
      <c r="B91" s="2"/>
      <c r="C91" s="2"/>
      <c r="D91" s="2"/>
      <c r="E91" s="2"/>
      <c r="F91" s="28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>
        <f t="shared" si="0"/>
        <v>0</v>
      </c>
      <c r="V91" s="2"/>
      <c r="W91" s="2">
        <f t="shared" si="1"/>
        <v>0</v>
      </c>
      <c r="X91">
        <f t="shared" si="5"/>
        <v>0</v>
      </c>
      <c r="Y91">
        <f t="shared" si="2"/>
        <v>0</v>
      </c>
      <c r="Z91" s="85">
        <f t="shared" si="7"/>
        <v>0</v>
      </c>
      <c r="AA91">
        <f>IF(rightFromSymbol(A91)="C",MAX(0,$N$16-strikeFromSymbol(A91)),MAX(0,strikeFromSymbol(A91)-$N$16))*10000</f>
        <v>0</v>
      </c>
      <c r="AB91" s="86">
        <f t="shared" si="6"/>
        <v>0</v>
      </c>
      <c r="AC91" s="49">
        <f t="shared" si="3"/>
        <v>0</v>
      </c>
      <c r="AD91" s="48">
        <f t="shared" si="8"/>
        <v>0</v>
      </c>
    </row>
    <row r="97" spans="1:13" x14ac:dyDescent="0.25">
      <c r="A97" s="121" t="s">
        <v>174</v>
      </c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</row>
    <row r="98" spans="1:13" x14ac:dyDescent="0.25">
      <c r="A98" s="115" t="s">
        <v>41</v>
      </c>
      <c r="B98" s="116"/>
      <c r="C98" s="116"/>
      <c r="D98" s="116"/>
      <c r="E98" s="116"/>
      <c r="F98" s="116"/>
      <c r="G98" s="116"/>
      <c r="H98" s="116"/>
      <c r="I98" s="116"/>
      <c r="J98" s="116"/>
      <c r="K98" s="116"/>
      <c r="L98" s="116"/>
      <c r="M98" s="116"/>
    </row>
    <row r="99" spans="1:13" x14ac:dyDescent="0.25">
      <c r="A99" s="70" t="s">
        <v>9</v>
      </c>
      <c r="B99" s="69" t="s">
        <v>42</v>
      </c>
      <c r="C99" s="69" t="s">
        <v>43</v>
      </c>
      <c r="D99" s="69" t="s">
        <v>44</v>
      </c>
      <c r="E99" s="69" t="s">
        <v>45</v>
      </c>
      <c r="F99" s="69" t="s">
        <v>33</v>
      </c>
      <c r="G99" s="69" t="s">
        <v>46</v>
      </c>
      <c r="H99" s="69" t="s">
        <v>47</v>
      </c>
      <c r="I99" s="69" t="s">
        <v>48</v>
      </c>
      <c r="J99" s="69" t="s">
        <v>49</v>
      </c>
      <c r="K99" s="69" t="s">
        <v>50</v>
      </c>
      <c r="L99" s="69" t="s">
        <v>51</v>
      </c>
      <c r="M99" s="69" t="s">
        <v>52</v>
      </c>
    </row>
    <row r="100" spans="1:13" x14ac:dyDescent="0.25">
      <c r="A100" s="2"/>
      <c r="B100" s="16"/>
      <c r="C100" s="20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0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0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0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0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0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0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0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0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0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0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0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0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16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16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16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16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16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16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  <row r="1028" spans="1:13" x14ac:dyDescent="0.25">
      <c r="A1028" s="2"/>
      <c r="B1028" s="16"/>
      <c r="C1028" s="22"/>
      <c r="D1028" s="16"/>
      <c r="E1028" s="21"/>
      <c r="F1028" s="16"/>
      <c r="G1028" s="16"/>
      <c r="H1028" s="16"/>
      <c r="I1028" s="16"/>
      <c r="J1028" s="16"/>
      <c r="K1028" s="16"/>
      <c r="L1028" s="16"/>
      <c r="M1028" s="16"/>
    </row>
    <row r="1029" spans="1:13" x14ac:dyDescent="0.25">
      <c r="A1029" s="2"/>
      <c r="B1029" s="16"/>
      <c r="C1029" s="22"/>
      <c r="D1029" s="16"/>
      <c r="E1029" s="21"/>
      <c r="F1029" s="16"/>
      <c r="G1029" s="16"/>
      <c r="H1029" s="16"/>
      <c r="I1029" s="16"/>
      <c r="J1029" s="16"/>
      <c r="K1029" s="16"/>
      <c r="L1029" s="16"/>
      <c r="M1029" s="16"/>
    </row>
    <row r="1030" spans="1:13" x14ac:dyDescent="0.25">
      <c r="A1030" s="2"/>
      <c r="B1030" s="16"/>
      <c r="C1030" s="22"/>
      <c r="D1030" s="16"/>
      <c r="E1030" s="21"/>
      <c r="F1030" s="16"/>
      <c r="G1030" s="16"/>
      <c r="H1030" s="16"/>
      <c r="I1030" s="16"/>
      <c r="J1030" s="16"/>
      <c r="K1030" s="16"/>
      <c r="L1030" s="16"/>
      <c r="M1030" s="16"/>
    </row>
    <row r="1031" spans="1:13" x14ac:dyDescent="0.25">
      <c r="A1031" s="2"/>
      <c r="B1031" s="16"/>
      <c r="C1031" s="22"/>
      <c r="D1031" s="16"/>
      <c r="E1031" s="21"/>
      <c r="F1031" s="16"/>
      <c r="G1031" s="16"/>
      <c r="H1031" s="16"/>
      <c r="I1031" s="16"/>
      <c r="J1031" s="16"/>
      <c r="K1031" s="16"/>
      <c r="L1031" s="16"/>
      <c r="M1031" s="16"/>
    </row>
    <row r="1032" spans="1:13" x14ac:dyDescent="0.25">
      <c r="A1032" s="2"/>
      <c r="B1032" s="16"/>
      <c r="C1032" s="22"/>
      <c r="D1032" s="16"/>
      <c r="E1032" s="21"/>
      <c r="F1032" s="16"/>
      <c r="G1032" s="16"/>
      <c r="H1032" s="16"/>
      <c r="I1032" s="16"/>
      <c r="J1032" s="16"/>
      <c r="K1032" s="16"/>
      <c r="L1032" s="16"/>
      <c r="M1032" s="16"/>
    </row>
    <row r="1033" spans="1:13" x14ac:dyDescent="0.25">
      <c r="A1033" s="2"/>
      <c r="B1033" s="16"/>
      <c r="C1033" s="22"/>
      <c r="D1033" s="16"/>
      <c r="E1033" s="21"/>
      <c r="F1033" s="16"/>
      <c r="G1033" s="16"/>
      <c r="H1033" s="16"/>
      <c r="I1033" s="16"/>
      <c r="J1033" s="16"/>
      <c r="K1033" s="16"/>
      <c r="L1033" s="16"/>
      <c r="M1033" s="16"/>
    </row>
  </sheetData>
  <dataConsolidate/>
  <mergeCells count="66">
    <mergeCell ref="Q32:R32"/>
    <mergeCell ref="Q34:W34"/>
    <mergeCell ref="S32:T32"/>
    <mergeCell ref="N69:S69"/>
    <mergeCell ref="T69:W69"/>
    <mergeCell ref="U32:V32"/>
    <mergeCell ref="M57:O57"/>
    <mergeCell ref="A56:O56"/>
    <mergeCell ref="Q40:S40"/>
    <mergeCell ref="T40:U40"/>
    <mergeCell ref="V40:W40"/>
    <mergeCell ref="A98:M98"/>
    <mergeCell ref="A69:M69"/>
    <mergeCell ref="O32:P32"/>
    <mergeCell ref="B57:E57"/>
    <mergeCell ref="G57:K57"/>
    <mergeCell ref="C32:D32"/>
    <mergeCell ref="E32:F32"/>
    <mergeCell ref="G32:H32"/>
    <mergeCell ref="I32:J32"/>
    <mergeCell ref="K32:L32"/>
    <mergeCell ref="M32:N32"/>
    <mergeCell ref="A97:M97"/>
    <mergeCell ref="I64:J64"/>
    <mergeCell ref="A34:I34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1</xdr:col>
                <xdr:colOff>523875</xdr:colOff>
                <xdr:row>13</xdr:row>
                <xdr:rowOff>19050</xdr:rowOff>
              </from>
              <to>
                <xdr:col>3</xdr:col>
                <xdr:colOff>257175</xdr:colOff>
                <xdr:row>14</xdr:row>
                <xdr:rowOff>47625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31" t="s">
        <v>123</v>
      </c>
      <c r="AF1" s="131"/>
      <c r="AG1" s="131"/>
      <c r="AH1" s="131"/>
      <c r="AI1" s="131"/>
      <c r="AJ1" s="131"/>
      <c r="AK1" s="131"/>
    </row>
    <row r="4" spans="2:37" x14ac:dyDescent="0.25">
      <c r="B4" s="100" t="s">
        <v>13</v>
      </c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00"/>
      <c r="R4" s="101"/>
      <c r="S4" s="101"/>
      <c r="T4" s="126" t="s">
        <v>101</v>
      </c>
      <c r="U4" s="126"/>
      <c r="V4" s="126"/>
      <c r="W4" s="126"/>
      <c r="X4" s="126"/>
      <c r="Y4" s="126"/>
      <c r="Z4" s="126"/>
      <c r="AA4" s="126"/>
      <c r="AB4" s="126" t="s">
        <v>108</v>
      </c>
      <c r="AC4" s="126"/>
      <c r="AD4" s="126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A11" sqref="A11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100</v>
      </c>
    </row>
    <row r="2" spans="1:2" x14ac:dyDescent="0.25">
      <c r="A2" t="s">
        <v>176</v>
      </c>
      <c r="B2">
        <v>1029</v>
      </c>
    </row>
    <row r="3" spans="1:2" x14ac:dyDescent="0.25">
      <c r="A3" t="s">
        <v>177</v>
      </c>
      <c r="B3">
        <v>71</v>
      </c>
    </row>
    <row r="4" spans="1:2" x14ac:dyDescent="0.25">
      <c r="A4" t="s">
        <v>178</v>
      </c>
      <c r="B4">
        <v>91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59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35</v>
      </c>
    </row>
    <row r="9" spans="1:2" x14ac:dyDescent="0.25">
      <c r="A9" t="s">
        <v>191</v>
      </c>
      <c r="B9">
        <v>17</v>
      </c>
    </row>
    <row r="10" spans="1:2" x14ac:dyDescent="0.25">
      <c r="A10" t="s">
        <v>202</v>
      </c>
      <c r="B10">
        <v>64</v>
      </c>
    </row>
    <row r="11" spans="1:2" x14ac:dyDescent="0.25">
      <c r="A11" t="s">
        <v>203</v>
      </c>
      <c r="B11">
        <v>65</v>
      </c>
    </row>
    <row r="12" spans="1:2" x14ac:dyDescent="0.25">
      <c r="A12" t="s">
        <v>214</v>
      </c>
      <c r="B12">
        <v>16</v>
      </c>
    </row>
    <row r="13" spans="1:2" x14ac:dyDescent="0.25">
      <c r="A13" t="s">
        <v>215</v>
      </c>
      <c r="B13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222</v>
      </c>
    </row>
    <row r="2" spans="1:1" x14ac:dyDescent="0.25">
      <c r="A2" s="27" t="s">
        <v>223</v>
      </c>
    </row>
    <row r="3" spans="1:1" x14ac:dyDescent="0.25">
      <c r="A3" s="27" t="s">
        <v>224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00" t="s">
        <v>57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32" t="s">
        <v>26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3"/>
      <c r="M2" s="134" t="s">
        <v>27</v>
      </c>
      <c r="N2" s="134"/>
      <c r="O2" s="134"/>
      <c r="P2" s="134"/>
      <c r="Q2" s="134"/>
      <c r="R2" s="134" t="s">
        <v>28</v>
      </c>
      <c r="S2" s="134"/>
      <c r="T2" s="134"/>
      <c r="U2" s="134"/>
      <c r="V2" s="134"/>
      <c r="W2" s="134"/>
      <c r="X2" s="134"/>
      <c r="Y2" s="115" t="s">
        <v>41</v>
      </c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35"/>
      <c r="AM2" s="135"/>
      <c r="AN2" s="135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1"/>
      <c r="Q5" s="16"/>
      <c r="R5" s="2"/>
      <c r="S5" s="2"/>
      <c r="T5" s="2"/>
      <c r="U5" s="2"/>
      <c r="V5" s="2"/>
      <c r="W5" s="2"/>
      <c r="X5" s="2"/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1"/>
      <c r="Q6" s="16"/>
      <c r="R6" s="2"/>
      <c r="S6" s="2"/>
      <c r="T6" s="2"/>
      <c r="U6" s="2"/>
      <c r="V6" s="2"/>
      <c r="W6" s="2"/>
      <c r="X6" s="2"/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1"/>
      <c r="Q7" s="16"/>
      <c r="R7" s="2"/>
      <c r="S7" s="2"/>
      <c r="T7" s="2"/>
      <c r="U7" s="2"/>
      <c r="V7" s="2"/>
      <c r="W7" s="2"/>
      <c r="X7" s="2"/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1"/>
      <c r="Q8" s="16"/>
      <c r="R8" s="2"/>
      <c r="S8" s="2"/>
      <c r="T8" s="2"/>
      <c r="U8" s="2"/>
      <c r="V8" s="2"/>
      <c r="W8" s="2"/>
      <c r="X8" s="2"/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1"/>
      <c r="Q9" s="16"/>
      <c r="R9" s="2"/>
      <c r="S9" s="2"/>
      <c r="T9" s="2"/>
      <c r="U9" s="2"/>
      <c r="V9" s="2"/>
      <c r="W9" s="2"/>
      <c r="X9" s="2"/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1"/>
      <c r="Q10" s="16"/>
      <c r="R10" s="2"/>
      <c r="S10" s="2"/>
      <c r="T10" s="2"/>
      <c r="U10" s="2"/>
      <c r="V10" s="2"/>
      <c r="W10" s="2"/>
      <c r="X10" s="2"/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1"/>
      <c r="Q11" s="16"/>
      <c r="R11" s="2"/>
      <c r="S11" s="2"/>
      <c r="T11" s="2"/>
      <c r="U11" s="2"/>
      <c r="V11" s="2"/>
      <c r="W11" s="2"/>
      <c r="X11" s="2"/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1"/>
      <c r="Q12" s="16"/>
      <c r="R12" s="2"/>
      <c r="S12" s="2"/>
      <c r="T12" s="2"/>
      <c r="U12" s="2"/>
      <c r="V12" s="2"/>
      <c r="W12" s="2"/>
      <c r="X12" s="2"/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1"/>
      <c r="Q13" s="16"/>
      <c r="R13" s="2"/>
      <c r="S13" s="2"/>
      <c r="T13" s="2"/>
      <c r="U13" s="2"/>
      <c r="V13" s="2"/>
      <c r="W13" s="2"/>
      <c r="X13" s="2"/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1"/>
      <c r="Q14" s="16"/>
      <c r="R14" s="2"/>
      <c r="S14" s="2"/>
      <c r="T14" s="2"/>
      <c r="U14" s="2"/>
      <c r="V14" s="2"/>
      <c r="W14" s="2"/>
      <c r="X14" s="2"/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1"/>
      <c r="Q15" s="16"/>
      <c r="R15" s="2"/>
      <c r="S15" s="2"/>
      <c r="T15" s="2"/>
      <c r="U15" s="2"/>
      <c r="V15" s="2"/>
      <c r="W15" s="2"/>
      <c r="X15" s="2"/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1"/>
      <c r="Q16" s="16"/>
      <c r="R16" s="2"/>
      <c r="S16" s="2"/>
      <c r="T16" s="2"/>
      <c r="U16" s="2"/>
      <c r="V16" s="2"/>
      <c r="W16" s="2"/>
      <c r="X16" s="2"/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1"/>
      <c r="Q17" s="16"/>
      <c r="R17" s="2"/>
      <c r="S17" s="2"/>
      <c r="T17" s="2"/>
      <c r="U17" s="2"/>
      <c r="V17" s="2"/>
      <c r="W17" s="2"/>
      <c r="X17" s="2"/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1"/>
      <c r="Q18" s="16"/>
      <c r="R18" s="2"/>
      <c r="S18" s="2"/>
      <c r="T18" s="2"/>
      <c r="U18" s="2"/>
      <c r="V18" s="2"/>
      <c r="W18" s="2"/>
      <c r="X18" s="2"/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1"/>
      <c r="Q19" s="16"/>
      <c r="R19" s="2"/>
      <c r="S19" s="2"/>
      <c r="T19" s="2"/>
      <c r="U19" s="2"/>
      <c r="V19" s="2"/>
      <c r="W19" s="2"/>
      <c r="X19" s="2"/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1"/>
      <c r="Q20" s="16"/>
      <c r="R20" s="2"/>
      <c r="S20" s="2"/>
      <c r="T20" s="2"/>
      <c r="U20" s="2"/>
      <c r="V20" s="2"/>
      <c r="W20" s="2"/>
      <c r="X20" s="2"/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1"/>
      <c r="Q21" s="16"/>
      <c r="R21" s="2"/>
      <c r="S21" s="2"/>
      <c r="T21" s="2"/>
      <c r="U21" s="2"/>
      <c r="V21" s="2"/>
      <c r="W21" s="2"/>
      <c r="X21" s="2"/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1"/>
      <c r="Q22" s="16"/>
      <c r="R22" s="2"/>
      <c r="S22" s="2"/>
      <c r="T22" s="2"/>
      <c r="U22" s="2"/>
      <c r="V22" s="2"/>
      <c r="W22" s="2"/>
      <c r="X22" s="2"/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1"/>
      <c r="Q23" s="16"/>
      <c r="R23" s="2"/>
      <c r="S23" s="2"/>
      <c r="T23" s="2"/>
      <c r="U23" s="2"/>
      <c r="V23" s="2"/>
      <c r="W23" s="2"/>
      <c r="X23" s="2"/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1"/>
      <c r="Q24" s="16"/>
      <c r="R24" s="2"/>
      <c r="S24" s="2"/>
      <c r="T24" s="2"/>
      <c r="U24" s="2"/>
      <c r="V24" s="2"/>
      <c r="W24" s="2"/>
      <c r="X24" s="2"/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1"/>
      <c r="Q25" s="16"/>
      <c r="R25" s="2"/>
      <c r="S25" s="2"/>
      <c r="T25" s="2"/>
      <c r="U25" s="2"/>
      <c r="V25" s="2"/>
      <c r="W25" s="2"/>
      <c r="X25" s="2"/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1"/>
      <c r="Q26" s="16"/>
      <c r="R26" s="2"/>
      <c r="S26" s="2"/>
      <c r="T26" s="2"/>
      <c r="U26" s="2"/>
      <c r="V26" s="2"/>
      <c r="W26" s="2"/>
      <c r="X26" s="2"/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1"/>
      <c r="Q27" s="16"/>
      <c r="R27" s="2"/>
      <c r="S27" s="2"/>
      <c r="T27" s="2"/>
      <c r="U27" s="2"/>
      <c r="V27" s="2"/>
      <c r="W27" s="2"/>
      <c r="X27" s="2"/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2015-02-10T15:28:31Z</dcterms:modified>
</cp:coreProperties>
</file>