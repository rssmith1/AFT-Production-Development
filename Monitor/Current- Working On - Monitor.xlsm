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G125" i="13"/>
  <c r="AF125" i="13"/>
  <c r="AE125" i="13"/>
  <c r="AD125" i="13"/>
  <c r="AC125" i="13"/>
  <c r="AB125" i="13"/>
  <c r="K125" i="13"/>
  <c r="H125" i="13"/>
  <c r="AK124" i="13"/>
  <c r="AJ124" i="13"/>
  <c r="AI124" i="13"/>
  <c r="AH124" i="13"/>
  <c r="AG124" i="13"/>
  <c r="AF124" i="13"/>
  <c r="AE124" i="13"/>
  <c r="AD124" i="13"/>
  <c r="AC124" i="13"/>
  <c r="AB124" i="13"/>
  <c r="K124" i="13"/>
  <c r="H124" i="13"/>
  <c r="AK123" i="13"/>
  <c r="AJ123" i="13"/>
  <c r="AI123" i="13"/>
  <c r="AH123" i="13"/>
  <c r="AG123" i="13"/>
  <c r="AF123" i="13"/>
  <c r="AE123" i="13"/>
  <c r="AD123" i="13"/>
  <c r="AC123" i="13"/>
  <c r="AB123" i="13"/>
  <c r="K123" i="13"/>
  <c r="H123" i="13"/>
  <c r="AK122" i="13"/>
  <c r="AJ122" i="13"/>
  <c r="AI122" i="13"/>
  <c r="AH122" i="13"/>
  <c r="AG122" i="13"/>
  <c r="AF122" i="13"/>
  <c r="AE122" i="13"/>
  <c r="AD122" i="13"/>
  <c r="AC122" i="13"/>
  <c r="AB122" i="13"/>
  <c r="K122" i="13"/>
  <c r="H122" i="13"/>
  <c r="AK121" i="13"/>
  <c r="AJ121" i="13"/>
  <c r="AI121" i="13"/>
  <c r="AH121" i="13"/>
  <c r="AG121" i="13"/>
  <c r="AF121" i="13"/>
  <c r="AE121" i="13"/>
  <c r="AD121" i="13"/>
  <c r="AC121" i="13"/>
  <c r="AB121" i="13"/>
  <c r="K121" i="13"/>
  <c r="H121" i="13"/>
  <c r="AK120" i="13"/>
  <c r="AJ120" i="13"/>
  <c r="AI120" i="13"/>
  <c r="AH120" i="13"/>
  <c r="AG120" i="13"/>
  <c r="AF120" i="13"/>
  <c r="AE120" i="13"/>
  <c r="AD120" i="13"/>
  <c r="AC120" i="13"/>
  <c r="AB120" i="13"/>
  <c r="K120" i="13"/>
  <c r="H120" i="13"/>
  <c r="AK119" i="13"/>
  <c r="AJ119" i="13"/>
  <c r="AI119" i="13"/>
  <c r="AH119" i="13"/>
  <c r="AG119" i="13"/>
  <c r="AF119" i="13"/>
  <c r="AE119" i="13"/>
  <c r="AD119" i="13"/>
  <c r="AC119" i="13"/>
  <c r="AB119" i="13"/>
  <c r="K119" i="13"/>
  <c r="H119" i="13"/>
  <c r="AK118" i="13"/>
  <c r="AJ118" i="13"/>
  <c r="AI118" i="13"/>
  <c r="AH118" i="13"/>
  <c r="AG118" i="13"/>
  <c r="AF118" i="13"/>
  <c r="AE118" i="13"/>
  <c r="AD118" i="13"/>
  <c r="AC118" i="13"/>
  <c r="AB118" i="13"/>
  <c r="K118" i="13"/>
  <c r="H118" i="13"/>
  <c r="AK117" i="13"/>
  <c r="AJ117" i="13"/>
  <c r="AI117" i="13"/>
  <c r="AH117" i="13"/>
  <c r="AG117" i="13"/>
  <c r="AF117" i="13"/>
  <c r="AE117" i="13"/>
  <c r="AD117" i="13"/>
  <c r="AC117" i="13"/>
  <c r="AB117" i="13"/>
  <c r="K117" i="13"/>
  <c r="H117" i="13"/>
  <c r="AK116" i="13"/>
  <c r="AJ116" i="13"/>
  <c r="AI116" i="13"/>
  <c r="AH116" i="13"/>
  <c r="AG116" i="13"/>
  <c r="AF116" i="13"/>
  <c r="AE116" i="13"/>
  <c r="AD116" i="13"/>
  <c r="AC116" i="13"/>
  <c r="AB116" i="13"/>
  <c r="K116" i="13"/>
  <c r="H116" i="13"/>
  <c r="AK115" i="13"/>
  <c r="AJ115" i="13"/>
  <c r="AI115" i="13"/>
  <c r="AH115" i="13"/>
  <c r="AG115" i="13"/>
  <c r="AF115" i="13"/>
  <c r="AE115" i="13"/>
  <c r="AD115" i="13"/>
  <c r="AC115" i="13"/>
  <c r="AB115" i="13"/>
  <c r="K115" i="13"/>
  <c r="H115" i="13"/>
  <c r="AK114" i="13"/>
  <c r="AJ114" i="13"/>
  <c r="AI114" i="13"/>
  <c r="AH114" i="13"/>
  <c r="AG114" i="13"/>
  <c r="AF114" i="13"/>
  <c r="AE114" i="13"/>
  <c r="AD114" i="13"/>
  <c r="AC114" i="13"/>
  <c r="AB114" i="13"/>
  <c r="K114" i="13"/>
  <c r="H114" i="13"/>
  <c r="AK113" i="13"/>
  <c r="AJ113" i="13"/>
  <c r="AI113" i="13"/>
  <c r="AH113" i="13"/>
  <c r="AG113" i="13"/>
  <c r="AF113" i="13"/>
  <c r="AE113" i="13"/>
  <c r="AD113" i="13"/>
  <c r="AC113" i="13"/>
  <c r="AB113" i="13"/>
  <c r="K113" i="13"/>
  <c r="H113" i="13"/>
  <c r="AK112" i="13"/>
  <c r="AJ112" i="13"/>
  <c r="AI112" i="13"/>
  <c r="AH112" i="13"/>
  <c r="AG112" i="13"/>
  <c r="AF112" i="13"/>
  <c r="AE112" i="13"/>
  <c r="AD112" i="13"/>
  <c r="AC112" i="13"/>
  <c r="AB112" i="13"/>
  <c r="K112" i="13"/>
  <c r="H112" i="13"/>
  <c r="AK111" i="13"/>
  <c r="AJ111" i="13"/>
  <c r="AI111" i="13"/>
  <c r="AH111" i="13"/>
  <c r="AG111" i="13"/>
  <c r="AF111" i="13"/>
  <c r="AE111" i="13"/>
  <c r="AD111" i="13"/>
  <c r="AC111" i="13"/>
  <c r="AB111" i="13"/>
  <c r="K111" i="13"/>
  <c r="H111" i="13"/>
  <c r="AK110" i="13"/>
  <c r="AJ110" i="13"/>
  <c r="AI110" i="13"/>
  <c r="AH110" i="13"/>
  <c r="AG110" i="13"/>
  <c r="AF110" i="13"/>
  <c r="AE110" i="13"/>
  <c r="AD110" i="13"/>
  <c r="AC110" i="13"/>
  <c r="AB110" i="13"/>
  <c r="K110" i="13"/>
  <c r="H110" i="13"/>
  <c r="AK109" i="13"/>
  <c r="AJ109" i="13"/>
  <c r="AI109" i="13"/>
  <c r="AH109" i="13"/>
  <c r="AG109" i="13"/>
  <c r="AF109" i="13"/>
  <c r="AE109" i="13"/>
  <c r="AD109" i="13"/>
  <c r="AC109" i="13"/>
  <c r="AB109" i="13"/>
  <c r="K109" i="13"/>
  <c r="H109" i="13"/>
  <c r="AK108" i="13"/>
  <c r="AJ108" i="13"/>
  <c r="AI108" i="13"/>
  <c r="AH108" i="13"/>
  <c r="AG108" i="13"/>
  <c r="AF108" i="13"/>
  <c r="AE108" i="13"/>
  <c r="AD108" i="13"/>
  <c r="AC108" i="13"/>
  <c r="AB108" i="13"/>
  <c r="K108" i="13"/>
  <c r="H108" i="13"/>
  <c r="AK107" i="13"/>
  <c r="AJ107" i="13"/>
  <c r="AI107" i="13"/>
  <c r="AH107" i="13"/>
  <c r="AG107" i="13"/>
  <c r="AF107" i="13"/>
  <c r="AE107" i="13"/>
  <c r="AD107" i="13"/>
  <c r="AC107" i="13"/>
  <c r="AB107" i="13"/>
  <c r="K107" i="13"/>
  <c r="H107" i="13"/>
  <c r="AK106" i="13"/>
  <c r="AJ106" i="13"/>
  <c r="AI106" i="13"/>
  <c r="AH106" i="13"/>
  <c r="AG106" i="13"/>
  <c r="AF106" i="13"/>
  <c r="AE106" i="13"/>
  <c r="AD106" i="13"/>
  <c r="AC106" i="13"/>
  <c r="AB106" i="13"/>
  <c r="K106" i="13"/>
  <c r="H106" i="13"/>
  <c r="AK105" i="13"/>
  <c r="AJ105" i="13"/>
  <c r="AI105" i="13"/>
  <c r="AH105" i="13"/>
  <c r="AG105" i="13"/>
  <c r="AF105" i="13"/>
  <c r="AE105" i="13"/>
  <c r="AD105" i="13"/>
  <c r="AC105" i="13"/>
  <c r="AB105" i="13"/>
  <c r="K105" i="13"/>
  <c r="H105" i="13"/>
  <c r="AK104" i="13"/>
  <c r="AJ104" i="13"/>
  <c r="AI104" i="13"/>
  <c r="AH104" i="13"/>
  <c r="AG104" i="13"/>
  <c r="AF104" i="13"/>
  <c r="AE104" i="13"/>
  <c r="AD104" i="13"/>
  <c r="AC104" i="13"/>
  <c r="AB104" i="13"/>
  <c r="K104" i="13"/>
  <c r="H104" i="13"/>
  <c r="AK103" i="13"/>
  <c r="AJ103" i="13"/>
  <c r="AI103" i="13"/>
  <c r="AH103" i="13"/>
  <c r="AG103" i="13"/>
  <c r="AF103" i="13"/>
  <c r="AE103" i="13"/>
  <c r="AD103" i="13"/>
  <c r="AC103" i="13"/>
  <c r="AB103" i="13"/>
  <c r="K103" i="13"/>
  <c r="H103" i="13"/>
  <c r="AK102" i="13"/>
  <c r="AJ102" i="13"/>
  <c r="AI102" i="13"/>
  <c r="AH102" i="13"/>
  <c r="AG102" i="13"/>
  <c r="AF102" i="13"/>
  <c r="AE102" i="13"/>
  <c r="AD102" i="13"/>
  <c r="AC102" i="13"/>
  <c r="AB102" i="13"/>
  <c r="K102" i="13"/>
  <c r="H102" i="13"/>
  <c r="AK101" i="13"/>
  <c r="AJ101" i="13"/>
  <c r="AI101" i="13"/>
  <c r="AH101" i="13"/>
  <c r="AG101" i="13"/>
  <c r="AF101" i="13"/>
  <c r="AE101" i="13"/>
  <c r="AD101" i="13"/>
  <c r="AC101" i="13"/>
  <c r="AB101" i="13"/>
  <c r="K101" i="13"/>
  <c r="H101" i="13"/>
  <c r="AK100" i="13"/>
  <c r="AJ100" i="13"/>
  <c r="AI100" i="13"/>
  <c r="AH100" i="13"/>
  <c r="AG100" i="13"/>
  <c r="AF100" i="13"/>
  <c r="AE100" i="13"/>
  <c r="AD100" i="13"/>
  <c r="AC100" i="13"/>
  <c r="AB100" i="13"/>
  <c r="K100" i="13"/>
  <c r="H100" i="13"/>
  <c r="AK99" i="13"/>
  <c r="AJ99" i="13"/>
  <c r="AI99" i="13"/>
  <c r="AH99" i="13"/>
  <c r="AG99" i="13"/>
  <c r="AF99" i="13"/>
  <c r="AE99" i="13"/>
  <c r="AD99" i="13"/>
  <c r="AC99" i="13"/>
  <c r="AB99" i="13"/>
  <c r="K99" i="13"/>
  <c r="H99" i="13"/>
  <c r="AK98" i="13"/>
  <c r="AJ98" i="13"/>
  <c r="AI98" i="13"/>
  <c r="AH98" i="13"/>
  <c r="AG98" i="13"/>
  <c r="AF98" i="13"/>
  <c r="AE98" i="13"/>
  <c r="AD98" i="13"/>
  <c r="AC98" i="13"/>
  <c r="AB98" i="13"/>
  <c r="K98" i="13"/>
  <c r="H98" i="13"/>
  <c r="AK97" i="13"/>
  <c r="AJ97" i="13"/>
  <c r="AI97" i="13"/>
  <c r="AH97" i="13"/>
  <c r="AG97" i="13"/>
  <c r="AF97" i="13"/>
  <c r="AE97" i="13"/>
  <c r="AD97" i="13"/>
  <c r="AC97" i="13"/>
  <c r="AB97" i="13"/>
  <c r="K97" i="13"/>
  <c r="H97" i="13"/>
  <c r="AK96" i="13"/>
  <c r="AJ96" i="13"/>
  <c r="AI96" i="13"/>
  <c r="AH96" i="13"/>
  <c r="AG96" i="13"/>
  <c r="AF96" i="13"/>
  <c r="AE96" i="13"/>
  <c r="AD96" i="13"/>
  <c r="AC96" i="13"/>
  <c r="AB96" i="13"/>
  <c r="K96" i="13"/>
  <c r="H96" i="13"/>
  <c r="AK95" i="13"/>
  <c r="AJ95" i="13"/>
  <c r="AI95" i="13"/>
  <c r="AH95" i="13"/>
  <c r="AG95" i="13"/>
  <c r="AF95" i="13"/>
  <c r="AE95" i="13"/>
  <c r="AD95" i="13"/>
  <c r="AC95" i="13"/>
  <c r="AB95" i="13"/>
  <c r="K95" i="13"/>
  <c r="H95" i="13"/>
  <c r="AK94" i="13"/>
  <c r="AJ94" i="13"/>
  <c r="AI94" i="13"/>
  <c r="AH94" i="13"/>
  <c r="AG94" i="13"/>
  <c r="AF94" i="13"/>
  <c r="AE94" i="13"/>
  <c r="AD94" i="13"/>
  <c r="AC94" i="13"/>
  <c r="AB94" i="13"/>
  <c r="K94" i="13"/>
  <c r="H94" i="13"/>
  <c r="AK93" i="13"/>
  <c r="AJ93" i="13"/>
  <c r="AI93" i="13"/>
  <c r="AH93" i="13"/>
  <c r="AG93" i="13"/>
  <c r="AF93" i="13"/>
  <c r="AE93" i="13"/>
  <c r="AD93" i="13"/>
  <c r="AC93" i="13"/>
  <c r="AB93" i="13"/>
  <c r="K93" i="13"/>
  <c r="H93" i="13"/>
  <c r="AK92" i="13"/>
  <c r="AJ92" i="13"/>
  <c r="AI92" i="13"/>
  <c r="AH92" i="13"/>
  <c r="AG92" i="13"/>
  <c r="AF92" i="13"/>
  <c r="AE92" i="13"/>
  <c r="AD92" i="13"/>
  <c r="AC92" i="13"/>
  <c r="AB92" i="13"/>
  <c r="K92" i="13"/>
  <c r="H92" i="13"/>
  <c r="AK91" i="13"/>
  <c r="AJ91" i="13"/>
  <c r="AI91" i="13"/>
  <c r="AH91" i="13"/>
  <c r="AG91" i="13"/>
  <c r="AF91" i="13"/>
  <c r="AE91" i="13"/>
  <c r="AD91" i="13"/>
  <c r="AC91" i="13"/>
  <c r="AB91" i="13"/>
  <c r="K91" i="13"/>
  <c r="H91" i="13"/>
  <c r="AK90" i="13"/>
  <c r="AJ90" i="13"/>
  <c r="AI90" i="13"/>
  <c r="AH90" i="13"/>
  <c r="AG90" i="13"/>
  <c r="AF90" i="13"/>
  <c r="AE90" i="13"/>
  <c r="AD90" i="13"/>
  <c r="AC90" i="13"/>
  <c r="AB90" i="13"/>
  <c r="K90" i="13"/>
  <c r="H90" i="13"/>
  <c r="AK89" i="13"/>
  <c r="AJ89" i="13"/>
  <c r="AI89" i="13"/>
  <c r="AH89" i="13"/>
  <c r="AG89" i="13"/>
  <c r="AF89" i="13"/>
  <c r="AE89" i="13"/>
  <c r="AD89" i="13"/>
  <c r="AC89" i="13"/>
  <c r="AB89" i="13"/>
  <c r="K89" i="13"/>
  <c r="H89" i="13"/>
  <c r="AK88" i="13"/>
  <c r="AJ88" i="13"/>
  <c r="AI88" i="13"/>
  <c r="AH88" i="13"/>
  <c r="AG88" i="13"/>
  <c r="AF88" i="13"/>
  <c r="AE88" i="13"/>
  <c r="AD88" i="13"/>
  <c r="AC88" i="13"/>
  <c r="AB88" i="13"/>
  <c r="K88" i="13"/>
  <c r="H88" i="13"/>
  <c r="AK87" i="13"/>
  <c r="AJ87" i="13"/>
  <c r="AI87" i="13"/>
  <c r="AH87" i="13"/>
  <c r="AG87" i="13"/>
  <c r="AF87" i="13"/>
  <c r="AE87" i="13"/>
  <c r="AD87" i="13"/>
  <c r="AC87" i="13"/>
  <c r="AB87" i="13"/>
  <c r="K87" i="13"/>
  <c r="H87" i="13"/>
  <c r="AK86" i="13"/>
  <c r="AJ86" i="13"/>
  <c r="AI86" i="13"/>
  <c r="AH86" i="13"/>
  <c r="AG86" i="13"/>
  <c r="AF86" i="13"/>
  <c r="AE86" i="13"/>
  <c r="AD86" i="13"/>
  <c r="AC86" i="13"/>
  <c r="AB86" i="13"/>
  <c r="K86" i="13"/>
  <c r="H86" i="13"/>
  <c r="AK85" i="13"/>
  <c r="AJ85" i="13"/>
  <c r="AI85" i="13"/>
  <c r="AH85" i="13"/>
  <c r="AG85" i="13"/>
  <c r="AF85" i="13"/>
  <c r="AE85" i="13"/>
  <c r="AD85" i="13"/>
  <c r="AC85" i="13"/>
  <c r="AB85" i="13"/>
  <c r="K85" i="13"/>
  <c r="H85" i="13"/>
  <c r="AK84" i="13"/>
  <c r="AJ84" i="13"/>
  <c r="AI84" i="13"/>
  <c r="AH84" i="13"/>
  <c r="AG84" i="13"/>
  <c r="AF84" i="13"/>
  <c r="AE84" i="13"/>
  <c r="AD84" i="13"/>
  <c r="AC84" i="13"/>
  <c r="AB84" i="13"/>
  <c r="K84" i="13"/>
  <c r="H84" i="13"/>
  <c r="AK83" i="13"/>
  <c r="AJ83" i="13"/>
  <c r="AI83" i="13"/>
  <c r="AH83" i="13"/>
  <c r="AG83" i="13"/>
  <c r="AF83" i="13"/>
  <c r="AE83" i="13"/>
  <c r="AD83" i="13"/>
  <c r="AC83" i="13"/>
  <c r="AB83" i="13"/>
  <c r="K83" i="13"/>
  <c r="H83" i="13"/>
  <c r="AK82" i="13"/>
  <c r="AJ82" i="13"/>
  <c r="AI82" i="13"/>
  <c r="AH82" i="13"/>
  <c r="AG82" i="13"/>
  <c r="AF82" i="13"/>
  <c r="AE82" i="13"/>
  <c r="AD82" i="13"/>
  <c r="AC82" i="13"/>
  <c r="AB82" i="13"/>
  <c r="K82" i="13"/>
  <c r="H82" i="13"/>
  <c r="AK81" i="13"/>
  <c r="AJ81" i="13"/>
  <c r="AI81" i="13"/>
  <c r="AH81" i="13"/>
  <c r="AG81" i="13"/>
  <c r="AF81" i="13"/>
  <c r="AE81" i="13"/>
  <c r="AD81" i="13"/>
  <c r="AC81" i="13"/>
  <c r="AB81" i="13"/>
  <c r="K81" i="13"/>
  <c r="H81" i="13"/>
  <c r="AK80" i="13"/>
  <c r="AJ80" i="13"/>
  <c r="AI80" i="13"/>
  <c r="AH80" i="13"/>
  <c r="AG80" i="13"/>
  <c r="AF80" i="13"/>
  <c r="AE80" i="13"/>
  <c r="AD80" i="13"/>
  <c r="AC80" i="13"/>
  <c r="AB80" i="13"/>
  <c r="K80" i="13"/>
  <c r="H80" i="13"/>
  <c r="AK79" i="13"/>
  <c r="AJ79" i="13"/>
  <c r="AI79" i="13"/>
  <c r="AH79" i="13"/>
  <c r="AG79" i="13"/>
  <c r="AF79" i="13"/>
  <c r="AE79" i="13"/>
  <c r="AD79" i="13"/>
  <c r="AC79" i="13"/>
  <c r="AB79" i="13"/>
  <c r="K79" i="13"/>
  <c r="H79" i="13"/>
  <c r="AK78" i="13"/>
  <c r="AJ78" i="13"/>
  <c r="AI78" i="13"/>
  <c r="AH78" i="13"/>
  <c r="AG78" i="13"/>
  <c r="AF78" i="13"/>
  <c r="AE78" i="13"/>
  <c r="AD78" i="13"/>
  <c r="AC78" i="13"/>
  <c r="AB78" i="13"/>
  <c r="K78" i="13"/>
  <c r="H78" i="13"/>
  <c r="AK77" i="13"/>
  <c r="AJ77" i="13"/>
  <c r="AI77" i="13"/>
  <c r="AH77" i="13"/>
  <c r="AG77" i="13"/>
  <c r="AF77" i="13"/>
  <c r="AE77" i="13"/>
  <c r="AD77" i="13"/>
  <c r="AC77" i="13"/>
  <c r="AB77" i="13"/>
  <c r="K77" i="13"/>
  <c r="H77" i="13"/>
  <c r="AK76" i="13"/>
  <c r="AJ76" i="13"/>
  <c r="AI76" i="13"/>
  <c r="AH76" i="13"/>
  <c r="AG76" i="13"/>
  <c r="AF76" i="13"/>
  <c r="AE76" i="13"/>
  <c r="AD76" i="13"/>
  <c r="AC76" i="13"/>
  <c r="AB76" i="13"/>
  <c r="K76" i="13"/>
  <c r="H76" i="13"/>
  <c r="AK75" i="13"/>
  <c r="AJ75" i="13"/>
  <c r="AI75" i="13"/>
  <c r="AH75" i="13"/>
  <c r="AG75" i="13"/>
  <c r="AF75" i="13"/>
  <c r="AE75" i="13"/>
  <c r="AD75" i="13"/>
  <c r="AC75" i="13"/>
  <c r="AB75" i="13"/>
  <c r="K75" i="13"/>
  <c r="H75" i="13"/>
  <c r="AK74" i="13"/>
  <c r="AJ74" i="13"/>
  <c r="AI74" i="13"/>
  <c r="AH74" i="13"/>
  <c r="AG74" i="13"/>
  <c r="AF74" i="13"/>
  <c r="AE74" i="13"/>
  <c r="AD74" i="13"/>
  <c r="AC74" i="13"/>
  <c r="AB74" i="13"/>
  <c r="K74" i="13"/>
  <c r="H74" i="13"/>
  <c r="AK73" i="13"/>
  <c r="AJ73" i="13"/>
  <c r="AI73" i="13"/>
  <c r="AH73" i="13"/>
  <c r="AG73" i="13"/>
  <c r="AF73" i="13"/>
  <c r="AE73" i="13"/>
  <c r="AD73" i="13"/>
  <c r="AC73" i="13"/>
  <c r="AB73" i="13"/>
  <c r="K73" i="13"/>
  <c r="H73" i="13"/>
  <c r="AK72" i="13"/>
  <c r="AJ72" i="13"/>
  <c r="AI72" i="13"/>
  <c r="AH72" i="13"/>
  <c r="AG72" i="13"/>
  <c r="AF72" i="13"/>
  <c r="AE72" i="13"/>
  <c r="AD72" i="13"/>
  <c r="AC72" i="13"/>
  <c r="AB72" i="13"/>
  <c r="K72" i="13"/>
  <c r="H72" i="13"/>
  <c r="AK71" i="13"/>
  <c r="AJ71" i="13"/>
  <c r="AI71" i="13"/>
  <c r="AH71" i="13"/>
  <c r="AG71" i="13"/>
  <c r="AF71" i="13"/>
  <c r="AE71" i="13"/>
  <c r="AD71" i="13"/>
  <c r="AC71" i="13"/>
  <c r="AB71" i="13"/>
  <c r="K71" i="13"/>
  <c r="H71" i="13"/>
  <c r="AK70" i="13"/>
  <c r="AJ70" i="13"/>
  <c r="AI70" i="13"/>
  <c r="AH70" i="13"/>
  <c r="AG70" i="13"/>
  <c r="AF70" i="13"/>
  <c r="AE70" i="13"/>
  <c r="AD70" i="13"/>
  <c r="AC70" i="13"/>
  <c r="AB70" i="13"/>
  <c r="K70" i="13"/>
  <c r="H70" i="13"/>
  <c r="AK69" i="13"/>
  <c r="AJ69" i="13"/>
  <c r="AI69" i="13"/>
  <c r="AH69" i="13"/>
  <c r="AG69" i="13"/>
  <c r="AF69" i="13"/>
  <c r="AE69" i="13"/>
  <c r="AD69" i="13"/>
  <c r="AC69" i="13"/>
  <c r="AB69" i="13"/>
  <c r="K69" i="13"/>
  <c r="H69" i="13"/>
  <c r="AK68" i="13"/>
  <c r="AJ68" i="13"/>
  <c r="AI68" i="13"/>
  <c r="AH68" i="13"/>
  <c r="AG68" i="13"/>
  <c r="AF68" i="13"/>
  <c r="AE68" i="13"/>
  <c r="AD68" i="13"/>
  <c r="AC68" i="13"/>
  <c r="AB68" i="13"/>
  <c r="K68" i="13"/>
  <c r="H68" i="13"/>
  <c r="AK67" i="13"/>
  <c r="AJ67" i="13"/>
  <c r="AI67" i="13"/>
  <c r="AH67" i="13"/>
  <c r="AG67" i="13"/>
  <c r="AF67" i="13"/>
  <c r="AE67" i="13"/>
  <c r="AD67" i="13"/>
  <c r="AC67" i="13"/>
  <c r="AB67" i="13"/>
  <c r="K67" i="13"/>
  <c r="H67" i="13"/>
  <c r="AK66" i="13"/>
  <c r="AJ66" i="13"/>
  <c r="AI66" i="13"/>
  <c r="AH66" i="13"/>
  <c r="AG66" i="13"/>
  <c r="AF66" i="13"/>
  <c r="AE66" i="13"/>
  <c r="AD66" i="13"/>
  <c r="AC66" i="13"/>
  <c r="AB66" i="13"/>
  <c r="K66" i="13"/>
  <c r="H66" i="13"/>
  <c r="AK65" i="13"/>
  <c r="AJ65" i="13"/>
  <c r="AI65" i="13"/>
  <c r="AH65" i="13"/>
  <c r="AG65" i="13"/>
  <c r="AF65" i="13"/>
  <c r="AE65" i="13"/>
  <c r="AD65" i="13"/>
  <c r="AC65" i="13"/>
  <c r="AB65" i="13"/>
  <c r="K65" i="13"/>
  <c r="H65" i="13"/>
  <c r="AK64" i="13"/>
  <c r="AJ64" i="13"/>
  <c r="AI64" i="13"/>
  <c r="AH64" i="13"/>
  <c r="AG64" i="13"/>
  <c r="AF64" i="13"/>
  <c r="AE64" i="13"/>
  <c r="AD64" i="13"/>
  <c r="AC64" i="13"/>
  <c r="AB64" i="13"/>
  <c r="K64" i="13"/>
  <c r="H64" i="13"/>
  <c r="AK63" i="13"/>
  <c r="AJ63" i="13"/>
  <c r="AI63" i="13"/>
  <c r="AH63" i="13"/>
  <c r="AG63" i="13"/>
  <c r="AF63" i="13"/>
  <c r="AE63" i="13"/>
  <c r="AD63" i="13"/>
  <c r="AC63" i="13"/>
  <c r="AB63" i="13"/>
  <c r="K63" i="13"/>
  <c r="H63" i="13"/>
  <c r="AK62" i="13"/>
  <c r="AJ62" i="13"/>
  <c r="AI62" i="13"/>
  <c r="AH62" i="13"/>
  <c r="AG62" i="13"/>
  <c r="AF62" i="13"/>
  <c r="AE62" i="13"/>
  <c r="AD62" i="13"/>
  <c r="AC62" i="13"/>
  <c r="AB62" i="13"/>
  <c r="K62" i="13"/>
  <c r="H62" i="13"/>
  <c r="AK61" i="13"/>
  <c r="AJ61" i="13"/>
  <c r="AI61" i="13"/>
  <c r="AH61" i="13"/>
  <c r="AG61" i="13"/>
  <c r="AF61" i="13"/>
  <c r="AE61" i="13"/>
  <c r="AD61" i="13"/>
  <c r="AC61" i="13"/>
  <c r="AB61" i="13"/>
  <c r="K61" i="13"/>
  <c r="H61" i="13"/>
  <c r="AK60" i="13"/>
  <c r="AJ60" i="13"/>
  <c r="AI60" i="13"/>
  <c r="AH60" i="13"/>
  <c r="AG60" i="13"/>
  <c r="AF60" i="13"/>
  <c r="AE60" i="13"/>
  <c r="AD60" i="13"/>
  <c r="AC60" i="13"/>
  <c r="AB60" i="13"/>
  <c r="K60" i="13"/>
  <c r="H60" i="13"/>
  <c r="AK59" i="13"/>
  <c r="AJ59" i="13"/>
  <c r="AI59" i="13"/>
  <c r="AH59" i="13"/>
  <c r="AG59" i="13"/>
  <c r="AF59" i="13"/>
  <c r="AE59" i="13"/>
  <c r="AD59" i="13"/>
  <c r="AC59" i="13"/>
  <c r="AB59" i="13"/>
  <c r="K59" i="13"/>
  <c r="H59" i="13"/>
  <c r="AK58" i="13"/>
  <c r="AJ58" i="13"/>
  <c r="AI58" i="13"/>
  <c r="AH58" i="13"/>
  <c r="AG58" i="13"/>
  <c r="AF58" i="13"/>
  <c r="AE58" i="13"/>
  <c r="AD58" i="13"/>
  <c r="AC58" i="13"/>
  <c r="AB58" i="13"/>
  <c r="K58" i="13"/>
  <c r="H58" i="13"/>
  <c r="AK57" i="13"/>
  <c r="AJ57" i="13"/>
  <c r="AI57" i="13"/>
  <c r="AH57" i="13"/>
  <c r="AG57" i="13"/>
  <c r="AF57" i="13"/>
  <c r="AE57" i="13"/>
  <c r="AD57" i="13"/>
  <c r="AC57" i="13"/>
  <c r="AB57" i="13"/>
  <c r="K57" i="13"/>
  <c r="H57" i="13"/>
  <c r="AK56" i="13"/>
  <c r="AJ56" i="13"/>
  <c r="AI56" i="13"/>
  <c r="AH56" i="13"/>
  <c r="AG56" i="13"/>
  <c r="AF56" i="13"/>
  <c r="AE56" i="13"/>
  <c r="AD56" i="13"/>
  <c r="AC56" i="13"/>
  <c r="AB56" i="13"/>
  <c r="K56" i="13"/>
  <c r="H56" i="13"/>
  <c r="AK55" i="13"/>
  <c r="AJ55" i="13"/>
  <c r="AI55" i="13"/>
  <c r="AH55" i="13"/>
  <c r="AG55" i="13"/>
  <c r="AF55" i="13"/>
  <c r="AE55" i="13"/>
  <c r="AD55" i="13"/>
  <c r="AC55" i="13"/>
  <c r="AB55" i="13"/>
  <c r="K55" i="13"/>
  <c r="H55" i="13"/>
  <c r="AK54" i="13"/>
  <c r="AJ54" i="13"/>
  <c r="AI54" i="13"/>
  <c r="AH54" i="13"/>
  <c r="AG54" i="13"/>
  <c r="AF54" i="13"/>
  <c r="AE54" i="13"/>
  <c r="AD54" i="13"/>
  <c r="AC54" i="13"/>
  <c r="AB54" i="13"/>
  <c r="K54" i="13"/>
  <c r="H54" i="13"/>
  <c r="AK53" i="13"/>
  <c r="AJ53" i="13"/>
  <c r="AI53" i="13"/>
  <c r="AH53" i="13"/>
  <c r="AG53" i="13"/>
  <c r="AF53" i="13"/>
  <c r="AE53" i="13"/>
  <c r="AD53" i="13"/>
  <c r="AC53" i="13"/>
  <c r="AB53" i="13"/>
  <c r="K53" i="13"/>
  <c r="H53" i="13"/>
  <c r="AK52" i="13"/>
  <c r="AJ52" i="13"/>
  <c r="AI52" i="13"/>
  <c r="AH52" i="13"/>
  <c r="AG52" i="13"/>
  <c r="AF52" i="13"/>
  <c r="AE52" i="13"/>
  <c r="AD52" i="13"/>
  <c r="AC52" i="13"/>
  <c r="AB52" i="13"/>
  <c r="K52" i="13"/>
  <c r="H52" i="13"/>
  <c r="AK51" i="13"/>
  <c r="AJ51" i="13"/>
  <c r="AI51" i="13"/>
  <c r="AH51" i="13"/>
  <c r="AG51" i="13"/>
  <c r="AF51" i="13"/>
  <c r="AE51" i="13"/>
  <c r="AD51" i="13"/>
  <c r="AC51" i="13"/>
  <c r="AB51" i="13"/>
  <c r="K51" i="13"/>
  <c r="H51" i="13"/>
  <c r="AK50" i="13"/>
  <c r="AJ50" i="13"/>
  <c r="AI50" i="13"/>
  <c r="AH50" i="13"/>
  <c r="AG50" i="13"/>
  <c r="AF50" i="13"/>
  <c r="AE50" i="13"/>
  <c r="AD50" i="13"/>
  <c r="AC50" i="13"/>
  <c r="AB50" i="13"/>
  <c r="K50" i="13"/>
  <c r="H50" i="13"/>
  <c r="AK49" i="13"/>
  <c r="AJ49" i="13"/>
  <c r="AI49" i="13"/>
  <c r="AH49" i="13"/>
  <c r="AG49" i="13"/>
  <c r="AF49" i="13"/>
  <c r="AE49" i="13"/>
  <c r="AD49" i="13"/>
  <c r="AC49" i="13"/>
  <c r="AB49" i="13"/>
  <c r="K49" i="13"/>
  <c r="H49" i="13"/>
  <c r="AK48" i="13"/>
  <c r="AJ48" i="13"/>
  <c r="AI48" i="13"/>
  <c r="AH48" i="13"/>
  <c r="AG48" i="13"/>
  <c r="AF48" i="13"/>
  <c r="AE48" i="13"/>
  <c r="AD48" i="13"/>
  <c r="AC48" i="13"/>
  <c r="AB48" i="13"/>
  <c r="K48" i="13"/>
  <c r="H48" i="13"/>
  <c r="AK47" i="13"/>
  <c r="AJ47" i="13"/>
  <c r="AI47" i="13"/>
  <c r="AH47" i="13"/>
  <c r="AG47" i="13"/>
  <c r="AF47" i="13"/>
  <c r="AE47" i="13"/>
  <c r="AD47" i="13"/>
  <c r="AC47" i="13"/>
  <c r="AB47" i="13"/>
  <c r="K47" i="13"/>
  <c r="H47" i="13"/>
  <c r="AK46" i="13"/>
  <c r="AJ46" i="13"/>
  <c r="AI46" i="13"/>
  <c r="AH46" i="13"/>
  <c r="AG46" i="13"/>
  <c r="AF46" i="13"/>
  <c r="AE46" i="13"/>
  <c r="AD46" i="13"/>
  <c r="AC46" i="13"/>
  <c r="AB46" i="13"/>
  <c r="K46" i="13"/>
  <c r="H46" i="13"/>
  <c r="AK45" i="13"/>
  <c r="AJ45" i="13"/>
  <c r="AI45" i="13"/>
  <c r="AH45" i="13"/>
  <c r="AG45" i="13"/>
  <c r="AF45" i="13"/>
  <c r="AE45" i="13"/>
  <c r="AD45" i="13"/>
  <c r="AC45" i="13"/>
  <c r="AB45" i="13"/>
  <c r="K45" i="13"/>
  <c r="H45" i="13"/>
  <c r="AK44" i="13"/>
  <c r="AJ44" i="13"/>
  <c r="AI44" i="13"/>
  <c r="AH44" i="13"/>
  <c r="AG44" i="13"/>
  <c r="AF44" i="13"/>
  <c r="AE44" i="13"/>
  <c r="AD44" i="13"/>
  <c r="AC44" i="13"/>
  <c r="AB44" i="13"/>
  <c r="K44" i="13"/>
  <c r="H44" i="13"/>
  <c r="AK43" i="13"/>
  <c r="AJ43" i="13"/>
  <c r="AI43" i="13"/>
  <c r="AH43" i="13"/>
  <c r="AG43" i="13"/>
  <c r="AF43" i="13"/>
  <c r="AE43" i="13"/>
  <c r="AD43" i="13"/>
  <c r="AC43" i="13"/>
  <c r="AB43" i="13"/>
  <c r="K43" i="13"/>
  <c r="H43" i="13"/>
  <c r="AK42" i="13"/>
  <c r="AJ42" i="13"/>
  <c r="AI42" i="13"/>
  <c r="AH42" i="13"/>
  <c r="AG42" i="13"/>
  <c r="AF42" i="13"/>
  <c r="AE42" i="13"/>
  <c r="AD42" i="13"/>
  <c r="AC42" i="13"/>
  <c r="AB42" i="13"/>
  <c r="K42" i="13"/>
  <c r="H42" i="13"/>
  <c r="AK41" i="13"/>
  <c r="AJ41" i="13"/>
  <c r="AI41" i="13"/>
  <c r="AH41" i="13"/>
  <c r="AG41" i="13"/>
  <c r="AF41" i="13"/>
  <c r="AE41" i="13"/>
  <c r="AD41" i="13"/>
  <c r="AC41" i="13"/>
  <c r="AB41" i="13"/>
  <c r="K41" i="13"/>
  <c r="H41" i="13"/>
  <c r="AK40" i="13"/>
  <c r="AJ40" i="13"/>
  <c r="AI40" i="13"/>
  <c r="AH40" i="13"/>
  <c r="AG40" i="13"/>
  <c r="AF40" i="13"/>
  <c r="AE40" i="13"/>
  <c r="AD40" i="13"/>
  <c r="AC40" i="13"/>
  <c r="AB40" i="13"/>
  <c r="K40" i="13"/>
  <c r="H40" i="13"/>
  <c r="AK39" i="13"/>
  <c r="AJ39" i="13"/>
  <c r="AI39" i="13"/>
  <c r="AH39" i="13"/>
  <c r="AG39" i="13"/>
  <c r="AF39" i="13"/>
  <c r="AE39" i="13"/>
  <c r="AD39" i="13"/>
  <c r="AC39" i="13"/>
  <c r="AB39" i="13"/>
  <c r="K39" i="13"/>
  <c r="H39" i="13"/>
  <c r="AK38" i="13"/>
  <c r="AJ38" i="13"/>
  <c r="AI38" i="13"/>
  <c r="AH38" i="13"/>
  <c r="AG38" i="13"/>
  <c r="AF38" i="13"/>
  <c r="AE38" i="13"/>
  <c r="AD38" i="13"/>
  <c r="AC38" i="13"/>
  <c r="AB38" i="13"/>
  <c r="K38" i="13"/>
  <c r="H38" i="13"/>
  <c r="AK37" i="13"/>
  <c r="AJ37" i="13"/>
  <c r="AI37" i="13"/>
  <c r="AH37" i="13"/>
  <c r="AG37" i="13"/>
  <c r="AF37" i="13"/>
  <c r="AE37" i="13"/>
  <c r="AD37" i="13"/>
  <c r="AC37" i="13"/>
  <c r="AB37" i="13"/>
  <c r="K37" i="13"/>
  <c r="H37" i="13"/>
  <c r="AK36" i="13"/>
  <c r="AJ36" i="13"/>
  <c r="AI36" i="13"/>
  <c r="AH36" i="13"/>
  <c r="AG36" i="13"/>
  <c r="AF36" i="13"/>
  <c r="AE36" i="13"/>
  <c r="AD36" i="13"/>
  <c r="AC36" i="13"/>
  <c r="AB36" i="13"/>
  <c r="K36" i="13"/>
  <c r="H36" i="13"/>
  <c r="AK35" i="13"/>
  <c r="AJ35" i="13"/>
  <c r="AI35" i="13"/>
  <c r="AH35" i="13"/>
  <c r="AG35" i="13"/>
  <c r="AF35" i="13"/>
  <c r="AE35" i="13"/>
  <c r="AD35" i="13"/>
  <c r="AC35" i="13"/>
  <c r="AB35" i="13"/>
  <c r="K35" i="13"/>
  <c r="H35" i="13"/>
  <c r="AK34" i="13"/>
  <c r="AJ34" i="13"/>
  <c r="AI34" i="13"/>
  <c r="AH34" i="13"/>
  <c r="AG34" i="13"/>
  <c r="AF34" i="13"/>
  <c r="AE34" i="13"/>
  <c r="AD34" i="13"/>
  <c r="AC34" i="13"/>
  <c r="AB34" i="13"/>
  <c r="K34" i="13"/>
  <c r="H34" i="13"/>
  <c r="AK33" i="13"/>
  <c r="AJ33" i="13"/>
  <c r="AI33" i="13"/>
  <c r="AH33" i="13"/>
  <c r="AG33" i="13"/>
  <c r="AF33" i="13"/>
  <c r="AE33" i="13"/>
  <c r="AD33" i="13"/>
  <c r="AC33" i="13"/>
  <c r="AB33" i="13"/>
  <c r="K33" i="13"/>
  <c r="H33" i="13"/>
  <c r="AK32" i="13"/>
  <c r="AJ32" i="13"/>
  <c r="AI32" i="13"/>
  <c r="AH32" i="13"/>
  <c r="AG32" i="13"/>
  <c r="AF32" i="13"/>
  <c r="AE32" i="13"/>
  <c r="AD32" i="13"/>
  <c r="AC32" i="13"/>
  <c r="AB32" i="13"/>
  <c r="K32" i="13"/>
  <c r="H32" i="13"/>
  <c r="AK31" i="13"/>
  <c r="AJ31" i="13"/>
  <c r="AI31" i="13"/>
  <c r="AH31" i="13"/>
  <c r="AG31" i="13"/>
  <c r="AF31" i="13"/>
  <c r="AE31" i="13"/>
  <c r="AD31" i="13"/>
  <c r="AC31" i="13"/>
  <c r="AB31" i="13"/>
  <c r="K31" i="13"/>
  <c r="H31" i="13"/>
  <c r="AK30" i="13"/>
  <c r="AJ30" i="13"/>
  <c r="AI30" i="13"/>
  <c r="AH30" i="13"/>
  <c r="AG30" i="13"/>
  <c r="AF30" i="13"/>
  <c r="AE30" i="13"/>
  <c r="AD30" i="13"/>
  <c r="AC30" i="13"/>
  <c r="AB30" i="13"/>
  <c r="K30" i="13"/>
  <c r="H30" i="13"/>
  <c r="AK29" i="13"/>
  <c r="AJ29" i="13"/>
  <c r="AI29" i="13"/>
  <c r="AH29" i="13"/>
  <c r="AG29" i="13"/>
  <c r="AF29" i="13"/>
  <c r="AE29" i="13"/>
  <c r="AD29" i="13"/>
  <c r="AC29" i="13"/>
  <c r="AB29" i="13"/>
  <c r="K29" i="13"/>
  <c r="H29" i="13"/>
  <c r="AK28" i="13"/>
  <c r="AJ28" i="13"/>
  <c r="AI28" i="13"/>
  <c r="AH28" i="13"/>
  <c r="AG28" i="13"/>
  <c r="AF28" i="13"/>
  <c r="AE28" i="13"/>
  <c r="AD28" i="13"/>
  <c r="AC28" i="13"/>
  <c r="AB28" i="13"/>
  <c r="K28" i="13"/>
  <c r="H28" i="13"/>
  <c r="AK27" i="13"/>
  <c r="AJ27" i="13"/>
  <c r="AI27" i="13"/>
  <c r="AH27" i="13"/>
  <c r="AG27" i="13"/>
  <c r="AF27" i="13"/>
  <c r="AE27" i="13"/>
  <c r="AD27" i="13"/>
  <c r="AC27" i="13"/>
  <c r="AB27" i="13"/>
  <c r="K27" i="13"/>
  <c r="H27" i="13"/>
  <c r="AK26" i="13"/>
  <c r="AJ26" i="13"/>
  <c r="AI26" i="13"/>
  <c r="AH26" i="13"/>
  <c r="AG26" i="13"/>
  <c r="AF26" i="13"/>
  <c r="AE26" i="13"/>
  <c r="AD26" i="13"/>
  <c r="AC26" i="13"/>
  <c r="AB26" i="13"/>
  <c r="K26" i="13"/>
  <c r="H26" i="13"/>
  <c r="AK25" i="13"/>
  <c r="AJ25" i="13"/>
  <c r="AI25" i="13"/>
  <c r="AH25" i="13"/>
  <c r="AG25" i="13"/>
  <c r="AF25" i="13"/>
  <c r="AE25" i="13"/>
  <c r="AD25" i="13"/>
  <c r="AC25" i="13"/>
  <c r="AB25" i="13"/>
  <c r="K25" i="13"/>
  <c r="H25" i="13"/>
  <c r="AK24" i="13"/>
  <c r="AJ24" i="13"/>
  <c r="AI24" i="13"/>
  <c r="AH24" i="13"/>
  <c r="AG24" i="13"/>
  <c r="AF24" i="13"/>
  <c r="AE24" i="13"/>
  <c r="AD24" i="13"/>
  <c r="AC24" i="13"/>
  <c r="AB24" i="13"/>
  <c r="K24" i="13"/>
  <c r="H24" i="13"/>
  <c r="AK23" i="13"/>
  <c r="AJ23" i="13"/>
  <c r="AI23" i="13"/>
  <c r="AH23" i="13"/>
  <c r="AG23" i="13"/>
  <c r="AF23" i="13"/>
  <c r="AE23" i="13"/>
  <c r="AD23" i="13"/>
  <c r="AC23" i="13"/>
  <c r="AB23" i="13"/>
  <c r="K23" i="13"/>
  <c r="H23" i="13"/>
  <c r="AK22" i="13"/>
  <c r="AJ22" i="13"/>
  <c r="AI22" i="13"/>
  <c r="AH22" i="13"/>
  <c r="AG22" i="13"/>
  <c r="AF22" i="13"/>
  <c r="AE22" i="13"/>
  <c r="AD22" i="13"/>
  <c r="AC22" i="13"/>
  <c r="AB22" i="13"/>
  <c r="K22" i="13"/>
  <c r="H22" i="13"/>
  <c r="AK21" i="13"/>
  <c r="AJ21" i="13"/>
  <c r="AI21" i="13"/>
  <c r="AH21" i="13"/>
  <c r="AG21" i="13"/>
  <c r="AF21" i="13"/>
  <c r="AE21" i="13"/>
  <c r="AD21" i="13"/>
  <c r="AC21" i="13"/>
  <c r="AB21" i="13"/>
  <c r="K21" i="13"/>
  <c r="H21" i="13"/>
  <c r="AK20" i="13"/>
  <c r="AJ20" i="13"/>
  <c r="AI20" i="13"/>
  <c r="AH20" i="13"/>
  <c r="AG20" i="13"/>
  <c r="AF20" i="13"/>
  <c r="AE20" i="13"/>
  <c r="AD20" i="13"/>
  <c r="AC20" i="13"/>
  <c r="AB20" i="13"/>
  <c r="K20" i="13"/>
  <c r="H20" i="13"/>
  <c r="AK19" i="13"/>
  <c r="AJ19" i="13"/>
  <c r="AI19" i="13"/>
  <c r="AH19" i="13"/>
  <c r="AG19" i="13"/>
  <c r="AF19" i="13"/>
  <c r="AE19" i="13"/>
  <c r="AD19" i="13"/>
  <c r="AC19" i="13"/>
  <c r="AB19" i="13"/>
  <c r="K19" i="13"/>
  <c r="H19" i="13"/>
  <c r="AK18" i="13"/>
  <c r="AJ18" i="13"/>
  <c r="AI18" i="13"/>
  <c r="AH18" i="13"/>
  <c r="AG18" i="13"/>
  <c r="AF18" i="13"/>
  <c r="AE18" i="13"/>
  <c r="AD18" i="13"/>
  <c r="AC18" i="13"/>
  <c r="AB18" i="13"/>
  <c r="K18" i="13"/>
  <c r="H18" i="13"/>
  <c r="AK17" i="13"/>
  <c r="AJ17" i="13"/>
  <c r="AI17" i="13"/>
  <c r="AH17" i="13"/>
  <c r="AG17" i="13"/>
  <c r="AF17" i="13"/>
  <c r="AE17" i="13"/>
  <c r="AD17" i="13"/>
  <c r="AC17" i="13"/>
  <c r="AB17" i="13"/>
  <c r="K17" i="13"/>
  <c r="H17" i="13"/>
  <c r="AK16" i="13"/>
  <c r="AJ16" i="13"/>
  <c r="AI16" i="13"/>
  <c r="AH16" i="13"/>
  <c r="AG16" i="13"/>
  <c r="AF16" i="13"/>
  <c r="AE16" i="13"/>
  <c r="AD16" i="13"/>
  <c r="AC16" i="13"/>
  <c r="AB16" i="13"/>
  <c r="K16" i="13"/>
  <c r="H16" i="13"/>
  <c r="AK15" i="13"/>
  <c r="AJ15" i="13"/>
  <c r="AI15" i="13"/>
  <c r="AH15" i="13"/>
  <c r="AG15" i="13"/>
  <c r="AF15" i="13"/>
  <c r="AE15" i="13"/>
  <c r="AD15" i="13"/>
  <c r="AC15" i="13"/>
  <c r="AB15" i="13"/>
  <c r="K15" i="13"/>
  <c r="H15" i="13"/>
  <c r="AK14" i="13"/>
  <c r="AJ14" i="13"/>
  <c r="AI14" i="13"/>
  <c r="AH14" i="13"/>
  <c r="AG14" i="13"/>
  <c r="AF14" i="13"/>
  <c r="AE14" i="13"/>
  <c r="AD14" i="13"/>
  <c r="AC14" i="13"/>
  <c r="AB14" i="13"/>
  <c r="K14" i="13"/>
  <c r="H14" i="13"/>
  <c r="AK13" i="13"/>
  <c r="AJ13" i="13"/>
  <c r="AI13" i="13"/>
  <c r="AH13" i="13"/>
  <c r="AG13" i="13"/>
  <c r="AF13" i="13"/>
  <c r="AE13" i="13"/>
  <c r="AD13" i="13"/>
  <c r="AC13" i="13"/>
  <c r="AB13" i="13"/>
  <c r="K13" i="13"/>
  <c r="H13" i="13"/>
  <c r="AK12" i="13"/>
  <c r="AJ12" i="13"/>
  <c r="AI12" i="13"/>
  <c r="AH12" i="13"/>
  <c r="AG12" i="13"/>
  <c r="AF12" i="13"/>
  <c r="AE12" i="13"/>
  <c r="AD12" i="13"/>
  <c r="AC12" i="13"/>
  <c r="AB12" i="13"/>
  <c r="K12" i="13"/>
  <c r="H12" i="13"/>
  <c r="AK11" i="13"/>
  <c r="AJ11" i="13"/>
  <c r="AI11" i="13"/>
  <c r="AH11" i="13"/>
  <c r="AG11" i="13"/>
  <c r="AF11" i="13"/>
  <c r="AE11" i="13"/>
  <c r="AD11" i="13"/>
  <c r="AC11" i="13"/>
  <c r="AB11" i="13"/>
  <c r="K11" i="13"/>
  <c r="H11" i="13"/>
  <c r="AK10" i="13"/>
  <c r="AJ10" i="13"/>
  <c r="AI10" i="13"/>
  <c r="AH10" i="13"/>
  <c r="AG10" i="13"/>
  <c r="AF10" i="13"/>
  <c r="AE10" i="13"/>
  <c r="AD10" i="13"/>
  <c r="AC10" i="13"/>
  <c r="AB10" i="13"/>
  <c r="K10" i="13"/>
  <c r="H10" i="13"/>
  <c r="AK9" i="13"/>
  <c r="AJ9" i="13"/>
  <c r="AI9" i="13"/>
  <c r="AH9" i="13"/>
  <c r="AG9" i="13"/>
  <c r="AF9" i="13"/>
  <c r="AE9" i="13"/>
  <c r="AD9" i="13"/>
  <c r="AC9" i="13"/>
  <c r="AB9" i="13"/>
  <c r="K9" i="13"/>
  <c r="H9" i="13"/>
  <c r="AK8" i="13"/>
  <c r="AJ8" i="13"/>
  <c r="AI8" i="13"/>
  <c r="AH8" i="13"/>
  <c r="AG8" i="13"/>
  <c r="AF8" i="13"/>
  <c r="AE8" i="13"/>
  <c r="AD8" i="13"/>
  <c r="AC8" i="13"/>
  <c r="AB8" i="13"/>
  <c r="K8" i="13"/>
  <c r="H8" i="13"/>
  <c r="AK7" i="13"/>
  <c r="AJ7" i="13"/>
  <c r="AI7" i="13"/>
  <c r="AH7" i="13"/>
  <c r="AG7" i="13"/>
  <c r="AF7" i="13"/>
  <c r="AE7" i="13"/>
  <c r="AD7" i="13"/>
  <c r="AC7" i="13"/>
  <c r="AB7" i="13"/>
  <c r="K7" i="13"/>
  <c r="H7" i="13"/>
  <c r="AK6" i="13"/>
  <c r="AJ6" i="13"/>
  <c r="AI6" i="13"/>
  <c r="AH6" i="13"/>
  <c r="AG6" i="13"/>
  <c r="AF6" i="13"/>
  <c r="AE6" i="13"/>
  <c r="AD6" i="13"/>
  <c r="AC6" i="13"/>
  <c r="AB6" i="13"/>
  <c r="K6" i="13"/>
  <c r="H6" i="13"/>
  <c r="AF4" i="13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Y86" i="15"/>
  <c r="X86" i="15"/>
  <c r="W86" i="15"/>
  <c r="U86" i="15"/>
  <c r="Y85" i="15"/>
  <c r="X85" i="15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Y81" i="15" s="1"/>
  <c r="W81" i="15"/>
  <c r="U81" i="15"/>
  <c r="X80" i="15"/>
  <c r="Y80" i="15" s="1"/>
  <c r="W80" i="15"/>
  <c r="U80" i="15"/>
  <c r="X79" i="15"/>
  <c r="Y79" i="15" s="1"/>
  <c r="W79" i="15"/>
  <c r="U79" i="15"/>
  <c r="Y78" i="15"/>
  <c r="X78" i="15"/>
  <c r="W78" i="15"/>
  <c r="U78" i="15"/>
  <c r="Y77" i="15"/>
  <c r="X77" i="15"/>
  <c r="W77" i="15"/>
  <c r="U77" i="15"/>
  <c r="X76" i="15"/>
  <c r="Y76" i="15" s="1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X70" i="15"/>
  <c r="W70" i="15"/>
  <c r="U70" i="15"/>
  <c r="X69" i="15"/>
  <c r="W69" i="15"/>
  <c r="U69" i="15"/>
  <c r="D64" i="15"/>
  <c r="B64" i="15"/>
  <c r="H64" i="15"/>
  <c r="F64" i="15"/>
  <c r="AA89" i="15"/>
  <c r="AA85" i="15"/>
  <c r="AA81" i="15"/>
  <c r="AA77" i="15"/>
  <c r="AA73" i="15"/>
  <c r="AA69" i="15"/>
  <c r="AA76" i="15"/>
  <c r="AA72" i="15"/>
  <c r="AA87" i="15"/>
  <c r="AA83" i="15"/>
  <c r="AA79" i="15"/>
  <c r="AA75" i="15"/>
  <c r="AA71" i="15"/>
  <c r="AA86" i="15"/>
  <c r="AA82" i="15"/>
  <c r="AA78" i="15"/>
  <c r="AA74" i="15"/>
  <c r="AA70" i="15"/>
  <c r="AA88" i="15"/>
  <c r="AA84" i="15"/>
  <c r="AA80" i="15"/>
  <c r="Y70" i="15" l="1"/>
  <c r="Y74" i="15"/>
  <c r="Y69" i="15"/>
  <c r="Y75" i="15"/>
  <c r="Y71" i="15"/>
  <c r="Y73" i="15"/>
  <c r="Y72" i="15"/>
  <c r="Q37" i="15"/>
  <c r="S37" i="15"/>
  <c r="T37" i="15" s="1"/>
  <c r="R37" i="15"/>
  <c r="Z88" i="15"/>
  <c r="Z82" i="15"/>
  <c r="Z79" i="15"/>
  <c r="Z76" i="15"/>
  <c r="Z81" i="15"/>
  <c r="Z78" i="15"/>
  <c r="Z72" i="15"/>
  <c r="Z70" i="15"/>
  <c r="Z86" i="15"/>
  <c r="Z83" i="15"/>
  <c r="Z69" i="15"/>
  <c r="Z85" i="15"/>
  <c r="Z80" i="15"/>
  <c r="Z74" i="15"/>
  <c r="Z71" i="15"/>
  <c r="Z87" i="15"/>
  <c r="Z73" i="15"/>
  <c r="Z89" i="15"/>
  <c r="Z84" i="15"/>
  <c r="Z75" i="15"/>
  <c r="Z77" i="15"/>
  <c r="AB77" i="15" l="1"/>
  <c r="AC77" i="15" s="1"/>
  <c r="AD77" i="15" s="1"/>
  <c r="AB75" i="15"/>
  <c r="AC75" i="15" s="1"/>
  <c r="AD75" i="15" s="1"/>
  <c r="AB84" i="15"/>
  <c r="AC84" i="15" s="1"/>
  <c r="AD84" i="15" s="1"/>
  <c r="AB89" i="15"/>
  <c r="AC89" i="15" s="1"/>
  <c r="AD89" i="15" s="1"/>
  <c r="AB73" i="15"/>
  <c r="AC73" i="15" s="1"/>
  <c r="AD73" i="15" s="1"/>
  <c r="AB87" i="15"/>
  <c r="AC87" i="15" s="1"/>
  <c r="AD87" i="15" s="1"/>
  <c r="AB71" i="15"/>
  <c r="AC71" i="15" s="1"/>
  <c r="AD71" i="15" s="1"/>
  <c r="AB74" i="15"/>
  <c r="AC74" i="15" s="1"/>
  <c r="AD74" i="15" s="1"/>
  <c r="AB80" i="15"/>
  <c r="AC80" i="15" s="1"/>
  <c r="AD80" i="15" s="1"/>
  <c r="AB85" i="15"/>
  <c r="AC85" i="15" s="1"/>
  <c r="AD85" i="15" s="1"/>
  <c r="AB69" i="15"/>
  <c r="AC69" i="15" s="1"/>
  <c r="AD69" i="15" s="1"/>
  <c r="AB83" i="15"/>
  <c r="AC83" i="15" s="1"/>
  <c r="AD83" i="15" s="1"/>
  <c r="AB86" i="15"/>
  <c r="AC86" i="15" s="1"/>
  <c r="AD86" i="15" s="1"/>
  <c r="AB70" i="15"/>
  <c r="AC70" i="15" s="1"/>
  <c r="AD70" i="15" s="1"/>
  <c r="AB72" i="15"/>
  <c r="AC72" i="15" s="1"/>
  <c r="AD72" i="15" s="1"/>
  <c r="AB78" i="15"/>
  <c r="AC78" i="15" s="1"/>
  <c r="AD78" i="15" s="1"/>
  <c r="AB81" i="15"/>
  <c r="AC81" i="15" s="1"/>
  <c r="AD81" i="15" s="1"/>
  <c r="AB76" i="15"/>
  <c r="AC76" i="15" s="1"/>
  <c r="AD76" i="15" s="1"/>
  <c r="AB79" i="15"/>
  <c r="AC79" i="15" s="1"/>
  <c r="AD79" i="15" s="1"/>
  <c r="AB82" i="15"/>
  <c r="AC82" i="15" s="1"/>
  <c r="AD82" i="15" s="1"/>
  <c r="AB88" i="15"/>
  <c r="AC88" i="15" s="1"/>
  <c r="AD88" i="15" s="1"/>
  <c r="AG67" i="15" l="1"/>
  <c r="W37" i="15" s="1"/>
  <c r="V37" i="15" s="1"/>
  <c r="R38" i="15"/>
  <c r="S38" i="15"/>
  <c r="S39" i="15" l="1"/>
  <c r="S42" i="15" s="1"/>
  <c r="R39" i="15"/>
  <c r="S41" i="15" s="1"/>
  <c r="R41" i="15"/>
  <c r="R42" i="15"/>
</calcChain>
</file>

<file path=xl/sharedStrings.xml><?xml version="1.0" encoding="utf-8"?>
<sst xmlns="http://schemas.openxmlformats.org/spreadsheetml/2006/main" count="6101" uniqueCount="2982">
  <si>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</si>
  <si>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</si>
  <si>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</si>
  <si>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</si>
  <si>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</si>
  <si>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</si>
  <si>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</si>
  <si>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</si>
  <si>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</si>
  <si>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</si>
  <si>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</si>
  <si>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</si>
  <si>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</si>
  <si>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</si>
  <si>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</si>
  <si>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</si>
  <si>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</si>
  <si>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</si>
  <si>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</si>
  <si>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</si>
  <si>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</si>
  <si>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</si>
  <si>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</si>
  <si>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</si>
  <si>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</si>
  <si>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</si>
  <si>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</si>
  <si>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</si>
  <si>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</si>
  <si>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</si>
  <si>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</si>
  <si>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</si>
  <si>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</si>
  <si>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</si>
  <si>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</si>
  <si>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</si>
  <si>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</si>
  <si>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</si>
  <si>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</si>
  <si>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</si>
  <si>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</si>
  <si>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</si>
  <si>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</si>
  <si>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</si>
  <si>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</si>
  <si>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</si>
  <si>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</si>
  <si>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</si>
  <si>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</si>
  <si>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</si>
  <si>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</si>
  <si>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</si>
  <si>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</si>
  <si>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</si>
  <si>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</si>
  <si>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</si>
  <si>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</si>
  <si>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</si>
  <si>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</si>
  <si>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</si>
  <si>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</si>
  <si>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</si>
  <si>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</si>
  <si>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</si>
  <si>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</si>
  <si>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</si>
  <si>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</si>
  <si>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</si>
  <si>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</si>
  <si>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</si>
  <si>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</si>
  <si>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</si>
  <si>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</si>
  <si>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</si>
  <si>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</si>
  <si>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</si>
  <si>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</si>
  <si>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</si>
  <si>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</si>
  <si>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</si>
  <si>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</si>
  <si>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</si>
  <si>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</si>
  <si>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</si>
  <si>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</si>
  <si>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</si>
  <si>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</si>
  <si>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</si>
  <si>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</si>
  <si>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</si>
  <si>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</si>
  <si>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</si>
  <si>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</si>
  <si>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</si>
  <si>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</si>
  <si>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</si>
  <si>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</si>
  <si>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</si>
  <si>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</si>
  <si>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</si>
  <si>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</si>
  <si>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</si>
  <si>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</si>
  <si>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</si>
  <si>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</si>
  <si>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</si>
  <si>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</si>
  <si>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</si>
  <si>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</si>
  <si>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</si>
  <si>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</si>
  <si>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</si>
  <si>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</si>
  <si>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</si>
  <si>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</si>
  <si>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</si>
  <si>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</si>
  <si>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</si>
  <si>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</si>
  <si>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</si>
  <si>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</si>
  <si>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</si>
  <si>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</si>
  <si>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</si>
  <si>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</si>
  <si>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</si>
  <si>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</si>
  <si>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</si>
  <si>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</si>
  <si>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</si>
  <si>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</si>
  <si>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</si>
  <si>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</si>
  <si>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</si>
  <si>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</si>
  <si>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</si>
  <si>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</si>
  <si>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</si>
  <si>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</si>
  <si>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</si>
  <si>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</si>
  <si>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</si>
  <si>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</si>
  <si>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</si>
  <si>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</si>
  <si>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</si>
  <si>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</si>
  <si>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</si>
  <si>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</si>
  <si>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</si>
  <si>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</si>
  <si>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</si>
  <si>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</si>
  <si>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</si>
  <si>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</si>
  <si>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</si>
  <si>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</si>
  <si>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</si>
  <si>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</si>
  <si>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</si>
  <si>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</si>
  <si>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</si>
  <si>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</si>
  <si>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</si>
  <si>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</si>
  <si>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</si>
  <si>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</si>
  <si>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</si>
  <si>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</si>
  <si>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</si>
  <si>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</si>
  <si>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</si>
  <si>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</si>
  <si>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</si>
  <si>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</si>
  <si>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</si>
  <si>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</si>
  <si>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</si>
  <si>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</si>
  <si>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</si>
  <si>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</si>
  <si>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</si>
  <si>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</si>
  <si>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</si>
  <si>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</si>
  <si>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</si>
  <si>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</si>
  <si>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</si>
  <si>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</si>
  <si>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</si>
  <si>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</si>
  <si>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</si>
  <si>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</si>
  <si>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</si>
  <si>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</si>
  <si>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</si>
  <si>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</si>
  <si>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</si>
  <si>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</si>
  <si>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</si>
  <si>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</si>
  <si>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</si>
  <si>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</si>
  <si>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</si>
  <si>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</si>
  <si>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</si>
  <si>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</si>
  <si>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</si>
  <si>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</si>
  <si>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</si>
  <si>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</si>
  <si>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</si>
  <si>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</si>
  <si>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</si>
  <si>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</si>
  <si>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</si>
  <si>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</si>
  <si>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TWS Control NOT connected</t>
  </si>
  <si>
    <t>Distance to Strike</t>
  </si>
  <si>
    <t>Distance to Trigger</t>
  </si>
  <si>
    <t>Diatance to Strike</t>
  </si>
  <si>
    <t>STP LMT</t>
  </si>
  <si>
    <t>?</t>
  </si>
  <si>
    <t>Cancelled</t>
  </si>
  <si>
    <t>Canceled</t>
  </si>
  <si>
    <t>6B2G5 P1510</t>
  </si>
  <si>
    <t>6B2G5 P1515</t>
  </si>
  <si>
    <t>6B2G5 C1520</t>
  </si>
  <si>
    <t>6B2G5 C1525</t>
  </si>
  <si>
    <t>6B2G5 P1520</t>
  </si>
  <si>
    <t>6B2G5 C1530</t>
  </si>
  <si>
    <t>6B2G5 C1535</t>
  </si>
  <si>
    <t>In-Flight</t>
  </si>
  <si>
    <t>Submitted</t>
  </si>
  <si>
    <t>DU179595</t>
  </si>
  <si>
    <t>BOT</t>
  </si>
  <si>
    <t>PendingSubmit</t>
  </si>
  <si>
    <t>SLD</t>
  </si>
  <si>
    <t>2015-2-10 16:4:51.766: OrderManager - UpdateOrderStatus - id 8956 Setting status to PreSubmitted workingOrderCount is now 0 workingQty 0</t>
  </si>
  <si>
    <t>2015-2-10 16:4:51.767: RTWSControl - OrderStatus - Got OrderStatus Message id:8956 status: PreSubmitted filled: 0</t>
  </si>
  <si>
    <t>2015-2-10 16:4:51.767: RTWSControl - OrderStatus - exiting orderStatus</t>
  </si>
  <si>
    <t>2015-2-10 16:4:51.971: openOrderEnd - I am here</t>
  </si>
  <si>
    <t>2015-2-10 16:4:51.974: RTWSControl - nextValidId - entering nextValidId id is 8962</t>
  </si>
  <si>
    <t>2015-2-10 16:4:52.363: WatchlistView - initialize - an error occurredSelect method of Range class failed</t>
  </si>
  <si>
    <t>2015-2-10 16:4:52.429: RTWSControl - errMsg - got error message 2104:Market data farm connection is OK:usfuturewith id -1</t>
  </si>
  <si>
    <t>2015-2-10 16:4:52.439: RTWSControl - errMsg - got error message 2104:Market data farm connection is OK:usfuture.uswith id -1</t>
  </si>
  <si>
    <t>2015-2-10 16:4:52.474: RTWSControl - errMsg - got error message 2104:Market data farm connection is OK:cashfarmwith id -1</t>
  </si>
  <si>
    <t>2015-2-10 16:4:52.481: RTWSControl - errMsg - got error message 2104:Market data farm connection is OK:usfarmwith id -1</t>
  </si>
  <si>
    <t>2015-2-10 16:4:52.489: RTWSControl - errMsg - got error message 2106:HMDS data farm connection is OK:ilhmdswith id -1</t>
  </si>
  <si>
    <t>2015-2-10 16:4:52.515: RTWSControl - contractDetailsEx - got contractDetails id 0 British pound 6BH5</t>
  </si>
  <si>
    <t>2015-2-10 16:4:52.520: RTWSControl - contractDetailsEnd - Got contract details end event</t>
  </si>
  <si>
    <t>2015-2-10 16:4:52.525: RTWSControl - orderStatus -  entering orderStatus id is 8956 status is Cancelled</t>
  </si>
  <si>
    <t>2015-2-10 16:4:52.525: OrderManager - UpdateOrderStatus - id 8956 Setting status to Cancelled workingOrderCount is now 0 workingQty 0</t>
  </si>
  <si>
    <t>2015-2-10 16:4:52.527: RTWSControl - OrderStatus - Got OrderStatus Message id:8956 status: Cancelled filled: 0</t>
  </si>
  <si>
    <t>2015-2-10 16:4:52.527: RTWSControl - OrderStatus - exiting orderStatus</t>
  </si>
  <si>
    <t>2015-2-10 16:4:52.559: RTWSControl - errMsg - got error message 202:Order Canceled - reason:with id 8956</t>
  </si>
  <si>
    <t>2015-2-10 16:4:52.560: OrderManager - canceledOrder - cleaning up after canceled order 8956BEWARE UNACCOUNTED FOR EXECUTIONS!!!</t>
  </si>
  <si>
    <t>2015-2-10 16:4:52.560: OrderManager - terminateOrder - cleaning up after Canceled 8956  order was supposed to SELL 27 1.5232 STP LMT workingQty/OrderCount now -27/-1</t>
  </si>
  <si>
    <t>2015-2-10 16:4:52.560: OrderManager - terminateOrder - terminating order who had no caller</t>
  </si>
  <si>
    <t>2015-2-10 16:4:59.931: Algorithm - updatePortfolio - haveAllDetails is False</t>
  </si>
  <si>
    <t>2015-2-10 16:4:59.978: Algorithm - updatePortfolio - haveAllDetails is False</t>
  </si>
  <si>
    <t>2015-2-10 16:5:0.24: Algorithm - updatePortfolio - haveAllDetails is False</t>
  </si>
  <si>
    <t>2015-2-10 16:5:0.65: Algorithm - updatePortfolio - haveAllDetails is False</t>
  </si>
  <si>
    <t>2015-2-10 16:5:0.105: Algorithm - updatePortfolio - haveAllDetails is False</t>
  </si>
  <si>
    <t>2015-2-10 16:5:0.147: Algorithm - updatePortfolio - haveAllDetails is False</t>
  </si>
  <si>
    <t>2015-2-10 16:5:0.188: Algorithm - updatePortfolio - haveAllDetails is False</t>
  </si>
  <si>
    <t>2015-2-10 16:5:0.230: Algorithm - updatePortfolio - haveAllDetails is False</t>
  </si>
  <si>
    <t>2015-2-10 16:5:0.270: Algorithm - updatePortfolio - haveAllDetails is False</t>
  </si>
  <si>
    <t>2015-2-10 16:5:0.845: RTWSControl - contractDetailsEx - got contractDetails id 0 British pound 6B2G5 P1510</t>
  </si>
  <si>
    <t>2015-2-10 16:5:0.850: RTWSControl - contractDetailsEnd - Got contract details end event</t>
  </si>
  <si>
    <t>2015-2-10 16:5:0.855: RTWSControl - contractDetailsEx - got contractDetails id 0 British pound 6B2G5 P1515</t>
  </si>
  <si>
    <t>2015-2-10 16:5:0.886: RTWSControl - contractDetailsEnd - Got contract details end event</t>
  </si>
  <si>
    <t>2015-2-10 16:5:0.938: RTWSControl - contractDetailsEx - got contractDetails id 0 British pound 6B2G5 C1520</t>
  </si>
  <si>
    <t>2015-2-10 16:5:0.970: RTWSControl - contractDetailsEnd - Got contract details end event</t>
  </si>
  <si>
    <t>2015-2-10 16:5:0.976: RTWSControl - contractDetailsEx - got contractDetails id 0 British pound 6B2G5 C1525</t>
  </si>
  <si>
    <t>2015-2-10 16:5:0.983: RTWSControl - contractDetailsEnd - Got contract details end event</t>
  </si>
  <si>
    <t>2015-2-10 16:5:1.12: RTWSControl - contractDetailsEx - got contractDetails id 0 British pound 6B2G5 P1520</t>
  </si>
  <si>
    <t>2015-2-10 16:5:1.17: RTWSControl - contractDetailsEnd - Got contract details end event</t>
  </si>
  <si>
    <t>2015-2-10 16:5:1.24: RTWSControl - contractDetailsEx - got contractDetails id 0 British pound 6B2G5 C1530</t>
  </si>
  <si>
    <t>2015-2-10 16:5:1.53: RTWSControl - contractDetailsEnd - Got contract details end event</t>
  </si>
  <si>
    <t>2015-2-10 16:5:1.59: RTWSControl - contractDetailsEx - got contractDetails id 0 British pound 6B2G5 C1535</t>
  </si>
  <si>
    <t>2015-2-10 16:5:1.64: RTWSControl - contractDetailsEnd - Got contract details end event</t>
  </si>
  <si>
    <t>2015-2-10 16:5:2.555: Algorithm - FindNextStrikes - price is 1.5245 nextStrikeUp/Down 1.525/1.52</t>
  </si>
  <si>
    <t>2015-2-10 16:5:2.556: Algorithm - getPortfolioForwardDelta - required deltas is 90 currentHedgePosition is 100</t>
  </si>
  <si>
    <t>2015-2-10 16:5:2.557: Algorithm - getHedgeShortfall - required deltas is 90 price is 1.5244 currentHedgePositionDeltas is 100</t>
  </si>
  <si>
    <t>2015-2-10 16:5:2.559: Algorithm - processTransitionPoint - nextUpper/LowerStrikes are 1.525/1.52 requiredDeltas/currentPosition/currentHedgeShortfall/direction/transitionPrice are 90/100/-10/-1/1.5244</t>
  </si>
  <si>
    <t>2015-2-10 16:5:2.560: TransitionLogger - processTransitionpoint - checking transition - currentHedgeShortfall is -10</t>
  </si>
  <si>
    <t>2015-2-10 16:5:2.565: Algorithm - updatePortfolio - haveAllDetails is True</t>
  </si>
  <si>
    <t>2015-2-10 16:5:9.349: Algorithm - rehedge - rehedging -10 contracts</t>
  </si>
  <si>
    <t>2015-2-10 16:5:9.349: Algortihm - rehedge - inside the loop</t>
  </si>
  <si>
    <t>2015-2-10 16:5:9.349: OrderManager - PlaceOrder - id 8962 workingQty -32</t>
  </si>
  <si>
    <t>2015-2-10 16:5:9.351: OrderManager - sendOrder - exiting place order id 8962 SELL 5 1.5242  - workingQty -32 currentPosition is 100 workingOrderCount is 0</t>
  </si>
  <si>
    <t>2015-2-10 16:5:9.352: Algorithm - rehedge - placing an order - orderSize is 5 workingQty is -32 working order count 0</t>
  </si>
  <si>
    <t>2015-2-10 16:5:9.444: RTWSControl - nextValidId - entering nextValidId id is 8963</t>
  </si>
  <si>
    <t>2015-2-10 16:5:9.640: Algorithm - rehedge - rehedging -10 contracts</t>
  </si>
  <si>
    <t>2015-2-10 16:5:9.641: Algorithm - rehedge - Need to place order but already have a working order - workingQty is -32 working order count 0</t>
  </si>
  <si>
    <t>2015-2-10 16:5:9.733: RTWSControl - execDetails -  entering execDetailsEx execution id is 0001f4e5.54d9897d.01.01 shares/cumQty is 1/1</t>
  </si>
  <si>
    <t>2015-2-10 16:5:9.734: Algorithm - FindNextStrikes - price is 1.5243 nextStrikeUp/Down 1.525/1.52</t>
  </si>
  <si>
    <t>2015-2-10 16:5:9.734: Algorithm - getPortfolioForwardDelta - required deltas is 90 currentHedgePosition is 99</t>
  </si>
  <si>
    <t>2015-2-10 16:5:9.734: Algorithm - getHedgeShortfall - required deltas is 90 price is 1.5242 currentHedgePositionDeltas is 99</t>
  </si>
  <si>
    <t>2015-2-10 16:5:9.735: Algorithm - processTransitionPoint - nextUpper/LowerStrikes are 1.525/1.52 requiredDeltas/currentPosition/currentHedgeShortfall/direction/transitionPrice are 90/99/-9/-1/1.5242</t>
  </si>
  <si>
    <t>2015-2-10 16:5:9.735: TransitionLogger - processTransitionpoint - checking transition - currentHedgeShortfall is -9</t>
  </si>
  <si>
    <t>2015-2-10 16:5:9.736: OrderManager - updateExecution - got a fill for id 8962 qty 1 side SLD price 1.5244 - new working order size is -31 new instrument.qty is 99</t>
  </si>
  <si>
    <t>0001f4e5.54d9897d.01.01</t>
  </si>
  <si>
    <t>20150210  16:05:10</t>
  </si>
  <si>
    <t>2015-2-10 16:5:9.739: OrderManagerView - UpdateExecutionView - entering updateExecutionView  executionId is 0001f4e5.54d9897d.01.01</t>
  </si>
  <si>
    <t>2015-2-10 16:5:9.740: OrderManagerView - updateExecutionView -  exiting UpdateExecutionView</t>
  </si>
  <si>
    <t>2015-2-10 16:5:9.740: RTWSControl - execDetails -  exiting execDetailsEx</t>
  </si>
  <si>
    <t>2015-2-10 16:5:9.740: RTWSControl - execDetails - Got execution Message id:-1</t>
  </si>
  <si>
    <t>2015-2-10 16:5:9.770: openOrderEx - I am here</t>
  </si>
  <si>
    <t>2015-2-10 16:5:9.805: RTWSControl - orderStatus -  entering orderStatus id is 8962 status is PendingSubmit</t>
  </si>
  <si>
    <t>2015-2-10 16:5:9.805: OrderManager - UpdateOrderStatus - id 8962 Setting status to PendingSubmit workingOrderCount is now 0 workingQty -31</t>
  </si>
  <si>
    <t>2015-2-10 16:5:9.807: RTWSControl - OrderStatus - Got OrderStatus Message id:8962 status: PendingSubmit filled: 1</t>
  </si>
  <si>
    <t>2015-2-10 16:5:9.807: RTWSControl - OrderStatus - exiting orderStatus</t>
  </si>
  <si>
    <t>2015-2-10 16:5:9.850: Algorithm - rehedge - rehedging -9 contracts</t>
  </si>
  <si>
    <t>2015-2-10 16:5:9.851: Algorithm - rehedge - Need to place order but already have a working order - workingQty is -31 working order count 0</t>
  </si>
  <si>
    <t>2015-2-10 16:5:9.935: openOrderEx - I am here</t>
  </si>
  <si>
    <t>2015-2-10 16:5:9.970: RTWSControl - orderStatus -  entering orderStatus id is 8962 status is Submitted</t>
  </si>
  <si>
    <t>2015-2-10 16:5:9.971: OrderManager - UpdateOrderStatus - id 8962 Setting status to Submitted workingOrderCount is now 0 workingQty -31</t>
  </si>
  <si>
    <t>2015-2-10 16:5:9.973: RTWSControl - OrderStatus - Got OrderStatus Message id:8962 status: Submitted filled: 1</t>
  </si>
  <si>
    <t>2015-2-10 16:5:9.973: RTWSControl - OrderStatus - exiting orderStatus</t>
  </si>
  <si>
    <t>2015-2-10 16:5:9.984: openOrderEx - I am here</t>
  </si>
  <si>
    <t>2015-2-10 16:5:10.16: RTWSControl - orderStatus -  entering orderStatus id is 8962 status is Submitted</t>
  </si>
  <si>
    <t>2015-2-10 16:5:10.16: OrderManager - UpdateOrderStatus - id 8962 Setting status to Submitted workingOrderCount is now 0 workingQty -31</t>
  </si>
  <si>
    <t>2015-2-10 16:5:10.18: RTWSControl - OrderStatus - Got OrderStatus Message id:8962 status: Submitted filled: 1</t>
  </si>
  <si>
    <t>2015-2-10 16:5:10.18: RTWSControl - OrderStatus - exiting orderStatus</t>
  </si>
  <si>
    <t>2015-2-10 16:5:10.207: RTWSControl - execDetails -  entering execDetailsEx execution id is 0001f4e5.54d9897f.01.01 shares/cumQty is 4/5</t>
  </si>
  <si>
    <t>2015-2-10 16:5:10.207: Algorithm - FindNextStrikes - price is 1.52445 nextStrikeUp/Down 1.525/1.52</t>
  </si>
  <si>
    <t>2015-2-10 16:5:10.208: Algorithm - getPortfolioForwardDelta - required deltas is 90 currentHedgePosition is 95</t>
  </si>
  <si>
    <t>2015-2-10 16:5:10.208: Algorithm - getHedgeShortfall - required deltas is 90 price is 1.52435 currentHedgePositionDeltas is 95</t>
  </si>
  <si>
    <t>2015-2-10 16:5:10.209: Algorithm - processTransitionPoint - nextUpper/LowerStrikes are 1.525/1.52 requiredDeltas/currentPosition/currentHedgeShortfall/direction/transitionPrice are 90/95/-5/-1/1.52435</t>
  </si>
  <si>
    <t>2015-2-10 16:5:10.210: TransitionLogger - processTransitionpoint - checking transition - currentHedgeShortfall is -5</t>
  </si>
  <si>
    <t>2015-2-10 16:5:10.210: OrderManager - updateExecution - got a fill for id 8962 qty 4 side SLD price 1.5242 - new working order size is -27 new instrument.qty is 95</t>
  </si>
  <si>
    <t>0001f4e5.54d9897f.01.01</t>
  </si>
  <si>
    <t>20150210  16:05:11</t>
  </si>
  <si>
    <t>2015-2-10 16:5:10.215: OrderManagerView - UpdateExecutionView - entering updateExecutionView  executionId is 0001f4e5.54d9897f.01.01</t>
  </si>
  <si>
    <t>2015-2-10 16:5:10.216: OrderManagerView - updateExecutionView -  exiting UpdateExecutionView</t>
  </si>
  <si>
    <t>2015-2-10 16:5:10.217: RTWSControl - execDetails -  exiting execDetailsEx</t>
  </si>
  <si>
    <t>2015-2-10 16:5:10.217: RTWSControl - execDetails - Got execution Message id:-1</t>
  </si>
  <si>
    <t>2015-2-10 16:5:10.252: openOrderEx - I am here</t>
  </si>
  <si>
    <t>2015-2-10 16:5:10.295: RTWSControl - orderStatus -  entering orderStatus id is 8962 status is Filled</t>
  </si>
  <si>
    <t>2015-2-10 16:5:10.295: OrderManager - UpdateOrderStatus - id 8962 Setting status to Filled workingOrderCount is now -1 workingQty -27</t>
  </si>
  <si>
    <t>2015-2-10 16:5:10.296: OrderManager - terminateOrder - cleaning up after Filled 8962  order was supposed to SELL 5 1.5242 LMT workingQty/OrderCount now -27/-2</t>
  </si>
  <si>
    <t>2015-2-10 16:5:10.298: RTWSControl - OrderStatus - Got OrderStatus Message id:8962 status: Filled filled: 5</t>
  </si>
  <si>
    <t>2015-2-10 16:5:10.299: RTWSControl - OrderStatus - exiting orderStatus</t>
  </si>
  <si>
    <t>2015-2-10 16:5:10.596: openOrderEx - I am here</t>
  </si>
  <si>
    <t>2015-2-10 16:5:10.633: RTWSControl - orderStatus -  entering orderStatus id is 8962 status is Filled</t>
  </si>
  <si>
    <t>2015-2-10 16:5:10.634: OrderManager - UpdateOrderStatus - id 8962 Setting status to Filled workingOrderCount is now -2 workingQty -27</t>
  </si>
  <si>
    <t>2015-2-10 16:5:10.634: OrderManager - terminateOrder - cleaning up after Filled 8962  order was supposed to SELL 5 1.5242 LMT workingQty/OrderCount now -27/-3</t>
  </si>
  <si>
    <t>2015-2-10 16:5:10.637: RTWSControl - OrderStatus - Got OrderStatus Message id:8962 status: Filled filled: 5</t>
  </si>
  <si>
    <t>2015-2-10 16:5:10.637: RTWSControl - OrderStatus - exiting orderStatus</t>
  </si>
  <si>
    <t>2015-2-10 16:5:12.685: Algorithm - FindNextStrikes - price is 1.52445 nextStrikeUp/Down 1.525/1.52</t>
  </si>
  <si>
    <t>2015-2-10 16:5:12.686: Algorithm - getPortfolioForwardDelta - required deltas is 90 currentHedgePosition is 95</t>
  </si>
  <si>
    <t>2015-2-10 16:5:12.686: Algorithm - getHedgeShortfall - required deltas is 90 price is 1.52435 currentHedgePositionDeltas is 95</t>
  </si>
  <si>
    <t>2015-2-10 16:5:12.687: Algorithm - processTransitionPoint - nextUpper/LowerStrikes are 1.525/1.52 requiredDeltas/currentPosition/currentHedgeShortfall/direction/transitionPrice are 90/95/-5/-1/1.52435</t>
  </si>
  <si>
    <t>2015-2-10 16:5:12.687: TransitionLogger - processTransitionpoint - checking transition - currentHedgeShortfall is -5</t>
  </si>
  <si>
    <t>2015-2-10 16:5:12.687: Algorithm - rehedge - rehedging -5 contracts</t>
  </si>
  <si>
    <t>2015-2-10 16:5:12.687: Algortihm - rehedge - inside the loop</t>
  </si>
  <si>
    <t>2015-2-10 16:5:12.688: OrderManager - PlaceOrder - id 8963 workingQty -32</t>
  </si>
  <si>
    <t>2015-2-10 16:5:12.689: OrderManager - sendOrder - exiting place order id 8963 SELL 5 1.5243  - workingQty -32 currentPosition is 95 workingOrderCount is -2</t>
  </si>
  <si>
    <t>2015-2-10 16:5:12.690: Algorithm - rehedge - placing an order - orderSize is 5 workingQty is -32 working order count -2</t>
  </si>
  <si>
    <t>2015-2-10 16:5:12.691: Algorithm - updatePortfolio - haveAllDetails is True</t>
  </si>
  <si>
    <t>2015-2-10 16:5:12.730: Algorithm - FindNextStrikes - price is 1.52445 nextStrikeUp/Down 1.525/1.52</t>
  </si>
  <si>
    <t>2015-2-10 16:5:12.730: Algorithm - getPortfolioForwardDelta - required deltas is 90 currentHedgePosition is 95</t>
  </si>
  <si>
    <t>2015-2-10 16:5:12.731: Algorithm - getHedgeShortfall - required deltas is 90 price is 1.52435 currentHedgePositionDeltas is 95</t>
  </si>
  <si>
    <t>2015-2-10 16:5:12.731: Algorithm - processTransitionPoint - nextUpper/LowerStrikes are 1.525/1.52 requiredDeltas/currentPosition/currentHedgeShortfall/direction/transitionPrice are 90/95/-5/-1/1.52435</t>
  </si>
  <si>
    <t>2015-2-10 16:5:12.732: TransitionLogger - processTransitionpoint - checking transition - currentHedgeShortfall is -5</t>
  </si>
  <si>
    <t>2015-2-10 16:5:12.732: Algorithm - rehedge - rehedging -5 contracts</t>
  </si>
  <si>
    <t>2015-2-10 16:5:12.732: Algorithm - rehedge - Need to place order but already have a working order - workingQty is -32 working order count -2</t>
  </si>
  <si>
    <t>2015-2-10 16:5:12.733: Algorithm - updatePortfolio - haveAllDetails is True</t>
  </si>
  <si>
    <t>2015-2-10 16:5:12.777: Algorithm - FindNextStrikes - price is 1.52445 nextStrikeUp/Down 1.525/1.52</t>
  </si>
  <si>
    <t>2015-2-10 16:5:12.777: Algorithm - getPortfolioForwardDelta - required deltas is 90 currentHedgePosition is 95</t>
  </si>
  <si>
    <t>2015-2-10 16:5:12.778: Algorithm - getHedgeShortfall - required deltas is 90 price is 1.52435 currentHedgePositionDeltas is 95</t>
  </si>
  <si>
    <t>2015-2-10 16:5:12.778: Algorithm - processTransitionPoint - nextUpper/LowerStrikes are 1.525/1.52 requiredDeltas/currentPosition/currentHedgeShortfall/direction/transitionPrice are 90/95/-5/-1/1.52435</t>
  </si>
  <si>
    <t>2015-2-10 16:5:12.778: TransitionLogger - processTransitionpoint - checking transition - currentHedgeShortfall is -5</t>
  </si>
  <si>
    <t>2015-2-10 16:5:12.779: Algorithm - rehedge - rehedging -5 contracts</t>
  </si>
  <si>
    <t>2015-2-10 16:5:12.779: Algorithm - rehedge - Need to place order but already have a working order - workingQty is -32 working order count -2</t>
  </si>
  <si>
    <t>2015-2-10 16:5:12.780: Algorithm - updatePortfolio - haveAllDetails is True</t>
  </si>
  <si>
    <t>2015-2-10 16:5:12.819: Algorithm - FindNextStrikes - price is 1.52445 nextStrikeUp/Down 1.525/1.52</t>
  </si>
  <si>
    <t>2015-2-10 16:5:12.819: Algorithm - getPortfolioForwardDelta - required deltas is 90 currentHedgePosition is 95</t>
  </si>
  <si>
    <t>2015-2-10 16:5:12.819: Algorithm - getHedgeShortfall - required deltas is 90 price is 1.52435 currentHedgePositionDeltas is 95</t>
  </si>
  <si>
    <t>2015-2-10 16:5:12.820: Algorithm - processTransitionPoint - nextUpper/LowerStrikes are 1.525/1.52 requiredDeltas/currentPosition/currentHedgeShortfall/direction/transitionPrice are 90/95/-5/-1/1.52435</t>
  </si>
  <si>
    <t>2015-2-10 16:5:12.820: TransitionLogger - processTransitionpoint - checking transition - currentHedgeShortfall is -5</t>
  </si>
  <si>
    <t>2015-2-10 16:5:12.820: Algorithm - rehedge - rehedging -5 contracts</t>
  </si>
  <si>
    <t>2015-2-10 16:5:12.821: Algorithm - rehedge - Need to place order but already have a working order - workingQty is -32 working order count -2</t>
  </si>
  <si>
    <t>2015-2-10 16:5:12.821: Algorithm - updatePortfolio - haveAllDetails is True</t>
  </si>
  <si>
    <t>2015-2-10 16:5:12.860: Algorithm - FindNextStrikes - price is 1.52445 nextStrikeUp/Down 1.525/1.52</t>
  </si>
  <si>
    <t>2015-2-10 16:5:12.861: Algorithm - getPortfolioForwardDelta - required deltas is 90 currentHedgePosition is 95</t>
  </si>
  <si>
    <t>2015-2-10 16:5:12.861: Algorithm - getHedgeShortfall - required deltas is 90 price is 1.52435 currentHedgePositionDeltas is 95</t>
  </si>
  <si>
    <t>2015-2-10 16:5:12.861: Algorithm - processTransitionPoint - nextUpper/LowerStrikes are 1.525/1.52 requiredDeltas/currentPosition/currentHedgeShortfall/direction/transitionPrice are 90/95/-5/-1/1.52435</t>
  </si>
  <si>
    <t>2015-2-10 16:5:12.862: TransitionLogger - processTransitionpoint - checking transition - currentHedgeShortfall is -5</t>
  </si>
  <si>
    <t>2015-2-10 16:5:12.862: Algorithm - rehedge - rehedging -5 contracts</t>
  </si>
  <si>
    <t>2015-2-10 16:5:12.862: Algorithm - rehedge - Need to place order but already have a working order - workingQty is -32 working order count -2</t>
  </si>
  <si>
    <t>2015-2-10 16:5:12.863: Algorithm - updatePortfolio - haveAllDetails is True</t>
  </si>
  <si>
    <t>2015-2-10 16:5:12.903: Algorithm - FindNextStrikes - price is 1.52445 nextStrikeUp/Down 1.525/1.52</t>
  </si>
  <si>
    <t>2015-2-10 16:5:12.903: Algorithm - getPortfolioForwardDelta - required deltas is 90 currentHedgePosition is 95</t>
  </si>
  <si>
    <t>2015-2-10 16:5:12.903: Algorithm - getHedgeShortfall - required deltas is 90 price is 1.52435 currentHedgePositionDeltas is 95</t>
  </si>
  <si>
    <t>2015-2-10 16:5:12.904: Algorithm - processTransitionPoint - nextUpper/LowerStrikes are 1.525/1.52 requiredDeltas/currentPosition/currentHedgeShortfall/direction/transitionPrice are 90/95/-5/-1/1.52435</t>
  </si>
  <si>
    <t>2015-2-10 16:5:12.904: TransitionLogger - processTransitionpoint - checking transition - currentHedgeShortfall is -5</t>
  </si>
  <si>
    <t>2015-2-10 16:5:12.904: Algorithm - rehedge - rehedging -5 contracts</t>
  </si>
  <si>
    <t>2015-2-10 16:5:12.904: Algorithm - rehedge - Need to place order but already have a working order - workingQty is -32 working order count -2</t>
  </si>
  <si>
    <t>2015-2-10 16:5:12.905: Algorithm - updatePortfolio - haveAllDetails is True</t>
  </si>
  <si>
    <t>2015-2-10 16:5:12.945: Algorithm - FindNextStrikes - price is 1.52445 nextStrikeUp/Down 1.525/1.52</t>
  </si>
  <si>
    <t>2015-2-10 16:5:12.945: Algorithm - getPortfolioForwardDelta - required deltas is 90 currentHedgePosition is 95</t>
  </si>
  <si>
    <t>2015-2-10 16:5:12.946: Algorithm - getHedgeShortfall - required deltas is 90 price is 1.52435 currentHedgePositionDeltas is 95</t>
  </si>
  <si>
    <t>2015-2-10 16:5:12.946: Algorithm - processTransitionPoint - nextUpper/LowerStrikes are 1.525/1.52 requiredDeltas/currentPosition/currentHedgeShortfall/direction/transitionPrice are 90/95/-5/-1/1.52435</t>
  </si>
  <si>
    <t>2015-2-10 16:5:12.946: TransitionLogger - processTransitionpoint - checking transition - currentHedgeShortfall is -5</t>
  </si>
  <si>
    <t>2015-2-10 16:5:12.947: Algorithm - rehedge - rehedging -5 contracts</t>
  </si>
  <si>
    <t>2015-2-10 16:5:12.947: Algorithm - rehedge - Need to place order but already have a working order - workingQty is -32 working order count -2</t>
  </si>
  <si>
    <t>2015-2-10 16:5:12.948: Algorithm - updatePortfolio - haveAllDetails is True</t>
  </si>
  <si>
    <t>2015-2-10 16:5:12.987: Algorithm - FindNextStrikes - price is 1.52445 nextStrikeUp/Down 1.525/1.52</t>
  </si>
  <si>
    <t>2015-2-10 16:5:12.988: Algorithm - getPortfolioForwardDelta - required deltas is 90 currentHedgePosition is 95</t>
  </si>
  <si>
    <t>2015-2-10 16:5:12.988: Algorithm - getHedgeShortfall - required deltas is 90 price is 1.52435 currentHedgePositionDeltas is 95</t>
  </si>
  <si>
    <t>2015-2-10 16:5:12.988: Algorithm - processTransitionPoint - nextUpper/LowerStrikes are 1.525/1.52 requiredDeltas/currentPosition/currentHedgeShortfall/direction/transitionPrice are 90/95/-5/-1/1.52435</t>
  </si>
  <si>
    <t>2015-2-10 16:5:12.989: TransitionLogger - processTransitionpoint - checking transition - currentHedgeShortfall is -5</t>
  </si>
  <si>
    <t>2015-2-10 16:5:12.989: Algorithm - rehedge - rehedging -5 contracts</t>
  </si>
  <si>
    <t>2015-2-10 16:5:12.989: Algorithm - rehedge - Need to place order but already have a working order - workingQty is -32 working order count -2</t>
  </si>
  <si>
    <t>2015-2-10 16:5:12.990: Algorithm - updatePortfolio - haveAllDetails is True</t>
  </si>
  <si>
    <t>2015-2-10 16:5:13.29: Algorithm - FindNextStrikes - price is 1.52445 nextStrikeUp/Down 1.525/1.52</t>
  </si>
  <si>
    <t>2015-2-10 16:5:13.30: Algorithm - getPortfolioForwardDelta - required deltas is 90 currentHedgePosition is 95</t>
  </si>
  <si>
    <t>2015-2-10 16:5:13.30: Algorithm - getHedgeShortfall - required deltas is 90 price is 1.52435 currentHedgePositionDeltas is 95</t>
  </si>
  <si>
    <t>2015-2-10 16:5:13.30: Algorithm - processTransitionPoint - nextUpper/LowerStrikes are 1.525/1.52 requiredDeltas/currentPosition/currentHedgeShortfall/direction/transitionPrice are 90/95/-5/-1/1.52435</t>
  </si>
  <si>
    <t>2015-2-10 16:5:13.31: TransitionLogger - processTransitionpoint - checking transition - currentHedgeShortfall is -5</t>
  </si>
  <si>
    <t>2015-2-10 16:5:13.31: Algorithm - rehedge - rehedging -5 contracts</t>
  </si>
  <si>
    <t>2015-2-10 16:5:13.31: Algorithm - rehedge - Need to place order but already have a working order - workingQty is -32 working order count -2</t>
  </si>
  <si>
    <t>2015-2-10 16:5:13.32: Algorithm - updatePortfolio - haveAllDetails is True</t>
  </si>
  <si>
    <t>2015-2-10 16:5:13.182: RTWSControl - nextValidId - entering nextValidId id is 8964</t>
  </si>
  <si>
    <t>2015-2-10 16:5:13.224: RTWSControl - execDetails -  entering execDetailsEx execution id is 0001f4e5.54d98989.01.01 shares/cumQty is 5/5</t>
  </si>
  <si>
    <t>2015-2-10 16:5:13.225: Algorithm - FindNextStrikes - price is 1.52445 nextStrikeUp/Down 1.525/1.52</t>
  </si>
  <si>
    <t>2015-2-10 16:5:13.225: Algorithm - getPortfolioForwardDelta - required deltas is 90 currentHedgePosition is 90</t>
  </si>
  <si>
    <t>2015-2-10 16:5:13.226: Algorithm - getHedgeShortfall - required deltas is 90 price is 1.52435 currentHedgePositionDeltas is 90</t>
  </si>
  <si>
    <t>2015-2-10 16:5:13.226: Algorithm - processTransitionPoint - nextUpper/LowerStrikes are 1.525/1.52 requiredDeltas/currentPosition/currentHedgeShortfall/direction/transitionPrice are 90/90/0/-1/1.52435</t>
  </si>
  <si>
    <t>2015-2-10 16:5:13.227: TransitionLogger - processTransitionpoint - checking transition - currentHedgeShortfall is 0</t>
  </si>
  <si>
    <t>2015-2-10 16:5:13.227: OrderManager - updateExecution - got a fill for id 8963 qty 5 side SLD price 1.5244 - new working order size is -27 new instrument.qty is 90</t>
  </si>
  <si>
    <t>0001f4e5.54d98989.01.01</t>
  </si>
  <si>
    <t>20150210  16:05:14</t>
  </si>
  <si>
    <t>2015-2-10 16:5:13.230: OrderManagerView - UpdateExecutionView - entering updateExecutionView  executionId is 0001f4e5.54d98989.01.01</t>
  </si>
  <si>
    <t>2015-2-10 16:5:13.230: OrderManagerView - updateExecutionView -  exiting UpdateExecutionView</t>
  </si>
  <si>
    <t>2015-2-10 16:5:13.231: RTWSControl - execDetails -  exiting execDetailsEx</t>
  </si>
  <si>
    <t>2015-2-10 16:5:13.231: RTWSControl - execDetails - Got execution Message id:-1</t>
  </si>
  <si>
    <t>2015-2-10 16:5:13.265: openOrderEx - I am here</t>
  </si>
  <si>
    <t>2015-2-10 16:5:13.274: RTWSControl - orderStatus -  entering orderStatus id is 8963 status is Filled</t>
  </si>
  <si>
    <t>2015-2-10 16:5:13.274: OrderManager - UpdateOrderStatus - id 8963 Setting status to Filled workingOrderCount is now -3 workingQty -27</t>
  </si>
  <si>
    <t>2015-2-10 16:5:13.275: OrderManager - terminateOrder - cleaning up after Filled 8963  order was supposed to SELL 5 1.5243 LMT workingQty/OrderCount now -27/-4</t>
  </si>
  <si>
    <t>2015-2-10 16:5:13.278: RTWSControl - OrderStatus - Got OrderStatus Message id:8963 status: Filled filled: 5</t>
  </si>
  <si>
    <t>2015-2-10 16:5:13.278: RTWSControl - OrderStatus - exiting orderStatus</t>
  </si>
  <si>
    <t>2015-2-10 16:5:13.310: openOrderEx - I am here</t>
  </si>
  <si>
    <t>2015-2-10 16:5:13.346: RTWSControl - orderStatus -  entering orderStatus id is 8963 status is Filled</t>
  </si>
  <si>
    <t>2015-2-10 16:5:13.346: OrderManager - UpdateOrderStatus - id 8963 Setting status to Filled workingOrderCount is now -4 workingQty -27</t>
  </si>
  <si>
    <t>2015-2-10 16:5:13.347: OrderManager - terminateOrder - cleaning up after Filled 8963  order was supposed to SELL 5 1.5243 LMT workingQty/OrderCount now -27/-5</t>
  </si>
  <si>
    <t>2015-2-10 16:5:13.349: RTWSControl - OrderStatus - Got OrderStatus Message id:8963 status: Filled filled: 5</t>
  </si>
  <si>
    <t>2015-2-10 16:5:13.349: RTWSControl - OrderStatus - exiting orderStatus</t>
  </si>
  <si>
    <t>2015-2-10 16:5:13.360: openOrderEx - I am here</t>
  </si>
  <si>
    <t>2015-2-10 16:5:13.391: RTWSControl - orderStatus -  entering orderStatus id is 8963 status is Filled</t>
  </si>
  <si>
    <t>2015-2-10 16:5:13.391: OrderManager - UpdateOrderStatus - id 8963 Setting status to Filled workingOrderCount is now -5 workingQty -27</t>
  </si>
  <si>
    <t>2015-2-10 16:5:13.392: OrderManager - terminateOrder - cleaning up after Filled 8963  order was supposed to SELL 5 1.5243 LMT workingQty/OrderCount now -27/-6</t>
  </si>
  <si>
    <t>2015-2-10 16:5:13.394: RTWSControl - OrderStatus - Got OrderStatus Message id:8963 status: Filled filled: 5</t>
  </si>
  <si>
    <t>2015-2-10 16:5:13.394: RTWSControl - OrderStatus - exiting orderStatus</t>
  </si>
  <si>
    <t>2015-2-10 16:5:13.575: AutostopView - getBuyPrice - an error occurred Type mismatch</t>
  </si>
  <si>
    <t>2015-2-10 16:5:13.577: AutostopView - getBuyQty - an error occurred Type mismatch</t>
  </si>
  <si>
    <t>2015-2-10 16:5:13.580: AutostopView - getSellPrice - an error occurred Type mismatch</t>
  </si>
  <si>
    <t>2015-2-10 16:5:13.582: AutostopView - getSellQty - an error occurred Type mismatch</t>
  </si>
  <si>
    <t>2015-2-10 16:5:13.584: OrderManager - placeOrder - ATTEMPTING TO SEND ORDER WITH INVALID QUANTITY!</t>
  </si>
  <si>
    <t>2015-2-10 16:5:13.585: OrderManager - placeOrder - ATTEMPTING TO SEND ORDER WITH INVALID QUANTITY!</t>
  </si>
  <si>
    <t>2015-2-10 16:5:13.890: AutostopView - getBuyPrice - an error occurred Type mismatch</t>
  </si>
  <si>
    <t>2015-2-10 16:5:13.890: AutostopView - getBuyQty - an error occurred Type mismatch</t>
  </si>
  <si>
    <t>2015-2-10 16:5:13.891: AutostopView - getSellPrice - an error occurred Type mismatch</t>
  </si>
  <si>
    <t>2015-2-10 16:5:13.892: AutostopView - getSellQty - an error occurred Type mismatch</t>
  </si>
  <si>
    <t>2015-2-10 16:5:13.892: OrderManager - placeOrder - ATTEMPTING TO SEND ORDER WITH INVALID QUANTITY!</t>
  </si>
  <si>
    <t>2015-2-10 16:5:15.401: Algorithm - FindNextStrikes - price is 1.52435 nextStrikeUp/Down 1.525/1.52</t>
  </si>
  <si>
    <t>2015-2-10 16:5:15.401: Algorithm - getPortfolioForwardDelta - required deltas is 90 currentHedgePosition is 90</t>
  </si>
  <si>
    <t>2015-2-10 16:5:15.401: Algorithm - getHedgeShortfall - required deltas is 90 price is 1.52425 currentHedgePositionDeltas is 90</t>
  </si>
  <si>
    <t>2015-2-10 16:5:15.402: Algorithm - processTransitionPoint - nextUpper/LowerStrikes are 1.525/1.52 requiredDeltas/currentPosition/currentHedgeShortfall/direction/transitionPrice are 90/90/0/-1/1.52425</t>
  </si>
  <si>
    <t>2015-2-10 16:5:15.402: TransitionLogger - processTransitionpoint - checking transition - currentHedgeShortfall is 0</t>
  </si>
  <si>
    <t>2015-2-10 16:5:15.403: Algorithm - updatePortfolio - haveAllDetails is True</t>
  </si>
  <si>
    <t>2015-2-10 16:5:15.450: Algorithm - FindNextStrikes - price is 1.52435 nextStrikeUp/Down 1.525/1.52</t>
  </si>
  <si>
    <t>2015-2-10 16:5:15.450: Algorithm - getPortfolioForwardDelta - required deltas is 90 currentHedgePosition is 90</t>
  </si>
  <si>
    <t>2015-2-10 16:5:15.450: Algorithm - getHedgeShortfall - required deltas is 90 price is 1.52425 currentHedgePositionDeltas is 90</t>
  </si>
  <si>
    <t>2015-2-10 16:5:15.451: Algorithm - processTransitionPoint - nextUpper/LowerStrikes are 1.525/1.52 requiredDeltas/currentPosition/currentHedgeShortfall/direction/transitionPrice are 90/90/0/-1/1.52425</t>
  </si>
  <si>
    <t>2015-2-10 16:5:15.451: TransitionLogger - processTransitionpoint - checking transition - currentHedgeShortfall is 0</t>
  </si>
  <si>
    <t>2015-2-10 16:5:15.452: Algorithm - updatePortfolio - haveAllDetails is True</t>
  </si>
  <si>
    <t>2015-2-10 16:5:15.980: AutostopView - getBuyPrice - an error occurred Type mismatch</t>
  </si>
  <si>
    <t>2015-2-10 16:5:15.980: AutostopView - getBuyQty - an error occurred Type mismatch</t>
  </si>
  <si>
    <t>2015-2-10 16:5:15.981: AutostopView - getSellPrice - an error occurred Type mismatch</t>
  </si>
  <si>
    <t>2015-2-10 16:5:15.981: AutostopView - getSellQty - an error occurred Type mismatch</t>
  </si>
  <si>
    <t>2015-2-10 16:5:15.981: OrderManager - placeOrder - ATTEMPTING TO SEND ORDER WITH INVALID QUANTITY!</t>
  </si>
  <si>
    <t>2015-2-10 16:5:15.982: OrderManager - placeOrder - ATTEMPTING TO SEND ORDER WITH INVALID QUANTITY!</t>
  </si>
  <si>
    <t>2015-2-10 16:5:17.838: AutostopView - getBuyPrice - an error occurred Type mismatch</t>
  </si>
  <si>
    <t>2015-2-10 16:5:17.840: AutostopView - getBuyQty - an error occurred Type mismatch</t>
  </si>
  <si>
    <t>2015-2-10 16:5:17.843: AutostopView - getSellPrice - an error occurred Type mismatch</t>
  </si>
  <si>
    <t>2015-2-10 16:5:17.845: AutostopView - getSellQty - an error occurred Type mismatch</t>
  </si>
  <si>
    <t>2015-2-10 16:5:17.847: OrderManager - placeOrder - ATTEMPTING TO SEND ORDER WITH INVALID QUANTITY!</t>
  </si>
  <si>
    <t>2015-2-10 16:5:17.848: OrderManager - placeOrder - ATTEMPTING TO SEND ORDER WITH INVALID QUANTITY!</t>
  </si>
  <si>
    <t>2015-2-10 16:5:19.741: AutostopView - getBuyPrice - an error occurred Type mismatch</t>
  </si>
  <si>
    <t>2015-2-10 16:5:19.743: AutostopView - getBuyQty - an error occurred Type mismatch</t>
  </si>
  <si>
    <t>2015-2-10 16:5:19.745: AutostopView - getSellPrice - an error occurred Type mismatch</t>
  </si>
  <si>
    <t>2015-2-10 16:5:19.746: AutostopView - getSellQty - an error occurred Type mismatch</t>
  </si>
  <si>
    <t>2015-2-10 16:5:19.748: OrderManager - placeOrder - ATTEMPTING TO SEND ORDER WITH INVALID QUANTITY!</t>
  </si>
  <si>
    <t>2015-2-10 16:5:19.749: OrderManager - placeOrder - ATTEMPTING TO SEND ORDER WITH INVALID QUANTITY!</t>
  </si>
  <si>
    <t>2015-2-10 16:5:22.218: AutostopView - getBuyPrice - an error occurred Type mismatch</t>
  </si>
  <si>
    <t>2015-2-10 16:5:22.220: AutostopView - getBuyQty - an error occurred Type mismatch</t>
  </si>
  <si>
    <t>2015-2-10 16:5:22.223: AutostopView - getSellPrice - an error occurred Type mismatch</t>
  </si>
  <si>
    <t>2015-2-10 16:5:22.225: AutostopView - getSellQty - an error occurred Type mismatch</t>
  </si>
  <si>
    <t>2015-2-10 16:5:22.227: OrderManager - placeOrder - ATTEMPTING TO SEND ORDER WITH INVALID QUANTITY!</t>
  </si>
  <si>
    <t>2015-2-10 16:5:22.228: OrderManager - placeOrder - ATTEMPTING TO SEND ORDER WITH INVALID QUANTITY!</t>
  </si>
  <si>
    <t>2015-2-10 16:5:27.394: Algorithm - FindNextStrikes - price is 1.52435 nextStrikeUp/Down 1.525/1.52</t>
  </si>
  <si>
    <t>2015-2-10 16:5:27.395: Algorithm - getPortfolioForwardDelta - required deltas is 90 currentHedgePosition is 90</t>
  </si>
  <si>
    <t>2015-2-10 16:5:27.395: Algorithm - getHedgeShortfall - required deltas is 90 price is 1.52425 currentHedgePositionDeltas is 90</t>
  </si>
  <si>
    <t>2015-2-10 16:5:27.395: Algorithm - processTransitionPoint - nextUpper/LowerStrikes are 1.525/1.52 requiredDeltas/currentPosition/currentHedgeShortfall/direction/transitionPrice are 90/90/0/-1/1.52425</t>
  </si>
  <si>
    <t>2015-2-10 16:5:27.396: TransitionLogger - processTransitionpoint - checking transition - currentHedgeShortfall is 0</t>
  </si>
  <si>
    <t>2015-2-10 16:5:27.397: Algorithm - updatePortfolio - haveAllDetails is True</t>
  </si>
  <si>
    <t>2015-2-10 16:5:27.438: Algorithm - FindNextStrikes - price is 1.52435 nextStrikeUp/Down 1.525/1.52</t>
  </si>
  <si>
    <t>2015-2-10 16:5:27.438: Algorithm - getPortfolioForwardDelta - required deltas is 90 currentHedgePosition is 90</t>
  </si>
  <si>
    <t>2015-2-10 16:5:27.439: Algorithm - getHedgeShortfall - required deltas is 90 price is 1.52425 currentHedgePositionDeltas is 90</t>
  </si>
  <si>
    <t>2015-2-10 16:5:27.439: Algorithm - processTransitionPoint - nextUpper/LowerStrikes are 1.525/1.52 requiredDeltas/currentPosition/currentHedgeShortfall/direction/transitionPrice are 90/90/0/-1/1.52425</t>
  </si>
  <si>
    <t>2015-2-10 16:5:27.440: TransitionLogger - processTransitionpoint - checking transition - currentHedgeShortfall is 0</t>
  </si>
  <si>
    <t>2015-2-10 16:5:27.440: Algorithm - updatePortfolio - haveAllDetails is True</t>
  </si>
  <si>
    <t>2015-2-10 16:5:27.488: Algorithm - FindNextStrikes - price is 1.52435 nextStrikeUp/Down 1.525/1.52</t>
  </si>
  <si>
    <t>2015-2-10 16:5:27.488: Algorithm - getPortfolioForwardDelta - required deltas is 90 currentHedgePosition is 90</t>
  </si>
  <si>
    <t>2015-2-10 16:5:27.488: Algorithm - getHedgeShortfall - required deltas is 90 price is 1.52425 currentHedgePositionDeltas is 90</t>
  </si>
  <si>
    <t>2015-2-10 16:5:27.489: Algorithm - processTransitionPoint - nextUpper/LowerStrikes are 1.525/1.52 requiredDeltas/currentPosition/currentHedgeShortfall/direction/transitionPrice are 90/90/0/-1/1.52425</t>
  </si>
  <si>
    <t>2015-2-10 16:5:27.489: TransitionLogger - processTransitionpoint - checking transition - currentHedgeShortfall is 0</t>
  </si>
  <si>
    <t>2015-2-10 16:5:27.490: Algorithm - updatePortfolio - haveAllDetails is True</t>
  </si>
  <si>
    <t>2015-2-10 16:5:27.530: Algorithm - FindNextStrikes - price is 1.52435 nextStrikeUp/Down 1.525/1.52</t>
  </si>
  <si>
    <t>2015-2-10 16:5:27.530: Algorithm - getPortfolioForwardDelta - required deltas is 90 currentHedgePosition is 90</t>
  </si>
  <si>
    <t>2015-2-10 16:5:27.530: Algorithm - getHedgeShortfall - required deltas is 90 price is 1.52425 currentHedgePositionDeltas is 90</t>
  </si>
  <si>
    <t>2015-2-10 16:5:27.531: Algorithm - processTransitionPoint - nextUpper/LowerStrikes are 1.525/1.52 requiredDeltas/currentPosition/currentHedgeShortfall/direction/transitionPrice are 90/90/0/-1/1.52425</t>
  </si>
  <si>
    <t>2015-2-10 16:5:27.531: TransitionLogger - processTransitionpoint - checking transition - currentHedgeShortfall is 0</t>
  </si>
  <si>
    <t>2015-2-10 16:5:27.532: Algorithm - updatePortfolio - haveAllDetails is True</t>
  </si>
  <si>
    <t>2015-2-10 16:5:27.570: Algorithm - FindNextStrikes - price is 1.52435 nextStrikeUp/Down 1.525/1.52</t>
  </si>
  <si>
    <t>2015-2-10 16:5:27.571: Algorithm - getPortfolioForwardDelta - required deltas is 90 currentHedgePosition is 90</t>
  </si>
  <si>
    <t>2015-2-10 16:5:27.571: Algorithm - getHedgeShortfall - required deltas is 90 price is 1.52425 currentHedgePositionDeltas is 90</t>
  </si>
  <si>
    <t>2015-2-10 16:5:27.571: Algorithm - processTransitionPoint - nextUpper/LowerStrikes are 1.525/1.52 requiredDeltas/currentPosition/currentHedgeShortfall/direction/transitionPrice are 90/90/0/-1/1.52425</t>
  </si>
  <si>
    <t>2015-2-10 16:5:27.572: TransitionLogger - processTransitionpoint - checking transition - currentHedgeShortfall is 0</t>
  </si>
  <si>
    <t>2015-2-10 16:5:27.572: Algorithm - updatePortfolio - haveAllDetails is True</t>
  </si>
  <si>
    <t>2015-2-10 16:5:27.612: Algorithm - FindNextStrikes - price is 1.52435 nextStrikeUp/Down 1.525/1.52</t>
  </si>
  <si>
    <t>2015-2-10 16:5:27.612: Algorithm - getPortfolioForwardDelta - required deltas is 90 currentHedgePosition is 90</t>
  </si>
  <si>
    <t>2015-2-10 16:5:27.612: Algorithm - getHedgeShortfall - required deltas is 90 price is 1.52425 currentHedgePositionDeltas is 90</t>
  </si>
  <si>
    <t>2015-2-10 16:5:27.613: Algorithm - processTransitionPoint - nextUpper/LowerStrikes are 1.525/1.52 requiredDeltas/currentPosition/currentHedgeShortfall/direction/transitionPrice are 90/90/0/-1/1.52425</t>
  </si>
  <si>
    <t>2015-2-10 16:5:27.613: TransitionLogger - processTransitionpoint - checking transition - currentHedgeShortfall is 0</t>
  </si>
  <si>
    <t>2015-2-10 16:5:27.614: Algorithm - updatePortfolio - haveAllDetails is True</t>
  </si>
  <si>
    <t>2015-2-10 16:5:27.653: Algorithm - FindNextStrikes - price is 1.52435 nextStrikeUp/Down 1.525/1.52</t>
  </si>
  <si>
    <t>2015-2-10 16:5:27.653: Algorithm - getPortfolioForwardDelta - required deltas is 90 currentHedgePosition is 90</t>
  </si>
  <si>
    <t>2015-2-10 16:5:27.654: Algorithm - getHedgeShortfall - required deltas is 90 price is 1.52425 currentHedgePositionDeltas is 90</t>
  </si>
  <si>
    <t>2015-2-10 16:5:27.654: Algorithm - processTransitionPoint - nextUpper/LowerStrikes are 1.525/1.52 requiredDeltas/currentPosition/currentHedgeShortfall/direction/transitionPrice are 90/90/0/-1/1.52425</t>
  </si>
  <si>
    <t>2015-2-10 16:5:27.654: TransitionLogger - processTransitionpoint - checking transition - currentHedgeShortfall is 0</t>
  </si>
  <si>
    <t>2015-2-10 16:5:27.655: Algorithm - updatePortfolio - haveAllDetails is True</t>
  </si>
  <si>
    <t>2015-2-10 16:5:27.694: Algorithm - FindNextStrikes - price is 1.52435 nextStrikeUp/Down 1.525/1.52</t>
  </si>
  <si>
    <t>2015-2-10 16:5:27.695: Algorithm - getPortfolioForwardDelta - required deltas is 90 currentHedgePosition is 90</t>
  </si>
  <si>
    <t>2015-2-10 16:5:27.695: Algorithm - getHedgeShortfall - required deltas is 90 price is 1.52425 currentHedgePositionDeltas is 90</t>
  </si>
  <si>
    <t>2015-2-10 16:5:27.695: Algorithm - processTransitionPoint - nextUpper/LowerStrikes are 1.525/1.52 requiredDeltas/currentPosition/currentHedgeShortfall/direction/transitionPrice are 90/90/0/-1/1.52425</t>
  </si>
  <si>
    <t>2015-2-10 16:5:27.696: TransitionLogger - processTransitionpoint - checking transition - currentHedgeShortfall is 0</t>
  </si>
  <si>
    <t>2015-2-10 16:5:27.696: Algorithm - updatePortfolio - haveAllDetails is True</t>
  </si>
  <si>
    <t>2015-2-10 16:5:27.736: Algorithm - FindNextStrikes - price is 1.52435 nextStrikeUp/Down 1.525/1.52</t>
  </si>
  <si>
    <t>2015-2-10 16:5:27.737: Algorithm - getPortfolioForwardDelta - required deltas is 90 currentHedgePosition is 90</t>
  </si>
  <si>
    <t>2015-2-10 16:5:27.737: Algorithm - getHedgeShortfall - required deltas is 90 price is 1.52425 currentHedgePositionDeltas is 90</t>
  </si>
  <si>
    <t>2015-2-10 16:5:27.737: Algorithm - processTransitionPoint - nextUpper/LowerStrikes are 1.525/1.52 requiredDeltas/currentPosition/currentHedgeShortfall/direction/transitionPrice are 90/90/0/-1/1.52425</t>
  </si>
  <si>
    <t>2015-2-10 16:5:27.738: TransitionLogger - processTransitionpoint - checking transition - currentHedgeShortfall is 0</t>
  </si>
  <si>
    <t>2015-2-10 16:5:27.738: Algorithm - updatePortfolio - haveAllDetails is True</t>
  </si>
  <si>
    <t>2015-2-10 16:5:40.671: AutostopView - getBuyPrice - an error occurred Type mismatch</t>
  </si>
  <si>
    <t>2015-2-10 16:5:40.673: AutostopView - getBuyQty - an error occurred Type mismatch</t>
  </si>
  <si>
    <t>2015-2-10 16:5:40.676: AutostopView - getSellPrice - an error occurred Type mismatch</t>
  </si>
  <si>
    <t>2015-2-10 16:5:40.678: AutostopView - getSellQty - an error occurred Type mismatch</t>
  </si>
  <si>
    <t>2015-2-10 16:5:40.680: OrderManager - placeOrder - ATTEMPTING TO SEND ORDER WITH INVALID QUANTITY!</t>
  </si>
  <si>
    <t>2015-2-10 16:5:40.681: OrderManager - placeOrder - ATTEMPTING TO SEND ORDER WITH INVALID QUANTITY!</t>
  </si>
  <si>
    <t>2015-2-10 16:5:40.768: AutostopView - getBuyPrice - an error occurred Type mismatch</t>
  </si>
  <si>
    <t>2015-2-10 16:5:40.769: AutostopView - getBuyQty - an error occurred Type mismatch</t>
  </si>
  <si>
    <t>2015-2-10 16:5:40.769: AutostopView - getSellPrice - an error occurred Type mismatch</t>
  </si>
  <si>
    <t>2015-2-10 16:5:40.770: AutostopView - getSellQty - an error occurred Type mismatch</t>
  </si>
  <si>
    <t>2015-2-10 16:5:40.770: OrderManager - placeOrder - ATTEMPTING TO SEND ORDER WITH INVALID QUANTITY!</t>
  </si>
  <si>
    <t>2015-2-10 16:5:40.771: OrderManager - placeOrder - ATTEMPTING TO SEND ORDER WITH INVALID QUANTITY!</t>
  </si>
  <si>
    <t>2015-2-10 16:5:41.809: AutostopView - getBuyPrice - an error occurred Type mismatch</t>
  </si>
  <si>
    <t>2015-2-10 16:5:41.810: AutostopView - getBuyQty - an error occurred Type mismatch</t>
  </si>
  <si>
    <t>2015-2-10 16:5:41.810: AutostopView - getSellPrice - an error occurred Type mismatch</t>
  </si>
  <si>
    <t>2015-2-10 16:5:41.811: AutostopView - getSellQty - an error occurred Type mismatch</t>
  </si>
  <si>
    <t>2015-2-10 16:5:41.812: OrderManager - placeOrder - ATTEMPTING TO SEND ORDER WITH INVALID QUANTITY!</t>
  </si>
  <si>
    <t>2015-2-10 16:5:41.859: AutostopView - getBuyPrice - an error occurred Type mismatch</t>
  </si>
  <si>
    <t>2015-2-10 16:5:41.859: AutostopView - getBuyQty - an error occurred Type mismatch</t>
  </si>
  <si>
    <t>2015-2-10 16:5:41.860: AutostopView - getSellPrice - an error occurred Type mismatch</t>
  </si>
  <si>
    <t>2015-2-10 16:5:41.860: AutostopView - getSellQty - an error occurred Type mismatch</t>
  </si>
  <si>
    <t>2015-2-10 16:5:41.861: OrderManager - placeOrder - ATTEMPTING TO SEND ORDER WITH INVALID QUANTITY!</t>
  </si>
  <si>
    <t>2015-2-10 16:5:42.1: AutostopView - getBuyPrice - an error occurred Type mismatch</t>
  </si>
  <si>
    <t>2015-2-10 16:5:42.2: AutostopView - getBuyQty - an error occurred Type mismatch</t>
  </si>
  <si>
    <t>2015-2-10 16:5:42.3: AutostopView - getSellPrice - an error occurred Type mismatch</t>
  </si>
  <si>
    <t>2015-2-10 16:5:42.4: AutostopView - getSellQty - an error occurred Type mismatch</t>
  </si>
  <si>
    <t>2015-2-10 16:5:42.5: OrderManager - placeOrder - ATTEMPTING TO SEND ORDER WITH INVALID QUANTITY!</t>
  </si>
  <si>
    <t>2015-2-10 16:5:42.6: OrderManager - placeOrder - ATTEMPTING TO SEND ORDER WITH INVALID QUANTITY!</t>
  </si>
  <si>
    <t>2015-2-10 16:5:42.120: AutostopView - getBuyPrice - an error occurred Type mismatch</t>
  </si>
  <si>
    <t>2015-2-10 16:5:42.121: AutostopView - getBuyQty - an error occurred Type mismatch</t>
  </si>
  <si>
    <t>2015-2-10 16:5:42.122: AutostopView - getSellPrice - an error occurred Type mismatch</t>
  </si>
  <si>
    <t>2015-2-10 16:5:42.122: AutostopView - getSellQty - an error occurred Type mismatch</t>
  </si>
  <si>
    <t>2015-2-10 16:5:42.123: OrderManager - placeOrder - ATTEMPTING TO SEND ORDER WITH INVALID QUANTITY!</t>
  </si>
  <si>
    <t>2015-2-10 16:5:42.318: AutostopView - getBuyPrice - an error occurred Type mismatch</t>
  </si>
  <si>
    <t>2015-2-10 16:5:42.319: AutostopView - getBuyQty - an error occurred Type mismatch</t>
  </si>
  <si>
    <t>2015-2-10 16:5:42.319: AutostopView - getSellPrice - an error occurred Type mismatch</t>
  </si>
  <si>
    <t>2015-2-10 16:5:42.320: AutostopView - getSellQty - an error occurred Type mismatch</t>
  </si>
  <si>
    <t>2015-2-10 16:5:42.320: OrderManager - placeOrder - ATTEMPTING TO SEND ORDER WITH INVALID QUANTITY!</t>
  </si>
  <si>
    <t>2015-2-10 16:5:42.321: OrderManager - placeOrder - ATTEMPTING TO SEND ORDER WITH INVALID QUANTITY!</t>
  </si>
  <si>
    <t>2015-2-10 16:5:42.540: AutostopView - getBuyPrice - an error occurred Type mismatch</t>
  </si>
  <si>
    <t>2015-2-10 16:5:42.541: AutostopView - getBuyQty - an error occurred Type mismatch</t>
  </si>
  <si>
    <t>2015-2-10 16:5:42.543: AutostopView - getSellPrice - an error occurred Type mismatch</t>
  </si>
  <si>
    <t>2015-2-10 16:5:42.544: AutostopView - getSellQty - an error occurred Type mismatch</t>
  </si>
  <si>
    <t>2015-2-10 16:5:42.546: OrderManager - placeOrder - ATTEMPTING TO SEND ORDER WITH INVALID QUANTITY!</t>
  </si>
  <si>
    <t>2015-2-10 16:5:42.547: OrderManager - placeOrder - ATTEMPTING TO SEND ORDER WITH INVALID QUANTITY!</t>
  </si>
  <si>
    <t>2015-2-10 16:5:42.685: AutostopView - getBuyPrice - an error occurred Type mismatch</t>
  </si>
  <si>
    <t>2015-2-10 16:5:42.685: AutostopView - getBuyQty - an error occurred Type mismatch</t>
  </si>
  <si>
    <t>2015-2-10 16:5:42.686: AutostopView - getSellPrice - an error occurred Type mismatch</t>
  </si>
  <si>
    <t>2015-2-10 16:5:42.687: AutostopView - getSellQty - an error occurred Type mismatch</t>
  </si>
  <si>
    <t>2015-2-10 16:5:42.687: OrderManager - placeOrder - ATTEMPTING TO SEND ORDER WITH INVALID QUANTITY!</t>
  </si>
  <si>
    <t>2015-2-10 16:5:42.688: OrderManager - placeOrder - ATTEMPTING TO SEND ORDER WITH INVALID QUANTITY!</t>
  </si>
  <si>
    <t>2015-2-10 16:5:42.777: AutostopView - getBuyPrice - an error occurred Type mismatch</t>
  </si>
  <si>
    <t>2015-2-10 16:5:42.778: AutostopView - getBuyQty - an error occurred Type mismatch</t>
  </si>
  <si>
    <t>2015-2-10 16:5:42.779: AutostopView - getSellPrice - an error occurred Type mismatch</t>
  </si>
  <si>
    <t>2015-2-10 16:5:42.780: AutostopView - getSellQty - an error occurred Type mismatch</t>
  </si>
  <si>
    <t>2015-2-10 16:5:42.781: OrderManager - placeOrder - ATTEMPTING TO SEND ORDER WITH INVALID QUANTITY!</t>
  </si>
  <si>
    <t>2015-2-10 16:5:44.565: AutostopView - getBuyPrice - an error occurred Type mismatch</t>
  </si>
  <si>
    <t>2015-2-10 16:5:44.566: AutostopView - getBuyQty - an error occurred Type mismatch</t>
  </si>
  <si>
    <t>2015-2-10 16:5:44.566: AutostopView - getSellPrice - an error occurred Type mismatch</t>
  </si>
  <si>
    <t>2015-2-10 16:5:44.567: AutostopView - getSellQty - an error occurred Type mismatch</t>
  </si>
  <si>
    <t>2015-2-10 16:5:44.567: OrderManager - placeOrder - ATTEMPTING TO SEND ORDER WITH INVALID QUANTITY!</t>
  </si>
  <si>
    <t>2015-2-10 16:5:44.568: OrderManager - placeOrder - ATTEMPTING TO SEND ORDER WITH INVALID QUANTITY!</t>
  </si>
  <si>
    <t>2015-2-10 16:5:44.686: AutostopView - getBuyPrice - an error occurred Type mismatch</t>
  </si>
  <si>
    <t>2015-2-10 16:5:44.687: AutostopView - getBuyQty - an error occurred Type mismatch</t>
  </si>
  <si>
    <t>2015-2-10 16:5:44.687: AutostopView - getSellPrice - an error occurred Type mismatch</t>
  </si>
  <si>
    <t>2015-2-10 16:5:44.688: AutostopView - getSellQty - an error occurred Type mismatch</t>
  </si>
  <si>
    <t>2015-2-10 16:5:44.688: OrderManager - placeOrder - ATTEMPTING TO SEND ORDER WITH INVALID QUANTITY!</t>
  </si>
  <si>
    <t>2015-2-10 16:5:44.689: OrderManager - placeOrder - ATTEMPTING TO SEND ORDER WITH INVALID QUANTITY!</t>
  </si>
  <si>
    <t>2015-2-10 16:5:45.580: AutostopView - getBuyPrice - an error occurred Type mismatch</t>
  </si>
  <si>
    <t>2015-2-10 16:5:45.581: AutostopView - getBuyQty - an error occurred Type mismatch</t>
  </si>
  <si>
    <t>2015-2-10 16:5:45.582: AutostopView - getSellPrice - an error occurred Type mismatch</t>
  </si>
  <si>
    <t>2015-2-10 16:5:45.583: AutostopView - getSellQty - an error occurred Type mismatch</t>
  </si>
  <si>
    <t>2015-2-10 16:5:45.584: OrderManager - placeOrder - ATTEMPTING TO SEND ORDER WITH INVALID QUANTITY!</t>
  </si>
  <si>
    <t>2015-2-10 16:5:45.585: OrderManager - placeOrder - ATTEMPTING TO SEND ORDER WITH INVALID QUANTITY!</t>
  </si>
  <si>
    <t>2015-2-10 16:5:48.700: AutostopView - getBuyPrice - an error occurred Type mismatch</t>
  </si>
  <si>
    <t>2015-2-10 16:5:48.703: AutostopView - getBuyQty - an error occurred Type mismatch</t>
  </si>
  <si>
    <t>2015-2-10 16:5:48.706: AutostopView - getSellPrice - an error occurred Type mismatch</t>
  </si>
  <si>
    <t>2015-2-10 16:5:48.708: AutostopView - getSellQty - an error occurred Type mismatch</t>
  </si>
  <si>
    <t>2015-2-10 16:5:48.710: OrderManager - placeOrder - ATTEMPTING TO SEND ORDER WITH INVALID QUANTITY!</t>
  </si>
  <si>
    <t>2015-2-10 16:5:48.711: OrderManager - placeOrder - ATTEMPTING TO SEND ORDER WITH INVALID QUANTITY!</t>
  </si>
  <si>
    <t>2015-2-10 16:5:50.612: AutostopView - getBuyPrice - an error occurred Type mismatch</t>
  </si>
  <si>
    <t>2015-2-10 16:5:50.613: AutostopView - getBuyQty - an error occurred Type mismatch</t>
  </si>
  <si>
    <t>2015-2-10 16:5:50.614: AutostopView - getSellPrice - an error occurred Type mismatch</t>
  </si>
  <si>
    <t>2015-2-10 16:5:50.615: AutostopView - getSellQty - an error occurred Type mismatch</t>
  </si>
  <si>
    <t>2015-2-10 16:5:50.616: OrderManager - placeOrder - ATTEMPTING TO SEND ORDER WITH INVALID QUANTITY!</t>
  </si>
  <si>
    <t>2015-2-10 16:5:52.923: AutostopView - getBuyPrice - an error occurred Type mismatch</t>
  </si>
  <si>
    <t>2015-2-10 16:5:52.924: AutostopView - getBuyQty - an error occurred Type mismatch</t>
  </si>
  <si>
    <t>2015-2-10 16:5:52.925: AutostopView - getSellPrice - an error occurred Type mismatch</t>
  </si>
  <si>
    <t>2015-2-10 16:5:52.926: AutostopView - getSellQty - an error occurred Type mismatch</t>
  </si>
  <si>
    <t>2015-2-10 16:5:52.926: OrderManager - placeOrder - ATTEMPTING TO SEND ORDER WITH INVALID QUANTITY!</t>
  </si>
  <si>
    <t>2015-2-10 16:5:52.927: OrderManager - placeOrder - ATTEMPTING TO SEND ORDER WITH INVALID QUANTITY!</t>
  </si>
  <si>
    <t>2015-2-10 16:5:58.584: AutostopView - getBuyPrice - an error occurred Type mismatch</t>
  </si>
  <si>
    <t>2015-2-10 16:5:58.585: AutostopView - getBuyQty - an error occurred Type mismatch</t>
  </si>
  <si>
    <t>2015-2-10 16:5:58.586: AutostopView - getSellPrice - an error occurred Type mismatch</t>
  </si>
  <si>
    <t>2015-2-10 16:5:58.586: AutostopView - getSellQty - an error occurred Type mismatch</t>
  </si>
  <si>
    <t>2015-2-10 16:5:58.587: OrderManager - placeOrder - ATTEMPTING TO SEND ORDER WITH INVALID QUANTITY!</t>
  </si>
  <si>
    <t>2015-2-10 16:5:58.588: OrderManager - placeOrder - ATTEMPTING TO SEND ORDER WITH INVALID QUANTITY!</t>
  </si>
  <si>
    <t>2015-2-10 16:5:58.648: AutostopView - getBuyPrice - an error occurred Type mismatch</t>
  </si>
  <si>
    <t>2015-2-10 16:5:58.649: AutostopView - getBuyQty - an error occurred Type mismatch</t>
  </si>
  <si>
    <t>2015-2-10 16:5:58.649: AutostopView - getSellPrice - an error occurred Type mismatch</t>
  </si>
  <si>
    <t>2015-2-10 16:5:58.650: AutostopView - getSellQty - an error occurred Type mismatch</t>
  </si>
  <si>
    <t>2015-2-10 16:5:58.650: OrderManager - placeOrder - ATTEMPTING TO SEND ORDER WITH INVALID QUANTITY!</t>
  </si>
  <si>
    <t>2015-2-10 16:5:58.651: OrderManager - placeOrder - ATTEMPTING TO SEND ORDER WITH INVALID QUANTITY!</t>
  </si>
  <si>
    <t>2015-2-10 16:6:12.894: AutostopView - getBuyPrice - an error occurred Type mismatch</t>
  </si>
  <si>
    <t>2015-2-10 16:6:12.895: AutostopView - getBuyQty - an error occurred Type mismatch</t>
  </si>
  <si>
    <t>2015-2-10 16:6:12.896: AutostopView - getSellPrice - an error occurred Type mismatch</t>
  </si>
  <si>
    <t>2015-2-10 16:6:12.897: AutostopView - getSellQty - an error occurred Type mismatch</t>
  </si>
  <si>
    <t>2015-2-10 16:6:12.897: OrderManager - placeOrder - ATTEMPTING TO SEND ORDER WITH INVALID QUANTITY!</t>
  </si>
  <si>
    <t>2015-2-10 16:6:12.898: OrderManager - placeOrder - ATTEMPTING TO SEND ORDER WITH INVALID QUANTITY!</t>
  </si>
  <si>
    <t>2015-2-10 16:6:12.976: AutostopView - getBuyPrice - an error occurred Type mismatch</t>
  </si>
  <si>
    <t>2015-2-10 16:6:12.977: AutostopView - getBuyQty - an error occurred Type mismatch</t>
  </si>
  <si>
    <t>2015-2-10 16:6:12.977: AutostopView - getSellPrice - an error occurred Type mismatch</t>
  </si>
  <si>
    <t>2015-2-10 16:6:12.978: AutostopView - getSellQty - an error occurred Type mismatch</t>
  </si>
  <si>
    <t>2015-2-10 16:6:12.978: OrderManager - placeOrder - ATTEMPTING TO SEND ORDER WITH INVALID QUANTITY!</t>
  </si>
  <si>
    <t>2015-2-10 16:6:12.979: OrderManager - placeOrder - ATTEMPTING TO SEND ORDER WITH INVALID QUANTITY!</t>
  </si>
  <si>
    <t>2015-2-10 16:6:13.68: AutostopView - getBuyPrice - an error occurred Type mismatch</t>
  </si>
  <si>
    <t>2015-2-10 16:6:13.68: AutostopView - getBuyQty - an error occurred Type mismatch</t>
  </si>
  <si>
    <t>2015-2-10 16:6:13.69: AutostopView - getSellPrice - an error occurred Type mismatch</t>
  </si>
  <si>
    <t>2015-2-10 16:6:13.69: AutostopView - getSellQty - an error occurred Type mismatch</t>
  </si>
  <si>
    <t>2015-2-10 16:6:13.70: OrderManager - placeOrder - ATTEMPTING TO SEND ORDER WITH INVALID QUANTITY!</t>
  </si>
  <si>
    <t>2015-2-10 16:6:13.196: AutostopView - getBuyPrice - an error occurred Type mismatch</t>
  </si>
  <si>
    <t>2015-2-10 16:6:13.197: AutostopView - getBuyQty - an error occurred Type mismatch</t>
  </si>
  <si>
    <t>2015-2-10 16:6:13.197: AutostopView - getSellPrice - an error occurred Type mismatch</t>
  </si>
  <si>
    <t>2015-2-10 16:6:13.198: AutostopView - getSellQty - an error occurred Type mismatch</t>
  </si>
  <si>
    <t>2015-2-10 16:6:13.198: OrderManager - placeOrder - ATTEMPTING TO SEND ORDER WITH INVALID QUANTITY!</t>
  </si>
  <si>
    <t>2015-2-10 16:6:13.199: OrderManager - placeOrder - ATTEMPTING TO SEND ORDER WITH INVALID QUANTITY!</t>
  </si>
  <si>
    <t>2015-2-10 16:6:13.502: AutostopView - getBuyPrice - an error occurred Type mismatch</t>
  </si>
  <si>
    <t>2015-2-10 16:6:13.504: AutostopView - getBuyQty - an error occurred Type mismatch</t>
  </si>
  <si>
    <t>2015-2-10 16:6:13.506: AutostopView - getSellPrice - an error occurred Type mismatch</t>
  </si>
  <si>
    <t>2015-2-10 16:6:13.508: AutostopView - getSellQty - an error occurred Type mismatch</t>
  </si>
  <si>
    <t>2015-2-10 16:6:13.510: OrderManager - placeOrder - ATTEMPTING TO SEND ORDER WITH INVALID QUANTITY!</t>
  </si>
  <si>
    <t>2015-2-10 16:6:13.511: OrderManager - placeOrder - ATTEMPTING TO SEND ORDER WITH INVALID QUANTITY!</t>
  </si>
  <si>
    <t>2015-2-10 16:6:14.470: AutostopView - getBuyPrice - an error occurred Type mismatch</t>
  </si>
  <si>
    <t>2015-2-10 16:6:14.473: AutostopView - getBuyQty - an error occurred Type mismatch</t>
  </si>
  <si>
    <t>2015-2-10 16:6:14.475: AutostopView - getSellPrice - an error occurred Type mismatch</t>
  </si>
  <si>
    <t>2015-2-10 16:6:14.478: AutostopView - getSellQty - an error occurred Type mismatch</t>
  </si>
  <si>
    <t>2015-2-10 16:6:14.479: OrderManager - placeOrder - ATTEMPTING TO SEND ORDER WITH INVALID QUANTITY!</t>
  </si>
  <si>
    <t>2015-2-10 16:6:14.481: OrderManager - placeOrder - ATTEMPTING TO SEND ORDER WITH INVALID QUANTITY!</t>
  </si>
  <si>
    <t>2015-2-10 16:6:16.899: AutostopView - getBuyPrice - an error occurred Type mismatch</t>
  </si>
  <si>
    <t>2015-2-10 16:6:16.900: AutostopView - getBuyQty - an error occurred Type mismatch</t>
  </si>
  <si>
    <t>2015-2-10 16:6:16.900: AutostopView - getSellPrice - an error occurred Type mismatch</t>
  </si>
  <si>
    <t>2015-2-10 16:6:16.901: AutostopView - getSellQty - an error occurred Type mismatch</t>
  </si>
  <si>
    <t>2015-2-10 16:6:16.901: OrderManager - placeOrder - ATTEMPTING TO SEND ORDER WITH INVALID QUANTITY!</t>
  </si>
  <si>
    <t>2015-2-10 16:6:16.902: OrderManager - placeOrder - ATTEMPTING TO SEND ORDER WITH INVALID QUANTITY!</t>
  </si>
  <si>
    <t>2015-2-10 16:6:16.942: AutostopView - getBuyPrice - an error occurred Type mismatch</t>
  </si>
  <si>
    <t>2015-2-10 16:6:16.943: AutostopView - getBuyQty - an error occurred Type mismatch</t>
  </si>
  <si>
    <t>2015-2-10 16:6:16.943: AutostopView - getSellPrice - an error occurred Type mismatch</t>
  </si>
  <si>
    <t>2015-2-10 16:6:16.944: AutostopView - getSellQty - an error occurred Type mismatch</t>
  </si>
  <si>
    <t>2015-2-10 16:6:16.944: OrderManager - placeOrder - ATTEMPTING TO SEND ORDER WITH INVALID QUANTITY!</t>
  </si>
  <si>
    <t>2015-2-10 16:6:16.945: OrderManager - placeOrder - ATTEMPTING TO SEND ORDER WITH INVALID QUANTITY!</t>
  </si>
  <si>
    <t>2015-2-10 16:6:20.773: AutostopView - getBuyPrice - an error occurred Type mismatch</t>
  </si>
  <si>
    <t>2015-2-10 16:6:20.774: AutostopView - getBuyQty - an error occurred Type mismatch</t>
  </si>
  <si>
    <t>2015-2-10 16:6:20.774: AutostopView - getSellPrice - an error occurred Type mismatch</t>
  </si>
  <si>
    <t>2015-2-10 16:6:20.775: AutostopView - getSellQty - an error occurred Type mismatch</t>
  </si>
  <si>
    <t>2015-2-10 16:6:20.776: OrderManager - placeOrder - ATTEMPTING TO SEND ORDER WITH INVALID QUANTITY!</t>
  </si>
  <si>
    <t>2015-2-10 16:6:22.220: AutostopView - getBuyPrice - an error occurred Type mismatch</t>
  </si>
  <si>
    <t>2015-2-10 16:6:22.222: AutostopView - getBuyQty - an error occurred Type mismatch</t>
  </si>
  <si>
    <t>2015-2-10 16:6:22.223: AutostopView - getSellPrice - an error occurred Type mismatch</t>
  </si>
  <si>
    <t>2015-2-10 16:6:22.223: AutostopView - getSellQty - an error occurred Type mismatch</t>
  </si>
  <si>
    <t>2015-2-10 16:6:22.224: OrderManager - placeOrder - ATTEMPTING TO SEND ORDER WITH INVALID QUANTITY!</t>
  </si>
  <si>
    <t>2015-2-10 16:6:22.225: OrderManager - placeOrder - ATTEMPTING TO SEND ORDER WITH INVALID QUANTITY!</t>
  </si>
  <si>
    <t>2015-2-10 16:6:34.536: AutostopView - getBuyPrice - an error occurred Type mismatch</t>
  </si>
  <si>
    <t>2015-2-10 16:6:34.537: AutostopView - getBuyQty - an error occurred Type mismatch</t>
  </si>
  <si>
    <t>2015-2-10 16:6:34.537: AutostopView - getSellPrice - an error occurred Type mismatch</t>
  </si>
  <si>
    <t>2015-2-10 16:6:34.538: AutostopView - getSellQty - an error occurred Type mismatch</t>
  </si>
  <si>
    <t>2015-2-10 16:6:34.539: OrderManager - placeOrder - ATTEMPTING TO SEND ORDER WITH INVALID QUANTITY!</t>
  </si>
  <si>
    <t>2015-2-10 16:6:34.540: OrderManager - placeOrder - ATTEMPTING TO SEND ORDER WITH INVALID QUANTITY!</t>
  </si>
  <si>
    <t>2015-2-10 16:6:34.604: AutostopView - getBuyPrice - an error occurred Type mismatch</t>
  </si>
  <si>
    <t>2015-2-10 16:6:34.604: AutostopView - getBuyQty - an error occurred Type mismatch</t>
  </si>
  <si>
    <t>2015-2-10 16:6:34.605: AutostopView - getSellPrice - an error occurred Type mismatch</t>
  </si>
  <si>
    <t>2015-2-10 16:6:34.605: AutostopView - getSellQty - an error occurred Type mismatch</t>
  </si>
  <si>
    <t>2015-2-10 16:6:34.606: OrderManager - placeOrder - ATTEMPTING TO SEND ORDER WITH INVALID QUANTITY!</t>
  </si>
  <si>
    <t>2015-2-10 16:6:40.728: AutostopView - getBuyPrice - an error occurred Type mismatch</t>
  </si>
  <si>
    <t>2015-2-10 16:6:40.728: AutostopView - getBuyQty - an error occurred Type mismatch</t>
  </si>
  <si>
    <t>2015-2-10 16:6:40.729: AutostopView - getSellPrice - an error occurred Type mismatch</t>
  </si>
  <si>
    <t>2015-2-10 16:6:40.729: AutostopView - getSellQty - an error occurred Type mismatch</t>
  </si>
  <si>
    <t>2015-2-10 16:6:40.730: OrderManager - placeOrder - ATTEMPTING TO SEND ORDER WITH INVALID QUANTITY!</t>
  </si>
  <si>
    <t>2015-2-10 16:6:40.777: AutostopView - getBuyPrice - an error occurred Type mismatch</t>
  </si>
  <si>
    <t>2015-2-10 16:6:40.777: AutostopView - getBuyQty - an error occurred Type mismatch</t>
  </si>
  <si>
    <t>2015-2-10 16:6:40.778: AutostopView - getSellPrice - an error occurred Type mismatch</t>
  </si>
  <si>
    <t>2015-2-10 16:6:40.778: AutostopView - getSellQty - an error occurred Type mismatch</t>
  </si>
  <si>
    <t>2015-2-10 16:6:40.779: OrderManager - placeOrder - ATTEMPTING TO SEND ORDER WITH INVALID QUANTITY!</t>
  </si>
  <si>
    <t>2015-2-10 16:6:42.645: AutostopView - getBuyPrice - an error occurred Type mismatch</t>
  </si>
  <si>
    <t>2015-2-10 16:6:42.645: AutostopView - getBuyQty - an error occurred Type mismatch</t>
  </si>
  <si>
    <t>2015-2-10 16:6:42.646: AutostopView - getSellPrice - an error occurred Type mismatch</t>
  </si>
  <si>
    <t>2015-2-10 16:6:42.647: AutostopView - getSellQty - an error occurred Type mismatch</t>
  </si>
  <si>
    <t>2015-2-10 16:6:42.647: OrderManager - placeOrder - ATTEMPTING TO SEND ORDER WITH INVALID QUANTITY!</t>
  </si>
  <si>
    <t>2015-2-10 16:6:42.728: AutostopView - getBuyPrice - an error occurred Type mismatch</t>
  </si>
  <si>
    <t>2015-2-10 16:6:42.728: AutostopView - getBuyQty - an error occurred Type mismatch</t>
  </si>
  <si>
    <t>2015-2-10 16:6:42.729: AutostopView - getSellPrice - an error occurred Type mismatch</t>
  </si>
  <si>
    <t>2015-2-10 16:6:42.729: AutostopView - getSellQty - an error occurred Type mismatch</t>
  </si>
  <si>
    <t>2015-2-10 16:6:42.730: OrderManager - placeOrder - ATTEMPTING TO SEND ORDER WITH INVALID QUANTITY!</t>
  </si>
  <si>
    <t>2015-2-10 16:6:45.321: AutostopView - getBuyPrice - an error occurred Type mismatch</t>
  </si>
  <si>
    <t>2015-2-10 16:6:45.321: AutostopView - getBuyQty - an error occurred Type mismatch</t>
  </si>
  <si>
    <t>2015-2-10 16:6:45.322: AutostopView - getSellPrice - an error occurred Type mismatch</t>
  </si>
  <si>
    <t>2015-2-10 16:6:45.322: AutostopView - getSellQty - an error occurred Type mismatch</t>
  </si>
  <si>
    <t>2015-2-10 16:6:45.323: OrderManager - placeOrder - ATTEMPTING TO SEND ORDER WITH INVALID QUANTITY!</t>
  </si>
  <si>
    <t>2015-2-10 16:6:45.394: AutostopView - getBuyPrice - an error occurred Type mismatch</t>
  </si>
  <si>
    <t>2015-2-10 16:6:45.395: AutostopView - getBuyQty - an error occurred Type mismatch</t>
  </si>
  <si>
    <t>2015-2-10 16:6:45.395: AutostopView - getSellPrice - an error occurred Type mismatch</t>
  </si>
  <si>
    <t>2015-2-10 16:6:45.396: AutostopView - getSellQty - an error occurred Type mismatch</t>
  </si>
  <si>
    <t>2015-2-10 16:6:45.396: OrderManager - placeOrder - ATTEMPTING TO SEND ORDER WITH INVALID QUANTITY!</t>
  </si>
  <si>
    <t>2015-2-10 16:6:45.397: OrderManager - placeOrder - ATTEMPTING TO SEND ORDER WITH INVALID QUANTITY!</t>
  </si>
  <si>
    <t>2015-2-10 16:6:45.799: AutostopView - getBuyPrice - an error occurred Type mismatch</t>
  </si>
  <si>
    <t>2015-2-10 16:6:45.802: AutostopView - getBuyQty - an error occurred Type mismatch</t>
  </si>
  <si>
    <t>2015-2-10 16:6:45.805: AutostopView - getSellPrice - an error occurred Type mismatch</t>
  </si>
  <si>
    <t>2015-2-10 16:6:45.807: AutostopView - getSellQty - an error occurred Type mismatch</t>
  </si>
  <si>
    <t>2015-2-10 16:6:45.808: OrderManager - placeOrder - ATTEMPTING TO SEND ORDER WITH INVALID QUANTITY!</t>
  </si>
  <si>
    <t>2015-2-10 16:6:45.809: OrderManager - placeOrder - ATTEMPTING TO SEND ORDER WITH INVALID QUANTITY!</t>
  </si>
  <si>
    <t>2015-2-10 16:6:46.129: AutostopView - getBuyPrice - an error occurred Type mismatch</t>
  </si>
  <si>
    <t>2015-2-10 16:6:46.132: AutostopView - getBuyQty - an error occurred Type mismatch</t>
  </si>
  <si>
    <t>2015-2-10 16:6:46.134: AutostopView - getSellPrice - an error occurred Type mismatch</t>
  </si>
  <si>
    <t>2015-2-10 16:6:46.137: AutostopView - getSellQty - an error occurred Type mismatch</t>
  </si>
  <si>
    <t>2015-2-10 16:6:46.138: OrderManager - placeOrder - ATTEMPTING TO SEND ORDER WITH INVALID QUANTITY!</t>
  </si>
  <si>
    <t>2015-2-10 16:6:59.548: AutostopView - getBuyPrice - an error occurred Type mismatch</t>
  </si>
  <si>
    <t>2015-2-10 16:6:59.550: AutostopView - getBuyQty - an error occurred Type mismatch</t>
  </si>
  <si>
    <t>2015-2-10 16:6:59.550: AutostopView - getSellPrice - an error occurred Type mismatch</t>
  </si>
  <si>
    <t>2015-2-10 16:6:59.551: AutostopView - getSellQty - an error occurred Type mismatch</t>
  </si>
  <si>
    <t>2015-2-10 16:6:59.552: OrderManager - placeOrder - ATTEMPTING TO SEND ORDER WITH INVALID QUANTITY!</t>
  </si>
  <si>
    <t>2015-2-10 16:7:2.354: AutostopView - getBuyPrice - an error occurred Type mismatch</t>
  </si>
  <si>
    <t>2015-2-10 16:7:2.357: AutostopView - getBuyQty - an error occurred Type mismatch</t>
  </si>
  <si>
    <t>2015-2-10 16:7:2.359: AutostopView - getSellPrice - an error occurred Type mismatch</t>
  </si>
  <si>
    <t>2015-2-10 16:7:2.361: AutostopView - getSellQty - an error occurred Type mismatch</t>
  </si>
  <si>
    <t>2015-2-10 16:7:2.363: OrderManager - placeOrder - ATTEMPTING TO SEND ORDER WITH INVALID QUANTITY!</t>
  </si>
  <si>
    <t>2015-2-10 16:7:2.365: OrderManager - placeOrder - ATTEMPTING TO SEND ORDER WITH INVALID QUANTITY!</t>
  </si>
  <si>
    <t>2015-2-10 16:7:2.612: AutostopView - getBuyPrice - an error occurred Type mismatch</t>
  </si>
  <si>
    <t>2015-2-10 16:7:2.613: AutostopView - getBuyQty - an error occurred Type mismatch</t>
  </si>
  <si>
    <t>2015-2-10 16:7:2.614: AutostopView - getSellPrice - an error occurred Type mismatch</t>
  </si>
  <si>
    <t>2015-2-10 16:7:2.614: AutostopView - getSellQty - an error occurred Type mismatch</t>
  </si>
  <si>
    <t>2015-2-10 16:7:2.614: OrderManager - placeOrder - ATTEMPTING TO SEND ORDER WITH INVALID QUANTITY!</t>
  </si>
  <si>
    <t>2015-2-10 16:7:2.615: OrderManager - placeOrder - ATTEMPTING TO SEND ORDER WITH INVALID QUANTITY!</t>
  </si>
  <si>
    <t>2015-2-10 16:7:3.532: AutostopView - getBuyPrice - an error occurred Type mismatch</t>
  </si>
  <si>
    <t>2015-2-10 16:7:3.534: AutostopView - getBuyQty - an error occurred Type mismatch</t>
  </si>
  <si>
    <t>2015-2-10 16:7:3.536: AutostopView - getSellPrice - an error occurred Type mismatch</t>
  </si>
  <si>
    <t>2015-2-10 16:7:3.538: AutostopView - getSellQty - an error occurred Type mismatch</t>
  </si>
  <si>
    <t>2015-2-10 16:7:3.539: OrderManager - placeOrder - ATTEMPTING TO SEND ORDER WITH INVALID QUANTITY!</t>
  </si>
  <si>
    <t>2015-2-10 16:7:3.540: OrderManager - placeOrder - ATTEMPTING TO SEND ORDER WITH INVALID QUANTITY!</t>
  </si>
  <si>
    <t>2015-2-10 16:7:4.831: AutostopView - getBuyPrice - an error occurred Type mismatch</t>
  </si>
  <si>
    <t>2015-2-10 16:7:4.832: AutostopView - getBuyQty - an error occurred Type mismatch</t>
  </si>
  <si>
    <t>2015-2-10 16:7:4.833: AutostopView - getSellPrice - an error occurred Type mismatch</t>
  </si>
  <si>
    <t>2015-2-10 16:7:4.834: AutostopView - getSellQty - an error occurred Type mismatch</t>
  </si>
  <si>
    <t>2015-2-10 16:7:4.834: OrderManager - placeOrder - ATTEMPTING TO SEND ORDER WITH INVALID QUANTITY!</t>
  </si>
  <si>
    <t>2015-2-10 16:7:4.835: OrderManager - placeOrder - ATTEMPTING TO SEND ORDER WITH INVALID QUANTITY!</t>
  </si>
  <si>
    <t>2015-2-10 16:7:4.904: AutostopView - getBuyPrice - an error occurred Type mismatch</t>
  </si>
  <si>
    <t>2015-2-10 16:7:4.904: AutostopView - getBuyQty - an error occurred Type mismatch</t>
  </si>
  <si>
    <t>2015-2-10 16:7:4.905: AutostopView - getSellPrice - an error occurred Type mismatch</t>
  </si>
  <si>
    <t>2015-2-10 16:7:4.906: AutostopView - getSellQty - an error occurred Type mismatch</t>
  </si>
  <si>
    <t>2015-2-10 16:7:4.906: OrderManager - placeOrder - ATTEMPTING TO SEND ORDER WITH INVALID QUANTITY!</t>
  </si>
  <si>
    <t>2015-2-10 16:7:4.907: OrderManager - placeOrder - ATTEMPTING TO SEND ORDER WITH INVALID QUANTITY!</t>
  </si>
  <si>
    <t>2015-2-10 16:7:8.631: AutostopView - getBuyPrice - an error occurred Type mismatch</t>
  </si>
  <si>
    <t>2015-2-10 16:7:8.632: AutostopView - getBuyQty - an error occurred Type mismatch</t>
  </si>
  <si>
    <t>2015-2-10 16:7:8.634: AutostopView - getSellPrice - an error occurred Type mismatch</t>
  </si>
  <si>
    <t>2015-2-10 16:7:8.635: AutostopView - getSellQty - an error occurred Type mismatch</t>
  </si>
  <si>
    <t>2015-2-10 16:7:8.636: OrderManager - placeOrder - ATTEMPTING TO SEND ORDER WITH INVALID QUANTITY!</t>
  </si>
  <si>
    <t>2015-2-10 16:7:8.637: OrderManager - placeOrder - ATTEMPTING TO SEND ORDER WITH INVALID QUANTITY!</t>
  </si>
  <si>
    <t>2015-2-10 16:7:9.219: AutostopView - getBuyPrice - an error occurred Type mismatch</t>
  </si>
  <si>
    <t>2015-2-10 16:7:9.220: AutostopView - getBuyQty - an error occurred Type mismatch</t>
  </si>
  <si>
    <t>2015-2-10 16:7:9.221: AutostopView - getSellPrice - an error occurred Type mismatch</t>
  </si>
  <si>
    <t>2015-2-10 16:7:9.222: AutostopView - getSellQty - an error occurred Type mismatch</t>
  </si>
  <si>
    <t>2015-2-10 16:7:9.222: OrderManager - placeOrder - ATTEMPTING TO SEND ORDER WITH INVALID QUANTITY!</t>
  </si>
  <si>
    <t>2015-2-10 16:7:9.223: OrderManager - placeOrder - ATTEMPTING TO SEND ORDER WITH INVALID QUANTITY!</t>
  </si>
  <si>
    <t>2015-2-10 16:7:13.195: AutostopView - getBuyPrice - an error occurred Type mismatch</t>
  </si>
  <si>
    <t>2015-2-10 16:7:13.196: AutostopView - getBuyQty - an error occurred Type mismatch</t>
  </si>
  <si>
    <t>2015-2-10 16:7:13.197: AutostopView - getSellPrice - an error occurred Type mismatch</t>
  </si>
  <si>
    <t>2015-2-10 16:7:13.197: AutostopView - getSellQty - an error occurred Type mismatch</t>
  </si>
  <si>
    <t>2015-2-10 16:7:13.198: OrderManager - placeOrder - ATTEMPTING TO SEND ORDER WITH INVALID QUANTITY!</t>
  </si>
  <si>
    <t>2015-2-10 16:7:13.249: AutostopView - getBuyPrice - an error occurred Type mismatch</t>
  </si>
  <si>
    <t>2015-2-10 16:7:13.250: AutostopView - getBuyQty - an error occurred Type mismatch</t>
  </si>
  <si>
    <t>2015-2-10 16:7:13.250: AutostopView - getSellPrice - an error occurred Type mismatch</t>
  </si>
  <si>
    <t>2015-2-10 16:7:13.251: AutostopView - getSellQty - an error occurred Type mismatch</t>
  </si>
  <si>
    <t>2015-2-10 16:7:13.251: OrderManager - placeOrder - ATTEMPTING TO SEND ORDER WITH INVALID QUANTITY!</t>
  </si>
  <si>
    <t>2015-2-10 16:7:13.252: OrderManager - placeOrder - ATTEMPTING TO SEND ORDER WITH INVALID QUANTITY!</t>
  </si>
  <si>
    <t>2015-2-10 16:7:14.490: AutostopView - getBuyPrice - an error occurred Type mismatch</t>
  </si>
  <si>
    <t>2015-2-10 16:7:14.492: AutostopView - getBuyQty - an error occurred Type mismatch</t>
  </si>
  <si>
    <t>2015-2-10 16:7:14.493: AutostopView - getSellPrice - an error occurred Type mismatch</t>
  </si>
  <si>
    <t>2015-2-10 16:7:14.495: AutostopView - getSellQty - an error occurred Type mismatch</t>
  </si>
  <si>
    <t>2015-2-10 16:7:14.497: OrderManager - placeOrder - ATTEMPTING TO SEND ORDER WITH INVALID QUANTITY!</t>
  </si>
  <si>
    <t>2015-2-10 16:7:14.498: OrderManager - placeOrder - ATTEMPTING TO SEND ORDER WITH INVALID QUANTITY!</t>
  </si>
  <si>
    <t>2015-2-10 16:7:15.418: AutostopView - getBuyPrice - an error occurred Type mismatch</t>
  </si>
  <si>
    <t>2015-2-10 16:7:15.420: AutostopView - getBuyQty - an error occurred Type mismatch</t>
  </si>
  <si>
    <t>2015-2-10 16:7:15.422: AutostopView - getSellPrice - an error occurred Type mismatch</t>
  </si>
  <si>
    <t>2015-2-10 16:7:15.424: AutostopView - getSellQty - an error occurred Type mismatch</t>
  </si>
  <si>
    <t>2015-2-10 16:7:15.425: OrderManager - placeOrder - ATTEMPTING TO SEND ORDER WITH INVALID QUANTITY!</t>
  </si>
  <si>
    <t>2015-2-10 16:7:15.426: OrderManager - placeOrder - ATTEMPTING TO SEND ORDER WITH INVALID QUANTITY!</t>
  </si>
  <si>
    <t>2015-2-10 16:7:18.776: AutostopView - getBuyPrice - an error occurred Type mismatch</t>
  </si>
  <si>
    <t>2015-2-10 16:7:18.777: AutostopView - getBuyQty - an error occurred Type mismatch</t>
  </si>
  <si>
    <t>2015-2-10 16:7:18.777: AutostopView - getSellPrice - an error occurred Type mismatch</t>
  </si>
  <si>
    <t>2015-2-10 16:7:18.778: AutostopView - getSellQty - an error occurred Type mismatch</t>
  </si>
  <si>
    <t>2015-2-10 16:7:18.778: OrderManager - placeOrder - ATTEMPTING TO SEND ORDER WITH INVALID QUANTITY!</t>
  </si>
  <si>
    <t>2015-2-10 16:7:18.779: OrderManager - placeOrder - ATTEMPTING TO SEND ORDER WITH INVALID QUANTITY!</t>
  </si>
  <si>
    <t>2015-2-10 16:7:18.826: AutostopView - getBuyPrice - an error occurred Type mismatch</t>
  </si>
  <si>
    <t>2015-2-10 16:7:18.827: AutostopView - getBuyQty - an error occurred Type mismatch</t>
  </si>
  <si>
    <t>2015-2-10 16:7:18.828: AutostopView - getSellPrice - an error occurred Type mismatch</t>
  </si>
  <si>
    <t>2015-2-10 16:7:18.828: AutostopView - getSellQty - an error occurred Type mismatch</t>
  </si>
  <si>
    <t>2015-2-10 16:7:18.829: OrderManager - placeOrder - ATTEMPTING TO SEND ORDER WITH INVALID QUANTITY!</t>
  </si>
  <si>
    <t>2015-2-10 16:7:19.347: AutostopView - getBuyPrice - an error occurred Type mismatch</t>
  </si>
  <si>
    <t>2015-2-10 16:7:19.349: AutostopView - getBuyQty - an error occurred Type mismatch</t>
  </si>
  <si>
    <t>2015-2-10 16:7:19.351: AutostopView - getSellPrice - an error occurred Type mismatch</t>
  </si>
  <si>
    <t>2015-2-10 16:7:19.353: AutostopView - getSellQty - an error occurred Type mismatch</t>
  </si>
  <si>
    <t>2015-2-10 16:7:19.355: OrderManager - placeOrder - ATTEMPTING TO SEND ORDER WITH INVALID QUANTITY!</t>
  </si>
  <si>
    <t>2015-2-10 16:7:19.356: OrderManager - placeOrder - ATTEMPTING TO SEND ORDER WITH INVALID QUANTITY!</t>
  </si>
  <si>
    <t>2015-2-10 16:7:20.118: AutostopView - getBuyPrice - an error occurred Type mismatch</t>
  </si>
  <si>
    <t>2015-2-10 16:7:20.121: AutostopView - getBuyQty - an error occurred Type mismatch</t>
  </si>
  <si>
    <t>2015-2-10 16:7:20.123: AutostopView - getSellPrice - an error occurred Type mismatch</t>
  </si>
  <si>
    <t>2015-2-10 16:7:20.125: AutostopView - getSellQty - an error occurred Type mismatch</t>
  </si>
  <si>
    <t>2015-2-10 16:7:20.127: OrderManager - placeOrder - ATTEMPTING TO SEND ORDER WITH INVALID QUANTITY!</t>
  </si>
  <si>
    <t>2015-2-10 16:7:20.128: OrderManager - placeOrder - ATTEMPTING TO SEND ORDER WITH INVALID QUANTITY!</t>
  </si>
  <si>
    <t>2015-2-10 16:7:36.178: RTWSControl - errMsg - got error message 300:Can't find EId with tickerId:200069with id 200069</t>
  </si>
  <si>
    <t>2015-2-10 16:7:36.179: RTWSControl - errMsg - Got Error_x000D_id: 200069_x000D_errorCode: 300_x000D_errorMsg: Can't find EId with tickerId:200069</t>
  </si>
  <si>
    <t>2015-2-10 16:7:36.194: RTWSControl - errMsg - got error message 300:Can't find EId with tickerId:200070with id 200070</t>
  </si>
  <si>
    <t>2015-2-10 16:7:36.195: RTWSControl - errMsg - Got Error_x000D_id: 200070_x000D_errorCode: 300_x000D_errorMsg: Can't find EId with tickerId:200070</t>
  </si>
  <si>
    <t>2015-2-10 16:7:36.199: RTWSControl - errMsg - got error message 300:Can't find EId with tickerId:200071with id 200071</t>
  </si>
  <si>
    <t>2015-2-10 16:7:36.200: RTWSControl - errMsg - Got Error_x000D_id: 200071_x000D_errorCode: 300_x000D_errorMsg: Can't find EId with tickerId:200071</t>
  </si>
  <si>
    <t>2015-2-10 16:7:36.226: RTWSControl - errMsg - got error message 300:Can't find EId with tickerId:200072with id 200072</t>
  </si>
  <si>
    <t>2015-2-10 16:7:36.226: RTWSControl - errMsg - Got Error_x000D_id: 200072_x000D_errorCode: 300_x000D_errorMsg: Can't find EId with tickerId:200072</t>
  </si>
  <si>
    <t>2015-2-10 16:7:36.231: RTWSControl - errMsg - got error message 300:Can't find EId with tickerId:200073with id 200073</t>
  </si>
  <si>
    <t>2015-2-10 16:7:36.232: RTWSControl - errMsg - Got Error_x000D_id: 200073_x000D_errorCode: 300_x000D_errorMsg: Can't find EId with tickerId:200073</t>
  </si>
  <si>
    <t>2015-2-10 16:7:36.237: RTWSControl - errMsg - got error message 300:Can't find EId with tickerId:200074with id 200074</t>
  </si>
  <si>
    <t>2015-2-10 16:7:36.237: RTWSControl - errMsg - Got Error_x000D_id: 200074_x000D_errorCode: 300_x000D_errorMsg: Can't find EId with tickerId:200074</t>
  </si>
  <si>
    <t>2015-2-10 16:7:36.272: RTWSControl - errMsg - got error message 300:Can't find EId with tickerId:200075with id 200075</t>
  </si>
  <si>
    <t>2015-2-10 16:7:36.272: RTWSControl - errMsg - Got Error_x000D_id: 200075_x000D_errorCode: 300_x000D_errorMsg: Can't find EId with tickerId:200075</t>
  </si>
  <si>
    <t>2015-2-10 16:8:2.580: OrderManager - PlaceOrder - id 8964 workingQty 2</t>
  </si>
  <si>
    <t>2015-2-10 16:8:2.583: OrderManager - sendOrder - exiting place order id 8964 BUY 29 1.5356  - workingQty 2 currentPosition is 90 workingOrderCount is -5</t>
  </si>
  <si>
    <t>2015-2-10 16:8:2.583: OrderManager - createOrder - exiting without creating order - did not have validID</t>
  </si>
  <si>
    <t>2015-2-10 16:8:2.651: OrderManager - createOrder - exiting without creating order - did not have validID</t>
  </si>
  <si>
    <t>2015-2-10 16:8:2.792: RTWSControl - nextValidId - entering nextValidId id is 8965</t>
  </si>
  <si>
    <t>2015-2-10 16:8:3.125: openOrderEx - I am here</t>
  </si>
  <si>
    <t>2015-2-10 16:8:3.153: RTWSControl - orderStatus -  entering orderStatus id is 8964 status is PreSubmitted</t>
  </si>
  <si>
    <t>2015-2-10 16:8:3.153: OrderManager - UpdateOrderStatus - id 8964 Setting status to PreSubmitted workingOrderCount is now -5 workingQty 2</t>
  </si>
  <si>
    <t>2015-2-10 16:8:3.155: RTWSControl - OrderStatus - Got OrderStatus Message id:8964 status: PreSubmitted filled: 0</t>
  </si>
  <si>
    <t>2015-2-10 16:8:3.155: RTWSControl - OrderStatus - exiting orderStatus</t>
  </si>
  <si>
    <t>2015-2-10 16:8:5.693: OrderManager - PlaceOrder - id 8965 workingQty -27</t>
  </si>
  <si>
    <t>2015-2-10 16:8:5.695: OrderManager - sendOrder - exiting place order id 8965 SELL 29 1.5231  - workingQty -27 currentPosition is 90 workingOrderCount is -4</t>
  </si>
  <si>
    <t>2015-2-10 16:8:6.26: RTWSControl - nextValidId - entering nextValidId id is 8966</t>
  </si>
  <si>
    <t>2015-2-10 16:8:6.34: openOrderEx - I am here</t>
  </si>
  <si>
    <t>2015-2-10 16:8:6.65: RTWSControl - orderStatus -  entering orderStatus id is 8965 status is PreSubmitted</t>
  </si>
  <si>
    <t>2015-2-10 16:8:6.65: OrderManager - UpdateOrderStatus - id 8965 Setting status to PreSubmitted workingOrderCount is now -4 workingQty -27</t>
  </si>
  <si>
    <t>2015-2-10 16:8:6.67: RTWSControl - OrderStatus - Got OrderStatus Message id:8965 status: PreSubmitted filled: 0</t>
  </si>
  <si>
    <t>2015-2-10 16:8:6.67: RTWSControl - OrderStatus - exiting orderStatus</t>
  </si>
  <si>
    <t>2015-2-10 16:8:29.66: Algorithm - FindNextStrikes - price is 1.52455 nextStrikeUp/Down 1.525/1.52</t>
  </si>
  <si>
    <t>2015-2-10 16:8:29.67: Algorithm - getPortfolioForwardDelta - required deltas is 90 currentHedgePosition is 90</t>
  </si>
  <si>
    <t>2015-2-10 16:8:29.67: Algorithm - getHedgeShortfall - required deltas is 90 price is 1.52445 currentHedgePositionDeltas is 90</t>
  </si>
  <si>
    <t>2015-2-10 16:8:29.67: Algorithm - processTransitionPoint - nextUpper/LowerStrikes are 1.525/1.52 requiredDeltas/currentPosition/currentHedgeShortfall/direction/transitionPrice are 90/90/0/-1/1.52445</t>
  </si>
  <si>
    <t>2015-2-10 16:8:29.68: TransitionLogger - processTransitionpoint - checking transition - currentHedgeShortfall is 0</t>
  </si>
  <si>
    <t>2015-2-10 16:8:29.69: Algorithm - updatePortfolio - haveAllDetails is True</t>
  </si>
  <si>
    <t>2015-2-10 16:8:29.111: Algorithm - FindNextStrikes - price is 1.52455 nextStrikeUp/Down 1.525/1.52</t>
  </si>
  <si>
    <t>2015-2-10 16:8:29.112: Algorithm - getPortfolioForwardDelta - required deltas is 90 currentHedgePosition is 90</t>
  </si>
  <si>
    <t>2015-2-10 16:8:29.112: Algorithm - getHedgeShortfall - required deltas is 90 price is 1.52445 currentHedgePositionDeltas is 90</t>
  </si>
  <si>
    <t>2015-2-10 16:8:29.112: Algorithm - processTransitionPoint - nextUpper/LowerStrikes are 1.525/1.52 requiredDeltas/currentPosition/currentHedgeShortfall/direction/transitionPrice are 90/90/0/-1/1.52445</t>
  </si>
  <si>
    <t>2015-2-10 16:8:29.113: TransitionLogger - processTransitionpoint - checking transition - currentHedgeShortfall is 0</t>
  </si>
  <si>
    <t>2015-2-10 16:8:29.113: Algorithm - updatePortfolio - haveAllDetails is True</t>
  </si>
  <si>
    <t>2015-2-10 16:8:29.159: Algorithm - FindNextStrikes - price is 1.52455 nextStrikeUp/Down 1.525/1.52</t>
  </si>
  <si>
    <t>2015-2-10 16:8:29.160: Algorithm - getPortfolioForwardDelta - required deltas is 90 currentHedgePosition is 90</t>
  </si>
  <si>
    <t>2015-2-10 16:8:29.160: Algorithm - getHedgeShortfall - required deltas is 90 price is 1.52445 currentHedgePositionDeltas is 90</t>
  </si>
  <si>
    <t>2015-2-10 16:8:29.160: Algorithm - processTransitionPoint - nextUpper/LowerStrikes are 1.525/1.52 requiredDeltas/currentPosition/currentHedgeShortfall/direction/transitionPrice are 90/90/0/-1/1.52445</t>
  </si>
  <si>
    <t>2015-2-10 16:8:29.161: TransitionLogger - processTransitionpoint - checking transition - currentHedgeShortfall is 0</t>
  </si>
  <si>
    <t>2015-2-10 16:8:29.162: Algorithm - updatePortfolio - haveAllDetails is True</t>
  </si>
  <si>
    <t>2015-2-10 16:8:29.200: Algorithm - FindNextStrikes - price is 1.52455 nextStrikeUp/Down 1.525/1.52</t>
  </si>
  <si>
    <t>2015-2-10 16:8:29.201: Algorithm - getPortfolioForwardDelta - required deltas is 90 currentHedgePosition is 90</t>
  </si>
  <si>
    <t>2015-2-10 16:8:29.201: Algorithm - getHedgeShortfall - required deltas is 90 price is 1.52445 currentHedgePositionDeltas is 90</t>
  </si>
  <si>
    <t>2015-2-10 16:8:29.201: Algorithm - processTransitionPoint - nextUpper/LowerStrikes are 1.525/1.52 requiredDeltas/currentPosition/currentHedgeShortfall/direction/transitionPrice are 90/90/0/-1/1.52445</t>
  </si>
  <si>
    <t>2015-2-10 16:8:29.202: TransitionLogger - processTransitionpoint - checking transition - currentHedgeShortfall is 0</t>
  </si>
  <si>
    <t>2015-2-10 16:8:29.202: Algorithm - updatePortfolio - haveAllDetails is True</t>
  </si>
  <si>
    <t>2015-2-10 16:8:29.241: Algorithm - FindNextStrikes - price is 1.52455 nextStrikeUp/Down 1.525/1.52</t>
  </si>
  <si>
    <t>2015-2-10 16:8:29.242: Algorithm - getPortfolioForwardDelta - required deltas is 90 currentHedgePosition is 90</t>
  </si>
  <si>
    <t>2015-2-10 16:8:29.242: Algorithm - getHedgeShortfall - required deltas is 90 price is 1.52445 currentHedgePositionDeltas is 90</t>
  </si>
  <si>
    <t>2015-2-10 16:8:29.242: Algorithm - processTransitionPoint - nextUpper/LowerStrikes are 1.525/1.52 requiredDeltas/currentPosition/currentHedgeShortfall/direction/transitionPrice are 90/90/0/-1/1.52445</t>
  </si>
  <si>
    <t>2015-2-10 16:8:29.243: TransitionLogger - processTransitionpoint - checking transition - currentHedgeShortfall is 0</t>
  </si>
  <si>
    <t>2015-2-10 16:8:29.243: Algorithm - updatePortfolio - haveAllDetails is True</t>
  </si>
  <si>
    <t>2015-2-10 16:8:29.284: Algorithm - FindNextStrikes - price is 1.52455 nextStrikeUp/Down 1.525/1.52</t>
  </si>
  <si>
    <t>2015-2-10 16:8:29.285: Algorithm - getPortfolioForwardDelta - required deltas is 90 currentHedgePosition is 90</t>
  </si>
  <si>
    <t>2015-2-10 16:8:29.285: Algorithm - getHedgeShortfall - required deltas is 90 price is 1.52445 currentHedgePositionDeltas is 90</t>
  </si>
  <si>
    <t>2015-2-10 16:8:29.285: Algorithm - processTransitionPoint - nextUpper/LowerStrikes are 1.525/1.52 requiredDeltas/currentPosition/currentHedgeShortfall/direction/transitionPrice are 90/90/0/-1/1.52445</t>
  </si>
  <si>
    <t>2015-2-10 16:8:29.286: TransitionLogger - processTransitionpoint - checking transition - currentHedgeShortfall is 0</t>
  </si>
  <si>
    <t>2015-2-10 16:8:29.286: Algorithm - updatePortfolio - haveAllDetails is True</t>
  </si>
  <si>
    <t>2015-2-10 16:8:29.327: Algorithm - FindNextStrikes - price is 1.52455 nextStrikeUp/Down 1.525/1.52</t>
  </si>
  <si>
    <t>2015-2-10 16:8:29.327: Algorithm - getPortfolioForwardDelta - required deltas is 90 currentHedgePosition is 90</t>
  </si>
  <si>
    <t>2015-2-10 16:8:29.327: Algorithm - getHedgeShortfall - required deltas is 90 price is 1.52445 currentHedgePositionDeltas is 90</t>
  </si>
  <si>
    <t>2015-2-10 16:8:29.328: Algorithm - processTransitionPoint - nextUpper/LowerStrikes are 1.525/1.52 requiredDeltas/currentPosition/currentHedgeShortfall/direction/transitionPrice are 90/90/0/-1/1.52445</t>
  </si>
  <si>
    <t>2015-2-10 16:8:29.328: TransitionLogger - processTransitionpoint - checking transition - currentHedgeShortfall is 0</t>
  </si>
  <si>
    <t>2015-2-10 16:8:29.329: Algorithm - updatePortfolio - haveAllDetails is True</t>
  </si>
  <si>
    <t>2015-2-10 16:8:29.367: Algorithm - FindNextStrikes - price is 1.52455 nextStrikeUp/Down 1.525/1.52</t>
  </si>
  <si>
    <t>2015-2-10 16:8:29.368: Algorithm - getPortfolioForwardDelta - required deltas is 90 currentHedgePosition is 90</t>
  </si>
  <si>
    <t>2015-2-10 16:8:29.368: Algorithm - getHedgeShortfall - required deltas is 90 price is 1.52445 currentHedgePositionDeltas is 90</t>
  </si>
  <si>
    <t>2015-2-10 16:8:29.368: Algorithm - processTransitionPoint - nextUpper/LowerStrikes are 1.525/1.52 requiredDeltas/currentPosition/currentHedgeShortfall/direction/transitionPrice are 90/90/0/-1/1.52445</t>
  </si>
  <si>
    <t>2015-2-10 16:8:29.369: TransitionLogger - processTransitionpoint - checking transition - currentHedgeShortfall is 0</t>
  </si>
  <si>
    <t>2015-2-10 16:8:29.369: Algorithm - updatePortfolio - haveAllDetails is True</t>
  </si>
  <si>
    <t>2015-2-10 16:8:29.409: Algorithm - FindNextStrikes - price is 1.52455 nextStrikeUp/Down 1.525/1.52</t>
  </si>
  <si>
    <t>2015-2-10 16:8:29.409: Algorithm - getPortfolioForwardDelta - required deltas is 90 currentHedgePosition is 90</t>
  </si>
  <si>
    <t>2015-2-10 16:8:29.409: Algorithm - getHedgeShortfall - required deltas is 90 price is 1.52445 currentHedgePositionDeltas is 90</t>
  </si>
  <si>
    <t>2015-2-10 16:8:29.410: Algorithm - processTransitionPoint - nextUpper/LowerStrikes are 1.525/1.52 requiredDeltas/currentPosition/currentHedgeShortfall/direction/transitionPrice are 90/90/0/-1/1.52445</t>
  </si>
  <si>
    <t>2015-2-10 16:8:29.410: TransitionLogger - processTransitionpoint - checking transition - currentHedgeShortfall is 0</t>
  </si>
  <si>
    <t>2015-2-10 16:8:29.411: Algorithm - updatePortfolio - haveAllDetails is True</t>
  </si>
  <si>
    <t>2015-2-10 16:8:46.779: OrderManager - cancelOrder - cancelling order id 8964</t>
  </si>
  <si>
    <t>2015-2-10 16:8:46.779: OrderManager - PlaceOrder - id 8966 workingQty 5</t>
  </si>
  <si>
    <t>2015-2-10 16:8:46.781: OrderManager - sendOrder - exiting place order id 8966 BUY 32 1.5362  - workingQty 5 currentPosition is 90 workingOrderCount is -3</t>
  </si>
  <si>
    <t>2015-2-10 16:8:46.781: OrderManager - cancelOrder - cancelling order id 8965</t>
  </si>
  <si>
    <t>2015-2-10 16:8:46.781: OrderManager - createOrder - exiting without creating order - did not have validID</t>
  </si>
  <si>
    <t>2015-2-10 16:8:47.375: OrderManager - createOrder - exiting without creating order - did not have validID</t>
  </si>
  <si>
    <t>2015-2-10 16:8:47.992: RTWSControl - nextValidId - entering nextValidId id is 8967</t>
  </si>
  <si>
    <t>2015-2-10 16:8:47.997: RTWSControl - orderStatus -  entering orderStatus id is 8964 status is Cancelled</t>
  </si>
  <si>
    <t>2015-2-10 16:8:47.997: OrderManager - UpdateOrderStatus - id 8964 Setting status to Cancelled workingOrderCount is now -3 workingQty 5</t>
  </si>
  <si>
    <t>2015-2-10 16:8:47.999: RTWSControl - OrderStatus - Got OrderStatus Message id:8964 status: Cancelled filled: 0</t>
  </si>
  <si>
    <t>2015-2-10 16:8:47.999: RTWSControl - OrderStatus - exiting orderStatus</t>
  </si>
  <si>
    <t>2015-2-10 16:8:48.27: RTWSControl - errMsg - got error message 202:Order Canceled - reason:with id 8964</t>
  </si>
  <si>
    <t>2015-2-10 16:8:48.28: OrderManager - canceledOrder - cleaning up after canceled order 8964BEWARE UNACCOUNTED FOR EXECUTIONS!!!</t>
  </si>
  <si>
    <t>2015-2-10 16:8:48.29: OrderManager - terminateOrder - cleaning up after Canceled 8964  order was supposed to BUY 29 1.5356 STP LMT workingQty/OrderCount now -24/-4</t>
  </si>
  <si>
    <t>2015-2-10 16:8:48.67: RTWSControl - orderStatus -  entering orderStatus id is 8965 status is Cancelled</t>
  </si>
  <si>
    <t>2015-2-10 16:8:48.67: OrderManager - UpdateOrderStatus - id 8965 Setting status to Cancelled workingOrderCount is now -4 workingQty -24</t>
  </si>
  <si>
    <t>2015-2-10 16:8:48.68: RTWSControl - OrderStatus - Got OrderStatus Message id:8965 status: Cancelled filled: 0</t>
  </si>
  <si>
    <t>2015-2-10 16:8:48.69: RTWSControl - OrderStatus - exiting orderStatus</t>
  </si>
  <si>
    <t>2015-2-10 16:8:48.77: RTWSControl - errMsg - got error message 202:Order Canceled - reason:with id 8965</t>
  </si>
  <si>
    <t>2015-2-10 16:8:48.77: OrderManager - canceledOrder - cleaning up after canceled order 8965BEWARE UNACCOUNTED FOR EXECUTIONS!!!</t>
  </si>
  <si>
    <t>2015-2-10 16:8:48.78: OrderManager - terminateOrder - cleaning up after Canceled 8965  order was supposed to SELL 29 1.5231 STP LMT workingQty/OrderCount now -53/-5</t>
  </si>
  <si>
    <t>2015-2-10 16:8:48.113: openOrderEx - I am here</t>
  </si>
  <si>
    <t>2015-2-10 16:8:48.149: RTWSControl - orderStatus -  entering orderStatus id is 8966 status is PreSubmitted</t>
  </si>
  <si>
    <t>2015-2-10 16:8:48.150: OrderManager - UpdateOrderStatus - id 8966 Setting status to PreSubmitted workingOrderCount is now -5 workingQty -53</t>
  </si>
  <si>
    <t>2015-2-10 16:8:48.151: RTWSControl - OrderStatus - Got OrderStatus Message id:8966 status: PreSubmitted filled: 0</t>
  </si>
  <si>
    <t>2015-2-10 16:8:48.151: RTWSControl - OrderStatus - exiting orderStatus</t>
  </si>
  <si>
    <t>2015-2-10 16:8:48.284: OrderManager - PlaceOrder - id 8967 workingQty -85</t>
  </si>
  <si>
    <t>2015-2-10 16:8:48.285: OrderManager - sendOrder - exiting place order id 8967 SELL 32 1.5228  - workingQty -85 currentPosition is 90 workingOrderCount is -4</t>
  </si>
  <si>
    <t>2015-2-10 16:8:49.530: RTWSControl - nextValidId - entering nextValidId id is 8968</t>
  </si>
  <si>
    <t>2015-2-10 16:8:49.539: openOrderEx - I am here</t>
  </si>
  <si>
    <t>2015-2-10 16:8:49.571: RTWSControl - orderStatus -  entering orderStatus id is 8967 status is PreSubmitted</t>
  </si>
  <si>
    <t>2015-2-10 16:8:49.571: OrderManager - UpdateOrderStatus - id 8967 Setting status to PreSubmitted workingOrderCount is now -4 workingQty -85</t>
  </si>
  <si>
    <t>2015-2-10 16:8:49.573: RTWSControl - OrderStatus - Got OrderStatus Message id:8967 status: PreSubmitted filled: 0</t>
  </si>
  <si>
    <t>2015-2-10 16:8:49.573: RTWSControl - OrderStatus - exiting orderStatus</t>
  </si>
  <si>
    <t>2015-2-10 16:11:27.419: Algorithm - FindNextStrikes - price is 1.52445 nextStrikeUp/Down 1.525/1.52</t>
  </si>
  <si>
    <t>2015-2-10 16:11:27.420: Algorithm - getPortfolioForwardDelta - required deltas is 90 currentHedgePosition is 90</t>
  </si>
  <si>
    <t>2015-2-10 16:11:27.420: Algorithm - getHedgeShortfall - required deltas is 90 price is 1.52455 currentHedgePositionDeltas is 90</t>
  </si>
  <si>
    <t>2015-2-10 16:11:27.421: Algorithm - processTransitionPoint - nextUpper/LowerStrikes are 1.525/1.52 requiredDeltas/currentPosition/currentHedgeShortfall/direction/transitionPrice are 90/90/0/1/1.52455</t>
  </si>
  <si>
    <t>2015-2-10 16:11:27.421: TransitionLogger - processTransitionpoint - checking transition - currentHedgeShortfall is 0</t>
  </si>
  <si>
    <t>2015-2-10 16:11:27.422: Algorithm - updatePortfolio - haveAllDetails is True</t>
  </si>
  <si>
    <t>2015-2-10 16:11:27.465: Algorithm - FindNextStrikes - price is 1.52445 nextStrikeUp/Down 1.525/1.52</t>
  </si>
  <si>
    <t>2015-2-10 16:11:27.466: Algorithm - getPortfolioForwardDelta - required deltas is 90 currentHedgePosition is 90</t>
  </si>
  <si>
    <t>2015-2-10 16:11:27.466: Algorithm - getHedgeShortfall - required deltas is 90 price is 1.52455 currentHedgePositionDeltas is 90</t>
  </si>
  <si>
    <t>2015-2-10 16:11:27.466: Algorithm - processTransitionPoint - nextUpper/LowerStrikes are 1.525/1.52 requiredDeltas/currentPosition/currentHedgeShortfall/direction/transitionPrice are 90/90/0/1/1.52455</t>
  </si>
  <si>
    <t>2015-2-10 16:11:27.467: TransitionLogger - processTransitionpoint - checking transition - currentHedgeShortfall is 0</t>
  </si>
  <si>
    <t>2015-2-10 16:11:27.468: Algorithm - updatePortfolio - haveAllDetails is True</t>
  </si>
  <si>
    <t>2015-2-10 16:11:27.510: Algorithm - FindNextStrikes - price is 1.52445 nextStrikeUp/Down 1.525/1.52</t>
  </si>
  <si>
    <t>2015-2-10 16:11:27.510: Algorithm - getPortfolioForwardDelta - required deltas is 90 currentHedgePosition is 90</t>
  </si>
  <si>
    <t>2015-2-10 16:11:27.510: Algorithm - getHedgeShortfall - required deltas is 90 price is 1.52455 currentHedgePositionDeltas is 90</t>
  </si>
  <si>
    <t>2015-2-10 16:11:27.511: Algorithm - processTransitionPoint - nextUpper/LowerStrikes are 1.525/1.52 requiredDeltas/currentPosition/currentHedgeShortfall/direction/transitionPrice are 90/90/0/1/1.52455</t>
  </si>
  <si>
    <t>2015-2-10 16:11:27.511: TransitionLogger - processTransitionpoint - checking transition - currentHedgeShortfall is 0</t>
  </si>
  <si>
    <t>2015-2-10 16:11:27.512: Algorithm - updatePortfolio - haveAllDetails is True</t>
  </si>
  <si>
    <t>2015-2-10 16:11:27.552: Algorithm - FindNextStrikes - price is 1.52445 nextStrikeUp/Down 1.525/1.52</t>
  </si>
  <si>
    <t>2015-2-10 16:11:27.552: Algorithm - getPortfolioForwardDelta - required deltas is 90 currentHedgePosition is 90</t>
  </si>
  <si>
    <t>2015-2-10 16:11:27.553: Algorithm - getHedgeShortfall - required deltas is 90 price is 1.52455 currentHedgePositionDeltas is 90</t>
  </si>
  <si>
    <t>2015-2-10 16:11:27.553: Algorithm - processTransitionPoint - nextUpper/LowerStrikes are 1.525/1.52 requiredDeltas/currentPosition/currentHedgeShortfall/direction/transitionPrice are 90/90/0/1/1.52455</t>
  </si>
  <si>
    <t>2015-2-10 16:11:27.553: TransitionLogger - processTransitionpoint - checking transition - currentHedgeShortfall is 0</t>
  </si>
  <si>
    <t>2015-2-10 16:11:27.554: Algorithm - updatePortfolio - haveAllDetails is True</t>
  </si>
  <si>
    <t>2015-2-10 16:11:27.596: Algorithm - FindNextStrikes - price is 1.52445 nextStrikeUp/Down 1.525/1.52</t>
  </si>
  <si>
    <t>2015-2-10 16:11:27.596: Algorithm - getPortfolioForwardDelta - required deltas is 90 currentHedgePosition is 90</t>
  </si>
  <si>
    <t>2015-2-10 16:11:27.596: Algorithm - getHedgeShortfall - required deltas is 90 price is 1.52455 currentHedgePositionDeltas is 90</t>
  </si>
  <si>
    <t>2015-2-10 16:11:27.597: Algorithm - processTransitionPoint - nextUpper/LowerStrikes are 1.525/1.52 requiredDeltas/currentPosition/currentHedgeShortfall/direction/transitionPrice are 90/90/0/1/1.52455</t>
  </si>
  <si>
    <t>2015-2-10 16:11:27.597: TransitionLogger - processTransitionpoint - checking transition - currentHedgeShortfall is 0</t>
  </si>
  <si>
    <t>2015-2-10 16:11:27.598: Algorithm - updatePortfolio - haveAllDetails is True</t>
  </si>
  <si>
    <t>2015-2-10 16:11:27.636: Algorithm - FindNextStrikes - price is 1.52445 nextStrikeUp/Down 1.525/1.52</t>
  </si>
  <si>
    <t>2015-2-10 16:11:27.637: Algorithm - getPortfolioForwardDelta - required deltas is 90 currentHedgePosition is 90</t>
  </si>
  <si>
    <t>2015-2-10 16:11:27.637: Algorithm - getHedgeShortfall - required deltas is 90 price is 1.52455 currentHedgePositionDeltas is 90</t>
  </si>
  <si>
    <t>2015-2-10 16:11:27.637: Algorithm - processTransitionPoint - nextUpper/LowerStrikes are 1.525/1.52 requiredDeltas/currentPosition/currentHedgeShortfall/direction/transitionPrice are 90/90/0/1/1.52455</t>
  </si>
  <si>
    <t>2015-2-10 16:11:27.638: TransitionLogger - processTransitionpoint - checking transition - currentHedgeShortfall is 0</t>
  </si>
  <si>
    <t>2015-2-10 16:11:27.638: Algorithm - updatePortfolio - haveAllDetails is True</t>
  </si>
  <si>
    <t>2015-2-10 16:11:27.677: Algorithm - FindNextStrikes - price is 1.52445 nextStrikeUp/Down 1.525/1.52</t>
  </si>
  <si>
    <t>2015-2-10 16:11:27.678: Algorithm - getPortfolioForwardDelta - required deltas is 90 currentHedgePosition is 90</t>
  </si>
  <si>
    <t>2015-2-10 16:11:27.678: Algorithm - getHedgeShortfall - required deltas is 90 price is 1.52455 currentHedgePositionDeltas is 90</t>
  </si>
  <si>
    <t>2015-2-10 16:11:27.678: Algorithm - processTransitionPoint - nextUpper/LowerStrikes are 1.525/1.52 requiredDeltas/currentPosition/currentHedgeShortfall/direction/transitionPrice are 90/90/0/1/1.52455</t>
  </si>
  <si>
    <t>2015-2-10 16:11:27.679: TransitionLogger - processTransitionpoint - checking transition - currentHedgeShortfall is 0</t>
  </si>
  <si>
    <t>2015-2-10 16:11:27.679: Algorithm - updatePortfolio - haveAllDetails is True</t>
  </si>
  <si>
    <t>2015-2-10 16:11:27.720: Algorithm - FindNextStrikes - price is 1.52445 nextStrikeUp/Down 1.525/1.52</t>
  </si>
  <si>
    <t>2015-2-10 16:11:27.721: Algorithm - getPortfolioForwardDelta - required deltas is 90 currentHedgePosition is 90</t>
  </si>
  <si>
    <t>2015-2-10 16:11:27.721: Algorithm - getHedgeShortfall - required deltas is 90 price is 1.52455 currentHedgePositionDeltas is 90</t>
  </si>
  <si>
    <t>2015-2-10 16:11:27.721: Algorithm - processTransitionPoint - nextUpper/LowerStrikes are 1.525/1.52 requiredDeltas/currentPosition/currentHedgeShortfall/direction/transitionPrice are 90/90/0/1/1.52455</t>
  </si>
  <si>
    <t>2015-2-10 16:11:27.722: TransitionLogger - processTransitionpoint - checking transition - currentHedgeShortfall is 0</t>
  </si>
  <si>
    <t>2015-2-10 16:11:27.722: Algorithm - updatePortfolio - haveAllDetails is True</t>
  </si>
  <si>
    <t>2015-2-10 16:11:27.761: Algorithm - FindNextStrikes - price is 1.52445 nextStrikeUp/Down 1.525/1.52</t>
  </si>
  <si>
    <t>2015-2-10 16:11:27.761: Algorithm - getPortfolioForwardDelta - required deltas is 90 currentHedgePosition is 90</t>
  </si>
  <si>
    <t>2015-2-10 16:11:27.761: Algorithm - getHedgeShortfall - required deltas is 90 price is 1.52455 currentHedgePositionDeltas is 90</t>
  </si>
  <si>
    <t>2015-2-10 16:11:27.762: Algorithm - processTransitionPoint - nextUpper/LowerStrikes are 1.525/1.52 requiredDeltas/currentPosition/currentHedgeShortfall/direction/transitionPrice are 90/90/0/1/1.52455</t>
  </si>
  <si>
    <t>2015-2-10 16:11:27.762: TransitionLogger - processTransitionpoint - checking transition - currentHedgeShortfall is 0</t>
  </si>
  <si>
    <t>2015-2-10 16:11:27.763: Algorithm - updatePortfolio - haveAllDetails is True</t>
  </si>
  <si>
    <t>2015-2-10 16:12:34.388: OrderManager - cancelOrder - cancelling order id 8966</t>
  </si>
  <si>
    <t>2015-2-10 16:12:34.389: OrderManager - PlaceOrder - id 8968 workingQty -56</t>
  </si>
  <si>
    <t>2015-2-10 16:12:34.391: OrderManager - sendOrder - exiting place order id 8968 BUY 29 1.5357  - workingQty -56 currentPosition is 90 workingOrderCount is -3</t>
  </si>
  <si>
    <t>2015-2-10 16:12:34.391: OrderManager - cancelOrder - cancelling order id 8967</t>
  </si>
  <si>
    <t>2015-2-10 16:12:34.392: OrderManager - createOrder - exiting without creating order - did not have validID</t>
  </si>
  <si>
    <t>2015-2-10 16:12:34.502: OrderManager - createOrder - exiting without creating order - did not have validID</t>
  </si>
  <si>
    <t>2015-2-10 16:12:35.249: OrderManager - createOrder - exiting without creating order - did not have validID</t>
  </si>
  <si>
    <t>2015-2-10 16:12:35.330: RTWSControl - nextValidId - entering nextValidId id is 8969</t>
  </si>
  <si>
    <t>2015-2-10 16:12:35.335: RTWSControl - orderStatus -  entering orderStatus id is 8966 status is Cancelled</t>
  </si>
  <si>
    <t>2015-2-10 16:12:35.335: OrderManager - UpdateOrderStatus - id 8966 Setting status to Cancelled workingOrderCount is now -3 workingQty -56</t>
  </si>
  <si>
    <t>2015-2-10 16:12:35.338: RTWSControl - OrderStatus - Got OrderStatus Message id:8966 status: Cancelled filled: 0</t>
  </si>
  <si>
    <t>2015-2-10 16:12:35.338: RTWSControl - OrderStatus - exiting orderStatus</t>
  </si>
  <si>
    <t>2015-2-10 16:12:35.371: RTWSControl - errMsg - got error message 202:Order Canceled - reason:with id 8966</t>
  </si>
  <si>
    <t>2015-2-10 16:12:35.372: OrderManager - canceledOrder - cleaning up after canceled order 8966BEWARE UNACCOUNTED FOR EXECUTIONS!!!</t>
  </si>
  <si>
    <t>2015-2-10 16:12:35.372: OrderManager - terminateOrder - cleaning up after Canceled 8966  order was supposed to BUY 32 1.5362 STP LMT workingQty/OrderCount now -88/-4</t>
  </si>
  <si>
    <t>2015-2-10 16:12:35.383: RTWSControl - orderStatus -  entering orderStatus id is 8967 status is Cancelled</t>
  </si>
  <si>
    <t>2015-2-10 16:12:35.384: OrderManager - UpdateOrderStatus - id 8967 Setting status to Cancelled workingOrderCount is now -4 workingQty -88</t>
  </si>
  <si>
    <t>2015-2-10 16:12:35.386: RTWSControl - OrderStatus - Got OrderStatus Message id:8967 status: Cancelled filled: 0</t>
  </si>
  <si>
    <t>2015-2-10 16:12:35.386: RTWSControl - OrderStatus - exiting orderStatus</t>
  </si>
  <si>
    <t>2015-2-10 16:12:35.416: RTWSControl - errMsg - got error message 202:Order Canceled - reason:with id 8967</t>
  </si>
  <si>
    <t>2015-2-10 16:12:35.416: OrderManager - canceledOrder - cleaning up after canceled order 8967BEWARE UNACCOUNTED FOR EXECUTIONS!!!</t>
  </si>
  <si>
    <t>2015-2-10 16:12:35.417: OrderManager - terminateOrder - cleaning up after Canceled 8967  order was supposed to SELL 32 1.5228 STP LMT workingQty/OrderCount now -120/-5</t>
  </si>
  <si>
    <t>2015-2-10 16:12:35.458: openOrderEx - I am here</t>
  </si>
  <si>
    <t>2015-2-10 16:12:35.468: RTWSControl - orderStatus -  entering orderStatus id is 8968 status is PreSubmitted</t>
  </si>
  <si>
    <t>2015-2-10 16:12:35.468: OrderManager - UpdateOrderStatus - id 8968 Setting status to PreSubmitted workingOrderCount is now -5 workingQty -120</t>
  </si>
  <si>
    <t>2015-2-10 16:12:35.470: RTWSControl - OrderStatus - Got OrderStatus Message id:8968 status: PreSubmitted filled: 0</t>
  </si>
  <si>
    <t>2015-2-10 16:12:35.470: RTWSControl - OrderStatus - exiting orderStatus</t>
  </si>
  <si>
    <t>2015-2-10 16:12:46.715: OrderManager - PlaceOrder - id 8969 workingQty -149</t>
  </si>
  <si>
    <t>2015-2-10 16:12:46.716: OrderManager - sendOrder - exiting place order id 8969 SELL 29 1.523  - workingQty -149 currentPosition is 90 workingOrderCount is -4</t>
  </si>
  <si>
    <t>2015-2-10 16:12:47.226: RTWSControl - nextValidId - entering nextValidId id is 8970</t>
  </si>
  <si>
    <t>2015-2-10 16:12:47.256: openOrderEx - I am here</t>
  </si>
  <si>
    <t>2015-2-10 16:12:47.267: RTWSControl - orderStatus -  entering orderStatus id is 8969 status is PreSubmitted</t>
  </si>
  <si>
    <t>2015-2-10 16:12:47.268: OrderManager - UpdateOrderStatus - id 8969 Setting status to PreSubmitted workingOrderCount is now -4 workingQty -149</t>
  </si>
  <si>
    <t>2015-2-10 16:12:47.271: RTWSControl - OrderStatus - Got OrderStatus Message id:8969 status: PreSubmitted filled: 0</t>
  </si>
  <si>
    <t>2015-2-10 16:12:47.271: RTWSControl - OrderStatus - exiting orderStatus</t>
  </si>
  <si>
    <t>2015-2-10 16:13:42.475: OrderManager - cancelOrder - cancelling order id 8968</t>
  </si>
  <si>
    <t>2015-2-10 16:13:42.475: OrderManager - PlaceOrder - id 8970 workingQty -117</t>
  </si>
  <si>
    <t>2015-2-10 16:13:42.477: OrderManager - sendOrder - exiting place order id 8970 BUY 32 1.5362  - workingQty -117 currentPosition is 90 workingOrderCount is -3</t>
  </si>
  <si>
    <t>2015-2-10 16:13:42.477: OrderManager - cancelOrder - cancelling order id 8969</t>
  </si>
  <si>
    <t>2015-2-10 16:13:42.477: OrderManager - createOrder - exiting without creating order - did not have validID</t>
  </si>
  <si>
    <t>2015-2-10 16:13:42.574: RTWSControl - nextValidId - entering nextValidId id is 8971</t>
  </si>
  <si>
    <t>2015-2-10 16:13:42.788: RTWSControl - orderStatus -  entering orderStatus id is 8968 status is Cancelled</t>
  </si>
  <si>
    <t>2015-2-10 16:13:42.789: OrderManager - UpdateOrderStatus - id 8968 Setting status to Cancelled workingOrderCount is now -3 workingQty -117</t>
  </si>
  <si>
    <t>2015-2-10 16:13:42.797: RTWSControl - OrderStatus - Got OrderStatus Message id:8968 status: Cancelled filled: 0</t>
  </si>
  <si>
    <t>2015-2-10 16:13:42.797: RTWSControl - OrderStatus - exiting orderStatus</t>
  </si>
  <si>
    <t>2015-2-10 16:13:42.819: RTWSControl - errMsg - got error message 202:Order Canceled - reason:with id 8968</t>
  </si>
  <si>
    <t>2015-2-10 16:13:42.820: OrderManager - canceledOrder - cleaning up after canceled order 8968BEWARE UNACCOUNTED FOR EXECUTIONS!!!</t>
  </si>
  <si>
    <t>2015-2-10 16:13:42.820: OrderManager - terminateOrder - cleaning up after Canceled 8968  order was supposed to BUY 29 1.5357 STP LMT workingQty/OrderCount now -146/-4</t>
  </si>
  <si>
    <t>2015-2-10 16:13:42.866: RTWSControl - orderStatus -  entering orderStatus id is 8969 status is Cancelled</t>
  </si>
  <si>
    <t>2015-2-10 16:13:42.867: OrderManager - UpdateOrderStatus - id 8969 Setting status to Cancelled workingOrderCount is now -4 workingQty -146</t>
  </si>
  <si>
    <t>2015-2-10 16:13:42.868: RTWSControl - OrderStatus - Got OrderStatus Message id:8969 status: Cancelled filled: 0</t>
  </si>
  <si>
    <t>2015-2-10 16:13:42.869: RTWSControl - OrderStatus - exiting orderStatus</t>
  </si>
  <si>
    <t>2015-2-10 16:13:42.886: RTWSControl - errMsg - got error message 202:Order Canceled - reason:with id 8969</t>
  </si>
  <si>
    <t>2015-2-10 16:13:42.886: OrderManager - canceledOrder - cleaning up after canceled order 8969BEWARE UNACCOUNTED FOR EXECUTIONS!!!</t>
  </si>
  <si>
    <t>2015-2-10 16:13:42.886: OrderManager - terminateOrder - cleaning up after Canceled 8969  order was supposed to SELL 29 1.523 STP LMT workingQty/OrderCount now -175/-5</t>
  </si>
  <si>
    <t>2015-2-10 16:13:42.907: openOrderEx - I am here</t>
  </si>
  <si>
    <t>2015-2-10 16:13:42.928: RTWSControl - orderStatus -  entering orderStatus id is 8970 status is PreSubmitted</t>
  </si>
  <si>
    <t>2015-2-10 16:13:42.929: OrderManager - UpdateOrderStatus - id 8970 Setting status to PreSubmitted workingOrderCount is now -5 workingQty -175</t>
  </si>
  <si>
    <t>2015-2-10 16:13:42.931: RTWSControl - OrderStatus - Got OrderStatus Message id:8970 status: PreSubmitted filled: 0</t>
  </si>
  <si>
    <t>2015-2-10 16:13:42.931: RTWSControl - OrderStatus - exiting orderStatus</t>
  </si>
  <si>
    <t>2015-2-10 16:13:45.281: OrderManager - PlaceOrder - id 8971 workingQty -206</t>
  </si>
  <si>
    <t>2015-2-10 16:13:45.284: OrderManager - sendOrder - exiting place order id 8971 SELL 31 1.5227  - workingQty -206 currentPosition is 90 workingOrderCount is -4</t>
  </si>
  <si>
    <t>2015-2-10 16:13:45.554: RTWSControl - nextValidId - entering nextValidId id is 8972</t>
  </si>
  <si>
    <t>2015-2-10 16:13:45.562: openOrderEx - I am here</t>
  </si>
  <si>
    <t>2015-2-10 16:13:45.594: RTWSControl - orderStatus -  entering orderStatus id is 8971 status is PreSubmitted</t>
  </si>
  <si>
    <t>2015-2-10 16:13:45.595: OrderManager - UpdateOrderStatus - id 8971 Setting status to PreSubmitted workingOrderCount is now -4 workingQty -206</t>
  </si>
  <si>
    <t>2015-2-10 16:13:45.597: RTWSControl - OrderStatus - Got OrderStatus Message id:8971 status: PreSubmitted filled: 0</t>
  </si>
  <si>
    <t>2015-2-10 16:13:45.597: RTWSControl - OrderStatus - exiting orderStatus</t>
  </si>
  <si>
    <t>2015-2-10 16:14:27.680: Algorithm - FindNextStrikes - price is 1.5242 nextStrikeUp/Down 1.525/1.52</t>
  </si>
  <si>
    <t>2015-2-10 16:14:27.680: Algorithm - getPortfolioForwardDelta - required deltas is 90 currentHedgePosition is 90</t>
  </si>
  <si>
    <t>2015-2-10 16:14:27.680: Algorithm - getHedgeShortfall - required deltas is 90 price is 1.5241 currentHedgePositionDeltas is 90</t>
  </si>
  <si>
    <t>2015-2-10 16:14:27.681: Algorithm - processTransitionPoint - nextUpper/LowerStrikes are 1.525/1.52 requiredDeltas/currentPosition/currentHedgeShortfall/direction/transitionPrice are 90/90/0/-1/1.5241</t>
  </si>
  <si>
    <t>2015-2-10 16:14:27.681: TransitionLogger - processTransitionpoint - checking transition - currentHedgeShortfall is 0</t>
  </si>
  <si>
    <t>2015-2-10 16:14:27.683: Algorithm - updatePortfolio - haveAllDetails is True</t>
  </si>
  <si>
    <t>2015-2-10 16:14:27.725: Algorithm - FindNextStrikes - price is 1.5242 nextStrikeUp/Down 1.525/1.52</t>
  </si>
  <si>
    <t>2015-2-10 16:14:27.725: Algorithm - getPortfolioForwardDelta - required deltas is 90 currentHedgePosition is 90</t>
  </si>
  <si>
    <t>2015-2-10 16:14:27.725: Algorithm - getHedgeShortfall - required deltas is 90 price is 1.5241 currentHedgePositionDeltas is 90</t>
  </si>
  <si>
    <t>2015-2-10 16:14:27.726: Algorithm - processTransitionPoint - nextUpper/LowerStrikes are 1.525/1.52 requiredDeltas/currentPosition/currentHedgeShortfall/direction/transitionPrice are 90/90/0/-1/1.5241</t>
  </si>
  <si>
    <t>2015-2-10 16:14:27.726: TransitionLogger - processTransitionpoint - checking transition - currentHedgeShortfall is 0</t>
  </si>
  <si>
    <t>2015-2-10 16:14:27.727: Algorithm - updatePortfolio - haveAllDetails is True</t>
  </si>
  <si>
    <t>2015-2-10 16:14:27.771: Algorithm - FindNextStrikes - price is 1.5242 nextStrikeUp/Down 1.525/1.52</t>
  </si>
  <si>
    <t>2015-2-10 16:14:27.771: Algorithm - getPortfolioForwardDelta - required deltas is 90 currentHedgePosition is 90</t>
  </si>
  <si>
    <t>2015-2-10 16:14:27.771: Algorithm - getHedgeShortfall - required deltas is 90 price is 1.5241 currentHedgePositionDeltas is 90</t>
  </si>
  <si>
    <t>2015-2-10 16:14:27.772: Algorithm - processTransitionPoint - nextUpper/LowerStrikes are 1.525/1.52 requiredDeltas/currentPosition/currentHedgeShortfall/direction/transitionPrice are 90/90/0/-1/1.5241</t>
  </si>
  <si>
    <t>2015-2-10 16:14:27.772: TransitionLogger - processTransitionpoint - checking transition - currentHedgeShortfall is 0</t>
  </si>
  <si>
    <t>2015-2-10 16:14:27.773: Algorithm - updatePortfolio - haveAllDetails is True</t>
  </si>
  <si>
    <t>2015-2-10 16:14:27.812: Algorithm - FindNextStrikes - price is 1.5242 nextStrikeUp/Down 1.525/1.52</t>
  </si>
  <si>
    <t>2015-2-10 16:14:27.812: Algorithm - getPortfolioForwardDelta - required deltas is 90 currentHedgePosition is 90</t>
  </si>
  <si>
    <t>2015-2-10 16:14:27.813: Algorithm - getHedgeShortfall - required deltas is 90 price is 1.5241 currentHedgePositionDeltas is 90</t>
  </si>
  <si>
    <t>2015-2-10 16:14:27.813: Algorithm - processTransitionPoint - nextUpper/LowerStrikes are 1.525/1.52 requiredDeltas/currentPosition/currentHedgeShortfall/direction/transitionPrice are 90/90/0/-1/1.5241</t>
  </si>
  <si>
    <t>2015-2-10 16:14:27.813: TransitionLogger - processTransitionpoint - checking transition - currentHedgeShortfall is 0</t>
  </si>
  <si>
    <t>2015-2-10 16:14:27.814: Algorithm - updatePortfolio - haveAllDetails is True</t>
  </si>
  <si>
    <t>2015-2-10 16:14:27.854: Algorithm - FindNextStrikes - price is 1.5242 nextStrikeUp/Down 1.525/1.52</t>
  </si>
  <si>
    <t>2015-2-10 16:14:27.855: Algorithm - getPortfolioForwardDelta - required deltas is 90 currentHedgePosition is 90</t>
  </si>
  <si>
    <t>2015-2-10 16:14:27.855: Algorithm - getHedgeShortfall - required deltas is 90 price is 1.5241 currentHedgePositionDeltas is 90</t>
  </si>
  <si>
    <t>2015-2-10 16:14:27.855: Algorithm - processTransitionPoint - nextUpper/LowerStrikes are 1.525/1.52 requiredDeltas/currentPosition/currentHedgeShortfall/direction/transitionPrice are 90/90/0/-1/1.5241</t>
  </si>
  <si>
    <t>2015-2-10 16:14:27.856: TransitionLogger - processTransitionpoint - checking transition - currentHedgeShortfall is 0</t>
  </si>
  <si>
    <t>2015-2-10 16:14:27.856: Algorithm - updatePortfolio - haveAllDetails is True</t>
  </si>
  <si>
    <t>2015-2-10 16:14:27.896: Algorithm - FindNextStrikes - price is 1.5242 nextStrikeUp/Down 1.525/1.52</t>
  </si>
  <si>
    <t>2015-2-10 16:14:27.896: Algorithm - getPortfolioForwardDelta - required deltas is 90 currentHedgePosition is 90</t>
  </si>
  <si>
    <t>2015-2-10 16:14:27.897: Algorithm - getHedgeShortfall - required deltas is 90 price is 1.5241 currentHedgePositionDeltas is 90</t>
  </si>
  <si>
    <t>2015-2-10 16:14:27.897: Algorithm - processTransitionPoint - nextUpper/LowerStrikes are 1.525/1.52 requiredDeltas/currentPosition/currentHedgeShortfall/direction/transitionPrice are 90/90/0/-1/1.5241</t>
  </si>
  <si>
    <t>2015-2-10 16:14:27.897: TransitionLogger - processTransitionpoint - checking transition - currentHedgeShortfall is 0</t>
  </si>
  <si>
    <t>2015-2-10 16:14:27.898: Algorithm - updatePortfolio - haveAllDetails is True</t>
  </si>
  <si>
    <t>2015-2-10 16:14:27.938: Algorithm - FindNextStrikes - price is 1.5242 nextStrikeUp/Down 1.525/1.52</t>
  </si>
  <si>
    <t>2015-2-10 16:14:27.938: Algorithm - getPortfolioForwardDelta - required deltas is 90 currentHedgePosition is 90</t>
  </si>
  <si>
    <t>2015-2-10 16:14:27.938: Algorithm - getHedgeShortfall - required deltas is 90 price is 1.5241 currentHedgePositionDeltas is 90</t>
  </si>
  <si>
    <t>2015-2-10 16:14:27.938: Algorithm - processTransitionPoint - nextUpper/LowerStrikes are 1.525/1.52 requiredDeltas/currentPosition/currentHedgeShortfall/direction/transitionPrice are 90/90/0/-1/1.5241</t>
  </si>
  <si>
    <t>2015-2-10 16:14:27.939: TransitionLogger - processTransitionpoint - checking transition - currentHedgeShortfall is 0</t>
  </si>
  <si>
    <t>2015-2-10 16:14:27.940: Algorithm - updatePortfolio - haveAllDetails is True</t>
  </si>
  <si>
    <t>2015-2-10 16:14:27.980: Algorithm - FindNextStrikes - price is 1.5242 nextStrikeUp/Down 1.525/1.52</t>
  </si>
  <si>
    <t>2015-2-10 16:14:27.981: Algorithm - getPortfolioForwardDelta - required deltas is 90 currentHedgePosition is 90</t>
  </si>
  <si>
    <t>2015-2-10 16:14:27.981: Algorithm - getHedgeShortfall - required deltas is 90 price is 1.5241 currentHedgePositionDeltas is 90</t>
  </si>
  <si>
    <t>2015-2-10 16:14:27.981: Algorithm - processTransitionPoint - nextUpper/LowerStrikes are 1.525/1.52 requiredDeltas/currentPosition/currentHedgeShortfall/direction/transitionPrice are 90/90/0/-1/1.5241</t>
  </si>
  <si>
    <t>2015-2-10 16:14:27.982: TransitionLogger - processTransitionpoint - checking transition - currentHedgeShortfall is 0</t>
  </si>
  <si>
    <t>2015-2-10 16:14:27.982: Algorithm - updatePortfolio - haveAllDetails is True</t>
  </si>
  <si>
    <t>2015-2-10 16:14:28.21: Algorithm - FindNextStrikes - price is 1.5242 nextStrikeUp/Down 1.525/1.52</t>
  </si>
  <si>
    <t>2015-2-10 16:14:28.22: Algorithm - getPortfolioForwardDelta - required deltas is 90 currentHedgePosition is 90</t>
  </si>
  <si>
    <t>2015-2-10 16:14:28.22: Algorithm - getHedgeShortfall - required deltas is 90 price is 1.5241 currentHedgePositionDeltas is 90</t>
  </si>
  <si>
    <t>2015-2-10 16:14:28.22: Algorithm - processTransitionPoint - nextUpper/LowerStrikes are 1.525/1.52 requiredDeltas/currentPosition/currentHedgeShortfall/direction/transitionPrice are 90/90/0/-1/1.5241</t>
  </si>
  <si>
    <t>2015-2-10 16:14:28.23: TransitionLogger - processTransitionpoint - checking transition - currentHedgeShortfall is 0</t>
  </si>
  <si>
    <t>2015-2-10 16:14:28.23: Algorithm - updatePortfolio - haveAllDetails is True</t>
  </si>
  <si>
    <t>2015-2-10 16:16:56.461: OrderManager - cancelOrder - cancelling order id 8970</t>
  </si>
  <si>
    <t>2015-2-10 16:16:56.461: OrderManager - PlaceOrder - id 8972 workingQty -177</t>
  </si>
  <si>
    <t>2015-2-10 16:16:56.462: OrderManager - sendOrder - exiting place order id 8972 BUY 29 1.5353  - workingQty -177 currentPosition is 90 workingOrderCount is -3</t>
  </si>
  <si>
    <t>2015-2-10 16:16:56.685: RTWSControl - nextValidId - entering nextValidId id is 8973</t>
  </si>
  <si>
    <t>2015-2-10 16:16:56.898: RTWSControl - orderStatus -  entering orderStatus id is 8970 status is Cancelled</t>
  </si>
  <si>
    <t>2015-2-10 16:16:56.899: OrderManager - UpdateOrderStatus - id 8970 Setting status to Cancelled workingOrderCount is now -3 workingQty -177</t>
  </si>
  <si>
    <t>2015-2-10 16:16:56.902: RTWSControl - OrderStatus - Got OrderStatus Message id:8970 status: Cancelled filled: 0</t>
  </si>
  <si>
    <t>2015-2-10 16:16:56.902: RTWSControl - OrderStatus - exiting orderStatus</t>
  </si>
  <si>
    <t>2015-2-10 16:16:56.933: RTWSControl - errMsg - got error message 202:Order Canceled - reason:with id 8970</t>
  </si>
  <si>
    <t>2015-2-10 16:16:56.934: OrderManager - canceledOrder - cleaning up after canceled order 8970BEWARE UNACCOUNTED FOR EXECUTIONS!!!</t>
  </si>
  <si>
    <t>2015-2-10 16:16:56.934: OrderManager - terminateOrder - cleaning up after Canceled 8970  order was supposed to BUY 32 1.5362 STP LMT workingQty/OrderCount now -209/-4</t>
  </si>
  <si>
    <t>2015-2-10 16:16:56.948: openOrderEx - I am here</t>
  </si>
  <si>
    <t>2015-2-10 16:16:56.978: RTWSControl - orderStatus -  entering orderStatus id is 8972 status is PreSubmitted</t>
  </si>
  <si>
    <t>2015-2-10 16:16:56.978: OrderManager - UpdateOrderStatus - id 8972 Setting status to PreSubmitted workingOrderCount is now -4 workingQty -209</t>
  </si>
  <si>
    <t>2015-2-10 16:16:56.980: RTWSControl - OrderStatus - Got OrderStatus Message id:8972 status: PreSubmitted filled: 0</t>
  </si>
  <si>
    <t>2015-2-10 16:16:56.980: RTWSControl - OrderStatus - exiting orderStatus</t>
  </si>
  <si>
    <t>2015-2-10 16:17:27.399: Algorithm - FindNextStrikes - price is 1.52455 nextStrikeUp/Down 1.525/1.52</t>
  </si>
  <si>
    <t>2015-2-10 16:17:27.399: Algorithm - getPortfolioForwardDelta - required deltas is 90 currentHedgePosition is 90</t>
  </si>
  <si>
    <t>2015-2-10 16:17:27.399: Algorithm - getHedgeShortfall - required deltas is 90 price is 1.52465 currentHedgePositionDeltas is 90</t>
  </si>
  <si>
    <t>2015-2-10 16:17:27.400: Algorithm - processTransitionPoint - nextUpper/LowerStrikes are 1.525/1.52 requiredDeltas/currentPosition/currentHedgeShortfall/direction/transitionPrice are 90/90/0/1/1.52465</t>
  </si>
  <si>
    <t>2015-2-10 16:17:27.400: TransitionLogger - processTransitionpoint - checking transition - currentHedgeShortfall is 0</t>
  </si>
  <si>
    <t>2015-2-10 16:17:27.401: Algorithm - updatePortfolio - haveAllDetails is True</t>
  </si>
  <si>
    <t>2015-2-10 16:17:27.444: Algorithm - FindNextStrikes - price is 1.52455 nextStrikeUp/Down 1.525/1.52</t>
  </si>
  <si>
    <t>2015-2-10 16:17:27.444: Algorithm - getPortfolioForwardDelta - required deltas is 90 currentHedgePosition is 90</t>
  </si>
  <si>
    <t>2015-2-10 16:17:27.444: Algorithm - getHedgeShortfall - required deltas is 90 price is 1.52465 currentHedgePositionDeltas is 90</t>
  </si>
  <si>
    <t>2015-2-10 16:17:27.445: Algorithm - processTransitionPoint - nextUpper/LowerStrikes are 1.525/1.52 requiredDeltas/currentPosition/currentHedgeShortfall/direction/transitionPrice are 90/90/0/1/1.52465</t>
  </si>
  <si>
    <t>2015-2-10 16:17:27.445: TransitionLogger - processTransitionpoint - checking transition - currentHedgeShortfall is 0</t>
  </si>
  <si>
    <t>2015-2-10 16:17:27.446: Algorithm - updatePortfolio - haveAllDetails is True</t>
  </si>
  <si>
    <t>2015-2-10 16:17:27.489: Algorithm - FindNextStrikes - price is 1.52455 nextStrikeUp/Down 1.525/1.52</t>
  </si>
  <si>
    <t>2015-2-10 16:17:27.490: Algorithm - getPortfolioForwardDelta - required deltas is 90 currentHedgePosition is 90</t>
  </si>
  <si>
    <t>2015-2-10 16:17:27.490: Algorithm - getHedgeShortfall - required deltas is 90 price is 1.52465 currentHedgePositionDeltas is 90</t>
  </si>
  <si>
    <t>2015-2-10 16:17:27.490: Algorithm - processTransitionPoint - nextUpper/LowerStrikes are 1.525/1.52 requiredDeltas/currentPosition/currentHedgeShortfall/direction/transitionPrice are 90/90/0/1/1.52465</t>
  </si>
  <si>
    <t>2015-2-10 16:17:27.491: TransitionLogger - processTransitionpoint - checking transition - currentHedgeShortfall is 0</t>
  </si>
  <si>
    <t>2015-2-10 16:17:27.491: Algorithm - updatePortfolio - haveAllDetails is True</t>
  </si>
  <si>
    <t>2015-2-10 16:17:27.532: Algorithm - FindNextStrikes - price is 1.52455 nextStrikeUp/Down 1.525/1.52</t>
  </si>
  <si>
    <t>2015-2-10 16:17:27.532: Algorithm - getPortfolioForwardDelta - required deltas is 90 currentHedgePosition is 90</t>
  </si>
  <si>
    <t>2015-2-10 16:17:27.533: Algorithm - getHedgeShortfall - required deltas is 90 price is 1.52465 currentHedgePositionDeltas is 90</t>
  </si>
  <si>
    <t>2015-2-10 16:17:27.533: Algorithm - processTransitionPoint - nextUpper/LowerStrikes are 1.525/1.52 requiredDeltas/currentPosition/currentHedgeShortfall/direction/transitionPrice are 90/90/0/1/1.52465</t>
  </si>
  <si>
    <t>2015-2-10 16:17:27.533: TransitionLogger - processTransitionpoint - checking transition - currentHedgeShortfall is 0</t>
  </si>
  <si>
    <t>2015-2-10 16:17:27.534: Algorithm - updatePortfolio - haveAllDetails is True</t>
  </si>
  <si>
    <t>2015-2-10 16:17:27.575: Algorithm - FindNextStrikes - price is 1.52455 nextStrikeUp/Down 1.525/1.52</t>
  </si>
  <si>
    <t>2015-2-10 16:17:27.575: Algorithm - getPortfolioForwardDelta - required deltas is 90 currentHedgePosition is 90</t>
  </si>
  <si>
    <t>2015-2-10 16:17:27.576: Algorithm - getHedgeShortfall - required deltas is 90 price is 1.52465 currentHedgePositionDeltas is 90</t>
  </si>
  <si>
    <t>2015-2-10 16:17:27.576: Algorithm - processTransitionPoint - nextUpper/LowerStrikes are 1.525/1.52 requiredDeltas/currentPosition/currentHedgeShortfall/direction/transitionPrice are 90/90/0/1/1.52465</t>
  </si>
  <si>
    <t>2015-2-10 16:17:27.576: TransitionLogger - processTransitionpoint - checking transition - currentHedgeShortfall is 0</t>
  </si>
  <si>
    <t>2015-2-10 16:17:27.577: Algorithm - updatePortfolio - haveAllDetails is True</t>
  </si>
  <si>
    <t>2015-2-10 16:17:27.615: Algorithm - FindNextStrikes - price is 1.52455 nextStrikeUp/Down 1.525/1.52</t>
  </si>
  <si>
    <t>2015-2-10 16:17:27.616: Algorithm - getPortfolioForwardDelta - required deltas is 90 currentHedgePosition is 90</t>
  </si>
  <si>
    <t>2015-2-10 16:17:27.616: Algorithm - getHedgeShortfall - required deltas is 90 price is 1.52465 currentHedgePositionDeltas is 90</t>
  </si>
  <si>
    <t>2015-2-10 16:17:27.616: Algorithm - processTransitionPoint - nextUpper/LowerStrikes are 1.525/1.52 requiredDeltas/currentPosition/currentHedgeShortfall/direction/transitionPrice are 90/90/0/1/1.52465</t>
  </si>
  <si>
    <t>2015-2-10 16:17:27.617: TransitionLogger - processTransitionpoint - checking transition - currentHedgeShortfall is 0</t>
  </si>
  <si>
    <t>2015-2-10 16:17:27.617: Algorithm - updatePortfolio - haveAllDetails is True</t>
  </si>
  <si>
    <t>2015-2-10 16:17:27.657: Algorithm - FindNextStrikes - price is 1.52455 nextStrikeUp/Down 1.525/1.52</t>
  </si>
  <si>
    <t>2015-2-10 16:17:27.657: Algorithm - getPortfolioForwardDelta - required deltas is 90 currentHedgePosition is 90</t>
  </si>
  <si>
    <t>2015-2-10 16:17:27.658: Algorithm - getHedgeShortfall - required deltas is 90 price is 1.52465 currentHedgePositionDeltas is 90</t>
  </si>
  <si>
    <t>2015-2-10 16:17:27.658: Algorithm - processTransitionPoint - nextUpper/LowerStrikes are 1.525/1.52 requiredDeltas/currentPosition/currentHedgeShortfall/direction/transitionPrice are 90/90/0/1/1.52465</t>
  </si>
  <si>
    <t>2015-2-10 16:17:27.658: TransitionLogger - processTransitionpoint - checking transition - currentHedgeShortfall is 0</t>
  </si>
  <si>
    <t>2015-2-10 16:17:27.659: Algorithm - updatePortfolio - haveAllDetails is True</t>
  </si>
  <si>
    <t>2015-2-10 16:17:27.701: Algorithm - FindNextStrikes - price is 1.52455 nextStrikeUp/Down 1.525/1.52</t>
  </si>
  <si>
    <t>2015-2-10 16:17:27.701: Algorithm - getPortfolioForwardDelta - required deltas is 90 currentHedgePosition is 90</t>
  </si>
  <si>
    <t>2015-2-10 16:17:27.701: Algorithm - getHedgeShortfall - required deltas is 90 price is 1.52465 currentHedgePositionDeltas is 90</t>
  </si>
  <si>
    <t>2015-2-10 16:17:27.702: Algorithm - processTransitionPoint - nextUpper/LowerStrikes are 1.525/1.52 requiredDeltas/currentPosition/currentHedgeShortfall/direction/transitionPrice are 90/90/0/1/1.52465</t>
  </si>
  <si>
    <t>2015-2-10 16:17:27.702: TransitionLogger - processTransitionpoint - checking transition - currentHedgeShortfall is 0</t>
  </si>
  <si>
    <t>2015-2-10 16:17:27.703: Algorithm - updatePortfolio - haveAllDetails is True</t>
  </si>
  <si>
    <t>2015-2-10 16:17:27.741: Algorithm - FindNextStrikes - price is 1.52455 nextStrikeUp/Down 1.525/1.52</t>
  </si>
  <si>
    <t>2015-2-10 16:17:27.742: Algorithm - getPortfolioForwardDelta - required deltas is 90 currentHedgePosition is 90</t>
  </si>
  <si>
    <t>2015-2-10 16:17:27.742: Algorithm - getHedgeShortfall - required deltas is 90 price is 1.52465 currentHedgePositionDeltas is 90</t>
  </si>
  <si>
    <t>2015-2-10 16:17:27.742: Algorithm - processTransitionPoint - nextUpper/LowerStrikes are 1.525/1.52 requiredDeltas/currentPosition/currentHedgeShortfall/direction/transitionPrice are 90/90/0/1/1.52465</t>
  </si>
  <si>
    <t>2015-2-10 16:17:27.743: TransitionLogger - processTransitionpoint - checking transition - currentHedgeShortfall is 0</t>
  </si>
  <si>
    <t>2015-2-10 16:17:27.743: Algorithm - updatePortfolio - haveAllDetails is True</t>
  </si>
  <si>
    <t>2015-2-10 16:17:58.898: OrderManager - cancelOrder - cancelling order id 8972</t>
  </si>
  <si>
    <t>2015-2-10 16:17:58.898: OrderManager - PlaceOrder - id 8973 workingQty -177</t>
  </si>
  <si>
    <t>2015-2-10 16:17:58.899: OrderManager - sendOrder - exiting place order id 8973 BUY 32 1.5362  - workingQty -177 currentPosition is 90 workingOrderCount is -3</t>
  </si>
  <si>
    <t>2015-2-10 16:18:0.852: Algorithm - FindNextStrikes - price is 1.5242 nextStrikeUp/Down 1.525/1.52</t>
  </si>
  <si>
    <t>2015-2-10 16:18:0.853: Algorithm - getPortfolioForwardDelta - required deltas is 90 currentHedgePosition is 90</t>
  </si>
  <si>
    <t>2015-2-10 16:18:0.853: Algorithm - getHedgeShortfall - required deltas is 90 price is 1.5241 currentHedgePositionDeltas is 90</t>
  </si>
  <si>
    <t>2015-2-10 16:18:0.853: Algorithm - processTransitionPoint - nextUpper/LowerStrikes are 1.525/1.52 requiredDeltas/currentPosition/currentHedgeShortfall/direction/transitionPrice are 90/90/0/-1/1.5241</t>
  </si>
  <si>
    <t>2015-2-10 16:18:0.854: TransitionLogger - processTransitionpoint - checking transition - currentHedgeShortfall is 0</t>
  </si>
  <si>
    <t>2015-2-10 16:18:0.855: Algorithm - updatePortfolio - haveAllDetails is True</t>
  </si>
  <si>
    <t>2015-2-10 16:18:0.899: Algorithm - FindNextStrikes - price is 1.5242 nextStrikeUp/Down 1.525/1.52</t>
  </si>
  <si>
    <t>2015-2-10 16:18:0.899: Algorithm - getPortfolioForwardDelta - required deltas is 90 currentHedgePosition is 90</t>
  </si>
  <si>
    <t>2015-2-10 16:18:0.899: Algorithm - getHedgeShortfall - required deltas is 90 price is 1.5241 currentHedgePositionDeltas is 90</t>
  </si>
  <si>
    <t>2015-2-10 16:18:0.900: Algorithm - processTransitionPoint - nextUpper/LowerStrikes are 1.525/1.52 requiredDeltas/currentPosition/currentHedgeShortfall/direction/transitionPrice are 90/90/0/-1/1.5241</t>
  </si>
  <si>
    <t>2015-2-10 16:18:0.900: TransitionLogger - processTransitionpoint - checking transition - currentHedgeShortfall is 0</t>
  </si>
  <si>
    <t>2015-2-10 16:18:0.901: Algorithm - updatePortfolio - haveAllDetails is True</t>
  </si>
  <si>
    <t>2015-2-10 16:18:0.945: Algorithm - FindNextStrikes - price is 1.5242 nextStrikeUp/Down 1.525/1.52</t>
  </si>
  <si>
    <t>2015-2-10 16:18:0.946: Algorithm - getPortfolioForwardDelta - required deltas is 90 currentHedgePosition is 90</t>
  </si>
  <si>
    <t>2015-2-10 16:18:0.946: Algorithm - getHedgeShortfall - required deltas is 90 price is 1.5241 currentHedgePositionDeltas is 90</t>
  </si>
  <si>
    <t>2015-2-10 16:18:0.946: Algorithm - processTransitionPoint - nextUpper/LowerStrikes are 1.525/1.52 requiredDeltas/currentPosition/currentHedgeShortfall/direction/transitionPrice are 90/90/0/-1/1.5241</t>
  </si>
  <si>
    <t>2015-2-10 16:18:0.947: TransitionLogger - processTransitionpoint - checking transition - currentHedgeShortfall is 0</t>
  </si>
  <si>
    <t>2015-2-10 16:18:0.947: Algorithm - updatePortfolio - haveAllDetails is True</t>
  </si>
  <si>
    <t>2015-2-10 16:18:0.988: Algorithm - FindNextStrikes - price is 1.5242 nextStrikeUp/Down 1.525/1.52</t>
  </si>
  <si>
    <t>2015-2-10 16:18:0.989: Algorithm - getPortfolioForwardDelta - required deltas is 90 currentHedgePosition is 90</t>
  </si>
  <si>
    <t>2015-2-10 16:18:0.989: Algorithm - getHedgeShortfall - required deltas is 90 price is 1.5241 currentHedgePositionDeltas is 90</t>
  </si>
  <si>
    <t>2015-2-10 16:18:0.989: Algorithm - processTransitionPoint - nextUpper/LowerStrikes are 1.525/1.52 requiredDeltas/currentPosition/currentHedgeShortfall/direction/transitionPrice are 90/90/0/-1/1.5241</t>
  </si>
  <si>
    <t>2015-2-10 16:18:0.990: TransitionLogger - processTransitionpoint - checking transition - currentHedgeShortfall is 0</t>
  </si>
  <si>
    <t>2015-2-10 16:18:0.990: Algorithm - updatePortfolio - haveAllDetails is True</t>
  </si>
  <si>
    <t>2015-2-10 16:18:1.30: Algorithm - FindNextStrikes - price is 1.5242 nextStrikeUp/Down 1.525/1.52</t>
  </si>
  <si>
    <t>2015-2-10 16:18:1.30: Algorithm - getPortfolioForwardDelta - required deltas is 90 currentHedgePosition is 90</t>
  </si>
  <si>
    <t>2015-2-10 16:18:1.30: Algorithm - getHedgeShortfall - required deltas is 90 price is 1.5241 currentHedgePositionDeltas is 90</t>
  </si>
  <si>
    <t>2015-2-10 16:18:1.31: Algorithm - processTransitionPoint - nextUpper/LowerStrikes are 1.525/1.52 requiredDeltas/currentPosition/currentHedgeShortfall/direction/transitionPrice are 90/90/0/-1/1.5241</t>
  </si>
  <si>
    <t>2015-2-10 16:18:1.31: TransitionLogger - processTransitionpoint - checking transition - currentHedgeShortfall is 0</t>
  </si>
  <si>
    <t>2015-2-10 16:18:1.32: Algorithm - updatePortfolio - haveAllDetails is True</t>
  </si>
  <si>
    <t>2015-2-10 16:18:1.72: Algorithm - FindNextStrikes - price is 1.5242 nextStrikeUp/Down 1.525/1.52</t>
  </si>
  <si>
    <t>2015-2-10 16:18:1.72: Algorithm - getPortfolioForwardDelta - required deltas is 90 currentHedgePosition is 90</t>
  </si>
  <si>
    <t>2015-2-10 16:18:1.72: Algorithm - getHedgeShortfall - required deltas is 90 price is 1.5241 currentHedgePositionDeltas is 90</t>
  </si>
  <si>
    <t>2015-2-10 16:18:1.73: Algorithm - processTransitionPoint - nextUpper/LowerStrikes are 1.525/1.52 requiredDeltas/currentPosition/currentHedgeShortfall/direction/transitionPrice are 90/90/0/-1/1.5241</t>
  </si>
  <si>
    <t>2015-2-10 16:18:1.73: TransitionLogger - processTransitionpoint - checking transition - currentHedgeShortfall is 0</t>
  </si>
  <si>
    <t>2015-2-10 16:18:1.74: Algorithm - updatePortfolio - haveAllDetails is True</t>
  </si>
  <si>
    <t>2015-2-10 16:18:1.112: Algorithm - FindNextStrikes - price is 1.5242 nextStrikeUp/Down 1.525/1.52</t>
  </si>
  <si>
    <t>2015-2-10 16:18:1.113: Algorithm - getPortfolioForwardDelta - required deltas is 90 currentHedgePosition is 90</t>
  </si>
  <si>
    <t>2015-2-10 16:18:1.113: Algorithm - getHedgeShortfall - required deltas is 90 price is 1.5241 currentHedgePositionDeltas is 90</t>
  </si>
  <si>
    <t>2015-2-10 16:18:1.113: Algorithm - processTransitionPoint - nextUpper/LowerStrikes are 1.525/1.52 requiredDeltas/currentPosition/currentHedgeShortfall/direction/transitionPrice are 90/90/0/-1/1.5241</t>
  </si>
  <si>
    <t>2015-2-10 16:18:1.114: TransitionLogger - processTransitionpoint - checking transition - currentHedgeShortfall is 0</t>
  </si>
  <si>
    <t>2015-2-10 16:18:1.114: Algorithm - updatePortfolio - haveAllDetails is True</t>
  </si>
  <si>
    <t>2015-2-10 16:18:1.155: Algorithm - FindNextStrikes - price is 1.5242 nextStrikeUp/Down 1.525/1.52</t>
  </si>
  <si>
    <t>2015-2-10 16:18:1.155: Algorithm - getPortfolioForwardDelta - required deltas is 90 currentHedgePosition is 90</t>
  </si>
  <si>
    <t>2015-2-10 16:18:1.155: Algorithm - getHedgeShortfall - required deltas is 90 price is 1.5241 currentHedgePositionDeltas is 90</t>
  </si>
  <si>
    <t>2015-2-10 16:18:1.156: Algorithm - processTransitionPoint - nextUpper/LowerStrikes are 1.525/1.52 requiredDeltas/currentPosition/currentHedgeShortfall/direction/transitionPrice are 90/90/0/-1/1.5241</t>
  </si>
  <si>
    <t>2015-2-10 16:18:1.156: TransitionLogger - processTransitionpoint - checking transition - currentHedgeShortfall is 0</t>
  </si>
  <si>
    <t>2015-2-10 16:18:1.157: Algorithm - updatePortfolio - haveAllDetails is True</t>
  </si>
  <si>
    <t>2015-2-10 16:18:1.196: Algorithm - FindNextStrikes - price is 1.5242 nextStrikeUp/Down 1.525/1.52</t>
  </si>
  <si>
    <t>2015-2-10 16:18:1.197: Algorithm - getPortfolioForwardDelta - required deltas is 90 currentHedgePosition is 90</t>
  </si>
  <si>
    <t>2015-2-10 16:18:1.197: Algorithm - getHedgeShortfall - required deltas is 90 price is 1.5241 currentHedgePositionDeltas is 90</t>
  </si>
  <si>
    <t>2015-2-10 16:18:1.197: Algorithm - processTransitionPoint - nextUpper/LowerStrikes are 1.525/1.52 requiredDeltas/currentPosition/currentHedgeShortfall/direction/transitionPrice are 90/90/0/-1/1.5241</t>
  </si>
  <si>
    <t>2015-2-10 16:18:1.197: TransitionLogger - processTransitionpoint - checking transition - currentHedgeShortfall is 0</t>
  </si>
  <si>
    <t>2015-2-10 16:18:1.198: Algorithm - updatePortfolio - haveAllDetails is True</t>
  </si>
  <si>
    <t>2015-2-10 16:18:1.647: RTWSControl - nextValidId - entering nextValidId id is 8974</t>
  </si>
  <si>
    <t>2015-2-10 16:18:1.652: RTWSControl - orderStatus -  entering orderStatus id is 8972 status is Cancelled</t>
  </si>
  <si>
    <t>2015-2-10 16:18:1.652: OrderManager - UpdateOrderStatus - id 8972 Setting status to Cancelled workingOrderCount is now -3 workingQty -177</t>
  </si>
  <si>
    <t>2015-2-10 16:18:1.654: RTWSControl - OrderStatus - Got OrderStatus Message id:8972 status: Cancelled filled: 0</t>
  </si>
  <si>
    <t>2015-2-10 16:18:1.655: RTWSControl - OrderStatus - exiting orderStatus</t>
  </si>
  <si>
    <t>2015-2-10 16:18:1.686: RTWSControl - errMsg - got error message 202:Order Canceled - reason:with id 8972</t>
  </si>
  <si>
    <t>2015-2-10 16:18:1.686: OrderManager - canceledOrder - cleaning up after canceled order 8972BEWARE UNACCOUNTED FOR EXECUTIONS!!!</t>
  </si>
  <si>
    <t>2015-2-10 16:18:1.687: OrderManager - terminateOrder - cleaning up after Canceled 8972  order was supposed to BUY 29 1.5353 STP LMT workingQty/OrderCount now -206/-4</t>
  </si>
  <si>
    <t>2015-2-10 16:18:1.907: openOrderEx - I am here</t>
  </si>
  <si>
    <t>2015-2-10 16:18:1.935: RTWSControl - orderStatus -  entering orderStatus id is 8973 status is PreSubmitted</t>
  </si>
  <si>
    <t>2015-2-10 16:18:1.935: OrderManager - UpdateOrderStatus - id 8973 Setting status to PreSubmitted workingOrderCount is now -4 workingQty -206</t>
  </si>
  <si>
    <t>2015-2-10 16:18:1.937: RTWSControl - OrderStatus - Got OrderStatus Message id:8973 status: PreSubmitted filled: 0</t>
  </si>
  <si>
    <t>2015-2-10 16:18:1.937: RTWSControl - OrderStatus - exiting orderStatus</t>
  </si>
  <si>
    <t>2015-2-10 16:20:27.404: Algorithm - FindNextStrikes - price is 1.5245 nextStrikeUp/Down 1.525/1.52</t>
  </si>
  <si>
    <t>2015-2-10 16:20:27.405: Algorithm - getPortfolioForwardDelta - required deltas is 90 currentHedgePosition is 90</t>
  </si>
  <si>
    <t>2015-2-10 16:20:27.405: Algorithm - getHedgeShortfall - required deltas is 90 price is 1.5246 currentHedgePositionDeltas is 90</t>
  </si>
  <si>
    <t>2015-2-10 16:20:27.405: Algorithm - processTransitionPoint - nextUpper/LowerStrikes are 1.525/1.52 requiredDeltas/currentPosition/currentHedgeShortfall/direction/transitionPrice are 90/90/0/1/1.5246</t>
  </si>
  <si>
    <t>2015-2-10 16:20:27.406: TransitionLogger - processTransitionpoint - checking transition - currentHedgeShortfall is 0</t>
  </si>
  <si>
    <t>2015-2-10 16:20:27.407: Algorithm - updatePortfolio - haveAllDetails is True</t>
  </si>
  <si>
    <t>2015-2-10 16:20:27.449: Algorithm - FindNextStrikes - price is 1.5245 nextStrikeUp/Down 1.525/1.52</t>
  </si>
  <si>
    <t>2015-2-10 16:20:27.449: Algorithm - getPortfolioForwardDelta - required deltas is 90 currentHedgePosition is 90</t>
  </si>
  <si>
    <t>2015-2-10 16:20:27.449: Algorithm - getHedgeShortfall - required deltas is 90 price is 1.5246 currentHedgePositionDeltas is 90</t>
  </si>
  <si>
    <t>2015-2-10 16:20:27.450: Algorithm - processTransitionPoint - nextUpper/LowerStrikes are 1.525/1.52 requiredDeltas/currentPosition/currentHedgeShortfall/direction/transitionPrice are 90/90/0/1/1.5246</t>
  </si>
  <si>
    <t>2015-2-10 16:20:27.450: TransitionLogger - processTransitionpoint - checking transition - currentHedgeShortfall is 0</t>
  </si>
  <si>
    <t>2015-2-10 16:20:27.451: Algorithm - updatePortfolio - haveAllDetails is True</t>
  </si>
  <si>
    <t>2015-2-10 16:20:27.496: Algorithm - FindNextStrikes - price is 1.5245 nextStrikeUp/Down 1.525/1.52</t>
  </si>
  <si>
    <t>2015-2-10 16:20:27.496: Algorithm - getPortfolioForwardDelta - required deltas is 90 currentHedgePosition is 90</t>
  </si>
  <si>
    <t>2015-2-10 16:20:27.496: Algorithm - getHedgeShortfall - required deltas is 90 price is 1.5246 currentHedgePositionDeltas is 90</t>
  </si>
  <si>
    <t>2015-2-10 16:20:27.497: Algorithm - processTransitionPoint - nextUpper/LowerStrikes are 1.525/1.52 requiredDeltas/currentPosition/currentHedgeShortfall/direction/transitionPrice are 90/90/0/1/1.5246</t>
  </si>
  <si>
    <t>2015-2-10 16:20:27.497: TransitionLogger - processTransitionpoint - checking transition - currentHedgeShortfall is 0</t>
  </si>
  <si>
    <t>2015-2-10 16:20:27.498: Algorithm - updatePortfolio - haveAllDetails is True</t>
  </si>
  <si>
    <t>2015-2-10 16:20:27.537: Algorithm - FindNextStrikes - price is 1.5245 nextStrikeUp/Down 1.525/1.52</t>
  </si>
  <si>
    <t>2015-2-10 16:20:27.537: Algorithm - getPortfolioForwardDelta - required deltas is 90 currentHedgePosition is 90</t>
  </si>
  <si>
    <t>2015-2-10 16:20:27.538: Algorithm - getHedgeShortfall - required deltas is 90 price is 1.5246 currentHedgePositionDeltas is 90</t>
  </si>
  <si>
    <t>2015-2-10 16:20:27.538: Algorithm - processTransitionPoint - nextUpper/LowerStrikes are 1.525/1.52 requiredDeltas/currentPosition/currentHedgeShortfall/direction/transitionPrice are 90/90/0/1/1.5246</t>
  </si>
  <si>
    <t>2015-2-10 16:20:27.538: TransitionLogger - processTransitionpoint - checking transition - currentHedgeShortfall is 0</t>
  </si>
  <si>
    <t>2015-2-10 16:20:27.539: Algorithm - updatePortfolio - haveAllDetails is True</t>
  </si>
  <si>
    <t>2015-2-10 16:20:27.580: Algorithm - FindNextStrikes - price is 1.5245 nextStrikeUp/Down 1.525/1.52</t>
  </si>
  <si>
    <t>2015-2-10 16:20:27.580: Algorithm - getPortfolioForwardDelta - required deltas is 90 currentHedgePosition is 90</t>
  </si>
  <si>
    <t>2015-2-10 16:20:27.581: Algorithm - getHedgeShortfall - required deltas is 90 price is 1.5246 currentHedgePositionDeltas is 90</t>
  </si>
  <si>
    <t>2015-2-10 16:20:27.581: Algorithm - processTransitionPoint - nextUpper/LowerStrikes are 1.525/1.52 requiredDeltas/currentPosition/currentHedgeShortfall/direction/transitionPrice are 90/90/0/1/1.5246</t>
  </si>
  <si>
    <t>2015-2-10 16:20:27.581: TransitionLogger - processTransitionpoint - checking transition - currentHedgeShortfall is 0</t>
  </si>
  <si>
    <t>2015-2-10 16:20:27.582: Algorithm - updatePortfolio - haveAllDetails is True</t>
  </si>
  <si>
    <t>2015-2-10 16:20:27.622: Algorithm - FindNextStrikes - price is 1.5245 nextStrikeUp/Down 1.525/1.52</t>
  </si>
  <si>
    <t>2015-2-10 16:20:27.622: Algorithm - getPortfolioForwardDelta - required deltas is 90 currentHedgePosition is 90</t>
  </si>
  <si>
    <t>2015-2-10 16:20:27.622: Algorithm - getHedgeShortfall - required deltas is 90 price is 1.5246 currentHedgePositionDeltas is 90</t>
  </si>
  <si>
    <t>2015-2-10 16:20:27.623: Algorithm - processTransitionPoint - nextUpper/LowerStrikes are 1.525/1.52 requiredDeltas/currentPosition/currentHedgeShortfall/direction/transitionPrice are 90/90/0/1/1.5246</t>
  </si>
  <si>
    <t>2015-2-10 16:20:27.623: TransitionLogger - processTransitionpoint - checking transition - currentHedgeShortfall is 0</t>
  </si>
  <si>
    <t>2015-2-10 16:20:27.624: Algorithm - updatePortfolio - haveAllDetails is True</t>
  </si>
  <si>
    <t>2015-2-10 16:20:27.663: Algorithm - FindNextStrikes - price is 1.5245 nextStrikeUp/Down 1.525/1.52</t>
  </si>
  <si>
    <t>2015-2-10 16:20:27.663: Algorithm - getPortfolioForwardDelta - required deltas is 90 currentHedgePosition is 90</t>
  </si>
  <si>
    <t>2015-2-10 16:20:27.663: Algorithm - getHedgeShortfall - required deltas is 90 price is 1.5246 currentHedgePositionDeltas is 90</t>
  </si>
  <si>
    <t>2015-2-10 16:20:27.664: Algorithm - processTransitionPoint - nextUpper/LowerStrikes are 1.525/1.52 requiredDeltas/currentPosition/currentHedgeShortfall/direction/transitionPrice are 90/90/0/1/1.5246</t>
  </si>
  <si>
    <t>2015-2-10 16:20:27.664: TransitionLogger - processTransitionpoint - checking transition - currentHedgeShortfall is 0</t>
  </si>
  <si>
    <t>2015-2-10 16:20:27.665: Algorithm - updatePortfolio - haveAllDetails is True</t>
  </si>
  <si>
    <t>2015-2-10 16:20:27.706: Algorithm - FindNextStrikes - price is 1.5245 nextStrikeUp/Down 1.525/1.52</t>
  </si>
  <si>
    <t>2015-2-10 16:20:27.706: Algorithm - getPortfolioForwardDelta - required deltas is 90 currentHedgePosition is 90</t>
  </si>
  <si>
    <t>2015-2-10 16:20:27.706: Algorithm - getHedgeShortfall - required deltas is 90 price is 1.5246 currentHedgePositionDeltas is 90</t>
  </si>
  <si>
    <t>2015-2-10 16:20:27.707: Algorithm - processTransitionPoint - nextUpper/LowerStrikes are 1.525/1.52 requiredDeltas/currentPosition/currentHedgeShortfall/direction/transitionPrice are 90/90/0/1/1.5246</t>
  </si>
  <si>
    <t>2015-2-10 16:20:27.707: TransitionLogger - processTransitionpoint - checking transition - currentHedgeShortfall is 0</t>
  </si>
  <si>
    <t>2015-2-10 16:20:27.708: Algorithm - updatePortfolio - haveAllDetails is True</t>
  </si>
  <si>
    <t>2015-2-10 16:20:27.746: Algorithm - FindNextStrikes - price is 1.5245 nextStrikeUp/Down 1.525/1.52</t>
  </si>
  <si>
    <t>2015-2-10 16:20:27.746: Algorithm - getPortfolioForwardDelta - required deltas is 90 currentHedgePosition is 90</t>
  </si>
  <si>
    <t>2015-2-10 16:20:27.746: Algorithm - getHedgeShortfall - required deltas is 90 price is 1.5246 currentHedgePositionDeltas is 90</t>
  </si>
  <si>
    <t>2015-2-10 16:20:27.747: Algorithm - processTransitionPoint - nextUpper/LowerStrikes are 1.525/1.52 requiredDeltas/currentPosition/currentHedgeShortfall/direction/transitionPrice are 90/90/0/1/1.5246</t>
  </si>
  <si>
    <t>2015-2-10 16:20:27.747: TransitionLogger - processTransitionpoint - checking transition - currentHedgeShortfall is 0</t>
  </si>
  <si>
    <t>2015-2-10 16:20:27.748: Algorithm - updatePortfolio - haveAllDetails is True</t>
  </si>
  <si>
    <t>2015-2-10 16:20:27.864: OrderManager - cancelOrder - cancelling order id 8973</t>
  </si>
  <si>
    <t>2015-2-10 16:20:27.865: OrderManager - PlaceOrder - id 8974 workingQty -177</t>
  </si>
  <si>
    <t>2015-2-10 16:20:27.866: OrderManager - sendOrder - exiting place order id 8974 BUY 29 1.5354  - workingQty -177 currentPosition is 90 workingOrderCount is -3</t>
  </si>
  <si>
    <t>2015-2-10 16:20:28.540: RTWSControl - nextValidId - entering nextValidId id is 8975</t>
  </si>
  <si>
    <t>2015-2-10 16:20:28.568: RTWSControl - orderStatus -  entering orderStatus id is 8973 status is Cancelled</t>
  </si>
  <si>
    <t>2015-2-10 16:20:28.569: OrderManager - UpdateOrderStatus - id 8973 Setting status to Cancelled workingOrderCount is now -3 workingQty -177</t>
  </si>
  <si>
    <t>2015-2-10 16:20:28.571: RTWSControl - OrderStatus - Got OrderStatus Message id:8973 status: Cancelled filled: 0</t>
  </si>
  <si>
    <t>2015-2-10 16:20:28.571: RTWSControl - OrderStatus - exiting orderStatus</t>
  </si>
  <si>
    <t>2015-2-10 16:20:28.580: RTWSControl - errMsg - got error message 202:Order Canceled - reason:with id 8973</t>
  </si>
  <si>
    <t>2015-2-10 16:20:28.581: OrderManager - canceledOrder - cleaning up after canceled order 8973BEWARE UNACCOUNTED FOR EXECUTIONS!!!</t>
  </si>
  <si>
    <t>2015-2-10 16:20:28.581: OrderManager - terminateOrder - cleaning up after Canceled 8973  order was supposed to BUY 32 1.5362 STP LMT workingQty/OrderCount now -209/-4</t>
  </si>
  <si>
    <t>2015-2-10 16:20:28.658: openOrderEx - I am here</t>
  </si>
  <si>
    <t>2015-2-10 16:20:28.669: RTWSControl - orderStatus -  entering orderStatus id is 8974 status is PreSubmitted</t>
  </si>
  <si>
    <t>2015-2-10 16:20:28.669: OrderManager - UpdateOrderStatus - id 8974 Setting status to PreSubmitted workingOrderCount is now -4 workingQty -209</t>
  </si>
  <si>
    <t>2015-2-10 16:20:28.671: RTWSControl - OrderStatus - Got OrderStatus Message id:8974 status: PreSubmitted filled: 0</t>
  </si>
  <si>
    <t>2015-2-10 16:20:28.671: RTWSControl - OrderStatus - exiting orderStatus</t>
  </si>
  <si>
    <t>2015-2-10 16:20:38.10: OrderManager - cancelOrder - cancelling order id 8971</t>
  </si>
  <si>
    <t>2015-2-10 16:20:38.10: OrderManager - PlaceOrder - id 8975 workingQty -237</t>
  </si>
  <si>
    <t>2015-2-10 16:20:38.11: OrderManager - sendOrder - exiting place order id 8975 SELL 28 1.5231  - workingQty -237 currentPosition is 90 workingOrderCount is -3</t>
  </si>
  <si>
    <t>2015-2-10 16:20:38.160: RTWSControl - nextValidId - entering nextValidId id is 8976</t>
  </si>
  <si>
    <t>2015-2-10 16:20:38.262: RTWSControl - orderStatus -  entering orderStatus id is 8971 status is Cancelled</t>
  </si>
  <si>
    <t>2015-2-10 16:20:38.263: OrderManager - UpdateOrderStatus - id 8971 Setting status to Cancelled workingOrderCount is now -3 workingQty -237</t>
  </si>
  <si>
    <t>2015-2-10 16:20:38.271: RTWSControl - OrderStatus - Got OrderStatus Message id:8971 status: Cancelled filled: 0</t>
  </si>
  <si>
    <t>2015-2-10 16:20:38.272: RTWSControl - OrderStatus - exiting orderStatus</t>
  </si>
  <si>
    <t>2015-2-10 16:20:38.288: RTWSControl - errMsg - got error message 202:Order Canceled - reason:with id 8971</t>
  </si>
  <si>
    <t>2015-2-10 16:20:38.288: OrderManager - canceledOrder - cleaning up after canceled order 8971BEWARE UNACCOUNTED FOR EXECUTIONS!!!</t>
  </si>
  <si>
    <t>2015-2-10 16:20:38.289: OrderManager - terminateOrder - cleaning up after Canceled 8971  order was supposed to SELL 31 1.5227 STP LMT workingQty/OrderCount now -268/-4</t>
  </si>
  <si>
    <t>2015-2-10 16:20:38.480: openOrderEx - I am here</t>
  </si>
  <si>
    <t>2015-2-10 16:20:38.495: RTWSControl - orderStatus -  entering orderStatus id is 8975 status is PreSubmitted</t>
  </si>
  <si>
    <t>2015-2-10 16:20:38.496: OrderManager - UpdateOrderStatus - id 8975 Setting status to PreSubmitted workingOrderCount is now -4 workingQty -268</t>
  </si>
  <si>
    <t>2015-2-10 16:20:38.499: RTWSControl - OrderStatus - Got OrderStatus Message id:8975 status: PreSubmitted filled: 0</t>
  </si>
  <si>
    <t>2015-2-10 16:20:38.499: RTWSControl - OrderStatus - exiting orderStatus</t>
  </si>
  <si>
    <t>2015-2-10 16:22:41.705: Algorithm - FindNextStrikes - price is 1.52495 nextStrikeUp/Down 1.525/1.52</t>
  </si>
  <si>
    <t>2015-2-10 16:22:41.706: Algorithm - getPortfolioForwardDelta - required deltas is 120 currentHedgePosition is 90</t>
  </si>
  <si>
    <t>2015-2-10 16:22:41.706: Algorithm - getHedgeShortfall - required deltas is 120 price is 1.52505 currentHedgePositionDeltas is 90</t>
  </si>
  <si>
    <t>2015-2-10 16:22:41.707: Algorithm - processTransitionPoint - nextUpper/LowerStrikes are 1.525/1.52 requiredDeltas/currentPosition/currentHedgeShortfall/direction/transitionPrice are 120/90/30/1/1.52505</t>
  </si>
  <si>
    <t>2015-2-10 16:22:41.707: TransitionLogger - processTransitionpoint - checking transition - currentHedgeShortfall is 30</t>
  </si>
  <si>
    <t>2015-2-10 16:22:41.707: Algorithm - rehedge - rehedging 30 contracts</t>
  </si>
  <si>
    <t>2015-2-10 16:22:41.708: Algortihm - rehedge - inside the loop</t>
  </si>
  <si>
    <t>2015-2-10 16:22:41.708: OrderManager - PlaceOrder - id 8976 workingQty -263</t>
  </si>
  <si>
    <t>2015-2-10 16:22:41.710: OrderManager - sendOrder - exiting place order id 8976 BUY 5 1.5249  - workingQty -263 currentPosition is 90 workingOrderCount is -3</t>
  </si>
  <si>
    <t>2015-2-10 16:22:41.710: Algorithm - rehedge - placing an order - orderSize is 5 workingQty is -263 working order count -3</t>
  </si>
  <si>
    <t>2015-2-10 16:22:41.800: RTWSControl - nextValidId - entering nextValidId id is 8977</t>
  </si>
  <si>
    <t>2015-2-10 16:22:41.899: openOrderEx - I am here</t>
  </si>
  <si>
    <t>2015-2-10 16:22:41.910: RTWSControl - orderStatus -  entering orderStatus id is 8976 status is Submitted</t>
  </si>
  <si>
    <t>2015-2-10 16:22:41.911: OrderManager - UpdateOrderStatus - id 8976 Setting status to Submitted workingOrderCount is now -3 workingQty -263</t>
  </si>
  <si>
    <t>2015-2-10 16:22:41.913: RTWSControl - OrderStatus - Got OrderStatus Message id:8976 status: Submitted filled: 0</t>
  </si>
  <si>
    <t>2015-2-10 16:22:41.913: RTWSControl - OrderStatus - exiting orderStatus</t>
  </si>
  <si>
    <t>2015-2-10 16:22:43.472: RTWSControl - execDetails -  entering execDetailsEx execution id is 0001f4e5.54d98e38.01.01 shares/cumQty is 4/4</t>
  </si>
  <si>
    <t>2015-2-10 16:22:43.472: Algorithm - FindNextStrikes - price is 1.52495 nextStrikeUp/Down 1.525/1.52</t>
  </si>
  <si>
    <t>2015-2-10 16:22:43.473: Algorithm - getPortfolioForwardDelta - required deltas is 120 currentHedgePosition is 94</t>
  </si>
  <si>
    <t>2015-2-10 16:22:43.473: Algorithm - getHedgeShortfall - required deltas is 120 price is 1.52505 currentHedgePositionDeltas is 94</t>
  </si>
  <si>
    <t>2015-2-10 16:22:43.474: Algorithm - processTransitionPoint - nextUpper/LowerStrikes are 1.525/1.52 requiredDeltas/currentPosition/currentHedgeShortfall/direction/transitionPrice are 120/94/26/1/1.52505</t>
  </si>
  <si>
    <t>2015-2-10 16:22:43.474: TransitionLogger - processTransitionpoint - checking transition - currentHedgeShortfall is 26</t>
  </si>
  <si>
    <t>2015-2-10 16:22:43.475: OrderManager - updateExecution - got a fill for id 8976 qty 4 side BOT price 1.5249 - new working order size is -267 new instrument.qty is 94</t>
  </si>
  <si>
    <t>0001f4e5.54d98e38.01.01</t>
  </si>
  <si>
    <t>20150210  16:22:44</t>
  </si>
  <si>
    <t>2015-2-10 16:22:43.477: OrderManagerView - UpdateExecutionView - entering updateExecutionView  executionId is 0001f4e5.54d98e38.01.01</t>
  </si>
  <si>
    <t>2015-2-10 16:22:43.478: OrderManagerView - updateExecutionView -  exiting UpdateExecutionView</t>
  </si>
  <si>
    <t>2015-2-10 16:22:43.479: RTWSControl - execDetails -  exiting execDetailsEx</t>
  </si>
  <si>
    <t>2015-2-10 16:22:43.479: RTWSControl - execDetails - Got execution Message id:-1</t>
  </si>
  <si>
    <t>2015-2-10 16:22:43.504: openOrderEx - I am here</t>
  </si>
  <si>
    <t>2015-2-10 16:22:43.538: RTWSControl - orderStatus -  entering orderStatus id is 8976 status is Submitted</t>
  </si>
  <si>
    <t>2015-2-10 16:22:43.538: OrderManager - UpdateOrderStatus - id 8976 Setting status to Submitted workingOrderCount is now -3 workingQty -267</t>
  </si>
  <si>
    <t>2015-2-10 16:22:43.540: RTWSControl - OrderStatus - Got OrderStatus Message id:8976 status: Submitted filled: 4</t>
  </si>
  <si>
    <t>2015-2-10 16:22:43.540: RTWSControl - OrderStatus - exiting orderStatus</t>
  </si>
  <si>
    <t>2015-2-10 16:22:43.550: Algorithm - rehedge - rehedging 26 contracts</t>
  </si>
  <si>
    <t>2015-2-10 16:22:43.550: Algorithm - rehedge - Need to place order but already have a working order - workingQty is -267 working order count -3</t>
  </si>
  <si>
    <t>2015-2-10 16:22:43.708: openOrderEx - I am here</t>
  </si>
  <si>
    <t>2015-2-10 16:22:43.718: RTWSControl - orderStatus -  entering orderStatus id is 8976 status is Submitted</t>
  </si>
  <si>
    <t>2015-2-10 16:22:43.719: OrderManager - UpdateOrderStatus - id 8976 Setting status to Submitted workingOrderCount is now -3 workingQty -267</t>
  </si>
  <si>
    <t>2015-2-10 16:22:43.721: RTWSControl - OrderStatus - Got OrderStatus Message id:8976 status: Submitted filled: 4</t>
  </si>
  <si>
    <t>2015-2-10 16:22:43.721: RTWSControl - OrderStatus - exiting orderStatus</t>
  </si>
  <si>
    <t>2015-2-10 16:22:43.749: Algorithm - rehedge - rehedging 26 contracts</t>
  </si>
  <si>
    <t>2015-2-10 16:22:43.749: Algorithm - rehedge - Need to place order but already have a working order - workingQty is -267 working order count -3</t>
  </si>
  <si>
    <t>2015-2-10 16:22:43.869: RTWSControl - execDetails -  entering execDetailsEx execution id is 0001f4e5.54d98e39.01.01 shares/cumQty is 1/5</t>
  </si>
  <si>
    <t>2015-2-10 16:22:43.869: Algorithm - FindNextStrikes - price is 1.52485 nextStrikeUp/Down 1.525/1.52</t>
  </si>
  <si>
    <t>2015-2-10 16:22:43.870: Algorithm - getPortfolioForwardDelta - required deltas is 90 currentHedgePosition is 95</t>
  </si>
  <si>
    <t>2015-2-10 16:22:43.870: Algorithm - getHedgeShortfall - required deltas is 90 price is 1.52495 currentHedgePositionDeltas is 95</t>
  </si>
  <si>
    <t>2015-2-10 16:22:43.870: Algorithm - processTransitionPoint - nextUpper/LowerStrikes are 1.525/1.52 requiredDeltas/currentPosition/currentHedgeShortfall/direction/transitionPrice are 90/95/-5/1/1.52495</t>
  </si>
  <si>
    <t>2015-2-10 16:22:43.871: TransitionLogger - processTransitionpoint - checking transition - currentHedgeShortfall is -5</t>
  </si>
  <si>
    <t>2015-2-10 16:22:43.871: TransitionLogger - processTransitionpoint - reversing transition - currentHedgeShortfall/currentTransition.direction is -5/1</t>
  </si>
  <si>
    <t>2015-2-10 16:22:43.871: OrderManager - updateExecution - got a fill for id 8976 qty 1 side BOT price 1.5249 - new working order size is -268 new instrument.qty is 95</t>
  </si>
  <si>
    <t>0001f4e5.54d98e39.01.01</t>
  </si>
  <si>
    <t>2015-2-10 16:22:43.873: OrderManagerView - UpdateExecutionView - entering updateExecutionView  executionId is 0001f4e5.54d98e39.01.01</t>
  </si>
  <si>
    <t>2015-2-10 16:22:43.874: OrderManagerView - updateExecutionView -  exiting UpdateExecutionView</t>
  </si>
  <si>
    <t>2015-2-10 16:22:43.874: RTWSControl - execDetails -  exiting execDetailsEx</t>
  </si>
  <si>
    <t>2015-2-10 16:22:43.875: RTWSControl - execDetails - Got execution Message id:-1</t>
  </si>
  <si>
    <t>2015-2-10 16:22:43.887: openOrderEx - I am here</t>
  </si>
  <si>
    <t>2015-2-10 16:22:43.914: RTWSControl - orderStatus -  entering orderStatus id is 8976 status is Filled</t>
  </si>
  <si>
    <t>2015-2-10 16:22:43.914: OrderManager - UpdateOrderStatus - id 8976 Setting status to Filled workingOrderCount is now -4 workingQty -268</t>
  </si>
  <si>
    <t>2015-2-10 16:22:43.915: OrderManager - terminateOrder - cleaning up after Filled 8976  order was supposed to BUY 5 1.5249 LMT workingQty/OrderCount now -268/-5</t>
  </si>
  <si>
    <t>2015-2-10 16:22:43.916: RTWSControl - OrderStatus - Got OrderStatus Message id:8976 status: Filled filled: 5</t>
  </si>
  <si>
    <t>2015-2-10 16:22:43.916: RTWSControl - OrderStatus - exiting orderStatus</t>
  </si>
  <si>
    <t>2015-2-10 16:22:43.955: openOrderEx - I am here</t>
  </si>
  <si>
    <t>2015-2-10 16:22:43.965: RTWSControl - orderStatus -  entering orderStatus id is 8976 status is Filled</t>
  </si>
  <si>
    <t>2015-2-10 16:22:43.966: OrderManager - UpdateOrderStatus - id 8976 Setting status to Filled workingOrderCount is now -5 workingQty -268</t>
  </si>
  <si>
    <t>2015-2-10 16:22:43.966: OrderManager - terminateOrder - cleaning up after Filled 8976  order was supposed to BUY 5 1.5249 LMT workingQty/OrderCount now -268/-6</t>
  </si>
  <si>
    <t>2015-2-10 16:22:43.968: RTWSControl - OrderStatus - Got OrderStatus Message id:8976 status: Filled filled: 5</t>
  </si>
  <si>
    <t>2015-2-10 16:22:43.968: RTWSControl - OrderStatus - exiting orderStatus</t>
  </si>
  <si>
    <t>2015-2-10 16:22:46.545: Algorithm - FindNextStrikes - price is 1.52485 nextStrikeUp/Down 1.525/1.52</t>
  </si>
  <si>
    <t>2015-2-10 16:22:46.545: Algorithm - getPortfolioForwardDelta - required deltas is 90 currentHedgePosition is 95</t>
  </si>
  <si>
    <t>2015-2-10 16:22:46.546: Algorithm - getHedgeShortfall - required deltas is 90 price is 1.52495 currentHedgePositionDeltas is 95</t>
  </si>
  <si>
    <t>2015-2-10 16:22:46.546: Algorithm - processTransitionPoint - nextUpper/LowerStrikes are 1.525/1.52 requiredDeltas/currentPosition/currentHedgeShortfall/direction/transitionPrice are 90/95/-5/1/1.52495</t>
  </si>
  <si>
    <t>2015-2-10 16:22:46.547: TransitionLogger - processTransitionpoint - checking transition - currentHedgeShortfall is -5</t>
  </si>
  <si>
    <t>2015-2-10 16:22:46.547: Algorithm - rehedge - rehedging -5 contracts</t>
  </si>
  <si>
    <t>2015-2-10 16:22:46.547: Algortihm - rehedge - inside the loop</t>
  </si>
  <si>
    <t>2015-2-10 16:22:46.547: Algorithm - rehedge - trying to trade BUT contracts is -5 and direction indicator is 1</t>
  </si>
  <si>
    <t>2015-2-10 16:22:46.549: Algorithm - updatePortfolio - haveAllDetails is True</t>
  </si>
  <si>
    <t>2015-2-10 16:22:46.590: Algorithm - FindNextStrikes - price is 1.52485 nextStrikeUp/Down 1.525/1.52</t>
  </si>
  <si>
    <t>2015-2-10 16:22:46.591: Algorithm - getPortfolioForwardDelta - required deltas is 90 currentHedgePosition is 95</t>
  </si>
  <si>
    <t>2015-2-10 16:22:46.591: Algorithm - getHedgeShortfall - required deltas is 90 price is 1.52495 currentHedgePositionDeltas is 95</t>
  </si>
  <si>
    <t>2015-2-10 16:22:46.591: Algorithm - processTransitionPoint - nextUpper/LowerStrikes are 1.525/1.52 requiredDeltas/currentPosition/currentHedgeShortfall/direction/transitionPrice are 90/95/-5/1/1.52495</t>
  </si>
  <si>
    <t>2015-2-10 16:22:46.592: TransitionLogger - processTransitionpoint - checking transition - currentHedgeShortfall is -5</t>
  </si>
  <si>
    <t>2015-2-10 16:22:46.592: Algorithm - rehedge - rehedging -5 contracts</t>
  </si>
  <si>
    <t>2015-2-10 16:22:46.593: Algortihm - rehedge - inside the loop</t>
  </si>
  <si>
    <t>2015-2-10 16:22:46.593: Algorithm - rehedge - trying to trade BUT contracts is -5 and direction indicator is 1</t>
  </si>
  <si>
    <t>2015-2-10 16:22:46.593: Algorithm - updatePortfolio - haveAllDetails is True</t>
  </si>
  <si>
    <t>2015-2-10 16:22:46.637: Algorithm - FindNextStrikes - price is 1.52485 nextStrikeUp/Down 1.525/1.52</t>
  </si>
  <si>
    <t>2015-2-10 16:22:46.637: Algorithm - getPortfolioForwardDelta - required deltas is 90 currentHedgePosition is 95</t>
  </si>
  <si>
    <t>2015-2-10 16:22:46.637: Algorithm - getHedgeShortfall - required deltas is 90 price is 1.52495 currentHedgePositionDeltas is 95</t>
  </si>
  <si>
    <t>2015-2-10 16:22:46.638: Algorithm - processTransitionPoint - nextUpper/LowerStrikes are 1.525/1.52 requiredDeltas/currentPosition/currentHedgeShortfall/direction/transitionPrice are 90/95/-5/1/1.52495</t>
  </si>
  <si>
    <t>2015-2-10 16:22:46.638: TransitionLogger - processTransitionpoint - checking transition - currentHedgeShortfall is -5</t>
  </si>
  <si>
    <t>2015-2-10 16:22:46.638: Algorithm - rehedge - rehedging -5 contracts</t>
  </si>
  <si>
    <t>2015-2-10 16:22:46.639: Algortihm - rehedge - inside the loop</t>
  </si>
  <si>
    <t>2015-2-10 16:22:46.639: Algorithm - rehedge - trying to trade BUT contracts is -5 and direction indicator is 1</t>
  </si>
  <si>
    <t>2015-2-10 16:22:46.639: Algorithm - updatePortfolio - haveAllDetails is True</t>
  </si>
  <si>
    <t>2015-2-10 16:22:46.679: Algorithm - FindNextStrikes - price is 1.52485 nextStrikeUp/Down 1.525/1.52</t>
  </si>
  <si>
    <t>2015-2-10 16:22:46.680: Algorithm - getPortfolioForwardDelta - required deltas is 90 currentHedgePosition is 95</t>
  </si>
  <si>
    <t>2015-2-10 16:22:46.680: Algorithm - getHedgeShortfall - required deltas is 90 price is 1.52495 currentHedgePositionDeltas is 95</t>
  </si>
  <si>
    <t>2015-2-10 16:22:46.680: Algorithm - processTransitionPoint - nextUpper/LowerStrikes are 1.525/1.52 requiredDeltas/currentPosition/currentHedgeShortfall/direction/transitionPrice are 90/95/-5/1/1.52495</t>
  </si>
  <si>
    <t>2015-2-10 16:22:46.681: TransitionLogger - processTransitionpoint - checking transition - currentHedgeShortfall is -5</t>
  </si>
  <si>
    <t>2015-2-10 16:22:46.681: Algorithm - rehedge - rehedging -5 contracts</t>
  </si>
  <si>
    <t>2015-2-10 16:22:46.681: Algortihm - rehedge - inside the loop</t>
  </si>
  <si>
    <t>2015-2-10 16:22:46.681: Algorithm - rehedge - trying to trade BUT contracts is -5 and direction indicator is 1</t>
  </si>
  <si>
    <t>2015-2-10 16:22:46.682: Algorithm - updatePortfolio - haveAllDetails is True</t>
  </si>
  <si>
    <t>2015-2-10 16:22:46.721: Algorithm - FindNextStrikes - price is 1.52485 nextStrikeUp/Down 1.525/1.52</t>
  </si>
  <si>
    <t>2015-2-10 16:22:46.721: Algorithm - getPortfolioForwardDelta - required deltas is 90 currentHedgePosition is 95</t>
  </si>
  <si>
    <t>2015-2-10 16:22:46.722: Algorithm - getHedgeShortfall - required deltas is 90 price is 1.52495 currentHedgePositionDeltas is 95</t>
  </si>
  <si>
    <t>2015-2-10 16:22:46.722: Algorithm - processTransitionPoint - nextUpper/LowerStrikes are 1.525/1.52 requiredDeltas/currentPosition/currentHedgeShortfall/direction/transitionPrice are 90/95/-5/1/1.52495</t>
  </si>
  <si>
    <t>2015-2-10 16:22:46.722: TransitionLogger - processTransitionpoint - checking transition - currentHedgeShortfall is -5</t>
  </si>
  <si>
    <t>2015-2-10 16:22:46.723: Algorithm - rehedge - rehedging -5 contracts</t>
  </si>
  <si>
    <t>2015-2-10 16:22:46.723: Algortihm - rehedge - inside the loop</t>
  </si>
  <si>
    <t>2015-2-10 16:22:46.723: Algorithm - rehedge - trying to trade BUT contracts is -5 and direction indicator is 1</t>
  </si>
  <si>
    <t>2015-2-10 16:22:46.724: Algorithm - updatePortfolio - haveAllDetails is True</t>
  </si>
  <si>
    <t>2015-2-10 16:22:46.762: Algorithm - FindNextStrikes - price is 1.52485 nextStrikeUp/Down 1.525/1.52</t>
  </si>
  <si>
    <t>2015-2-10 16:22:46.762: Algorithm - getPortfolioForwardDelta - required deltas is 90 currentHedgePosition is 95</t>
  </si>
  <si>
    <t>2015-2-10 16:22:46.762: Algorithm - getHedgeShortfall - required deltas is 90 price is 1.52495 currentHedgePositionDeltas is 95</t>
  </si>
  <si>
    <t>2015-2-10 16:22:46.763: Algorithm - processTransitionPoint - nextUpper/LowerStrikes are 1.525/1.52 requiredDeltas/currentPosition/currentHedgeShortfall/direction/transitionPrice are 90/95/-5/1/1.52495</t>
  </si>
  <si>
    <t>2015-2-10 16:22:46.763: TransitionLogger - processTransitionpoint - checking transition - currentHedgeShortfall is -5</t>
  </si>
  <si>
    <t>2015-2-10 16:22:46.763: Algorithm - rehedge - rehedging -5 contracts</t>
  </si>
  <si>
    <t>2015-2-10 16:22:46.764: Algortihm - rehedge - inside the loop</t>
  </si>
  <si>
    <t>2015-2-10 16:22:46.764: Algorithm - rehedge - trying to trade BUT contracts is -5 and direction indicator is 1</t>
  </si>
  <si>
    <t>2015-2-10 16:22:46.765: Algorithm - updatePortfolio - haveAllDetails is True</t>
  </si>
  <si>
    <t>2015-2-10 16:22:46.804: Algorithm - FindNextStrikes - price is 1.52485 nextStrikeUp/Down 1.525/1.52</t>
  </si>
  <si>
    <t>2015-2-10 16:22:46.804: Algorithm - getPortfolioForwardDelta - required deltas is 90 currentHedgePosition is 95</t>
  </si>
  <si>
    <t>2015-2-10 16:22:46.805: Algorithm - getHedgeShortfall - required deltas is 90 price is 1.52495 currentHedgePositionDeltas is 95</t>
  </si>
  <si>
    <t>2015-2-10 16:22:46.805: Algorithm - processTransitionPoint - nextUpper/LowerStrikes are 1.525/1.52 requiredDeltas/currentPosition/currentHedgeShortfall/direction/transitionPrice are 90/95/-5/1/1.52495</t>
  </si>
  <si>
    <t>2015-2-10 16:22:46.805: TransitionLogger - processTransitionpoint - checking transition - currentHedgeShortfall is -5</t>
  </si>
  <si>
    <t>2015-2-10 16:22:46.806: Algorithm - rehedge - rehedging -5 contracts</t>
  </si>
  <si>
    <t>2015-2-10 16:22:46.806: Algortihm - rehedge - inside the loop</t>
  </si>
  <si>
    <t>2015-2-10 16:22:46.806: Algorithm - rehedge - trying to trade BUT contracts is -5 and direction indicator is 1</t>
  </si>
  <si>
    <t>2015-2-10 16:22:46.807: Algorithm - updatePortfolio - haveAllDetails is True</t>
  </si>
  <si>
    <t>2015-2-10 16:22:46.847: Algorithm - FindNextStrikes - price is 1.52485 nextStrikeUp/Down 1.525/1.52</t>
  </si>
  <si>
    <t>2015-2-10 16:22:46.847: Algorithm - getPortfolioForwardDelta - required deltas is 90 currentHedgePosition is 95</t>
  </si>
  <si>
    <t>2015-2-10 16:22:46.847: Algorithm - getHedgeShortfall - required deltas is 90 price is 1.52495 currentHedgePositionDeltas is 95</t>
  </si>
  <si>
    <t>2015-2-10 16:22:46.848: Algorithm - processTransitionPoint - nextUpper/LowerStrikes are 1.525/1.52 requiredDeltas/currentPosition/currentHedgeShortfall/direction/transitionPrice are 90/95/-5/1/1.52495</t>
  </si>
  <si>
    <t>2015-2-10 16:22:46.848: TransitionLogger - processTransitionpoint - checking transition - currentHedgeShortfall is -5</t>
  </si>
  <si>
    <t>2015-2-10 16:22:46.848: Algorithm - rehedge - rehedging -5 contracts</t>
  </si>
  <si>
    <t>2015-2-10 16:22:46.849: Algortihm - rehedge - inside the loop</t>
  </si>
  <si>
    <t>2015-2-10 16:22:46.849: Algorithm - rehedge - trying to trade BUT contracts is -5 and direction indicator is 1</t>
  </si>
  <si>
    <t>2015-2-10 16:22:46.850: Algorithm - updatePortfolio - haveAllDetails is True</t>
  </si>
  <si>
    <t>2015-2-10 16:22:46.888: Algorithm - FindNextStrikes - price is 1.52485 nextStrikeUp/Down 1.525/1.52</t>
  </si>
  <si>
    <t>2015-2-10 16:22:46.889: Algorithm - getPortfolioForwardDelta - required deltas is 90 currentHedgePosition is 95</t>
  </si>
  <si>
    <t>2015-2-10 16:22:46.889: Algorithm - getHedgeShortfall - required deltas is 90 price is 1.52495 currentHedgePositionDeltas is 95</t>
  </si>
  <si>
    <t>2015-2-10 16:22:46.889: Algorithm - processTransitionPoint - nextUpper/LowerStrikes are 1.525/1.52 requiredDeltas/currentPosition/currentHedgeShortfall/direction/transitionPrice are 90/95/-5/1/1.52495</t>
  </si>
  <si>
    <t>2015-2-10 16:22:46.890: TransitionLogger - processTransitionpoint - checking transition - currentHedgeShortfall is -5</t>
  </si>
  <si>
    <t>2015-2-10 16:22:46.890: Algorithm - rehedge - rehedging -5 contracts</t>
  </si>
  <si>
    <t>2015-2-10 16:22:46.890: Algortihm - rehedge - inside the loop</t>
  </si>
  <si>
    <t>2015-2-10 16:22:46.890: Algorithm - rehedge - trying to trade BUT contracts is -5 and direction indicator is 1</t>
  </si>
  <si>
    <t>2015-2-10 16:22:46.891: Algorithm - updatePortfolio - haveAllDetails is True</t>
  </si>
  <si>
    <t>2015-2-10 16:22:47.452: Algorithm - rehedge - rehedging -5 contracts</t>
  </si>
  <si>
    <t>2015-2-10 16:22:47.452: Algortihm - rehedge - inside the loop</t>
  </si>
  <si>
    <t>2015-2-10 16:22:47.453: Algorithm - rehedge - trying to trade BUT contracts is -5 and direction indicator is 1</t>
  </si>
  <si>
    <t>2015-2-10 16:22:47.454: OrderManager - cancelOrder - cancelling order id 8974</t>
  </si>
  <si>
    <t>2015-2-10 16:22:47.455: OrderManager - PlaceOrder - id 8977 workingQty -236</t>
  </si>
  <si>
    <t>2015-2-10 16:22:47.456: OrderManager - sendOrder - exiting place order id 8977 BUY 32 1.537  - workingQty -236 currentPosition is 95 workingOrderCount is -5</t>
  </si>
  <si>
    <t>2015-2-10 16:22:47.457: OrderManager - cancelOrder - cancelling order id 8975</t>
  </si>
  <si>
    <t>2015-2-10 16:22:47.457: OrderManager - createOrder - exiting without creating order - did not have validID</t>
  </si>
  <si>
    <t>2015-2-10 16:22:47.503: Algorithm - FindNextStrikes - price is 1.52495 nextStrikeUp/Down 1.525/1.52</t>
  </si>
  <si>
    <t>2015-2-10 16:22:47.503: Algorithm - getPortfolioForwardDelta - required deltas is 120 currentHedgePosition is 95</t>
  </si>
  <si>
    <t>2015-2-10 16:22:47.503: Algorithm - getHedgeShortfall - required deltas is 120 price is 1.52505 currentHedgePositionDeltas is 95</t>
  </si>
  <si>
    <t>2015-2-10 16:22:47.504: Algorithm - processTransitionPoint - nextUpper/LowerStrikes are 1.525/1.52 requiredDeltas/currentPosition/currentHedgeShortfall/direction/transitionPrice are 120/95/25/1/1.52505</t>
  </si>
  <si>
    <t>2015-2-10 16:22:47.504: TransitionLogger - processTransitionpoint - checking transition - currentHedgeShortfall is 25</t>
  </si>
  <si>
    <t>2015-2-10 16:22:47.505: TransitionLogger - processTransitionpoint - reversing transition - currentHedgeShortfall/currentTransition.direction is 25/-1</t>
  </si>
  <si>
    <t>2015-2-10 16:22:47.505: Algorithm - rehedge - rehedging 25 contracts</t>
  </si>
  <si>
    <t>2015-2-10 16:22:47.505: Algortihm - rehedge - inside the loop</t>
  </si>
  <si>
    <t>2015-2-10 16:22:47.506: OrderManager - createOrder - exiting without creating order - did not have validID</t>
  </si>
  <si>
    <t>2015-2-10 16:22:47.506: TransitionLogger - updateOrder - an error occurred Object variable or With block variable not set</t>
  </si>
  <si>
    <t>2015-2-10 16:22:47.507: Algorithm - rehedge - placing an order - orderSize is 5 workingQty is -236 working order count -5</t>
  </si>
  <si>
    <t>2015-2-10 16:22:47.509: OrderManager - createOrder - exiting without creating order - did not have validID</t>
  </si>
  <si>
    <t>2015-2-10 16:22:47.802: Algorithm - rehedge - rehedging 25 contracts</t>
  </si>
  <si>
    <t>2015-2-10 16:22:47.802: Algortihm - rehedge - inside the loop</t>
  </si>
  <si>
    <t>2015-2-10 16:22:47.802: OrderManager - createOrder - exiting without creating order - did not have validID</t>
  </si>
  <si>
    <t>2015-2-10 16:22:47.803: TransitionLogger - updateOrder - an error occurred Object variable or With block variable not set</t>
  </si>
  <si>
    <t>2015-2-10 16:22:47.803: Algorithm - rehedge - placing an order - orderSize is 5 workingQty is -236 working order count -5</t>
  </si>
  <si>
    <t>2015-2-10 16:22:47.805: OrderManager - createOrder - exiting without creating order - did not have validID</t>
  </si>
  <si>
    <t>2015-2-10 16:22:47.913: RTWSControl - nextValidId - entering nextValidId id is 8978</t>
  </si>
  <si>
    <t>2015-2-10 16:22:47.919: RTWSControl - orderStatus -  entering orderStatus id is 8974 status is Cancelled</t>
  </si>
  <si>
    <t>2015-2-10 16:22:47.919: OrderManager - UpdateOrderStatus - id 8974 Setting status to Cancelled workingOrderCount is now -5 workingQty -236</t>
  </si>
  <si>
    <t>2015-2-10 16:22:47.921: RTWSControl - OrderStatus - Got OrderStatus Message id:8974 status: Cancelled filled: 0</t>
  </si>
  <si>
    <t>2015-2-10 16:22:47.921: RTWSControl - OrderStatus - exiting orderStatus</t>
  </si>
  <si>
    <t>2015-2-10 16:22:47.956: RTWSControl - errMsg - got error message 202:Order Canceled - reason:with id 8974</t>
  </si>
  <si>
    <t>2015-2-10 16:22:47.956: OrderManager - canceledOrder - cleaning up after canceled order 8974BEWARE UNACCOUNTED FOR EXECUTIONS!!!</t>
  </si>
  <si>
    <t>2015-2-10 16:22:47.956: OrderManager - terminateOrder - cleaning up after Canceled 8974  order was supposed to BUY 29 1.5354 STP LMT workingQty/OrderCount now -265/-6</t>
  </si>
  <si>
    <t>2015-2-10 16:22:47.993: RTWSControl - orderStatus -  entering orderStatus id is 8975 status is Cancelled</t>
  </si>
  <si>
    <t>2015-2-10 16:22:47.994: OrderManager - UpdateOrderStatus - id 8975 Setting status to Cancelled workingOrderCount is now -6 workingQty -265</t>
  </si>
  <si>
    <t>2015-2-10 16:22:47.996: RTWSControl - OrderStatus - Got OrderStatus Message id:8975 status: Cancelled filled: 0</t>
  </si>
  <si>
    <t>2015-2-10 16:22:47.996: RTWSControl - OrderStatus - exiting orderStatus</t>
  </si>
  <si>
    <t>2015-2-10 16:22:48.54: RTWSControl - errMsg - got error message 202:Order Canceled - reason:with id 8975</t>
  </si>
  <si>
    <t>2015-2-10 16:22:48.55: OrderManager - canceledOrder - cleaning up after canceled order 8975BEWARE UNACCOUNTED FOR EXECUTIONS!!!</t>
  </si>
  <si>
    <t>2015-2-10 16:22:48.55: OrderManager - terminateOrder - cleaning up after Canceled 8975  order was supposed to SELL 28 1.5231 STP LMT workingQty/OrderCount now -293/-7</t>
  </si>
  <si>
    <t>2015-2-10 16:22:48.78: openOrderEx - I am here</t>
  </si>
  <si>
    <t>2015-2-10 16:22:48.119: RTWSControl - orderStatus -  entering orderStatus id is 8977 status is PreSubmitted</t>
  </si>
  <si>
    <t>2015-2-10 16:22:48.119: OrderManager - UpdateOrderStatus - id 8977 Setting status to PreSubmitted workingOrderCount is now -7 workingQty -293</t>
  </si>
  <si>
    <t>2015-2-10 16:22:48.121: RTWSControl - OrderStatus - Got OrderStatus Message id:8977 status: PreSubmitted filled: 0</t>
  </si>
  <si>
    <t>2015-2-10 16:22:48.121: RTWSControl - OrderStatus - exiting orderStatus</t>
  </si>
  <si>
    <t>2015-2-10 16:22:49.697: Algorithm - rehedge - rehedging 25 contracts</t>
  </si>
  <si>
    <t>2015-2-10 16:22:49.698: Algortihm - rehedge - inside the loop</t>
  </si>
  <si>
    <t>2015-2-10 16:22:49.699: OrderManager - PlaceOrder - id 8978 workingQty -288</t>
  </si>
  <si>
    <t>2015-2-10 16:22:49.707: OrderManager - sendOrder - exiting place order id 8978 BUY 5 1.5249  - workingQty -288 currentPosition is 95 workingOrderCount is -6</t>
  </si>
  <si>
    <t>2015-2-10 16:22:49.708: Algorithm - rehedge - placing an order - orderSize is 5 workingQty is -288 working order count -6</t>
  </si>
  <si>
    <t>2015-2-10 16:22:49.713: OrderManager - createOrder - exiting without creating order - did not have validID</t>
  </si>
  <si>
    <t>2015-2-10 16:22:50.53: RTWSControl - nextValidId - entering nextValidId id is 8979</t>
  </si>
  <si>
    <t>2015-2-10 16:22:50.89: RTWSControl - execDetails -  entering execDetailsEx execution id is 0001f4e5.54d98e40.01.01 shares/cumQty is 5/5</t>
  </si>
  <si>
    <t>2015-2-10 16:22:50.90: Algorithm - FindNextStrikes - price is 1.52485 nextStrikeUp/Down 1.525/1.52</t>
  </si>
  <si>
    <t>2015-2-10 16:22:50.90: Algorithm - getPortfolioForwardDelta - required deltas is 90 currentHedgePosition is 100</t>
  </si>
  <si>
    <t>2015-2-10 16:22:50.91: Algorithm - getHedgeShortfall - required deltas is 90 price is 1.52495 currentHedgePositionDeltas is 100</t>
  </si>
  <si>
    <t>2015-2-10 16:22:50.91: Algorithm - processTransitionPoint - nextUpper/LowerStrikes are 1.525/1.52 requiredDeltas/currentPosition/currentHedgeShortfall/direction/transitionPrice are 90/100/-10/1/1.52495</t>
  </si>
  <si>
    <t>2015-2-10 16:22:50.92: TransitionLogger - processTransitionpoint - checking transition - currentHedgeShortfall is -10</t>
  </si>
  <si>
    <t>2015-2-10 16:22:50.92: TransitionLogger - processTransitionpoint - reversing transition - currentHedgeShortfall/currentTransition.direction is -10/1</t>
  </si>
  <si>
    <t>2015-2-10 16:22:50.92: OrderManager - updateExecution - got a fill for id 8978 qty 5 side BOT price 1.5249 - new working order size is -293 new instrument.qty is 100</t>
  </si>
  <si>
    <t>0001f4e5.54d98e40.01.01</t>
  </si>
  <si>
    <t>20150210  16:22:51</t>
  </si>
  <si>
    <t>2015-2-10 16:22:50.94: OrderManagerView - UpdateExecutionView - entering updateExecutionView  executionId is 0001f4e5.54d98e40.01.01</t>
  </si>
  <si>
    <t>2015-2-10 16:22:50.95: OrderManagerView - updateExecutionView -  exiting UpdateExecutionView</t>
  </si>
  <si>
    <t>2015-2-10 16:22:50.95: RTWSControl - execDetails -  exiting execDetailsEx</t>
  </si>
  <si>
    <t>2015-2-10 16:22:50.95: RTWSControl - execDetails - Got execution Message id:-1</t>
  </si>
  <si>
    <t>2015-2-10 16:22:50.124: openOrderEx - I am here</t>
  </si>
  <si>
    <t>2015-2-10 16:22:50.160: RTWSControl - orderStatus -  entering orderStatus id is 8978 status is Filled</t>
  </si>
  <si>
    <t>2015-2-10 16:22:50.161: OrderManager - UpdateOrderStatus - id 8978 Setting status to Filled workingOrderCount is now -7 workingQty -293</t>
  </si>
  <si>
    <t>2015-2-10 16:22:50.161: OrderManager - terminateOrder - cleaning up after Filled 8978  order was supposed to BUY 5 1.5249 LMT workingQty/OrderCount now -293/-8</t>
  </si>
  <si>
    <t>2015-2-10 16:22:50.163: RTWSControl - OrderStatus - Got OrderStatus Message id:8978 status: Filled filled: 5</t>
  </si>
  <si>
    <t>2015-2-10 16:22:50.163: RTWSControl - OrderStatus - exiting orderStatus</t>
  </si>
  <si>
    <t>2015-2-10 16:22:50.175: openOrderEx - I am here</t>
  </si>
  <si>
    <t>2015-2-10 16:22:50.204: RTWSControl - orderStatus -  entering orderStatus id is 8978 status is Filled</t>
  </si>
  <si>
    <t>2015-2-10 16:22:50.204: OrderManager - UpdateOrderStatus - id 8978 Setting status to Filled workingOrderCount is now -8 workingQty -293</t>
  </si>
  <si>
    <t>2015-2-10 16:22:50.205: OrderManager - terminateOrder - cleaning up after Filled 8978  order was supposed to BUY 5 1.5249 LMT workingQty/OrderCount now -293/-9</t>
  </si>
  <si>
    <t>2015-2-10 16:22:50.207: RTWSControl - OrderStatus - Got OrderStatus Message id:8978 status: Filled filled: 5</t>
  </si>
  <si>
    <t>2015-2-10 16:22:50.207: RTWSControl - OrderStatus - exiting orderStatus</t>
  </si>
  <si>
    <t>2015-2-10 16:22:50.247: openOrderEx - I am here</t>
  </si>
  <si>
    <t>2015-2-10 16:22:50.256: RTWSControl - orderStatus -  entering orderStatus id is 8978 status is Filled</t>
  </si>
  <si>
    <t>2015-2-10 16:22:50.257: OrderManager - UpdateOrderStatus - id 8978 Setting status to Filled workingOrderCount is now -9 workingQty -293</t>
  </si>
  <si>
    <t>2015-2-10 16:22:50.257: OrderManager - terminateOrder - cleaning up after Filled 8978  order was supposed to BUY 5 1.5249 LMT workingQty/OrderCount now -293/-10</t>
  </si>
  <si>
    <t>2015-2-10 16:22:50.259: RTWSControl - OrderStatus - Got OrderStatus Message id:8978 status: Filled filled: 5</t>
  </si>
  <si>
    <t>2015-2-10 16:22:50.259: RTWSControl - OrderStatus - exiting orderStatus</t>
  </si>
  <si>
    <t>2015-2-10 16:22:52.453: Algorithm - FindNextStrikes - price is 1.52485 nextStrikeUp/Down 1.525/1.52</t>
  </si>
  <si>
    <t>2015-2-10 16:22:52.454: Algorithm - getPortfolioForwardDelta - required deltas is 90 currentHedgePosition is 100</t>
  </si>
  <si>
    <t>2015-2-10 16:22:52.454: Algorithm - getHedgeShortfall - required deltas is 90 price is 1.52495 currentHedgePositionDeltas is 100</t>
  </si>
  <si>
    <t>2015-2-10 16:22:52.454: Algorithm - processTransitionPoint - nextUpper/LowerStrikes are 1.525/1.52 requiredDeltas/currentPosition/currentHedgeShortfall/direction/transitionPrice are 90/100/-10/1/1.52495</t>
  </si>
  <si>
    <t>2015-2-10 16:22:52.455: TransitionLogger - processTransitionpoint - checking transition - currentHedgeShortfall is -10</t>
  </si>
  <si>
    <t>2015-2-10 16:22:52.455: Algorithm - rehedge - rehedging -10 contracts</t>
  </si>
  <si>
    <t>2015-2-10 16:22:52.456: Algortihm - rehedge - inside the loop</t>
  </si>
  <si>
    <t>2015-2-10 16:22:52.456: Algorithm - rehedge - trying to trade BUT contracts is -10 and direction indicator is 1</t>
  </si>
  <si>
    <t>2015-2-10 16:22:52.457: Algorithm - updatePortfolio - haveAllDetails is True</t>
  </si>
  <si>
    <t>2015-2-10 16:22:52.499: Algorithm - FindNextStrikes - price is 1.52485 nextStrikeUp/Down 1.525/1.52</t>
  </si>
  <si>
    <t>2015-2-10 16:22:52.499: Algorithm - getPortfolioForwardDelta - required deltas is 90 currentHedgePosition is 100</t>
  </si>
  <si>
    <t>2015-2-10 16:22:52.499: Algorithm - getHedgeShortfall - required deltas is 90 price is 1.52495 currentHedgePositionDeltas is 100</t>
  </si>
  <si>
    <t>2015-2-10 16:22:52.500: Algorithm - processTransitionPoint - nextUpper/LowerStrikes are 1.525/1.52 requiredDeltas/currentPosition/currentHedgeShortfall/direction/transitionPrice are 90/100/-10/1/1.52495</t>
  </si>
  <si>
    <t>2015-2-10 16:22:52.500: TransitionLogger - processTransitionpoint - checking transition - currentHedgeShortfall is -10</t>
  </si>
  <si>
    <t>2015-2-10 16:22:52.501: Algorithm - rehedge - rehedging -10 contracts</t>
  </si>
  <si>
    <t>2015-2-10 16:22:52.501: Algortihm - rehedge - inside the loop</t>
  </si>
  <si>
    <t>2015-2-10 16:22:52.501: Algorithm - rehedge - trying to trade BUT contracts is -10 and direction indicator is 1</t>
  </si>
  <si>
    <t>2015-2-10 16:22:52.502: Algorithm - updatePortfolio - haveAllDetails is True</t>
  </si>
  <si>
    <t>2015-2-10 16:23:0.748: Algorithm - FindNextStrikes - price is 1.52485 nextStrikeUp/Down 1.525/1.52</t>
  </si>
  <si>
    <t>2015-2-10 16:23:0.749: Algorithm - getPortfolioForwardDelta - required deltas is 90 currentHedgePosition is 100</t>
  </si>
  <si>
    <t>2015-2-10 16:23:0.749: Algorithm - getHedgeShortfall - required deltas is 90 price is 1.52495 currentHedgePositionDeltas is 100</t>
  </si>
  <si>
    <t>2015-2-10 16:23:0.750: Algorithm - processTransitionPoint - nextUpper/LowerStrikes are 1.525/1.52 requiredDeltas/currentPosition/currentHedgeShortfall/direction/transitionPrice are 90/100/-10/1/1.52495</t>
  </si>
  <si>
    <t>2015-2-10 16:23:0.750: TransitionLogger - processTransitionpoint - checking transition - currentHedgeShortfall is -10</t>
  </si>
  <si>
    <t>2015-2-10 16:23:0.750: Algorithm - rehedge - rehedging -10 contracts</t>
  </si>
  <si>
    <t>2015-2-10 16:23:0.750: Algortihm - rehedge - inside the loop</t>
  </si>
  <si>
    <t>2015-2-10 16:23:0.751: Algorithm - rehedge - trying to trade BUT contracts is -10 and direction indicator is 1</t>
  </si>
  <si>
    <t>2015-2-10 16:23:0.753: Algorithm - updatePortfolio - haveAllDetails is True</t>
  </si>
  <si>
    <t>2015-2-10 16:23:0.797: Algorithm - FindNextStrikes - price is 1.52485 nextStrikeUp/Down 1.525/1.52</t>
  </si>
  <si>
    <t>2015-2-10 16:23:0.797: Algorithm - getPortfolioForwardDelta - required deltas is 90 currentHedgePosition is 100</t>
  </si>
  <si>
    <t>2015-2-10 16:23:0.798: Algorithm - getHedgeShortfall - required deltas is 90 price is 1.52495 currentHedgePositionDeltas is 100</t>
  </si>
  <si>
    <t>2015-2-10 16:23:0.798: Algorithm - processTransitionPoint - nextUpper/LowerStrikes are 1.525/1.52 requiredDeltas/currentPosition/currentHedgeShortfall/direction/transitionPrice are 90/100/-10/1/1.52495</t>
  </si>
  <si>
    <t>2015-2-10 16:23:0.799: TransitionLogger - processTransitionpoint - checking transition - currentHedgeShortfall is -10</t>
  </si>
  <si>
    <t>2015-2-10 16:23:0.799: Algorithm - rehedge - rehedging -10 contracts</t>
  </si>
  <si>
    <t>2015-2-10 16:23:0.799: Algortihm - rehedge - inside the loop</t>
  </si>
  <si>
    <t>2015-2-10 16:23:0.799: Algorithm - rehedge - trying to trade BUT contracts is -10 and direction indicator is 1</t>
  </si>
  <si>
    <t>2015-2-10 16:23:0.800: Algorithm - updatePortfolio - haveAllDetails is True</t>
  </si>
  <si>
    <t>2015-2-10 16:23:0.837: Algorithm - FindNextStrikes - price is 1.52485 nextStrikeUp/Down 1.525/1.52</t>
  </si>
  <si>
    <t>2015-2-10 16:23:0.837: Algorithm - getPortfolioForwardDelta - required deltas is 90 currentHedgePosition is 100</t>
  </si>
  <si>
    <t>2015-2-10 16:23:0.837: Algorithm - getHedgeShortfall - required deltas is 90 price is 1.52495 currentHedgePositionDeltas is 100</t>
  </si>
  <si>
    <t>2015-2-10 16:23:0.838: Algorithm - processTransitionPoint - nextUpper/LowerStrikes are 1.525/1.52 requiredDeltas/currentPosition/currentHedgeShortfall/direction/transitionPrice are 90/100/-10/1/1.52495</t>
  </si>
  <si>
    <t>2015-2-10 16:23:0.838: TransitionLogger - processTransitionpoint - checking transition - currentHedgeShortfall is -10</t>
  </si>
  <si>
    <t>2015-2-10 16:23:0.838: Algorithm - rehedge - rehedging -10 contracts</t>
  </si>
  <si>
    <t>2015-2-10 16:23:0.838: Algortihm - rehedge - inside the loop</t>
  </si>
  <si>
    <t>2015-2-10 16:23:0.839: Algorithm - rehedge - trying to trade BUT contracts is -10 and direction indicator is 1</t>
  </si>
  <si>
    <t>2015-2-10 16:23:0.839: Algorithm - updatePortfolio - haveAllDetails is True</t>
  </si>
  <si>
    <t>2015-2-10 16:23:0.879: Algorithm - FindNextStrikes - price is 1.52485 nextStrikeUp/Down 1.525/1.52</t>
  </si>
  <si>
    <t>2015-2-10 16:23:0.879: Algorithm - getPortfolioForwardDelta - required deltas is 90 currentHedgePosition is 100</t>
  </si>
  <si>
    <t>2015-2-10 16:23:0.880: Algorithm - getHedgeShortfall - required deltas is 90 price is 1.52495 currentHedgePositionDeltas is 100</t>
  </si>
  <si>
    <t>2015-2-10 16:23:0.880: Algorithm - processTransitionPoint - nextUpper/LowerStrikes are 1.525/1.52 requiredDeltas/currentPosition/currentHedgeShortfall/direction/transitionPrice are 90/100/-10/1/1.52495</t>
  </si>
  <si>
    <t>2015-2-10 16:23:0.880: TransitionLogger - processTransitionpoint - checking transition - currentHedgeShortfall is -10</t>
  </si>
  <si>
    <t>2015-2-10 16:23:0.881: Algorithm - rehedge - rehedging -10 contracts</t>
  </si>
  <si>
    <t>2015-2-10 16:23:0.881: Algortihm - rehedge - inside the loop</t>
  </si>
  <si>
    <t>2015-2-10 16:23:0.881: Algorithm - rehedge - trying to trade BUT contracts is -10 and direction indicator is 1</t>
  </si>
  <si>
    <t>2015-2-10 16:23:0.882: Algorithm - updatePortfolio - haveAllDetails is True</t>
  </si>
  <si>
    <t>2015-2-10 16:23:4.911: Algorithm - rehedge - rehedging -10 contracts</t>
  </si>
  <si>
    <t>2015-2-10 16:23:4.911: Algortihm - rehedge - inside the loop</t>
  </si>
  <si>
    <t>2015-2-10 16:23:4.911: Algorithm - rehedge - trying to trade BUT contracts is -10 and direction indicator is 1</t>
  </si>
  <si>
    <t>2015-2-10 16:23:4.913: OrderManager - cancelOrder - cancelling order id 8977</t>
  </si>
  <si>
    <t>2015-2-10 16:23:4.914: OrderManager - PlaceOrder - id 8979 workingQty -256</t>
  </si>
  <si>
    <t>2015-2-10 16:23:4.915: OrderManager - sendOrder - exiting place order id 8979 BUY 37 1.5387  - workingQty -256 currentPosition is 100 workingOrderCount is -9</t>
  </si>
  <si>
    <t>2015-2-10 16:23:4.915: OrderManager - createOrder - exiting without creating order - did not have validID</t>
  </si>
  <si>
    <t>2015-2-10 16:23:5.296: Algorithm - rehedge - rehedging -10 contracts</t>
  </si>
  <si>
    <t>2015-2-10 16:23:5.296: Algortihm - rehedge - inside the loop</t>
  </si>
  <si>
    <t>2015-2-10 16:23:5.296: Algorithm - rehedge - trying to trade BUT contracts is -10 and direction indicator is 1</t>
  </si>
  <si>
    <t>2015-2-10 16:23:5.298: OrderManager - createOrder - exiting without creating order - did not have validID</t>
  </si>
  <si>
    <t>2015-2-10 16:23:5.412: RTWSControl - nextValidId - entering nextValidId id is 8980</t>
  </si>
  <si>
    <t>2015-2-10 16:23:5.417: RTWSControl - orderStatus -  entering orderStatus id is 8977 status is Cancelled</t>
  </si>
  <si>
    <t>2015-2-10 16:23:5.417: OrderManager - UpdateOrderStatus - id 8977 Setting status to Cancelled workingOrderCount is now -9 workingQty -256</t>
  </si>
  <si>
    <t>2015-2-10 16:23:5.419: RTWSControl - OrderStatus - Got OrderStatus Message id:8977 status: Cancelled filled: 0</t>
  </si>
  <si>
    <t>2015-2-10 16:23:5.419: RTWSControl - OrderStatus - exiting orderStatus</t>
  </si>
  <si>
    <t>2015-2-10 16:23:5.455: RTWSControl - errMsg - got error message 202:Order Canceled - reason:with id 8977</t>
  </si>
  <si>
    <t>2015-2-10 16:23:5.455: OrderManager - canceledOrder - cleaning up after canceled order 8977BEWARE UNACCOUNTED FOR EXECUTIONS!!!</t>
  </si>
  <si>
    <t>2015-2-10 16:23:5.456: OrderManager - terminateOrder - cleaning up after Canceled 8977  order was supposed to BUY 32 1.537 STP LMT workingQty/OrderCount now -288/-10</t>
  </si>
  <si>
    <t>2015-2-10 16:23:5.467: Algorithm - rehedge - rehedging -10 contracts</t>
  </si>
  <si>
    <t>2015-2-10 16:23:5.468: Algortihm - rehedge - inside the loop</t>
  </si>
  <si>
    <t>2015-2-10 16:23:5.468: Algorithm - rehedge - trying to trade BUT contracts is -10 and direction indicator is 1</t>
  </si>
  <si>
    <t>2015-2-10 16:23:5.469: OrderManager - PlaceOrder - id 8980 workingQty -325</t>
  </si>
  <si>
    <t>2015-2-10 16:23:5.471: OrderManager - sendOrder - exiting place order id 8980 SELL 37 1.5233  - workingQty -325 currentPosition is 100 workingOrderCount is -9</t>
  </si>
  <si>
    <t>2015-2-10 16:23:5.639: openOrderEx - I am here</t>
  </si>
  <si>
    <t>2015-2-10 16:23:5.669: RTWSControl - orderStatus -  entering orderStatus id is 8979 status is PreSubmitted</t>
  </si>
  <si>
    <t>2015-2-10 16:23:5.669: OrderManager - UpdateOrderStatus - id 8979 Setting status to PreSubmitted workingOrderCount is now -9 workingQty -325</t>
  </si>
  <si>
    <t>2015-2-10 16:23:5.671: RTWSControl - OrderStatus - Got OrderStatus Message id:8979 status: PreSubmitted filled: 0</t>
  </si>
  <si>
    <t>2015-2-10 16:23:5.671: RTWSControl - OrderStatus - exiting orderStatus</t>
  </si>
  <si>
    <t>2015-2-10 16:23:5.702: RTWSControl - nextValidId - entering nextValidId id is 8981</t>
  </si>
  <si>
    <t>2015-2-10 16:23:5.760: openOrderEx - I am here</t>
  </si>
  <si>
    <t>2015-2-10 16:23:5.775: RTWSControl - orderStatus -  entering orderStatus id is 8980 status is PreSubmitted</t>
  </si>
  <si>
    <t>2015-2-10 16:23:5.775: OrderManager - UpdateOrderStatus - id 8980 Setting status to PreSubmitted workingOrderCount is now -9 workingQty -325</t>
  </si>
  <si>
    <t>2015-2-10 16:23:5.777: RTWSControl - OrderStatus - Got OrderStatus Message id:8980 status: PreSubmitted filled: 0</t>
  </si>
  <si>
    <t>2015-2-10 16:23:5.777: RTWSControl - OrderStatus - exiting orderStatus</t>
  </si>
  <si>
    <t>2015-2-10 16:23:6.183: Algorithm - rehedge - rehedging -10 contracts</t>
  </si>
  <si>
    <t>2015-2-10 16:23:6.183: Algortihm - rehedge - inside the loop</t>
  </si>
  <si>
    <t>2015-2-10 16:23:6.184: Algorithm - rehedge - trying to trade BUT contracts is -10 and direction indicator is 1</t>
  </si>
  <si>
    <t>2015-2-10 16:23:6.536: Algorithm - rehedge - rehedging -10 contracts</t>
  </si>
  <si>
    <t>2015-2-10 16:23:6.536: Algortihm - rehedge - inside the loop</t>
  </si>
  <si>
    <t>2015-2-10 16:23:6.537: Algorithm - rehedge - trying to trade BUT contracts is -10 and direction indicator is 1</t>
  </si>
  <si>
    <t>2015-2-10 16:23:6.720: Algorithm - rehedge - rehedging -10 contracts</t>
  </si>
  <si>
    <t>2015-2-10 16:23:6.720: Algortihm - rehedge - inside the loop</t>
  </si>
  <si>
    <t>2015-2-10 16:23:6.721: Algorithm - rehedge - trying to trade BUT contracts is -10 and direction indicator is 1</t>
  </si>
  <si>
    <t>2015-2-10 16:23:7.52: Algorithm - rehedge - rehedging -10 contracts</t>
  </si>
  <si>
    <t>2015-2-10 16:23:7.53: Algortihm - rehedge - inside the loop</t>
  </si>
  <si>
    <t>2015-2-10 16:23:7.54: Algorithm - rehedge - trying to trade BUT contracts is -10 and direction indicator is 1</t>
  </si>
  <si>
    <t>2015-2-10 16:23:12.438: Algorithm - rehedge - rehedging -10 contracts</t>
  </si>
  <si>
    <t>2015-2-10 16:23:12.439: Algortihm - rehedge - inside the loop</t>
  </si>
  <si>
    <t>2015-2-10 16:23:12.440: OrderManager - PlaceOrder - id 8981 workingQty -330</t>
  </si>
  <si>
    <t>2015-2-10 16:23:12.443: OrderManager - sendOrder - exiting place order id 8981 SELL 5 1.5246  - workingQty -330 currentPosition is 100 workingOrderCount is -8</t>
  </si>
  <si>
    <t>2015-2-10 16:23:12.444: Algorithm - rehedge - placing an order - orderSize is 5 workingQty is -330 working order count -8</t>
  </si>
  <si>
    <t>2015-2-10 16:23:12.671: RTWSControl - nextValidId - entering nextValidId id is 8982</t>
  </si>
  <si>
    <t>2015-2-10 16:23:12.707: RTWSControl - execDetails -  entering execDetailsEx execution id is 0001f4e5.54d98e56.01.01 shares/cumQty is 5/5</t>
  </si>
  <si>
    <t>2015-2-10 16:23:12.708: Algorithm - FindNextStrikes - price is 1.52475 nextStrikeUp/Down 1.525/1.52</t>
  </si>
  <si>
    <t>2015-2-10 16:23:12.708: Algorithm - getPortfolioForwardDelta - required deltas is 90 currentHedgePosition is 95</t>
  </si>
  <si>
    <t>2015-2-10 16:23:12.708: Algorithm - getHedgeShortfall - required deltas is 90 price is 1.52465 currentHedgePositionDeltas is 95</t>
  </si>
  <si>
    <t>2015-2-10 16:23:12.709: Algorithm - processTransitionPoint - nextUpper/LowerStrikes are 1.525/1.52 requiredDeltas/currentPosition/currentHedgeShortfall/direction/transitionPrice are 90/95/-5/-1/1.52465</t>
  </si>
  <si>
    <t>2015-2-10 16:23:12.709: TransitionLogger - processTransitionpoint - checking transition - currentHedgeShortfall is -5</t>
  </si>
  <si>
    <t>2015-2-10 16:23:12.709: OrderManager - updateExecution - got a fill for id 8981 qty 5 side SLD price 1.5247 - new working order size is -325 new instrument.qty is 95</t>
  </si>
  <si>
    <t>0001f4e5.54d98e56.01.01</t>
  </si>
  <si>
    <t>20150210  16:23:13</t>
  </si>
  <si>
    <t>2015-2-10 16:23:12.712: OrderManagerView - UpdateExecutionView - entering updateExecutionView  executionId is 0001f4e5.54d98e56.01.01</t>
  </si>
  <si>
    <t>2015-2-10 16:23:12.713: OrderManagerView - updateExecutionView -  exiting UpdateExecutionView</t>
  </si>
  <si>
    <t>2015-2-10 16:23:12.713: RTWSControl - execDetails -  exiting execDetailsEx</t>
  </si>
  <si>
    <t>2015-2-10 16:23:12.713: RTWSControl - execDetails - Got execution Message id:-1</t>
  </si>
  <si>
    <t>2015-2-10 16:23:12.746: openOrderEx - I am here</t>
  </si>
  <si>
    <t>2015-2-10 16:23:12.757: RTWSControl - orderStatus -  entering orderStatus id is 8981 status is Filled</t>
  </si>
  <si>
    <t>2015-2-10 16:23:12.757: OrderManager - UpdateOrderStatus - id 8981 Setting status to Filled workingOrderCount is now -9 workingQty -325</t>
  </si>
  <si>
    <t>2015-2-10 16:23:12.758: OrderManager - terminateOrder - cleaning up after Filled 8981  order was supposed to SELL 5 1.5246 LMT workingQty/OrderCount now -325/-10</t>
  </si>
  <si>
    <t>2015-2-10 16:23:12.759: RTWSControl - OrderStatus - Got OrderStatus Message id:8981 status: Filled filled: 5</t>
  </si>
  <si>
    <t>2015-2-10 16:23:12.759: RTWSControl - OrderStatus - exiting orderStatus</t>
  </si>
  <si>
    <t>2015-2-10 16:23:12.919: openOrderEx - I am here</t>
  </si>
  <si>
    <t>2015-2-10 16:23:12.940: RTWSControl - orderStatus -  entering orderStatus id is 8981 status is Filled</t>
  </si>
  <si>
    <t>2015-2-10 16:23:12.941: OrderManager - UpdateOrderStatus - id 8981 Setting status to Filled workingOrderCount is now -10 workingQty -325</t>
  </si>
  <si>
    <t>2015-2-10 16:23:12.941: OrderManager - terminateOrder - cleaning up after Filled 8981  order was supposed to SELL 5 1.5246 LMT workingQty/OrderCount now -325/-11</t>
  </si>
  <si>
    <t>2015-2-10 16:23:12.943: RTWSControl - OrderStatus - Got OrderStatus Message id:8981 status: Filled filled: 5</t>
  </si>
  <si>
    <t>2015-2-10 16:23:12.943: RTWSControl - OrderStatus - exiting orderStatus</t>
  </si>
  <si>
    <t>2015-2-10 16:23:12.958: openOrderEx - I am here</t>
  </si>
  <si>
    <t>2015-2-10 16:23:12.999: RTWSControl - orderStatus -  entering orderStatus id is 8981 status is Filled</t>
  </si>
  <si>
    <t>2015-2-10 16:23:12.999: OrderManager - UpdateOrderStatus - id 8981 Setting status to Filled workingOrderCount is now -11 workingQty -325</t>
  </si>
  <si>
    <t>2015-2-10 16:23:13.0: OrderManager - terminateOrder - cleaning up after Filled 8981  order was supposed to SELL 5 1.5246 LMT workingQty/OrderCount now -325/-12</t>
  </si>
  <si>
    <t>2015-2-10 16:23:13.1: RTWSControl - OrderStatus - Got OrderStatus Message id:8981 status: Filled filled: 5</t>
  </si>
  <si>
    <t>2015-2-10 16:23:13.1: RTWSControl - OrderStatus - exiting orderStatus</t>
  </si>
  <si>
    <t>2015-2-10 16:23:15.792: Algorithm - FindNextStrikes - price is 1.52475 nextStrikeUp/Down 1.525/1.52</t>
  </si>
  <si>
    <t>2015-2-10 16:23:15.793: Algorithm - getPortfolioForwardDelta - required deltas is 90 currentHedgePosition is 95</t>
  </si>
  <si>
    <t>2015-2-10 16:23:15.793: Algorithm - getHedgeShortfall - required deltas is 90 price is 1.52465 currentHedgePositionDeltas is 95</t>
  </si>
  <si>
    <t>2015-2-10 16:23:15.793: Algorithm - processTransitionPoint - nextUpper/LowerStrikes are 1.525/1.52 requiredDeltas/currentPosition/currentHedgeShortfall/direction/transitionPrice are 90/95/-5/-1/1.52465</t>
  </si>
  <si>
    <t>2015-2-10 16:23:15.794: TransitionLogger - processTransitionpoint - checking transition - currentHedgeShortfall is -5</t>
  </si>
  <si>
    <t>2015-2-10 16:23:15.794: Algorithm - rehedge - rehedging -5 contracts</t>
  </si>
  <si>
    <t>2015-2-10 16:23:15.794: Algortihm - rehedge - inside the loop</t>
  </si>
  <si>
    <t>2015-2-10 16:23:15.795: OrderManager - PlaceOrder - id 8982 workingQty -330</t>
  </si>
  <si>
    <t>2015-2-10 16:23:15.796: OrderManager - sendOrder - exiting place order id 8982 SELL 5 1.5246  - workingQty -330 currentPosition is 95 workingOrderCount is -11</t>
  </si>
  <si>
    <t>2015-2-10 16:23:15.797: Algorithm - rehedge - placing an order - orderSize is 5 workingQty is -330 working order count -11</t>
  </si>
  <si>
    <t>2015-2-10 16:23:15.798: Algorithm - updatePortfolio - haveAllDetails is True</t>
  </si>
  <si>
    <t>2015-2-10 16:23:15.842: Algorithm - FindNextStrikes - price is 1.52475 nextStrikeUp/Down 1.525/1.52</t>
  </si>
  <si>
    <t>2015-2-10 16:23:15.843: Algorithm - getPortfolioForwardDelta - required deltas is 90 currentHedgePosition is 95</t>
  </si>
  <si>
    <t>2015-2-10 16:23:15.843: Algorithm - getHedgeShortfall - required deltas is 90 price is 1.52465 currentHedgePositionDeltas is 95</t>
  </si>
  <si>
    <t>2015-2-10 16:23:15.843: Algorithm - processTransitionPoint - nextUpper/LowerStrikes are 1.525/1.52 requiredDeltas/currentPosition/currentHedgeShortfall/direction/transitionPrice are 90/95/-5/-1/1.52465</t>
  </si>
  <si>
    <t>2015-2-10 16:23:15.844: TransitionLogger - processTransitionpoint - checking transition - currentHedgeShortfall is -5</t>
  </si>
  <si>
    <t>2015-2-10 16:23:15.844: Algorithm - rehedge - rehedging -5 contracts</t>
  </si>
  <si>
    <t>2015-2-10 16:23:15.844: Algorithm - rehedge - Need to place order but already have a working order - workingQty is -330 working order count -11</t>
  </si>
  <si>
    <t>2015-2-10 16:23:15.845: Algorithm - updatePortfolio - haveAllDetails is True</t>
  </si>
  <si>
    <t>2015-2-10 16:23:15.886: Algorithm - FindNextStrikes - price is 1.52475 nextStrikeUp/Down 1.525/1.52</t>
  </si>
  <si>
    <t>2015-2-10 16:23:15.886: Algorithm - getPortfolioForwardDelta - required deltas is 90 currentHedgePosition is 95</t>
  </si>
  <si>
    <t>2015-2-10 16:23:15.887: Algorithm - getHedgeShortfall - required deltas is 90 price is 1.52465 currentHedgePositionDeltas is 95</t>
  </si>
  <si>
    <t>2015-2-10 16:23:15.887: Algorithm - processTransitionPoint - nextUpper/LowerStrikes are 1.525/1.52 requiredDeltas/currentPosition/currentHedgeShortfall/direction/transitionPrice are 90/95/-5/-1/1.52465</t>
  </si>
  <si>
    <t>2015-2-10 16:23:15.887: TransitionLogger - processTransitionpoint - checking transition - currentHedgeShortfall is -5</t>
  </si>
  <si>
    <t>2015-2-10 16:23:15.888: Algorithm - rehedge - rehedging -5 contracts</t>
  </si>
  <si>
    <t>2015-2-10 16:23:15.888: Algorithm - rehedge - Need to place order but already have a working order - workingQty is -330 working order count -11</t>
  </si>
  <si>
    <t>2015-2-10 16:23:15.889: Algorithm - updatePortfolio - haveAllDetails is True</t>
  </si>
  <si>
    <t>2015-2-10 16:23:16.162: Algorithm - rehedge - rehedging -5 contracts</t>
  </si>
  <si>
    <t>2015-2-10 16:23:16.162: Algorithm - rehedge - Need to place order but already have a working order - workingQty is -330 working order count -11</t>
  </si>
  <si>
    <t>2015-2-10 16:23:16.164: OrderManager - cancelOrder - cancelling order id 8979</t>
  </si>
  <si>
    <t>2015-2-10 16:23:16.164: OrderManager - createOrder - exiting without creating order - did not have validID</t>
  </si>
  <si>
    <t>2015-2-10 16:23:16.164: OrderManager - cancelOrder - cancelling order id 8980</t>
  </si>
  <si>
    <t>2015-2-10 16:23:16.165: OrderManager - createOrder - exiting without creating order - did not have validID</t>
  </si>
  <si>
    <t>2015-2-10 16:23:16.383: RTWSControl - nextValidId - entering nextValidId id is 8983</t>
  </si>
  <si>
    <t>2015-2-10 16:23:16.416: RTWSControl - execDetails -  entering execDetailsEx execution id is 0001f4e5.54d98e59.01.01 shares/cumQty is 5/5</t>
  </si>
  <si>
    <t>2015-2-10 16:23:16.417: Algorithm - FindNextStrikes - price is 1.5248 nextStrikeUp/Down 1.525/1.52</t>
  </si>
  <si>
    <t>2015-2-10 16:23:16.417: Algorithm - getPortfolioForwardDelta - required deltas is 90 currentHedgePosition is 90</t>
  </si>
  <si>
    <t>2015-2-10 16:23:16.417: Algorithm - getHedgeShortfall - required deltas is 90 price is 1.5247 currentHedgePositionDeltas is 90</t>
  </si>
  <si>
    <t>2015-2-10 16:23:16.418: Algorithm - processTransitionPoint - nextUpper/LowerStrikes are 1.525/1.52 requiredDeltas/currentPosition/currentHedgeShortfall/direction/transitionPrice are 90/90/0/-1/1.5247</t>
  </si>
  <si>
    <t>2015-2-10 16:23:16.418: TransitionLogger - processTransitionpoint - checking transition - currentHedgeShortfall is 0</t>
  </si>
  <si>
    <t>2015-2-10 16:23:16.418: OrderManager - updateExecution - got a fill for id 8982 qty 5 side SLD price 1.5247 - new working order size is -325 new instrument.qty is 90</t>
  </si>
  <si>
    <t>0001f4e5.54d98e59.01.01</t>
  </si>
  <si>
    <t>20150210  16:23:17</t>
  </si>
  <si>
    <t>2015-2-10 16:23:16.421: OrderManagerView - UpdateExecutionView - entering updateExecutionView  executionId is 0001f4e5.54d98e59.01.01</t>
  </si>
  <si>
    <t>2015-2-10 16:23:16.421: OrderManagerView - updateExecutionView -  exiting UpdateExecutionView</t>
  </si>
  <si>
    <t>2015-2-10 16:23:16.422: RTWSControl - execDetails -  exiting execDetailsEx</t>
  </si>
  <si>
    <t>2015-2-10 16:23:16.422: RTWSControl - execDetails - Got execution Message id:-1</t>
  </si>
  <si>
    <t>2015-2-10 16:23:16.456: openOrderEx - I am here</t>
  </si>
  <si>
    <t>2015-2-10 16:23:16.467: RTWSControl - orderStatus -  entering orderStatus id is 8982 status is Filled</t>
  </si>
  <si>
    <t>2015-2-10 16:23:16.467: OrderManager - UpdateOrderStatus - id 8982 Setting status to Filled workingOrderCount is now -12 workingQty -325</t>
  </si>
  <si>
    <t>2015-2-10 16:23:16.468: OrderManager - terminateOrder - cleaning up after Filled 8982  order was supposed to SELL 5 1.5246 LMT workingQty/OrderCount now -325/-13</t>
  </si>
  <si>
    <t>2015-2-10 16:23:16.470: RTWSControl - OrderStatus - Got OrderStatus Message id:8982 status: Filled filled: 5</t>
  </si>
  <si>
    <t>2015-2-10 16:23:16.470: RTWSControl - OrderStatus - exiting orderStatus</t>
  </si>
  <si>
    <t>2015-2-10 16:23:16.752: openOrderEx - I am here</t>
  </si>
  <si>
    <t>2015-2-10 16:23:16.761: RTWSControl - orderStatus -  entering orderStatus id is 8982 status is Filled</t>
  </si>
  <si>
    <t>2015-2-10 16:23:16.761: OrderManager - UpdateOrderStatus - id 8982 Setting status to Filled workingOrderCount is now -13 workingQty -325</t>
  </si>
  <si>
    <t>2015-2-10 16:23:16.762: OrderManager - terminateOrder - cleaning up after Filled 8982  order was supposed to SELL 5 1.5246 LMT workingQty/OrderCount now -325/-14</t>
  </si>
  <si>
    <t>2015-2-10 16:23:16.763: RTWSControl - OrderStatus - Got OrderStatus Message id:8982 status: Filled filled: 5</t>
  </si>
  <si>
    <t>2015-2-10 16:23:16.764: RTWSControl - OrderStatus - exiting orderStatus</t>
  </si>
  <si>
    <t>2015-2-10 16:23:16.792: openOrderEx - I am here</t>
  </si>
  <si>
    <t>2015-2-10 16:23:16.828: RTWSControl - orderStatus -  entering orderStatus id is 8982 status is Filled</t>
  </si>
  <si>
    <t>2015-2-10 16:23:16.828: OrderManager - UpdateOrderStatus - id 8982 Setting status to Filled workingOrderCount is now -14 workingQty -325</t>
  </si>
  <si>
    <t>2015-2-10 16:23:16.829: OrderManager - terminateOrder - cleaning up after Filled 8982  order was supposed to SELL 5 1.5246 LMT workingQty/OrderCount now -325/-15</t>
  </si>
  <si>
    <t>2015-2-10 16:23:16.831: RTWSControl - OrderStatus - Got OrderStatus Message id:8982 status: Filled filled: 5</t>
  </si>
  <si>
    <t>2015-2-10 16:23:16.831: RTWSControl - OrderStatus - exiting orderStatus</t>
  </si>
  <si>
    <t>2015-2-10 16:23:16.870: RTWSControl - orderStatus -  entering orderStatus id is 8979 status is Cancelled</t>
  </si>
  <si>
    <t>2015-2-10 16:23:16.871: OrderManager - UpdateOrderStatus - id 8979 Setting status to Cancelled workingOrderCount is now -15 workingQty -325</t>
  </si>
  <si>
    <t>2015-2-10 16:23:16.873: RTWSControl - OrderStatus - Got OrderStatus Message id:8979 status: Cancelled filled: 0</t>
  </si>
  <si>
    <t>2015-2-10 16:23:16.873: RTWSControl - OrderStatus - exiting orderStatus</t>
  </si>
  <si>
    <t>2015-2-10 16:23:16.883: RTWSControl - errMsg - got error message 202:Order Canceled - reason:with id 8979</t>
  </si>
  <si>
    <t>2015-2-10 16:23:16.883: OrderManager - canceledOrder - cleaning up after canceled order 8979BEWARE UNACCOUNTED FOR EXECUTIONS!!!</t>
  </si>
  <si>
    <t>2015-2-10 16:23:16.884: OrderManager - terminateOrder - cleaning up after Canceled 8979  order was supposed to BUY 37 1.5387 STP LMT workingQty/OrderCount now -362/-16</t>
  </si>
  <si>
    <t>2015-2-10 16:23:16.917: RTWSControl - orderStatus -  entering orderStatus id is 8980 status is Cancelled</t>
  </si>
  <si>
    <t>2015-2-10 16:23:16.918: OrderManager - UpdateOrderStatus - id 8980 Setting status to Cancelled workingOrderCount is now -16 workingQty -362</t>
  </si>
  <si>
    <t>2015-2-10 16:23:16.920: RTWSControl - OrderStatus - Got OrderStatus Message id:8980 status: Cancelled filled: 0</t>
  </si>
  <si>
    <t>2015-2-10 16:23:16.920: RTWSControl - OrderStatus - exiting orderStatus</t>
  </si>
  <si>
    <t>2015-2-10 16:23:16.953: RTWSControl - errMsg - got error message 202:Order Canceled - reason:with id 8980</t>
  </si>
  <si>
    <t>2015-2-10 16:23:16.954: OrderManager - canceledOrder - cleaning up after canceled order 8980BEWARE UNACCOUNTED FOR EXECUTIONS!!!</t>
  </si>
  <si>
    <t>2015-2-10 16:23:16.954: OrderManager - terminateOrder - cleaning up after Canceled 8980  order was supposed to SELL 37 1.5233 STP LMT workingQty/OrderCount now -399/-17</t>
  </si>
  <si>
    <t>2015-2-10 16:23:18.416: Algorithm - FindNextStrikes - price is 1.5248 nextStrikeUp/Down 1.525/1.52</t>
  </si>
  <si>
    <t>2015-2-10 16:23:18.416: Algorithm - getPortfolioForwardDelta - required deltas is 90 currentHedgePosition is 90</t>
  </si>
  <si>
    <t>2015-2-10 16:23:18.416: Algorithm - getHedgeShortfall - required deltas is 90 price is 1.5247 currentHedgePositionDeltas is 90</t>
  </si>
  <si>
    <t>2015-2-10 16:23:18.417: Algorithm - processTransitionPoint - nextUpper/LowerStrikes are 1.525/1.52 requiredDeltas/currentPosition/currentHedgeShortfall/direction/transitionPrice are 90/90/0/-1/1.5247</t>
  </si>
  <si>
    <t>2015-2-10 16:23:18.417: TransitionLogger - processTransitionpoint - checking transition - currentHedgeShortfall is 0</t>
  </si>
  <si>
    <t>2015-2-10 16:23:18.418: Algorithm - updatePortfolio - haveAllDetails is True</t>
  </si>
  <si>
    <t>2015-2-10 16:23:18.461: OrderManager - PlaceOrder - id 8983 workingQty -371</t>
  </si>
  <si>
    <t>2015-2-10 16:23:18.463: OrderManager - sendOrder - exiting place order id 8983 BUY 28 1.5352  - workingQty -371 currentPosition is 90 workingOrderCount is -16</t>
  </si>
  <si>
    <t>2015-2-10 16:23:18.463: OrderManager - createOrder - exiting without creating order - did not have validID</t>
  </si>
  <si>
    <t>2015-2-10 16:23:19.374: RTWSControl - nextValidId - entering nextValidId id is 8984</t>
  </si>
  <si>
    <t>2015-2-10 16:23:19.383: openOrderEx - I am here</t>
  </si>
  <si>
    <t>2015-2-10 16:23:19.416: RTWSControl - orderStatus -  entering orderStatus id is 8983 status is PreSubmitted</t>
  </si>
  <si>
    <t>2015-2-10 16:23:19.416: OrderManager - UpdateOrderStatus - id 8983 Setting status to PreSubmitted workingOrderCount is now -16 workingQty -371</t>
  </si>
  <si>
    <t>2015-2-10 16:23:19.419: RTWSControl - OrderStatus - Got OrderStatus Message id:8983 status: PreSubmitted filled: 0</t>
  </si>
  <si>
    <t>2015-2-10 16:23:19.419: RTWSControl - OrderStatus - exiting orderStatus</t>
  </si>
  <si>
    <t>2015-2-10 16:23:26.980: OrderManager - PlaceOrder - id 8984 workingQty -399</t>
  </si>
  <si>
    <t>2015-2-10 16:23:26.982: OrderManager - sendOrder - exiting place order id 8984 SELL 28 1.5231  - workingQty -399 currentPosition is 90 workingOrderCount is -15</t>
  </si>
  <si>
    <t>2015-2-10 16:23:27.915: RTWSControl - nextValidId - entering nextValidId id is 8985</t>
  </si>
  <si>
    <t>2015-2-10 16:23:27.956: openOrderEx - I am here</t>
  </si>
  <si>
    <t>2015-2-10 16:23:27.966: RTWSControl - orderStatus -  entering orderStatus id is 8984 status is PreSubmitted</t>
  </si>
  <si>
    <t>2015-2-10 16:23:27.967: OrderManager - UpdateOrderStatus - id 8984 Setting status to PreSubmitted workingOrderCount is now -15 workingQty -399</t>
  </si>
  <si>
    <t>2015-2-10 16:23:27.969: RTWSControl - OrderStatus - Got OrderStatus Message id:8984 status: PreSubmitted filled: 0</t>
  </si>
  <si>
    <t>2015-2-10 16:23:27.969: RTWSControl - OrderStatus - exiting orderStatus</t>
  </si>
  <si>
    <t>2015-2-10 16:23:31.4: Algorithm - FindNextStrikes - price is 1.52465 nextStrikeUp/Down 1.525/1.52</t>
  </si>
  <si>
    <t>2015-2-10 16:23:31.4: Algorithm - getPortfolioForwardDelta - required deltas is 90 currentHedgePosition is 90</t>
  </si>
  <si>
    <t>2015-2-10 16:23:31.4: Algorithm - getHedgeShortfall - required deltas is 90 price is 1.52455 currentHedgePositionDeltas is 90</t>
  </si>
  <si>
    <t>2015-2-10 16:23:31.5: Algorithm - processTransitionPoint - nextUpper/LowerStrikes are 1.525/1.52 requiredDeltas/currentPosition/currentHedgeShortfall/direction/transitionPrice are 90/90/0/-1/1.52455</t>
  </si>
  <si>
    <t>2015-2-10 16:23:31.5: TransitionLogger - processTransitionpoint - checking transition - currentHedgeShortfall is 0</t>
  </si>
  <si>
    <t>2015-2-10 16:23:31.7: Algorithm - updatePortfolio - haveAllDetails is True</t>
  </si>
  <si>
    <t>2015-2-10 16:23:31.50: Algorithm - FindNextStrikes - price is 1.52465 nextStrikeUp/Down 1.525/1.52</t>
  </si>
  <si>
    <t>2015-2-10 16:23:31.51: Algorithm - getPortfolioForwardDelta - required deltas is 90 currentHedgePosition is 90</t>
  </si>
  <si>
    <t>2015-2-10 16:23:31.51: Algorithm - getHedgeShortfall - required deltas is 90 price is 1.52455 currentHedgePositionDeltas is 90</t>
  </si>
  <si>
    <t>2015-2-10 16:23:31.51: Algorithm - processTransitionPoint - nextUpper/LowerStrikes are 1.525/1.52 requiredDeltas/currentPosition/currentHedgeShortfall/direction/transitionPrice are 90/90/0/-1/1.52455</t>
  </si>
  <si>
    <t>2015-2-10 16:23:31.52: TransitionLogger - processTransitionpoint - checking transition - currentHedgeShortfall is 0</t>
  </si>
  <si>
    <t>2015-2-10 16:23:31.52: Algorithm - updatePortfolio - haveAllDetails is True</t>
  </si>
  <si>
    <t>2015-2-10 16:23:31.96: Algorithm - FindNextStrikes - price is 1.52465 nextStrikeUp/Down 1.525/1.52</t>
  </si>
  <si>
    <t>2015-2-10 16:23:31.96: Algorithm - getPortfolioForwardDelta - required deltas is 90 currentHedgePosition is 90</t>
  </si>
  <si>
    <t>2015-2-10 16:23:31.96: Algorithm - getHedgeShortfall - required deltas is 90 price is 1.52455 currentHedgePositionDeltas is 90</t>
  </si>
  <si>
    <t>2015-2-10 16:23:31.97: Algorithm - processTransitionPoint - nextUpper/LowerStrikes are 1.525/1.52 requiredDeltas/currentPosition/currentHedgeShortfall/direction/transitionPrice are 90/90/0/-1/1.52455</t>
  </si>
  <si>
    <t>2015-2-10 16:23:31.97: TransitionLogger - processTransitionpoint - checking transition - currentHedgeShortfall is 0</t>
  </si>
  <si>
    <t>2015-2-10 16:23:31.98: Algorithm - updatePortfolio - haveAllDetails is True</t>
  </si>
  <si>
    <t>2015-2-10 16:23:31.138: Algorithm - FindNextStrikes - price is 1.52465 nextStrikeUp/Down 1.525/1.52</t>
  </si>
  <si>
    <t>2015-2-10 16:23:31.138: Algorithm - getPortfolioForwardDelta - required deltas is 90 currentHedgePosition is 90</t>
  </si>
  <si>
    <t>2015-2-10 16:23:31.139: Algorithm - getHedgeShortfall - required deltas is 90 price is 1.52455 currentHedgePositionDeltas is 90</t>
  </si>
  <si>
    <t>2015-2-10 16:23:31.139: Algorithm - processTransitionPoint - nextUpper/LowerStrikes are 1.525/1.52 requiredDeltas/currentPosition/currentHedgeShortfall/direction/transitionPrice are 90/90/0/-1/1.52455</t>
  </si>
  <si>
    <t>2015-2-10 16:23:31.139: TransitionLogger - processTransitionpoint - checking transition - currentHedgeShortfall is 0</t>
  </si>
  <si>
    <t>2015-2-10 16:23:31.140: Algorithm - updatePortfolio - haveAllDetails is True</t>
  </si>
  <si>
    <t>2015-2-10 16:23:31.181: Algorithm - FindNextStrikes - price is 1.52465 nextStrikeUp/Down 1.525/1.52</t>
  </si>
  <si>
    <t>2015-2-10 16:23:31.181: Algorithm - getPortfolioForwardDelta - required deltas is 90 currentHedgePosition is 90</t>
  </si>
  <si>
    <t>2015-2-10 16:23:31.181: Algorithm - getHedgeShortfall - required deltas is 90 price is 1.52455 currentHedgePositionDeltas is 90</t>
  </si>
  <si>
    <t>2015-2-10 16:23:31.182: Algorithm - processTransitionPoint - nextUpper/LowerStrikes are 1.525/1.52 requiredDeltas/currentPosition/currentHedgeShortfall/direction/transitionPrice are 90/90/0/-1/1.52455</t>
  </si>
  <si>
    <t>2015-2-10 16:23:31.182: TransitionLogger - processTransitionpoint - checking transition - currentHedgeShortfall is 0</t>
  </si>
  <si>
    <t>2015-2-10 16:23:31.183: Algorithm - updatePortfolio - haveAllDetails is True</t>
  </si>
  <si>
    <t>2015-2-10 16:23:31.220: Algorithm - FindNextStrikes - price is 1.52465 nextStrikeUp/Down 1.525/1.52</t>
  </si>
  <si>
    <t>2015-2-10 16:23:31.220: Algorithm - getPortfolioForwardDelta - required deltas is 90 currentHedgePosition is 90</t>
  </si>
  <si>
    <t>2015-2-10 16:23:31.220: Algorithm - getHedgeShortfall - required deltas is 90 price is 1.52455 currentHedgePositionDeltas is 90</t>
  </si>
  <si>
    <t>2015-2-10 16:23:31.221: Algorithm - processTransitionPoint - nextUpper/LowerStrikes are 1.525/1.52 requiredDeltas/currentPosition/currentHedgeShortfall/direction/transitionPrice are 90/90/0/-1/1.52455</t>
  </si>
  <si>
    <t>2015-2-10 16:23:31.221: TransitionLogger - processTransitionpoint - checking transition - currentHedgeShortfall is 0</t>
  </si>
  <si>
    <t>2015-2-10 16:23:31.222: Algorithm - updatePortfolio - haveAllDetails is True</t>
  </si>
  <si>
    <t>2015-2-10 16:23:31.263: Algorithm - FindNextStrikes - price is 1.52465 nextStrikeUp/Down 1.525/1.52</t>
  </si>
  <si>
    <t>2015-2-10 16:23:31.263: Algorithm - getPortfolioForwardDelta - required deltas is 90 currentHedgePosition is 90</t>
  </si>
  <si>
    <t>2015-2-10 16:23:31.264: Algorithm - getHedgeShortfall - required deltas is 90 price is 1.52455 currentHedgePositionDeltas is 90</t>
  </si>
  <si>
    <t>2015-2-10 16:23:31.264: Algorithm - processTransitionPoint - nextUpper/LowerStrikes are 1.525/1.52 requiredDeltas/currentPosition/currentHedgeShortfall/direction/transitionPrice are 90/90/0/-1/1.52455</t>
  </si>
  <si>
    <t>2015-2-10 16:23:31.264: TransitionLogger - processTransitionpoint - checking transition - currentHedgeShortfall is 0</t>
  </si>
  <si>
    <t>2015-2-10 16:23:31.265: Algorithm - updatePortfolio - haveAllDetails is True</t>
  </si>
  <si>
    <t>2015-2-10 16:23:31.309: Algorithm - FindNextStrikes - price is 1.52465 nextStrikeUp/Down 1.525/1.52</t>
  </si>
  <si>
    <t>2015-2-10 16:23:31.309: Algorithm - getPortfolioForwardDelta - required deltas is 90 currentHedgePosition is 90</t>
  </si>
  <si>
    <t>2015-2-10 16:23:31.309: Algorithm - getHedgeShortfall - required deltas is 90 price is 1.52455 currentHedgePositionDeltas is 90</t>
  </si>
  <si>
    <t>2015-2-10 16:23:31.310: Algorithm - processTransitionPoint - nextUpper/LowerStrikes are 1.525/1.52 requiredDeltas/currentPosition/currentHedgeShortfall/direction/transitionPrice are 90/90/0/-1/1.52455</t>
  </si>
  <si>
    <t>2015-2-10 16:23:31.310: TransitionLogger - processTransitionpoint - checking transition - currentHedgeShortfall is 0</t>
  </si>
  <si>
    <t>2015-2-10 16:23:31.311: Algorithm - updatePortfolio - haveAllDetails is True</t>
  </si>
  <si>
    <t>2015-2-10 16:23:31.352: Algorithm - FindNextStrikes - price is 1.52465 nextStrikeUp/Down 1.525/1.52</t>
  </si>
  <si>
    <t>2015-2-10 16:23:31.352: Algorithm - getPortfolioForwardDelta - required deltas is 90 currentHedgePosition is 90</t>
  </si>
  <si>
    <t>2015-2-10 16:23:31.353: Algorithm - getHedgeShortfall - required deltas is 90 price is 1.52455 currentHedgePositionDeltas is 90</t>
  </si>
  <si>
    <t>2015-2-10 16:23:31.353: Algorithm - processTransitionPoint - nextUpper/LowerStrikes are 1.525/1.52 requiredDeltas/currentPosition/currentHedgeShortfall/direction/transitionPrice are 90/90/0/-1/1.52455</t>
  </si>
  <si>
    <t>2015-2-10 16:23:31.353: TransitionLogger - processTransitionpoint - checking transition - currentHedgeShortfall is 0</t>
  </si>
  <si>
    <t>2015-2-10 16:23:31.354: Algorithm - updatePortfolio - haveAllDetails is True</t>
  </si>
  <si>
    <t>2015-2-10 16:24:16.707: OrderManager - cancelOrder - cancelling order id 8983</t>
  </si>
  <si>
    <t>2015-2-10 16:24:16.708: OrderManager - PlaceOrder - id 8985 workingQty -368</t>
  </si>
  <si>
    <t>2015-2-10 16:24:16.709: OrderManager - sendOrder - exiting place order id 8985 BUY 31 1.5358  - workingQty -368 currentPosition is 90 workingOrderCount is -14</t>
  </si>
  <si>
    <t>2015-2-10 16:24:16.710: OrderManager - cancelOrder - cancelling order id 8984</t>
  </si>
  <si>
    <t>2015-2-10 16:24:16.710: OrderManager - createOrder - exiting without creating order - did not have validID</t>
  </si>
  <si>
    <t>2015-2-10 16:24:16.758: OrderManager - createOrder - exiting without creating order - did not have validID</t>
  </si>
  <si>
    <t>2015-2-10 16:24:17.211: RTWSControl - nextValidId - entering nextValidId id is 8986</t>
  </si>
  <si>
    <t>2015-2-10 16:24:17.217: RTWSControl - orderStatus -  entering orderStatus id is 8983 status is Cancelled</t>
  </si>
  <si>
    <t>2015-2-10 16:24:17.217: OrderManager - UpdateOrderStatus - id 8983 Setting status to Cancelled workingOrderCount is now -14 workingQty -368</t>
  </si>
  <si>
    <t>2015-2-10 16:24:17.219: RTWSControl - OrderStatus - Got OrderStatus Message id:8983 status: Cancelled filled: 0</t>
  </si>
  <si>
    <t>2015-2-10 16:24:17.219: RTWSControl - OrderStatus - exiting orderStatus</t>
  </si>
  <si>
    <t>2015-2-10 16:24:17.248: RTWSControl - errMsg - got error message 202:Order Canceled - reason:with id 8983</t>
  </si>
  <si>
    <t>2015-2-10 16:24:17.249: OrderManager - canceledOrder - cleaning up after canceled order 8983BEWARE UNACCOUNTED FOR EXECUTIONS!!!</t>
  </si>
  <si>
    <t>2015-2-10 16:24:17.249: OrderManager - terminateOrder - cleaning up after Canceled 8983  order was supposed to BUY 28 1.5352 STP LMT workingQty/OrderCount now -396/-15</t>
  </si>
  <si>
    <t>2015-2-10 16:24:17.467: RTWSControl - orderStatus -  entering orderStatus id is 8984 status is Cancelled</t>
  </si>
  <si>
    <t>2015-2-10 16:24:17.467: OrderManager - UpdateOrderStatus - id 8984 Setting status to Cancelled workingOrderCount is now -15 workingQty -396</t>
  </si>
  <si>
    <t>2015-2-10 16:24:17.469: RTWSControl - OrderStatus - Got OrderStatus Message id:8984 status: Cancelled filled: 0</t>
  </si>
  <si>
    <t>2015-2-10 16:24:17.469: RTWSControl - OrderStatus - exiting orderStatus</t>
  </si>
  <si>
    <t>2015-2-10 16:24:17.498: RTWSControl - errMsg - got error message 202:Order Canceled - reason:with id 8984</t>
  </si>
  <si>
    <t>2015-2-10 16:24:17.498: OrderManager - canceledOrder - cleaning up after canceled order 8984BEWARE UNACCOUNTED FOR EXECUTIONS!!!</t>
  </si>
  <si>
    <t>2015-2-10 16:24:17.499: OrderManager - terminateOrder - cleaning up after Canceled 8984  order was supposed to SELL 28 1.5231 STP LMT workingQty/OrderCount now -424/-16</t>
  </si>
  <si>
    <t>2015-2-10 16:24:17.513: openOrderEx - I am here</t>
  </si>
  <si>
    <t>2015-2-10 16:24:17.544: RTWSControl - orderStatus -  entering orderStatus id is 8985 status is PreSubmitted</t>
  </si>
  <si>
    <t>2015-2-10 16:24:17.545: OrderManager - UpdateOrderStatus - id 8985 Setting status to PreSubmitted workingOrderCount is now -16 workingQty -424</t>
  </si>
  <si>
    <t>2015-2-10 16:24:17.547: RTWSControl - OrderStatus - Got OrderStatus Message id:8985 status: PreSubmitted filled: 0</t>
  </si>
  <si>
    <t>2015-2-10 16:24:17.547: RTWSControl - OrderStatus - exiting orderStatus</t>
  </si>
  <si>
    <t>2015-2-10 16:24:19.341: OrderManager - PlaceOrder - id 8986 workingQty -455</t>
  </si>
  <si>
    <t>2015-2-10 16:24:19.342: OrderManager - sendOrder - exiting place order id 8986 SELL 31 1.5227  - workingQty -455 currentPosition is 90 workingOrderCount is -15</t>
  </si>
  <si>
    <t>2015-2-10 16:24:20.2: RTWSControl - nextValidId - entering nextValidId id is 8987</t>
  </si>
  <si>
    <t>2015-2-10 16:24:20.10: openOrderEx - I am here</t>
  </si>
  <si>
    <t>2015-2-10 16:24:20.44: RTWSControl - orderStatus -  entering orderStatus id is 8986 status is PreSubmitted</t>
  </si>
  <si>
    <t>2015-2-10 16:24:20.44: OrderManager - UpdateOrderStatus - id 8986 Setting status to PreSubmitted workingOrderCount is now -15 workingQty -455</t>
  </si>
  <si>
    <t>2015-2-10 16:24:20.46: RTWSControl - OrderStatus - Got OrderStatus Message id:8986 status: PreSubmitted filled: 0</t>
  </si>
  <si>
    <t>2015-2-10 16:24:20.47: RTWSControl - OrderStatus - exiting orderStatus</t>
  </si>
  <si>
    <t>2015-2-10 16:25:27.161: OrderManager - cancelOrder - cancelling order id 8985</t>
  </si>
  <si>
    <t>2015-2-10 16:25:27.163: OrderManager - PlaceOrder - id 8987 workingQty -421</t>
  </si>
  <si>
    <t>2015-2-10 16:25:27.169: OrderManager - sendOrder - exiting place order id 8987 BUY 34 1.5367  - workingQty -421 currentPosition is 90 workingOrderCount is -14</t>
  </si>
  <si>
    <t>2015-2-10 16:25:27.170: OrderManager - cancelOrder - cancelling order id 8986</t>
  </si>
  <si>
    <t>2015-2-10 16:25:27.171: OrderManager - createOrder - exiting without creating order - did not have validID</t>
  </si>
  <si>
    <t>2015-2-10 16:25:27.276: OrderManager - createOrder - exiting without creating order - did not have validID</t>
  </si>
  <si>
    <t>2015-2-10 16:25:27.602: RTWSControl - nextValidId - entering nextValidId id is 8988</t>
  </si>
  <si>
    <t>2015-2-10 16:25:27.630: RTWSControl - orderStatus -  entering orderStatus id is 8985 status is Cancelled</t>
  </si>
  <si>
    <t>2015-2-10 16:25:27.630: OrderManager - UpdateOrderStatus - id 8985 Setting status to Cancelled workingOrderCount is now -14 workingQty -421</t>
  </si>
  <si>
    <t>2015-2-10 16:25:27.632: RTWSControl - OrderStatus - Got OrderStatus Message id:8985 status: Cancelled filled: 0</t>
  </si>
  <si>
    <t>2015-2-10 16:25:27.632: RTWSControl - OrderStatus - exiting orderStatus</t>
  </si>
  <si>
    <t>2015-2-10 16:25:27.642: RTWSControl - errMsg - got error message 202:Order Canceled - reason:with id 8985</t>
  </si>
  <si>
    <t>2015-2-10 16:25:27.642: OrderManager - canceledOrder - cleaning up after canceled order 8985BEWARE UNACCOUNTED FOR EXECUTIONS!!!</t>
  </si>
  <si>
    <t>2015-2-10 16:25:27.642: OrderManager - terminateOrder - cleaning up after Canceled 8985  order was supposed to BUY 31 1.5358 STP LMT workingQty/OrderCount now -452/-15</t>
  </si>
  <si>
    <t>2015-2-10 16:25:27.674: RTWSControl - orderStatus -  entering orderStatus id is 8986 status is Cancelled</t>
  </si>
  <si>
    <t>2015-2-10 16:25:27.674: OrderManager - UpdateOrderStatus - id 8986 Setting status to Cancelled workingOrderCount is now -15 workingQty -452</t>
  </si>
  <si>
    <t>2015-2-10 16:25:27.676: RTWSControl - OrderStatus - Got OrderStatus Message id:8986 status: Cancelled filled: 0</t>
  </si>
  <si>
    <t>2015-2-10 16:25:27.677: RTWSControl - OrderStatus - exiting orderStatus</t>
  </si>
  <si>
    <t>2015-2-10 16:25:27.710: RTWSControl - errMsg - got error message 202:Order Canceled - reason:with id 8986</t>
  </si>
  <si>
    <t>2015-2-10 16:25:27.711: OrderManager - canceledOrder - cleaning up after canceled order 8986BEWARE UNACCOUNTED FOR EXECUTIONS!!!</t>
  </si>
  <si>
    <t>2015-2-10 16:25:27.711: OrderManager - terminateOrder - cleaning up after Canceled 8986  order was supposed to SELL 31 1.5227 STP LMT workingQty/OrderCount now -483/-16</t>
  </si>
  <si>
    <t>2015-2-10 16:25:27.725: openOrderEx - I am here</t>
  </si>
  <si>
    <t>2015-2-10 16:25:27.757: RTWSControl - orderStatus -  entering orderStatus id is 8987 status is PreSubmitted</t>
  </si>
  <si>
    <t>2015-2-10 16:25:27.757: OrderManager - UpdateOrderStatus - id 8987 Setting status to PreSubmitted workingOrderCount is now -16 workingQty -483</t>
  </si>
  <si>
    <t>2015-2-10 16:25:27.759: RTWSControl - OrderStatus - Got OrderStatus Message id:8987 status: PreSubmitted filled: 0</t>
  </si>
  <si>
    <t>2015-2-10 16:25:27.759: RTWSControl - OrderStatus - exiting orderStatus</t>
  </si>
  <si>
    <t>2015-2-10 16:25:33.579: OrderManager - PlaceOrder - id 8988 workingQty -516</t>
  </si>
  <si>
    <t>2015-2-10 16:25:33.581: OrderManager - sendOrder - exiting place order id 8988 SELL 33 1.5224  - workingQty -516 currentPosition is 90 workingOrderCount is -15</t>
  </si>
  <si>
    <t>2015-2-10 16:25:33.856: RTWSControl - nextValidId - entering nextValidId id is 8989</t>
  </si>
  <si>
    <t>2015-2-10 16:25:33.891: openOrderEx - I am here</t>
  </si>
  <si>
    <t>2015-2-10 16:25:33.903: RTWSControl - orderStatus -  entering orderStatus id is 8988 status is PreSubmitted</t>
  </si>
  <si>
    <t>2015-2-10 16:25:33.904: OrderManager - UpdateOrderStatus - id 8988 Setting status to PreSubmitted workingOrderCount is now -15 workingQty -516</t>
  </si>
  <si>
    <t>2015-2-10 16:25:33.906: RTWSControl - OrderStatus - Got OrderStatus Message id:8988 status: PreSubmitted filled: 0</t>
  </si>
  <si>
    <t>2015-2-10 16:25:33.906: RTWSControl - OrderStatus - exiting orderStatus</t>
  </si>
  <si>
    <t>2015-2-10 16:26:30.133: Algorithm - FindNextStrikes - price is 1.52405 nextStrikeUp/Down 1.525/1.52</t>
  </si>
  <si>
    <t>2015-2-10 16:26:30.133: Algorithm - getPortfolioForwardDelta - required deltas is 90 currentHedgePosition is 90</t>
  </si>
  <si>
    <t>2015-2-10 16:26:30.133: Algorithm - getHedgeShortfall - required deltas is 90 price is 1.52415 currentHedgePositionDeltas is 90</t>
  </si>
  <si>
    <t>2015-2-10 16:26:30.134: Algorithm - processTransitionPoint - nextUpper/LowerStrikes are 1.525/1.52 requiredDeltas/currentPosition/currentHedgeShortfall/direction/transitionPrice are 90/90/0/1/1.52415</t>
  </si>
  <si>
    <t>2015-2-10 16:26:30.134: TransitionLogger - processTransitionpoint - checking transition - currentHedgeShortfall is 0</t>
  </si>
  <si>
    <t>2015-2-10 16:26:30.136: Algorithm - updatePortfolio - haveAllDetails is True</t>
  </si>
  <si>
    <t>2015-2-10 16:26:30.178: Algorithm - FindNextStrikes - price is 1.52405 nextStrikeUp/Down 1.525/1.52</t>
  </si>
  <si>
    <t>2015-2-10 16:26:30.179: Algorithm - getPortfolioForwardDelta - required deltas is 90 currentHedgePosition is 90</t>
  </si>
  <si>
    <t>2015-2-10 16:26:30.179: Algorithm - getHedgeShortfall - required deltas is 90 price is 1.52415 currentHedgePositionDeltas is 90</t>
  </si>
  <si>
    <t>2015-2-10 16:26:30.180: Algorithm - processTransitionPoint - nextUpper/LowerStrikes are 1.525/1.52 requiredDeltas/currentPosition/currentHedgeShortfall/direction/transitionPrice are 90/90/0/1/1.52415</t>
  </si>
  <si>
    <t>2015-2-10 16:26:30.180: TransitionLogger - processTransitionpoint - checking transition - currentHedgeShortfall is 0</t>
  </si>
  <si>
    <t>2015-2-10 16:26:30.181: Algorithm - updatePortfolio - haveAllDetails is True</t>
  </si>
  <si>
    <t>2015-2-10 16:26:30.226: Algorithm - FindNextStrikes - price is 1.52405 nextStrikeUp/Down 1.525/1.52</t>
  </si>
  <si>
    <t>2015-2-10 16:26:30.226: Algorithm - getPortfolioForwardDelta - required deltas is 90 currentHedgePosition is 90</t>
  </si>
  <si>
    <t>2015-2-10 16:26:30.227: Algorithm - getHedgeShortfall - required deltas is 90 price is 1.52415 currentHedgePositionDeltas is 90</t>
  </si>
  <si>
    <t>2015-2-10 16:26:30.227: Algorithm - processTransitionPoint - nextUpper/LowerStrikes are 1.525/1.52 requiredDeltas/currentPosition/currentHedgeShortfall/direction/transitionPrice are 90/90/0/1/1.52415</t>
  </si>
  <si>
    <t>2015-2-10 16:26:30.228: TransitionLogger - processTransitionpoint - checking transition - currentHedgeShortfall is 0</t>
  </si>
  <si>
    <t>2015-2-10 16:26:30.228: Algorithm - updatePortfolio - haveAllDetails is True</t>
  </si>
  <si>
    <t>2015-2-10 16:26:30.267: Algorithm - FindNextStrikes - price is 1.52405 nextStrikeUp/Down 1.525/1.52</t>
  </si>
  <si>
    <t>2015-2-10 16:26:30.267: Algorithm - getPortfolioForwardDelta - required deltas is 90 currentHedgePosition is 90</t>
  </si>
  <si>
    <t>2015-2-10 16:26:30.268: Algorithm - getHedgeShortfall - required deltas is 90 price is 1.52415 currentHedgePositionDeltas is 90</t>
  </si>
  <si>
    <t>2015-2-10 16:26:30.268: Algorithm - processTransitionPoint - nextUpper/LowerStrikes are 1.525/1.52 requiredDeltas/currentPosition/currentHedgeShortfall/direction/transitionPrice are 90/90/0/1/1.52415</t>
  </si>
  <si>
    <t>2015-2-10 16:26:30.268: TransitionLogger - processTransitionpoint - checking transition - currentHedgeShortfall is 0</t>
  </si>
  <si>
    <t>2015-2-10 16:26:30.269: Algorithm - updatePortfolio - haveAllDetails is True</t>
  </si>
  <si>
    <t>2015-2-10 16:26:30.311: Algorithm - FindNextStrikes - price is 1.52405 nextStrikeUp/Down 1.525/1.52</t>
  </si>
  <si>
    <t>2015-2-10 16:26:30.311: Algorithm - getPortfolioForwardDelta - required deltas is 90 currentHedgePosition is 90</t>
  </si>
  <si>
    <t>2015-2-10 16:26:30.311: Algorithm - getHedgeShortfall - required deltas is 90 price is 1.52415 currentHedgePositionDeltas is 90</t>
  </si>
  <si>
    <t>2015-2-10 16:26:30.312: Algorithm - processTransitionPoint - nextUpper/LowerStrikes are 1.525/1.52 requiredDeltas/currentPosition/currentHedgeShortfall/direction/transitionPrice are 90/90/0/1/1.52415</t>
  </si>
  <si>
    <t>2015-2-10 16:26:30.312: TransitionLogger - processTransitionpoint - checking transition - currentHedgeShortfall is 0</t>
  </si>
  <si>
    <t>2015-2-10 16:26:30.313: Algorithm - updatePortfolio - haveAllDetails is True</t>
  </si>
  <si>
    <t>2015-2-10 16:26:30.352: Algorithm - FindNextStrikes - price is 1.52405 nextStrikeUp/Down 1.525/1.52</t>
  </si>
  <si>
    <t>2015-2-10 16:26:30.352: Algorithm - getPortfolioForwardDelta - required deltas is 90 currentHedgePosition is 90</t>
  </si>
  <si>
    <t>2015-2-10 16:26:30.352: Algorithm - getHedgeShortfall - required deltas is 90 price is 1.52415 currentHedgePositionDeltas is 90</t>
  </si>
  <si>
    <t>2015-2-10 16:26:30.352: Algorithm - processTransitionPoint - nextUpper/LowerStrikes are 1.525/1.52 requiredDeltas/currentPosition/currentHedgeShortfall/direction/transitionPrice are 90/90/0/1/1.52415</t>
  </si>
  <si>
    <t>2015-2-10 16:26:30.353: TransitionLogger - processTransitionpoint - checking transition - currentHedgeShortfall is 0</t>
  </si>
  <si>
    <t>2015-2-10 16:26:30.354: Algorithm - updatePortfolio - haveAllDetails is True</t>
  </si>
  <si>
    <t>2015-2-10 16:26:30.393: Algorithm - FindNextStrikes - price is 1.52405 nextStrikeUp/Down 1.525/1.52</t>
  </si>
  <si>
    <t>2015-2-10 16:26:30.393: Algorithm - getPortfolioForwardDelta - required deltas is 90 currentHedgePosition is 90</t>
  </si>
  <si>
    <t>2015-2-10 16:26:30.393: Algorithm - getHedgeShortfall - required deltas is 90 price is 1.52415 currentHedgePositionDeltas is 90</t>
  </si>
  <si>
    <t>2015-2-10 16:26:30.394: Algorithm - processTransitionPoint - nextUpper/LowerStrikes are 1.525/1.52 requiredDeltas/currentPosition/currentHedgeShortfall/direction/transitionPrice are 90/90/0/1/1.52415</t>
  </si>
  <si>
    <t>2015-2-10 16:26:30.394: TransitionLogger - processTransitionpoint - checking transition - currentHedgeShortfall is 0</t>
  </si>
  <si>
    <t>2015-2-10 16:26:30.395: Algorithm - updatePortfolio - haveAllDetails is True</t>
  </si>
  <si>
    <t>2015-2-10 16:26:30.435: Algorithm - FindNextStrikes - price is 1.52405 nextStrikeUp/Down 1.525/1.52</t>
  </si>
  <si>
    <t>2015-2-10 16:26:30.435: Algorithm - getPortfolioForwardDelta - required deltas is 90 currentHedgePosition is 90</t>
  </si>
  <si>
    <t>2015-2-10 16:26:30.435: Algorithm - getHedgeShortfall - required deltas is 90 price is 1.52415 currentHedgePositionDeltas is 90</t>
  </si>
  <si>
    <t>2015-2-10 16:26:30.436: Algorithm - processTransitionPoint - nextUpper/LowerStrikes are 1.525/1.52 requiredDeltas/currentPosition/currentHedgeShortfall/direction/transitionPrice are 90/90/0/1/1.52415</t>
  </si>
  <si>
    <t>2015-2-10 16:26:30.436: TransitionLogger - processTransitionpoint - checking transition - currentHedgeShortfall is 0</t>
  </si>
  <si>
    <t>2015-2-10 16:26:30.437: Algorithm - updatePortfolio - haveAllDetails is True</t>
  </si>
  <si>
    <t>2015-2-10 16:26:30.476: Algorithm - FindNextStrikes - price is 1.52405 nextStrikeUp/Down 1.525/1.52</t>
  </si>
  <si>
    <t>2015-2-10 16:26:30.476: Algorithm - getPortfolioForwardDelta - required deltas is 90 currentHedgePosition is 90</t>
  </si>
  <si>
    <t>2015-2-10 16:26:30.477: Algorithm - getHedgeShortfall - required deltas is 90 price is 1.52415 currentHedgePositionDeltas is 90</t>
  </si>
  <si>
    <t>2015-2-10 16:26:30.477: Algorithm - processTransitionPoint - nextUpper/LowerStrikes are 1.525/1.52 requiredDeltas/currentPosition/currentHedgeShortfall/direction/transitionPrice are 90/90/0/1/1.52415</t>
  </si>
  <si>
    <t>2015-2-10 16:26:30.477: TransitionLogger - processTransitionpoint - checking transition - currentHedgeShortfall is 0</t>
  </si>
  <si>
    <t>2015-2-10 16:26:30.478: Algorithm - updatePortfolio - haveAllDetails is True</t>
  </si>
  <si>
    <t>2015-2-10 16:28:27.222: OrderManager - cancelOrder - cancelling order id 8987</t>
  </si>
  <si>
    <t>2015-2-10 16:28:27.223: OrderManager - PlaceOrder - id 8989 workingQty -485</t>
  </si>
  <si>
    <t>2015-2-10 16:28:27.224: OrderManager - sendOrder - exiting place order id 8989 BUY 31 1.536  - workingQty -485 currentPosition is 90 workingOrderCount is -14</t>
  </si>
  <si>
    <t>2015-2-10 16:28:28.23: RTWSControl - nextValidId - entering nextValidId id is 8990</t>
  </si>
  <si>
    <t>2015-2-10 16:28:28.28: RTWSControl - orderStatus -  entering orderStatus id is 8987 status is Cancelled</t>
  </si>
  <si>
    <t>2015-2-10 16:28:28.28: OrderManager - UpdateOrderStatus - id 8987 Setting status to Cancelled workingOrderCount is now -14 workingQty -485</t>
  </si>
  <si>
    <t>2015-2-10 16:28:28.30: RTWSControl - OrderStatus - Got OrderStatus Message id:8987 status: Cancelled filled: 0</t>
  </si>
  <si>
    <t>2015-2-10 16:28:28.31: RTWSControl - OrderStatus - exiting orderStatus</t>
  </si>
  <si>
    <t>2015-2-10 16:28:28.60: RTWSControl - errMsg - got error message 202:Order Canceled - reason:with id 8987</t>
  </si>
  <si>
    <t>2015-2-10 16:28:28.60: OrderManager - canceledOrder - cleaning up after canceled order 8987BEWARE UNACCOUNTED FOR EXECUTIONS!!!</t>
  </si>
  <si>
    <t>2015-2-10 16:28:28.61: OrderManager - terminateOrder - cleaning up after Canceled 8987  order was supposed to BUY 34 1.5367 STP LMT workingQty/OrderCount now -519/-15</t>
  </si>
  <si>
    <t>2015-2-10 16:28:28.100: openOrderEx - I am here</t>
  </si>
  <si>
    <t>2015-2-10 16:28:28.111: RTWSControl - orderStatus -  entering orderStatus id is 8989 status is PreSubmitted</t>
  </si>
  <si>
    <t>2015-2-10 16:28:28.111: OrderManager - UpdateOrderStatus - id 8989 Setting status to PreSubmitted workingOrderCount is now -15 workingQty -519</t>
  </si>
  <si>
    <t>2015-2-10 16:28:28.113: RTWSControl - OrderStatus - Got OrderStatus Message id:8989 status: PreSubmitted filled: 0</t>
  </si>
  <si>
    <t>2015-2-10 16:28:28.113: RTWSControl - OrderStatus - exiting orderStatus</t>
  </si>
  <si>
    <t>2015-2-10 16:28:38.387: OrderManager - cancelOrder - cancelling order id 8988</t>
  </si>
  <si>
    <t>2015-2-10 16:28:38.388: OrderManager - PlaceOrder - id 8990 workingQty -549</t>
  </si>
  <si>
    <t>2015-2-10 16:28:38.391: OrderManager - sendOrder - exiting place order id 8990 SELL 30 1.5227  - workingQty -549 currentPosition is 90 workingOrderCount is -14</t>
  </si>
  <si>
    <t>2015-2-10 16:28:38.520: RTWSControl - nextValidId - entering nextValidId id is 8991</t>
  </si>
  <si>
    <t>2015-2-10 16:28:38.703: RTWSControl - orderStatus -  entering orderStatus id is 8988 status is Cancelled</t>
  </si>
  <si>
    <t>2015-2-10 16:28:38.704: OrderManager - UpdateOrderStatus - id 8988 Setting status to Cancelled workingOrderCount is now -14 workingQty -549</t>
  </si>
  <si>
    <t>2015-2-10 16:28:38.712: RTWSControl - OrderStatus - Got OrderStatus Message id:8988 status: Cancelled filled: 0</t>
  </si>
  <si>
    <t>2015-2-10 16:28:38.713: RTWSControl - OrderStatus - exiting orderStatus</t>
  </si>
  <si>
    <t>2015-2-10 16:28:38.738: RTWSControl - errMsg - got error message 202:Order Canceled - reason:with id 8988</t>
  </si>
  <si>
    <t>2015-2-10 16:28:38.738: OrderManager - canceledOrder - cleaning up after canceled order 8988BEWARE UNACCOUNTED FOR EXECUTIONS!!!</t>
  </si>
  <si>
    <t>2015-2-10 16:28:38.739: OrderManager - terminateOrder - cleaning up after Canceled 8988  order was supposed to SELL 33 1.5224 STP LMT workingQty/OrderCount now -582/-15</t>
  </si>
  <si>
    <t>2015-2-10 16:28:38.796: openOrderEx - I am here</t>
  </si>
  <si>
    <t>2015-2-10 16:28:38.836: RTWSControl - orderStatus -  entering orderStatus id is 8990 status is PreSubmitted</t>
  </si>
  <si>
    <t>2015-2-10 16:28:38.837: OrderManager - UpdateOrderStatus - id 8990 Setting status to PreSubmitted workingOrderCount is now -15 workingQty -582</t>
  </si>
  <si>
    <t>2015-2-10 16:28:38.839: RTWSControl - OrderStatus - Got OrderStatus Message id:8990 status: PreSubmitted filled: 0</t>
  </si>
  <si>
    <t>2015-2-10 16:28:38.839: RTWSControl - OrderStatus - exiting orderStatus</t>
  </si>
  <si>
    <t>2015-2-10 16:29:30.612: Algorithm - FindNextStrikes - price is 1.52445 nextStrikeUp/Down 1.525/1.52</t>
  </si>
  <si>
    <t>2015-2-10 16:29:30.613: Algorithm - getPortfolioForwardDelta - required deltas is 90 currentHedgePosition is 90</t>
  </si>
  <si>
    <t>2015-2-10 16:29:30.613: Algorithm - getHedgeShortfall - required deltas is 90 price is 1.52455 currentHedgePositionDeltas is 90</t>
  </si>
  <si>
    <t>2015-2-10 16:29:30.613: Algorithm - processTransitionPoint - nextUpper/LowerStrikes are 1.525/1.52 requiredDeltas/currentPosition/currentHedgeShortfall/direction/transitionPrice are 90/90/0/1/1.52455</t>
  </si>
  <si>
    <t>2015-2-10 16:29:30.614: TransitionLogger - processTransitionpoint - checking transition - currentHedgeShortfall is 0</t>
  </si>
  <si>
    <t>2015-2-10 16:29:30.615: Algorithm - updatePortfolio - haveAllDetails is True</t>
  </si>
  <si>
    <t>2015-2-10 16:29:30.656: Algorithm - FindNextStrikes - price is 1.52445 nextStrikeUp/Down 1.525/1.52</t>
  </si>
  <si>
    <t>2015-2-10 16:29:30.657: Algorithm - getPortfolioForwardDelta - required deltas is 90 currentHedgePosition is 90</t>
  </si>
  <si>
    <t>2015-2-10 16:29:30.657: Algorithm - getHedgeShortfall - required deltas is 90 price is 1.52455 currentHedgePositionDeltas is 90</t>
  </si>
  <si>
    <t>2015-2-10 16:29:30.658: Algorithm - processTransitionPoint - nextUpper/LowerStrikes are 1.525/1.52 requiredDeltas/currentPosition/currentHedgeShortfall/direction/transitionPrice are 90/90/0/1/1.52455</t>
  </si>
  <si>
    <t>2015-2-10 16:29:30.658: TransitionLogger - processTransitionpoint - checking transition - currentHedgeShortfall is 0</t>
  </si>
  <si>
    <t>2015-2-10 16:29:30.659: Algorithm - updatePortfolio - haveAllDetails is True</t>
  </si>
  <si>
    <t>2015-2-10 16:29:30.702: Algorithm - FindNextStrikes - price is 1.52445 nextStrikeUp/Down 1.525/1.52</t>
  </si>
  <si>
    <t>2015-2-10 16:29:30.703: Algorithm - getPortfolioForwardDelta - required deltas is 90 currentHedgePosition is 90</t>
  </si>
  <si>
    <t>2015-2-10 16:29:30.703: Algorithm - getHedgeShortfall - required deltas is 90 price is 1.52455 currentHedgePositionDeltas is 90</t>
  </si>
  <si>
    <t>2015-2-10 16:29:30.703: Algorithm - processTransitionPoint - nextUpper/LowerStrikes are 1.525/1.52 requiredDeltas/currentPosition/currentHedgeShortfall/direction/transitionPrice are 90/90/0/1/1.52455</t>
  </si>
  <si>
    <t>2015-2-10 16:29:30.704: TransitionLogger - processTransitionpoint - checking transition - currentHedgeShortfall is 0</t>
  </si>
  <si>
    <t>2015-2-10 16:29:30.705: Algorithm - updatePortfolio - haveAllDetails is True</t>
  </si>
  <si>
    <t>2015-2-10 16:29:30.744: Algorithm - FindNextStrikes - price is 1.52445 nextStrikeUp/Down 1.525/1.52</t>
  </si>
  <si>
    <t>2015-2-10 16:29:30.744: Algorithm - getPortfolioForwardDelta - required deltas is 90 currentHedgePosition is 90</t>
  </si>
  <si>
    <t>2015-2-10 16:29:30.745: Algorithm - getHedgeShortfall - required deltas is 90 price is 1.52455 currentHedgePositionDeltas is 90</t>
  </si>
  <si>
    <t>2015-2-10 16:29:30.745: Algorithm - processTransitionPoint - nextUpper/LowerStrikes are 1.525/1.52 requiredDeltas/currentPosition/currentHedgeShortfall/direction/transitionPrice are 90/90/0/1/1.52455</t>
  </si>
  <si>
    <t>2015-2-10 16:29:30.745: TransitionLogger - processTransitionpoint - checking transition - currentHedgeShortfall is 0</t>
  </si>
  <si>
    <t>2015-2-10 16:29:30.746: Algorithm - updatePortfolio - haveAllDetails is True</t>
  </si>
  <si>
    <t>2015-2-10 16:29:30.787: Algorithm - FindNextStrikes - price is 1.52445 nextStrikeUp/Down 1.525/1.52</t>
  </si>
  <si>
    <t>2015-2-10 16:29:30.787: Algorithm - getPortfolioForwardDelta - required deltas is 90 currentHedgePosition is 90</t>
  </si>
  <si>
    <t>2015-2-10 16:29:30.788: Algorithm - getHedgeShortfall - required deltas is 90 price is 1.52455 currentHedgePositionDeltas is 90</t>
  </si>
  <si>
    <t>2015-2-10 16:29:30.788: Algorithm - processTransitionPoint - nextUpper/LowerStrikes are 1.525/1.52 requiredDeltas/currentPosition/currentHedgeShortfall/direction/transitionPrice are 90/90/0/1/1.52455</t>
  </si>
  <si>
    <t>2015-2-10 16:29:30.788: TransitionLogger - processTransitionpoint - checking transition - currentHedgeShortfall is 0</t>
  </si>
  <si>
    <t>2015-2-10 16:29:30.789: Algorithm - updatePortfolio - haveAllDetails is True</t>
  </si>
  <si>
    <t>2015-2-10 16:29:30.827: Algorithm - FindNextStrikes - price is 1.52445 nextStrikeUp/Down 1.525/1.52</t>
  </si>
  <si>
    <t>2015-2-10 16:29:30.827: Algorithm - getPortfolioForwardDelta - required deltas is 90 currentHedgePosition is 90</t>
  </si>
  <si>
    <t>2015-2-10 16:29:30.828: Algorithm - getHedgeShortfall - required deltas is 90 price is 1.52455 currentHedgePositionDeltas is 90</t>
  </si>
  <si>
    <t>2015-2-10 16:29:30.828: Algorithm - processTransitionPoint - nextUpper/LowerStrikes are 1.525/1.52 requiredDeltas/currentPosition/currentHedgeShortfall/direction/transitionPrice are 90/90/0/1/1.52455</t>
  </si>
  <si>
    <t>2015-2-10 16:29:30.828: TransitionLogger - processTransitionpoint - checking transition - currentHedgeShortfall is 0</t>
  </si>
  <si>
    <t>2015-2-10 16:29:30.829: Algorithm - updatePortfolio - haveAllDetails is True</t>
  </si>
  <si>
    <t>2015-2-10 16:29:30.869: Algorithm - FindNextStrikes - price is 1.52445 nextStrikeUp/Down 1.525/1.52</t>
  </si>
  <si>
    <t>2015-2-10 16:29:30.870: Algorithm - getPortfolioForwardDelta - required deltas is 90 currentHedgePosition is 90</t>
  </si>
  <si>
    <t>2015-2-10 16:29:30.870: Algorithm - getHedgeShortfall - required deltas is 90 price is 1.52455 currentHedgePositionDeltas is 90</t>
  </si>
  <si>
    <t>2015-2-10 16:29:30.870: Algorithm - processTransitionPoint - nextUpper/LowerStrikes are 1.525/1.52 requiredDeltas/currentPosition/currentHedgeShortfall/direction/transitionPrice are 90/90/0/1/1.52455</t>
  </si>
  <si>
    <t>2015-2-10 16:29:30.871: TransitionLogger - processTransitionpoint - checking transition - currentHedgeShortfall is 0</t>
  </si>
  <si>
    <t>2015-2-10 16:29:30.871: Algorithm - updatePortfolio - haveAllDetails is True</t>
  </si>
  <si>
    <t>2015-2-10 16:29:30.912: Algorithm - FindNextStrikes - price is 1.52445 nextStrikeUp/Down 1.525/1.52</t>
  </si>
  <si>
    <t>2015-2-10 16:29:30.912: Algorithm - getPortfolioForwardDelta - required deltas is 90 currentHedgePosition is 90</t>
  </si>
  <si>
    <t>2015-2-10 16:29:30.912: Algorithm - getHedgeShortfall - required deltas is 90 price is 1.52455 currentHedgePositionDeltas is 90</t>
  </si>
  <si>
    <t>2015-2-10 16:29:30.913: Algorithm - processTransitionPoint - nextUpper/LowerStrikes are 1.525/1.52 requiredDeltas/currentPosition/currentHedgeShortfall/direction/transitionPrice are 90/90/0/1/1.52455</t>
  </si>
  <si>
    <t>2015-2-10 16:29:30.913: TransitionLogger - processTransitionpoint - checking transition - currentHedgeShortfall is 0</t>
  </si>
  <si>
    <t>2015-2-10 16:29:30.914: Algorithm - updatePortfolio - haveAllDetails is True</t>
  </si>
  <si>
    <t>2015-2-10 16:29:30.952: Algorithm - FindNextStrikes - price is 1.52445 nextStrikeUp/Down 1.525/1.52</t>
  </si>
  <si>
    <t>2015-2-10 16:29:30.952: Algorithm - getPortfolioForwardDelta - required deltas is 90 currentHedgePosition is 90</t>
  </si>
  <si>
    <t>2015-2-10 16:29:30.952: Algorithm - getHedgeShortfall - required deltas is 90 price is 1.52455 currentHedgePositionDeltas is 90</t>
  </si>
  <si>
    <t>2015-2-10 16:29:30.953: Algorithm - processTransitionPoint - nextUpper/LowerStrikes are 1.525/1.52 requiredDeltas/currentPosition/currentHedgeShortfall/direction/transitionPrice are 90/90/0/1/1.52455</t>
  </si>
  <si>
    <t>2015-2-10 16:29:30.953: TransitionLogger - processTransitionpoint - checking transition - currentHedgeShortfall is 0</t>
  </si>
  <si>
    <t>2015-2-10 16:29:30.954: Algorithm - updatePortfolio - haveAllDetails is True</t>
  </si>
  <si>
    <t>2015-2-10 16:32:24.872: OrderManager - cancelOrder - cancelling order id 8989</t>
  </si>
  <si>
    <t>2015-2-10 16:32:24.872: OrderManager - PlaceOrder - id 8991 workingQty -553</t>
  </si>
  <si>
    <t>2015-2-10 16:32:24.874: OrderManager - sendOrder - exiting place order id 8991 BUY 29 1.6264  - workingQty -553 currentPosition is 90 workingOrderCount is -14</t>
  </si>
  <si>
    <t>2015-2-10 16:32:25.322: RTWSControl - nextValidId - entering nextValidId id is 8992</t>
  </si>
  <si>
    <t>2015-2-10 16:32:25.531: RTWSControl - orderStatus -  entering orderStatus id is 8989 status is Cancelled</t>
  </si>
  <si>
    <t>2015-2-10 16:32:25.531: OrderManager - UpdateOrderStatus - id 8989 Setting status to Cancelled workingOrderCount is now -14 workingQty -553</t>
  </si>
  <si>
    <t>2015-2-10 16:32:25.533: RTWSControl - OrderStatus - Got OrderStatus Message id:8989 status: Cancelled filled: 0</t>
  </si>
  <si>
    <t>2015-2-10 16:32:25.534: RTWSControl - OrderStatus - exiting orderStatus</t>
  </si>
  <si>
    <t>2015-2-10 16:32:25.543: RTWSControl - errMsg - got error message 202:Order Canceled - reason:with id 8989</t>
  </si>
  <si>
    <t>2015-2-10 16:32:25.544: OrderManager - canceledOrder - cleaning up after canceled order 8989BEWARE UNACCOUNTED FOR EXECUTIONS!!!</t>
  </si>
  <si>
    <t>2015-2-10 16:32:25.544: OrderManager - terminateOrder - cleaning up after Canceled 8989  order was supposed to BUY 31 1.536 STP LMT workingQty/OrderCount now -584/-15</t>
  </si>
  <si>
    <t>2015-2-10 16:32:25.673: openOrderEx - I am here</t>
  </si>
  <si>
    <t>2015-2-10 16:32:25.701: RTWSControl - orderStatus -  entering orderStatus id is 8991 status is PreSubmitted</t>
  </si>
  <si>
    <t>2015-2-10 16:32:25.701: OrderManager - UpdateOrderStatus - id 8991 Setting status to PreSubmitted workingOrderCount is now -15 workingQty -584</t>
  </si>
  <si>
    <t>2015-2-10 16:32:25.704: RTWSControl - OrderStatus - Got OrderStatus Message id:8991 status: PreSubmitted filled: 0</t>
  </si>
  <si>
    <t>2015-2-10 16:32:25.704: RTWSControl - OrderStatus - exiting orderStatus</t>
  </si>
  <si>
    <t>2015-2-10 16:32:52.286: OrderManager - cancelOrder - cancelling order id 8991</t>
  </si>
  <si>
    <t>2015-2-10 16:32:52.286: OrderManager - PlaceOrder - id 8992 workingQty -553</t>
  </si>
  <si>
    <t>2015-2-10 16:32:52.288: OrderManager - sendOrder - exiting place order id 8992 BUY 31 1.5358  - workingQty -553 currentPosition is 90 workingOrderCount is -14</t>
  </si>
  <si>
    <t>2015-2-10 16:32:52.991: RTWSControl - nextValidId - entering nextValidId id is 8993</t>
  </si>
  <si>
    <t>2015-2-10 16:32:53.39: RTWSControl - orderStatus -  entering orderStatus id is 8991 status is Cancelled</t>
  </si>
  <si>
    <t>2015-2-10 16:32:53.39: OrderManager - UpdateOrderStatus - id 8991 Setting status to Cancelled workingOrderCount is now -14 workingQty -553</t>
  </si>
  <si>
    <t>2015-2-10 16:32:53.41: RTWSControl - OrderStatus - Got OrderStatus Message id:8991 status: Cancelled filled: 0</t>
  </si>
  <si>
    <t>2015-2-10 16:32:53.42: RTWSControl - OrderStatus - exiting orderStatus</t>
  </si>
  <si>
    <t>2015-2-10 16:32:53.74: RTWSControl - errMsg - got error message 202:Order Canceled - reason:with id 8991</t>
  </si>
  <si>
    <t>2015-2-10 16:32:53.75: OrderManager - canceledOrder - cleaning up after canceled order 8991BEWARE UNACCOUNTED FOR EXECUTIONS!!!</t>
  </si>
  <si>
    <t>2015-2-10 16:32:53.75: OrderManager - terminateOrder - cleaning up after Canceled 8991  order was supposed to BUY 29 1.6264 STP LMT workingQty/OrderCount now -582/-15</t>
  </si>
  <si>
    <t>2015-2-10 16:32:53.115: openOrderEx - I am here</t>
  </si>
  <si>
    <t>2015-2-10 16:32:53.126: RTWSControl - orderStatus -  entering orderStatus id is 8992 status is PreSubmitted</t>
  </si>
  <si>
    <t>2015-2-10 16:32:53.126: OrderManager - UpdateOrderStatus - id 8992 Setting status to PreSubmitted workingOrderCount is now -15 workingQty -582</t>
  </si>
  <si>
    <t>2015-2-10 16:32:53.128: RTWSControl - OrderStatus - Got OrderStatus Message id:8992 status: PreSubmitted filled: 0</t>
  </si>
  <si>
    <t>2015-2-10 16:32:53.129: RTWSControl - OrderStatus - exiting orderStatus</t>
  </si>
  <si>
    <t>2015-2-10 16:33:57.81: OrderManager - cancelOrder - cancelling order id 8990</t>
  </si>
  <si>
    <t>2015-2-10 16:33:57.81: OrderManager - PlaceOrder - id 8993 workingQty -615</t>
  </si>
  <si>
    <t>2015-2-10 16:33:57.83: OrderManager - sendOrder - exiting place order id 8993 SELL 33 1.5225  - workingQty -615 currentPosition is 90 workingOrderCount is -14</t>
  </si>
  <si>
    <t>2015-2-10 16:33:57.299: RTWSControl - nextValidId - entering nextValidId id is 8994</t>
  </si>
  <si>
    <t>2015-2-10 16:33:57.373: RTWSControl - orderStatus -  entering orderStatus id is 8990 status is Cancelled</t>
  </si>
  <si>
    <t>2015-2-10 16:33:57.374: OrderManager - UpdateOrderStatus - id 8990 Setting status to Cancelled workingOrderCount is now -14 workingQty -615</t>
  </si>
  <si>
    <t>2015-2-10 16:33:57.376: RTWSControl - OrderStatus - Got OrderStatus Message id:8990 status: Cancelled filled: 0</t>
  </si>
  <si>
    <t>2015-2-10 16:33:57.376: RTWSControl - OrderStatus - exiting orderStatus</t>
  </si>
  <si>
    <t>2015-2-10 16:33:57.386: RTWSControl - errMsg - got error message 202:Order Canceled - reason:with id 8990</t>
  </si>
  <si>
    <t>2015-2-10 16:33:57.386: OrderManager - canceledOrder - cleaning up after canceled order 8990BEWARE UNACCOUNTED FOR EXECUTIONS!!!</t>
  </si>
  <si>
    <t>2015-2-10 16:33:57.387: OrderManager - terminateOrder - cleaning up after Canceled 8990  order was supposed to SELL 30 1.5227 STP LMT workingQty/OrderCount now -645/-15</t>
  </si>
  <si>
    <t>2015-2-10 16:33:57.409: openOrderEx - I am here</t>
  </si>
  <si>
    <t>2015-2-10 16:33:57.449: RTWSControl - orderStatus -  entering orderStatus id is 8993 status is PreSubmitted</t>
  </si>
  <si>
    <t>2015-2-10 16:33:57.449: OrderManager - UpdateOrderStatus - id 8993 Setting status to PreSubmitted workingOrderCount is now -15 workingQty -645</t>
  </si>
  <si>
    <t>2015-2-10 16:33:57.451: RTWSControl - OrderStatus - Got OrderStatus Message id:8993 status: PreSubmitted filled: 0</t>
  </si>
  <si>
    <t>2015-2-10 16:33:57.451: RTWSControl - OrderStatus - exiting orderStatus</t>
  </si>
  <si>
    <t>2015-2-10 16:35:4.90: OrderManager - cancelOrder - cancelling order id 8992</t>
  </si>
  <si>
    <t>2015-2-10 16:35:4.91: OrderManager - PlaceOrder - id 8994 workingQty -611</t>
  </si>
  <si>
    <t>2015-2-10 16:35:4.92: OrderManager - sendOrder - exiting place order id 8994 BUY 34 1.5364  - workingQty -611 currentPosition is 90 workingOrderCount is -14</t>
  </si>
  <si>
    <t>2015-2-10 16:35:4.788: RTWSControl - nextValidId - entering nextValidId id is 8995</t>
  </si>
  <si>
    <t>2015-2-10 16:35:4.795: RTWSControl - orderStatus -  entering orderStatus id is 8992 status is Cancelled</t>
  </si>
  <si>
    <t>2015-2-10 16:35:4.795: OrderManager - UpdateOrderStatus - id 8992 Setting status to Cancelled workingOrderCount is now -14 workingQty -611</t>
  </si>
  <si>
    <t>2015-2-10 16:35:4.797: RTWSControl - OrderStatus - Got OrderStatus Message id:8992 status: Cancelled filled: 0</t>
  </si>
  <si>
    <t>2015-2-10 16:35:4.797: RTWSControl - OrderStatus - exiting orderStatus</t>
  </si>
  <si>
    <t>2015-2-10 16:35:4.834: RTWSControl - errMsg - got error message 202:Order Canceled - reason:with id 8992</t>
  </si>
  <si>
    <t>2015-2-10 16:35:4.834: OrderManager - canceledOrder - cleaning up after canceled order 8992BEWARE UNACCOUNTED FOR EXECUTIONS!!!</t>
  </si>
  <si>
    <t>2015-2-10 16:35:4.835: OrderManager - terminateOrder - cleaning up after Canceled 8992  order was supposed to BUY 31 1.5358 STP LMT workingQty/OrderCount now -642/-15</t>
  </si>
  <si>
    <t>2015-2-10 16:35:4.849: openOrderEx - I am here</t>
  </si>
  <si>
    <t>2015-2-10 16:35:4.877: RTWSControl - orderStatus -  entering orderStatus id is 8994 status is PreSubmitted</t>
  </si>
  <si>
    <t>2015-2-10 16:35:4.877: OrderManager - UpdateOrderStatus - id 8994 Setting status to PreSubmitted workingOrderCount is now -15 workingQty -642</t>
  </si>
  <si>
    <t>2015-2-10 16:35:4.879: RTWSControl - OrderStatus - Got OrderStatus Message id:8994 status: PreSubmitted filled: 0</t>
  </si>
  <si>
    <t>2015-2-10 16:35:4.879: RTWSControl - OrderStatus - exiting orderStatus</t>
  </si>
  <si>
    <t>2015-2-10 16:35:30.122: Algorithm - FindNextStrikes - price is 1.52395 nextStrikeUp/Down 1.525/1.52</t>
  </si>
  <si>
    <t>2015-2-10 16:35:30.123: Algorithm - getPortfolioForwardDelta - required deltas is 90 currentHedgePosition is 90</t>
  </si>
  <si>
    <t>2015-2-10 16:35:30.123: Algorithm - getHedgeShortfall - required deltas is 90 price is 1.52405 currentHedgePositionDeltas is 90</t>
  </si>
  <si>
    <t>2015-2-10 16:35:30.123: Algorithm - processTransitionPoint - nextUpper/LowerStrikes are 1.525/1.52 requiredDeltas/currentPosition/currentHedgeShortfall/direction/transitionPrice are 90/90/0/1/1.52405</t>
  </si>
  <si>
    <t>2015-2-10 16:35:30.124: TransitionLogger - processTransitionpoint - checking transition - currentHedgeShortfall is 0</t>
  </si>
  <si>
    <t>2015-2-10 16:35:30.125: Algorithm - updatePortfolio - haveAllDetails is True</t>
  </si>
  <si>
    <t>2015-2-10 16:35:30.168: Algorithm - FindNextStrikes - price is 1.52395 nextStrikeUp/Down 1.525/1.52</t>
  </si>
  <si>
    <t>2015-2-10 16:35:30.169: Algorithm - getPortfolioForwardDelta - required deltas is 90 currentHedgePosition is 90</t>
  </si>
  <si>
    <t>2015-2-10 16:35:30.169: Algorithm - getHedgeShortfall - required deltas is 90 price is 1.52405 currentHedgePositionDeltas is 90</t>
  </si>
  <si>
    <t>2015-2-10 16:35:30.169: Algorithm - processTransitionPoint - nextUpper/LowerStrikes are 1.525/1.52 requiredDeltas/currentPosition/currentHedgeShortfall/direction/transitionPrice are 90/90/0/1/1.52405</t>
  </si>
  <si>
    <t>2015-2-10 16:35:30.170: TransitionLogger - processTransitionpoint - checking transition - currentHedgeShortfall is 0</t>
  </si>
  <si>
    <t>2015-2-10 16:35:30.170: Algorithm - updatePortfolio - haveAllDetails is True</t>
  </si>
  <si>
    <t>2015-2-10 16:35:30.215: Algorithm - FindNextStrikes - price is 1.52395 nextStrikeUp/Down 1.525/1.52</t>
  </si>
  <si>
    <t>2015-2-10 16:35:30.215: Algorithm - getPortfolioForwardDelta - required deltas is 90 currentHedgePosition is 90</t>
  </si>
  <si>
    <t>2015-2-10 16:35:30.216: Algorithm - getHedgeShortfall - required deltas is 90 price is 1.52405 currentHedgePositionDeltas is 90</t>
  </si>
  <si>
    <t>2015-2-10 16:35:30.216: Algorithm - processTransitionPoint - nextUpper/LowerStrikes are 1.525/1.52 requiredDeltas/currentPosition/currentHedgeShortfall/direction/transitionPrice are 90/90/0/1/1.52405</t>
  </si>
  <si>
    <t>2015-2-10 16:35:30.216: TransitionLogger - processTransitionpoint - checking transition - currentHedgeShortfall is 0</t>
  </si>
  <si>
    <t>2015-2-10 16:35:30.217: Algorithm - updatePortfolio - haveAllDetails is True</t>
  </si>
  <si>
    <t>2015-2-10 16:35:30.257: Algorithm - FindNextStrikes - price is 1.52395 nextStrikeUp/Down 1.525/1.52</t>
  </si>
  <si>
    <t>2015-2-10 16:35:30.257: Algorithm - getPortfolioForwardDelta - required deltas is 90 currentHedgePosition is 90</t>
  </si>
  <si>
    <t>2015-2-10 16:35:30.257: Algorithm - getHedgeShortfall - required deltas is 90 price is 1.52405 currentHedgePositionDeltas is 90</t>
  </si>
  <si>
    <t>2015-2-10 16:35:30.258: Algorithm - processTransitionPoint - nextUpper/LowerStrikes are 1.525/1.52 requiredDeltas/currentPosition/currentHedgeShortfall/direction/transitionPrice are 90/90/0/1/1.52405</t>
  </si>
  <si>
    <t>2015-2-10 16:35:30.258: TransitionLogger - processTransitionpoint - checking transition - currentHedgeShortfall is 0</t>
  </si>
  <si>
    <t>2015-2-10 16:35:30.259: Algorithm - updatePortfolio - haveAllDetails is True</t>
  </si>
  <si>
    <t>2015-2-10 16:35:30.303: Algorithm - FindNextStrikes - price is 1.52395 nextStrikeUp/Down 1.525/1.52</t>
  </si>
  <si>
    <t>2015-2-10 16:35:30.303: Algorithm - getPortfolioForwardDelta - required deltas is 90 currentHedgePosition is 90</t>
  </si>
  <si>
    <t>2015-2-10 16:35:30.303: Algorithm - getHedgeShortfall - required deltas is 90 price is 1.52405 currentHedgePositionDeltas is 90</t>
  </si>
  <si>
    <t>2015-2-10 16:35:30.304: Algorithm - processTransitionPoint - nextUpper/LowerStrikes are 1.525/1.52 requiredDeltas/currentPosition/currentHedgeShortfall/direction/transitionPrice are 90/90/0/1/1.52405</t>
  </si>
  <si>
    <t>2015-2-10 16:35:30.304: TransitionLogger - processTransitionpoint - checking transition - currentHedgeShortfall is 0</t>
  </si>
  <si>
    <t>2015-2-10 16:35:30.305: Algorithm - updatePortfolio - haveAllDetails is True</t>
  </si>
  <si>
    <t>2015-2-10 16:35:30.341: Algorithm - FindNextStrikes - price is 1.52395 nextStrikeUp/Down 1.525/1.52</t>
  </si>
  <si>
    <t>2015-2-10 16:35:30.342: Algorithm - getPortfolioForwardDelta - required deltas is 90 currentHedgePosition is 90</t>
  </si>
  <si>
    <t>2015-2-10 16:35:30.342: Algorithm - getHedgeShortfall - required deltas is 90 price is 1.52405 currentHedgePositionDeltas is 90</t>
  </si>
  <si>
    <t>2015-2-10 16:35:30.342: Algorithm - processTransitionPoint - nextUpper/LowerStrikes are 1.525/1.52 requiredDeltas/currentPosition/currentHedgeShortfall/direction/transitionPrice are 90/90/0/1/1.52405</t>
  </si>
  <si>
    <t>2015-2-10 16:35:30.343: TransitionLogger - processTransitionpoint - checking transition - currentHedgeShortfall is 0</t>
  </si>
  <si>
    <t>2015-2-10 16:35:30.343: Algorithm - updatePortfolio - haveAllDetails is True</t>
  </si>
  <si>
    <t>2015-2-10 16:35:30.382: Algorithm - FindNextStrikes - price is 1.52395 nextStrikeUp/Down 1.525/1.52</t>
  </si>
  <si>
    <t>2015-2-10 16:35:30.383: Algorithm - getPortfolioForwardDelta - required deltas is 90 currentHedgePosition is 90</t>
  </si>
  <si>
    <t>2015-2-10 16:35:30.383: Algorithm - getHedgeShortfall - required deltas is 90 price is 1.52405 currentHedgePositionDeltas is 90</t>
  </si>
  <si>
    <t>2015-2-10 16:35:30.383: Algorithm - processTransitionPoint - nextUpper/LowerStrikes are 1.525/1.52 requiredDeltas/currentPosition/currentHedgeShortfall/direction/transitionPrice are 90/90/0/1/1.52405</t>
  </si>
  <si>
    <t>2015-2-10 16:35:30.384: TransitionLogger - processTransitionpoint - checking transition - currentHedgeShortfall is 0</t>
  </si>
  <si>
    <t>2015-2-10 16:35:30.384: Algorithm - updatePortfolio - haveAllDetails is True</t>
  </si>
  <si>
    <t>2015-2-10 16:35:30.426: Algorithm - FindNextStrikes - price is 1.52395 nextStrikeUp/Down 1.525/1.52</t>
  </si>
  <si>
    <t>2015-2-10 16:35:30.426: Algorithm - getPortfolioForwardDelta - required deltas is 90 currentHedgePosition is 90</t>
  </si>
  <si>
    <t>2015-2-10 16:35:30.426: Algorithm - getHedgeShortfall - required deltas is 90 price is 1.52405 currentHedgePositionDeltas is 90</t>
  </si>
  <si>
    <t>2015-2-10 16:35:30.427: Algorithm - processTransitionPoint - nextUpper/LowerStrikes are 1.525/1.52 requiredDeltas/currentPosition/currentHedgeShortfall/direction/transitionPrice are 90/90/0/1/1.52405</t>
  </si>
  <si>
    <t>2015-2-10 16:35:30.427: TransitionLogger - processTransitionpoint - checking transition - currentHedgeShortfall is 0</t>
  </si>
  <si>
    <t>2015-2-10 16:35:30.428: Algorithm - updatePortfolio - haveAllDetails is True</t>
  </si>
  <si>
    <t>2015-2-10 16:35:30.466: Algorithm - FindNextStrikes - price is 1.52395 nextStrikeUp/Down 1.525/1.52</t>
  </si>
  <si>
    <t>2015-2-10 16:35:30.467: Algorithm - getPortfolioForwardDelta - required deltas is 90 currentHedgePosition is 90</t>
  </si>
  <si>
    <t>2015-2-10 16:35:30.467: Algorithm - getHedgeShortfall - required deltas is 90 price is 1.52405 currentHedgePositionDeltas is 90</t>
  </si>
  <si>
    <t>2015-2-10 16:35:30.467: Algorithm - processTransitionPoint - nextUpper/LowerStrikes are 1.525/1.52 requiredDeltas/currentPosition/currentHedgeShortfall/direction/transitionPrice are 90/90/0/1/1.52405</t>
  </si>
  <si>
    <t>2015-2-10 16:35:30.468: TransitionLogger - processTransitionpoint - checking transition - currentHedgeShortfall is 0</t>
  </si>
  <si>
    <t>2015-2-10 16:35:30.468: Algorithm - updatePortfolio - haveAllDetails is True</t>
  </si>
  <si>
    <t>2015-2-10 16:36:16.419: OrderManager - cancelOrder - cancelling order id 8994</t>
  </si>
  <si>
    <t>2015-2-10 16:36:16.419: OrderManager - PlaceOrder - id 8995 workingQty -611</t>
  </si>
  <si>
    <t>2015-2-10 16:36:16.421: OrderManager - sendOrder - exiting place order id 8995 BUY 31 1.5359  - workingQty -611 currentPosition is 90 workingOrderCount is -14</t>
  </si>
  <si>
    <t>2015-2-10 16:36:16.558: RTWSControl - nextValidId - entering nextValidId id is 8996</t>
  </si>
  <si>
    <t>2015-2-10 16:36:16.729: RTWSControl - orderStatus -  entering orderStatus id is 8994 status is Cancelled</t>
  </si>
  <si>
    <t>2015-2-10 16:36:16.730: OrderManager - UpdateOrderStatus - id 8994 Setting status to Cancelled workingOrderCount is now -14 workingQty -611</t>
  </si>
  <si>
    <t>2015-2-10 16:36:16.738: RTWSControl - OrderStatus - Got OrderStatus Message id:8994 status: Cancelled filled: 0</t>
  </si>
  <si>
    <t>2015-2-10 16:36:16.738: RTWSControl - OrderStatus - exiting orderStatus</t>
  </si>
  <si>
    <t>2015-2-10 16:36:16.754: RTWSControl - errMsg - got error message 202:Order Canceled - reason:with id 8994</t>
  </si>
  <si>
    <t>2015-2-10 16:36:16.755: OrderManager - canceledOrder - cleaning up after canceled order 8994BEWARE UNACCOUNTED FOR EXECUTIONS!!!</t>
  </si>
  <si>
    <t>2015-2-10 16:36:16.756: OrderManager - terminateOrder - cleaning up after Canceled 8994  order was supposed to BUY 34 1.5364 STP LMT workingQty/OrderCount now -645/-15</t>
  </si>
  <si>
    <t>2015-2-10 16:36:16.778: openOrderEx - I am here</t>
  </si>
  <si>
    <t>2015-2-10 16:36:16.794: RTWSControl - orderStatus -  entering orderStatus id is 8995 status is PreSubmitted</t>
  </si>
  <si>
    <t>2015-2-10 16:36:16.794: OrderManager - UpdateOrderStatus - id 8995 Setting status to PreSubmitted workingOrderCount is now -15 workingQty -645</t>
  </si>
  <si>
    <t>2015-2-10 16:36:16.796: RTWSControl - OrderStatus - Got OrderStatus Message id:8995 status: PreSubmitted filled: 0</t>
  </si>
  <si>
    <t>2015-2-10 16:36:16.796: RTWSControl - OrderStatus - exiting orderStatus</t>
  </si>
  <si>
    <t>2015-2-10 16:37:23.554: Util - logStaleData - Data is stale!</t>
  </si>
  <si>
    <t>2015-2-10 16:38:30.560: Algorithm - FindNextStrikes - price is 1.52415 nextStrikeUp/Down 1.525/1.52</t>
  </si>
  <si>
    <t>2015-2-10 16:38:30.561: Algorithm - getPortfolioForwardDelta - required deltas is 90 currentHedgePosition is 90</t>
  </si>
  <si>
    <t>2015-2-10 16:38:30.561: Algorithm - getHedgeShortfall - required deltas is 90 price is 1.52405 currentHedgePositionDeltas is 90</t>
  </si>
  <si>
    <t>2015-2-10 16:38:30.562: Algorithm - processTransitionPoint - nextUpper/LowerStrikes are 1.525/1.52 requiredDeltas/currentPosition/currentHedgeShortfall/direction/transitionPrice are 90/90/0/-1/1.52405</t>
  </si>
  <si>
    <t>2015-2-10 16:38:30.562: TransitionLogger - processTransitionpoint - checking transition - currentHedgeShortfall is 0</t>
  </si>
  <si>
    <t>2015-2-10 16:38:30.564: Algorithm - updatePortfolio - haveAllDetails is True</t>
  </si>
  <si>
    <t>2015-2-10 16:38:30.605: Algorithm - FindNextStrikes - price is 1.52415 nextStrikeUp/Down 1.525/1.52</t>
  </si>
  <si>
    <t>2015-2-10 16:38:30.605: Algorithm - getPortfolioForwardDelta - required deltas is 90 currentHedgePosition is 90</t>
  </si>
  <si>
    <t>2015-2-10 16:38:30.606: Algorithm - getHedgeShortfall - required deltas is 90 price is 1.52405 currentHedgePositionDeltas is 90</t>
  </si>
  <si>
    <t>2015-2-10 16:38:30.606: Algorithm - processTransitionPoint - nextUpper/LowerStrikes are 1.525/1.52 requiredDeltas/currentPosition/currentHedgeShortfall/direction/transitionPrice are 90/90/0/-1/1.52405</t>
  </si>
  <si>
    <t>2015-2-10 16:38:30.607: TransitionLogger - processTransitionpoint - checking transition - currentHedgeShortfall is 0</t>
  </si>
  <si>
    <t>2015-2-10 16:38:30.607: Algorithm - updatePortfolio - haveAllDetails is True</t>
  </si>
  <si>
    <t>2015-2-10 16:38:30.651: Algorithm - FindNextStrikes - price is 1.52415 nextStrikeUp/Down 1.525/1.52</t>
  </si>
  <si>
    <t>2015-2-10 16:38:30.651: Algorithm - getPortfolioForwardDelta - required deltas is 90 currentHedgePosition is 90</t>
  </si>
  <si>
    <t>2015-2-10 16:38:30.652: Algorithm - getHedgeShortfall - required deltas is 90 price is 1.52405 currentHedgePositionDeltas is 90</t>
  </si>
  <si>
    <t>2015-2-10 16:38:30.652: Algorithm - processTransitionPoint - nextUpper/LowerStrikes are 1.525/1.52 requiredDeltas/currentPosition/currentHedgeShortfall/direction/transitionPrice are 90/90/0/-1/1.52405</t>
  </si>
  <si>
    <t>2015-2-10 16:38:30.652: TransitionLogger - processTransitionpoint - checking transition - currentHedgeShortfall is 0</t>
  </si>
  <si>
    <t>2015-2-10 16:38:30.653: Algorithm - updatePortfolio - haveAllDetails is True</t>
  </si>
  <si>
    <t>2015-2-10 16:38:30.693: Algorithm - FindNextStrikes - price is 1.52415 nextStrikeUp/Down 1.525/1.52</t>
  </si>
  <si>
    <t>2015-2-10 16:38:30.693: Algorithm - getPortfolioForwardDelta - required deltas is 90 currentHedgePosition is 90</t>
  </si>
  <si>
    <t>2015-2-10 16:38:30.694: Algorithm - getHedgeShortfall - required deltas is 90 price is 1.52405 currentHedgePositionDeltas is 90</t>
  </si>
  <si>
    <t>2015-2-10 16:38:30.694: Algorithm - processTransitionPoint - nextUpper/LowerStrikes are 1.525/1.52 requiredDeltas/currentPosition/currentHedgeShortfall/direction/transitionPrice are 90/90/0/-1/1.52405</t>
  </si>
  <si>
    <t>2015-2-10 16:38:30.694: TransitionLogger - processTransitionpoint - checking transition - currentHedgeShortfall is 0</t>
  </si>
  <si>
    <t>2015-2-10 16:38:30.695: Algorithm - updatePortfolio - haveAllDetails is True</t>
  </si>
  <si>
    <t>2015-2-10 16:38:30.736: Algorithm - FindNextStrikes - price is 1.52415 nextStrikeUp/Down 1.525/1.52</t>
  </si>
  <si>
    <t>2015-2-10 16:38:30.736: Algorithm - getPortfolioForwardDelta - required deltas is 90 currentHedgePosition is 90</t>
  </si>
  <si>
    <t>2015-2-10 16:38:30.736: Algorithm - getHedgeShortfall - required deltas is 90 price is 1.52405 currentHedgePositionDeltas is 90</t>
  </si>
  <si>
    <t>2015-2-10 16:38:30.737: Algorithm - processTransitionPoint - nextUpper/LowerStrikes are 1.525/1.52 requiredDeltas/currentPosition/currentHedgeShortfall/direction/transitionPrice are 90/90/0/-1/1.52405</t>
  </si>
  <si>
    <t>2015-2-10 16:38:30.737: TransitionLogger - processTransitionpoint - checking transition - currentHedgeShortfall is 0</t>
  </si>
  <si>
    <t>2015-2-10 16:38:30.738: Algorithm - updatePortfolio - haveAllDetails is True</t>
  </si>
  <si>
    <t>2015-2-10 16:38:30.775: Algorithm - FindNextStrikes - price is 1.52415 nextStrikeUp/Down 1.525/1.52</t>
  </si>
  <si>
    <t>2015-2-10 16:38:30.775: Algorithm - getPortfolioForwardDelta - required deltas is 90 currentHedgePosition is 90</t>
  </si>
  <si>
    <t>2015-2-10 16:38:30.776: Algorithm - getHedgeShortfall - required deltas is 90 price is 1.52405 currentHedgePositionDeltas is 90</t>
  </si>
  <si>
    <t>2015-2-10 16:38:30.776: Algorithm - processTransitionPoint - nextUpper/LowerStrikes are 1.525/1.52 requiredDeltas/currentPosition/currentHedgeShortfall/direction/transitionPrice are 90/90/0/-1/1.52405</t>
  </si>
  <si>
    <t>2015-2-10 16:38:30.776: TransitionLogger - processTransitionpoint - checking transition - currentHedgeShortfall is 0</t>
  </si>
  <si>
    <t>2015-2-10 16:38:30.777: Algorithm - updatePortfolio - haveAllDetails is True</t>
  </si>
  <si>
    <t>2015-2-10 16:38:30.820: Algorithm - FindNextStrikes - price is 1.52415 nextStrikeUp/Down 1.525/1.52</t>
  </si>
  <si>
    <t>2015-2-10 16:38:30.821: Algorithm - getPortfolioForwardDelta - required deltas is 90 currentHedgePosition is 90</t>
  </si>
  <si>
    <t>2015-2-10 16:38:30.821: Algorithm - getHedgeShortfall - required deltas is 90 price is 1.52405 currentHedgePositionDeltas is 90</t>
  </si>
  <si>
    <t>2015-2-10 16:38:30.821: Algorithm - processTransitionPoint - nextUpper/LowerStrikes are 1.525/1.52 requiredDeltas/currentPosition/currentHedgeShortfall/direction/transitionPrice are 90/90/0/-1/1.52405</t>
  </si>
  <si>
    <t>2015-2-10 16:38:30.822: TransitionLogger - processTransitionpoint - checking transition - currentHedgeShortfall is 0</t>
  </si>
  <si>
    <t>2015-2-10 16:38:30.822: Algorithm - updatePortfolio - haveAllDetails is True</t>
  </si>
  <si>
    <t>2015-2-10 16:38:30.862: Algorithm - FindNextStrikes - price is 1.52415 nextStrikeUp/Down 1.525/1.52</t>
  </si>
  <si>
    <t>2015-2-10 16:38:30.862: Algorithm - getPortfolioForwardDelta - required deltas is 90 currentHedgePosition is 90</t>
  </si>
  <si>
    <t>2015-2-10 16:38:30.862: Algorithm - getHedgeShortfall - required deltas is 90 price is 1.52405 currentHedgePositionDeltas is 90</t>
  </si>
  <si>
    <t>2015-2-10 16:38:30.863: Algorithm - processTransitionPoint - nextUpper/LowerStrikes are 1.525/1.52 requiredDeltas/currentPosition/currentHedgeShortfall/direction/transitionPrice are 90/90/0/-1/1.52405</t>
  </si>
  <si>
    <t>2015-2-10 16:38:30.863: TransitionLogger - processTransitionpoint - checking transition - currentHedgeShortfall is 0</t>
  </si>
  <si>
    <t>2015-2-10 16:38:30.864: Algorithm - updatePortfolio - haveAllDetails is True</t>
  </si>
  <si>
    <t>2015-2-10 16:38:30.902: Algorithm - FindNextStrikes - price is 1.52415 nextStrikeUp/Down 1.525/1.52</t>
  </si>
  <si>
    <t>2015-2-10 16:38:30.902: Algorithm - getPortfolioForwardDelta - required deltas is 90 currentHedgePosition is 90</t>
  </si>
  <si>
    <t>2015-2-10 16:38:30.902: Algorithm - getHedgeShortfall - required deltas is 90 price is 1.52405 currentHedgePositionDeltas is 90</t>
  </si>
  <si>
    <t>2015-2-10 16:38:30.903: Algorithm - processTransitionPoint - nextUpper/LowerStrikes are 1.525/1.52 requiredDeltas/currentPosition/currentHedgeShortfall/direction/transitionPrice are 90/90/0/-1/1.52405</t>
  </si>
  <si>
    <t>2015-2-10 16:38:30.903: TransitionLogger - processTransitionpoint - checking transition - currentHedgeShortfall is 0</t>
  </si>
  <si>
    <t>2015-2-10 16:38:30.904: Algorithm - updatePortfolio - haveAllDetails is True</t>
  </si>
  <si>
    <t>2015-2-10 16:39:4.513: OrderManager - cancelOrder - cancelling order id 8993</t>
  </si>
  <si>
    <t>2015-2-10 16:39:4.513: OrderManager - PlaceOrder - id 8996 workingQty -675</t>
  </si>
  <si>
    <t>2015-2-10 16:39:4.514: OrderManager - sendOrder - exiting place order id 8996 SELL 30 1.5228  - workingQty -675 currentPosition is 90 workingOrderCount is -14</t>
  </si>
  <si>
    <t>2015-2-10 16:39:4.693: RTWSControl - nextValidId - entering nextValidId id is 8997</t>
  </si>
  <si>
    <t>2015-2-10 16:39:4.770: RTWSControl - orderStatus -  entering orderStatus id is 8993 status is Cancelled</t>
  </si>
  <si>
    <t>2015-2-10 16:39:4.770: OrderManager - UpdateOrderStatus - id 8993 Setting status to Cancelled workingOrderCount is now -14 workingQty -675</t>
  </si>
  <si>
    <t>2015-2-10 16:39:4.773: RTWSControl - OrderStatus - Got OrderStatus Message id:8993 status: Cancelled filled: 0</t>
  </si>
  <si>
    <t>2015-2-10 16:39:4.773: RTWSControl - OrderStatus - exiting orderStatus</t>
  </si>
  <si>
    <t>2015-2-10 16:39:4.783: RTWSControl - errMsg - got error message 202:Order Canceled - reason:with id 8993</t>
  </si>
  <si>
    <t>2015-2-10 16:39:4.783: OrderManager - canceledOrder - cleaning up after canceled order 8993BEWARE UNACCOUNTED FOR EXECUTIONS!!!</t>
  </si>
  <si>
    <t>2015-2-10 16:39:4.784: OrderManager - terminateOrder - cleaning up after Canceled 8993  order was supposed to SELL 33 1.5225 STP LMT workingQty/OrderCount now -708/-15</t>
  </si>
  <si>
    <t>2015-2-10 16:39:5.10: openOrderEx - I am here</t>
  </si>
  <si>
    <t>2015-2-10 16:39:5.41: RTWSControl - orderStatus -  entering orderStatus id is 8996 status is PreSubmitted</t>
  </si>
  <si>
    <t>2015-2-10 16:39:5.41: OrderManager - UpdateOrderStatus - id 8996 Setting status to PreSubmitted workingOrderCount is now -15 workingQty -708</t>
  </si>
  <si>
    <t>2015-2-10 16:39:5.43: RTWSControl - OrderStatus - Got OrderStatus Message id:8996 status: PreSubmitted filled: 0</t>
  </si>
  <si>
    <t>2015-2-10 16:39:5.44: RTWSControl - OrderStatus - exiting orderStatus</t>
  </si>
  <si>
    <t>2015-2-10 16:39:25.66: OrderManager - cancelOrder - cancelling order id 8996</t>
  </si>
  <si>
    <t>2015-2-10 16:39:25.67: OrderManager - PlaceOrder - id 8997 workingQty -741</t>
  </si>
  <si>
    <t>2015-2-10 16:39:25.73: OrderManager - sendOrder - exiting place order id 8997 SELL 33 1.5226  - workingQty -741 currentPosition is 90 workingOrderCount is -14</t>
  </si>
  <si>
    <t>2015-2-10 16:39:25.263: RTWSControl - nextValidId - entering nextValidId id is 8998</t>
  </si>
  <si>
    <t>2015-2-10 16:39:25.320: RTWSControl - orderStatus -  entering orderStatus id is 8996 status is Cancelled</t>
  </si>
  <si>
    <t>2015-2-10 16:39:25.320: OrderManager - UpdateOrderStatus - id 8996 Setting status to Cancelled workingOrderCount is now -14 workingQty -741</t>
  </si>
  <si>
    <t>2015-2-10 16:39:25.322: RTWSControl - OrderStatus - Got OrderStatus Message id:8996 status: Cancelled filled: 0</t>
  </si>
  <si>
    <t>2015-2-10 16:39:25.323: RTWSControl - OrderStatus - exiting orderStatus</t>
  </si>
  <si>
    <t>2015-2-10 16:39:25.337: RTWSControl - errMsg - got error message 202:Order Canceled - reason:with id 8996</t>
  </si>
  <si>
    <t>2015-2-10 16:39:25.338: OrderManager - canceledOrder - cleaning up after canceled order 8996BEWARE UNACCOUNTED FOR EXECUTIONS!!!</t>
  </si>
  <si>
    <t>2015-2-10 16:39:25.338: OrderManager - terminateOrder - cleaning up after Canceled 8996  order was supposed to SELL 30 1.5228 STP LMT workingQty/OrderCount now -771/-15</t>
  </si>
  <si>
    <t>2015-2-10 16:39:25.352: openOrderEx - I am here</t>
  </si>
  <si>
    <t>2015-2-10 16:39:25.390: RTWSControl - orderStatus -  entering orderStatus id is 8997 status is PreSubmitted</t>
  </si>
  <si>
    <t>2015-2-10 16:39:25.390: OrderManager - UpdateOrderStatus - id 8997 Setting status to PreSubmitted workingOrderCount is now -15 workingQty -771</t>
  </si>
  <si>
    <t>2015-2-10 16:39:25.392: RTWSControl - OrderStatus - Got OrderStatus Message id:8997 status: PreSubmitted filled: 0</t>
  </si>
  <si>
    <t>2015-2-10 16:39:25.392: RTWSControl - OrderStatus - exiting orderStatus</t>
  </si>
  <si>
    <t>2015-2-10 16:41:24.869: OrderManager - cancelOrder - cancelling order id 8997</t>
  </si>
  <si>
    <t>2015-2-10 16:41:24.869: OrderManager - PlaceOrder - id 8998 workingQty -801</t>
  </si>
  <si>
    <t>2015-2-10 16:41:24.871: OrderManager - sendOrder - exiting place order id 8998 SELL 30 1.5229  - workingQty -801 currentPosition is 90 workingOrderCount is -14</t>
  </si>
  <si>
    <t>2015-2-10 16:41:26.185: RTWSControl - nextValidId - entering nextValidId id is 8999</t>
  </si>
  <si>
    <t>2015-2-10 16:41:26.190: RTWSControl - orderStatus -  entering orderStatus id is 8997 status is Cancelled</t>
  </si>
  <si>
    <t>2015-2-10 16:41:26.190: OrderManager - UpdateOrderStatus - id 8997 Setting status to Cancelled workingOrderCount is now -14 workingQty -801</t>
  </si>
  <si>
    <t>2015-2-10 16:41:26.192: RTWSControl - OrderStatus - Got OrderStatus Message id:8997 status: Cancelled filled: 0</t>
  </si>
  <si>
    <t>2015-2-10 16:41:26.192: RTWSControl - OrderStatus - exiting orderStatus</t>
  </si>
  <si>
    <t>2015-2-10 16:41:26.226: RTWSControl - errMsg - got error message 202:Order Canceled - reason:with id 8997</t>
  </si>
  <si>
    <t>2015-2-10 16:41:26.226: OrderManager - canceledOrder - cleaning up after canceled order 8997BEWARE UNACCOUNTED FOR EXECUTIONS!!!</t>
  </si>
  <si>
    <t>2015-2-10 16:41:26.227: OrderManager - terminateOrder - cleaning up after Canceled 8997  order was supposed to SELL 33 1.5226 STP LMT workingQty/OrderCount now -834/-15</t>
  </si>
  <si>
    <t>2015-2-10 16:41:26.395: openOrderEx - I am here</t>
  </si>
  <si>
    <t>2015-2-10 16:41:26.406: RTWSControl - orderStatus -  entering orderStatus id is 8998 status is PreSubmitted</t>
  </si>
  <si>
    <t>2015-2-10 16:41:26.406: OrderManager - UpdateOrderStatus - id 8998 Setting status to PreSubmitted workingOrderCount is now -15 workingQty -834</t>
  </si>
  <si>
    <t>2015-2-10 16:41:26.408: RTWSControl - OrderStatus - Got OrderStatus Message id:8998 status: PreSubmitted filled: 0</t>
  </si>
  <si>
    <t>2015-2-10 16:41:26.408: RTWSControl - OrderStatus - exiting orderStatus</t>
  </si>
  <si>
    <t>2015-2-10 16:41:31.316: Algorithm - FindNextStrikes - price is 1.52455 nextStrikeUp/Down 1.525/1.52</t>
  </si>
  <si>
    <t>2015-2-10 16:41:31.317: Algorithm - getPortfolioForwardDelta - required deltas is 90 currentHedgePosition is 90</t>
  </si>
  <si>
    <t>2015-2-10 16:41:31.317: Algorithm - getHedgeShortfall - required deltas is 90 price is 1.52465 currentHedgePositionDeltas is 90</t>
  </si>
  <si>
    <t>2015-2-10 16:41:31.317: Algorithm - processTransitionPoint - nextUpper/LowerStrikes are 1.525/1.52 requiredDeltas/currentPosition/currentHedgeShortfall/direction/transitionPrice are 90/90/0/1/1.52465</t>
  </si>
  <si>
    <t>2015-2-10 16:41:31.318: TransitionLogger - processTransitionpoint - checking transition - currentHedgeShortfall is 0</t>
  </si>
  <si>
    <t>2015-2-10 16:41:31.319: Algorithm - updatePortfolio - haveAllDetails is True</t>
  </si>
  <si>
    <t>2015-2-10 16:41:31.363: Algorithm - FindNextStrikes - price is 1.52455 nextStrikeUp/Down 1.525/1.52</t>
  </si>
  <si>
    <t>2015-2-10 16:41:31.364: Algorithm - getPortfolioForwardDelta - required deltas is 90 currentHedgePosition is 90</t>
  </si>
  <si>
    <t>2015-2-10 16:41:31.364: Algorithm - getHedgeShortfall - required deltas is 90 price is 1.52465 currentHedgePositionDeltas is 90</t>
  </si>
  <si>
    <t>2015-2-10 16:41:31.364: Algorithm - processTransitionPoint - nextUpper/LowerStrikes are 1.525/1.52 requiredDeltas/currentPosition/currentHedgeShortfall/direction/transitionPrice are 90/90/0/1/1.52465</t>
  </si>
  <si>
    <t>2015-2-10 16:41:31.365: TransitionLogger - processTransitionpoint - checking transition - currentHedgeShortfall is 0</t>
  </si>
  <si>
    <t>2015-2-10 16:41:31.366: Algorithm - updatePortfolio - haveAllDetails is True</t>
  </si>
  <si>
    <t>2015-2-10 16:41:31.408: Algorithm - FindNextStrikes - price is 1.52455 nextStrikeUp/Down 1.525/1.52</t>
  </si>
  <si>
    <t>2015-2-10 16:41:31.409: Algorithm - getPortfolioForwardDelta - required deltas is 90 currentHedgePosition is 90</t>
  </si>
  <si>
    <t>2015-2-10 16:41:31.409: Algorithm - getHedgeShortfall - required deltas is 90 price is 1.52465 currentHedgePositionDeltas is 90</t>
  </si>
  <si>
    <t>2015-2-10 16:41:31.409: Algorithm - processTransitionPoint - nextUpper/LowerStrikes are 1.525/1.52 requiredDeltas/currentPosition/currentHedgeShortfall/direction/transitionPrice are 90/90/0/1/1.52465</t>
  </si>
  <si>
    <t>2015-2-10 16:41:31.410: TransitionLogger - processTransitionpoint - checking transition - currentHedgeShortfall is 0</t>
  </si>
  <si>
    <t>2015-2-10 16:41:31.410: Algorithm - updatePortfolio - haveAllDetails is True</t>
  </si>
  <si>
    <t>2015-2-10 16:41:31.449: Algorithm - FindNextStrikes - price is 1.52455 nextStrikeUp/Down 1.525/1.52</t>
  </si>
  <si>
    <t>2015-2-10 16:41:31.450: Algorithm - getPortfolioForwardDelta - required deltas is 90 currentHedgePosition is 90</t>
  </si>
  <si>
    <t>2015-2-10 16:41:31.450: Algorithm - getHedgeShortfall - required deltas is 90 price is 1.52465 currentHedgePositionDeltas is 90</t>
  </si>
  <si>
    <t>2015-2-10 16:41:31.450: Algorithm - processTransitionPoint - nextUpper/LowerStrikes are 1.525/1.52 requiredDeltas/currentPosition/currentHedgeShortfall/direction/transitionPrice are 90/90/0/1/1.52465</t>
  </si>
  <si>
    <t>2015-2-10 16:41:31.451: TransitionLogger - processTransitionpoint - checking transition - currentHedgeShortfall is 0</t>
  </si>
  <si>
    <t>2015-2-10 16:41:31.451: Algorithm - updatePortfolio - haveAllDetails is True</t>
  </si>
  <si>
    <t>2015-2-10 16:41:31.494: Algorithm - FindNextStrikes - price is 1.52455 nextStrikeUp/Down 1.525/1.52</t>
  </si>
  <si>
    <t>2015-2-10 16:41:31.494: Algorithm - getPortfolioForwardDelta - required deltas is 90 currentHedgePosition is 90</t>
  </si>
  <si>
    <t>2015-2-10 16:41:31.494: Algorithm - getHedgeShortfall - required deltas is 90 price is 1.52465 currentHedgePositionDeltas is 90</t>
  </si>
  <si>
    <t>2015-2-10 16:41:31.495: Algorithm - processTransitionPoint - nextUpper/LowerStrikes are 1.525/1.52 requiredDeltas/currentPosition/currentHedgeShortfall/direction/transitionPrice are 90/90/0/1/1.52465</t>
  </si>
  <si>
    <t>2015-2-10 16:41:31.495: TransitionLogger - processTransitionpoint - checking transition - currentHedgeShortfall is 0</t>
  </si>
  <si>
    <t>2015-2-10 16:41:31.496: Algorithm - updatePortfolio - haveAllDetails is True</t>
  </si>
  <si>
    <t>2015-2-10 16:41:31.532: Algorithm - FindNextStrikes - price is 1.52455 nextStrikeUp/Down 1.525/1.52</t>
  </si>
  <si>
    <t>2015-2-10 16:41:31.533: Algorithm - getPortfolioForwardDelta - required deltas is 90 currentHedgePosition is 90</t>
  </si>
  <si>
    <t>2015-2-10 16:41:31.533: Algorithm - getHedgeShortfall - required deltas is 90 price is 1.52465 currentHedgePositionDeltas is 90</t>
  </si>
  <si>
    <t>2015-2-10 16:41:31.533: Algorithm - processTransitionPoint - nextUpper/LowerStrikes are 1.525/1.52 requiredDeltas/currentPosition/currentHedgeShortfall/direction/transitionPrice are 90/90/0/1/1.52465</t>
  </si>
  <si>
    <t>2015-2-10 16:41:31.534: TransitionLogger - processTransitionpoint - checking transition - currentHedgeShortfall is 0</t>
  </si>
  <si>
    <t>2015-2-10 16:41:31.535: Algorithm - updatePortfolio - haveAllDetails is True</t>
  </si>
  <si>
    <t>2015-2-10 16:41:31.574: Algorithm - FindNextStrikes - price is 1.52455 nextStrikeUp/Down 1.525/1.52</t>
  </si>
  <si>
    <t>2015-2-10 16:41:31.574: Algorithm - getPortfolioForwardDelta - required deltas is 90 currentHedgePosition is 90</t>
  </si>
  <si>
    <t>2015-2-10 16:41:31.574: Algorithm - getHedgeShortfall - required deltas is 90 price is 1.52465 currentHedgePositionDeltas is 90</t>
  </si>
  <si>
    <t>2015-2-10 16:41:31.575: Algorithm - processTransitionPoint - nextUpper/LowerStrikes are 1.525/1.52 requiredDeltas/currentPosition/currentHedgeShortfall/direction/transitionPrice are 90/90/0/1/1.52465</t>
  </si>
  <si>
    <t>2015-2-10 16:41:31.575: TransitionLogger - processTransitionpoint - checking transition - currentHedgeShortfall is 0</t>
  </si>
  <si>
    <t>2015-2-10 16:41:31.576: Algorithm - updatePortfolio - haveAllDetails is True</t>
  </si>
  <si>
    <t>2015-2-10 16:41:31.617: Algorithm - FindNextStrikes - price is 1.52455 nextStrikeUp/Down 1.525/1.52</t>
  </si>
  <si>
    <t>2015-2-10 16:41:31.618: Algorithm - getPortfolioForwardDelta - required deltas is 90 currentHedgePosition is 90</t>
  </si>
  <si>
    <t>2015-2-10 16:41:31.618: Algorithm - getHedgeShortfall - required deltas is 90 price is 1.52465 currentHedgePositionDeltas is 90</t>
  </si>
  <si>
    <t>2015-2-10 16:41:31.618: Algorithm - processTransitionPoint - nextUpper/LowerStrikes are 1.525/1.52 requiredDeltas/currentPosition/currentHedgeShortfall/direction/transitionPrice are 90/90/0/1/1.52465</t>
  </si>
  <si>
    <t>2015-2-10 16:41:31.619: TransitionLogger - processTransitionpoint - checking transition - currentHedgeShortfall is 0</t>
  </si>
  <si>
    <t>2015-2-10 16:41:31.620: Algorithm - updatePortfolio - haveAllDetails is True</t>
  </si>
  <si>
    <t>2015-2-10 16:41:31.659: Algorithm - FindNextStrikes - price is 1.52455 nextStrikeUp/Down 1.525/1.52</t>
  </si>
  <si>
    <t>2015-2-10 16:41:31.660: Algorithm - getPortfolioForwardDelta - required deltas is 90 currentHedgePosition is 90</t>
  </si>
  <si>
    <t>2015-2-10 16:41:31.660: Algorithm - getHedgeShortfall - required deltas is 90 price is 1.52465 currentHedgePositionDeltas is 90</t>
  </si>
  <si>
    <t>2015-2-10 16:41:31.661: Algorithm - processTransitionPoint - nextUpper/LowerStrikes are 1.525/1.52 requiredDeltas/currentPosition/currentHedgeShortfall/direction/transitionPrice are 90/90/0/1/1.52465</t>
  </si>
  <si>
    <t>2015-2-10 16:41:31.661: TransitionLogger - processTransitionpoint - checking transition - currentHedgeShortfall is 0</t>
  </si>
  <si>
    <t>2015-2-10 16:41:31.662: Algorithm - updatePortfolio - haveAllDetails is True</t>
  </si>
  <si>
    <t>2015-2-10 16:44:30.489: Algorithm - FindNextStrikes - price is 1.52465 nextStrikeUp/Down 1.525/1.52</t>
  </si>
  <si>
    <t>2015-2-10 16:44:30.490: Algorithm - getPortfolioForwardDelta - required deltas is 90 currentHedgePosition is 90</t>
  </si>
  <si>
    <t>2015-2-10 16:44:30.490: Algorithm - getHedgeShortfall - required deltas is 90 price is 1.52455 currentHedgePositionDeltas is 90</t>
  </si>
  <si>
    <t>2015-2-10 16:44:30.490: Algorithm - processTransitionPoint - nextUpper/LowerStrikes are 1.525/1.52 requiredDeltas/currentPosition/currentHedgeShortfall/direction/transitionPrice are 90/90/0/-1/1.52455</t>
  </si>
  <si>
    <t>2015-2-10 16:44:30.491: TransitionLogger - processTransitionpoint - checking transition - currentHedgeShortfall is 0</t>
  </si>
  <si>
    <t>2015-2-10 16:44:30.492: Algorithm - updatePortfolio - haveAllDetails is True</t>
  </si>
  <si>
    <t>2015-2-10 16:44:30.536: Algorithm - FindNextStrikes - price is 1.52465 nextStrikeUp/Down 1.525/1.52</t>
  </si>
  <si>
    <t>2015-2-10 16:44:30.537: Algorithm - getPortfolioForwardDelta - required deltas is 90 currentHedgePosition is 90</t>
  </si>
  <si>
    <t>2015-2-10 16:44:30.537: Algorithm - getHedgeShortfall - required deltas is 90 price is 1.52455 currentHedgePositionDeltas is 90</t>
  </si>
  <si>
    <t>2015-2-10 16:44:30.537: Algorithm - processTransitionPoint - nextUpper/LowerStrikes are 1.525/1.52 requiredDeltas/currentPosition/currentHedgeShortfall/direction/transitionPrice are 90/90/0/-1/1.52455</t>
  </si>
  <si>
    <t>2015-2-10 16:44:30.538: TransitionLogger - processTransitionpoint - checking transition - currentHedgeShortfall is 0</t>
  </si>
  <si>
    <t>2015-2-10 16:44:30.539: Algorithm - updatePortfolio - haveAllDetails is True</t>
  </si>
  <si>
    <t>2015-2-10 16:44:30.580: Algorithm - FindNextStrikes - price is 1.52465 nextStrikeUp/Down 1.525/1.52</t>
  </si>
  <si>
    <t>2015-2-10 16:44:30.580: Algorithm - getPortfolioForwardDelta - required deltas is 90 currentHedgePosition is 90</t>
  </si>
  <si>
    <t>2015-2-10 16:44:30.580: Algorithm - getHedgeShortfall - required deltas is 90 price is 1.52455 currentHedgePositionDeltas is 90</t>
  </si>
  <si>
    <t>2015-2-10 16:44:30.581: Algorithm - processTransitionPoint - nextUpper/LowerStrikes are 1.525/1.52 requiredDeltas/currentPosition/currentHedgeShortfall/direction/transitionPrice are 90/90/0/-1/1.52455</t>
  </si>
  <si>
    <t>2015-2-10 16:44:30.581: TransitionLogger - processTransitionpoint - checking transition - currentHedgeShortfall is 0</t>
  </si>
  <si>
    <t>2015-2-10 16:44:30.582: Algorithm - updatePortfolio - haveAllDetails is True</t>
  </si>
  <si>
    <t>2015-2-10 16:44:30.623: Algorithm - FindNextStrikes - price is 1.52465 nextStrikeUp/Down 1.525/1.52</t>
  </si>
  <si>
    <t>2015-2-10 16:44:30.623: Algorithm - getPortfolioForwardDelta - required deltas is 90 currentHedgePosition is 90</t>
  </si>
  <si>
    <t>2015-2-10 16:44:30.623: Algorithm - getHedgeShortfall - required deltas is 90 price is 1.52455 currentHedgePositionDeltas is 90</t>
  </si>
  <si>
    <t>2015-2-10 16:44:30.624: Algorithm - processTransitionPoint - nextUpper/LowerStrikes are 1.525/1.52 requiredDeltas/currentPosition/currentHedgeShortfall/direction/transitionPrice are 90/90/0/-1/1.52455</t>
  </si>
  <si>
    <t>2015-2-10 16:44:30.624: TransitionLogger - processTransitionpoint - checking transition - currentHedgeShortfall is 0</t>
  </si>
  <si>
    <t>2015-2-10 16:44:30.625: Algorithm - updatePortfolio - haveAllDetails is True</t>
  </si>
  <si>
    <t>2015-2-10 16:45:19.151: OrderManager - cancelOrder - cancelling order id 8995</t>
  </si>
  <si>
    <t>2015-2-10 16:45:19.152: OrderManager - PlaceOrder - id 8999 workingQty -806</t>
  </si>
  <si>
    <t>2015-2-10 16:45:19.158: OrderManager - sendOrder - exiting place order id 8999 BUY 28 1.5353  - workingQty -806 currentPosition is 90 workingOrderCount is -14</t>
  </si>
  <si>
    <t>2015-2-10 16:45:19.426: RTWSControl - nextValidId - entering nextValidId id is 9000</t>
  </si>
  <si>
    <t>2015-2-10 16:45:19.964: RTWSControl - orderStatus -  entering orderStatus id is 8995 status is Cancelled</t>
  </si>
  <si>
    <t>2015-2-10 16:45:19.965: OrderManager - UpdateOrderStatus - id 8995 Setting status to Cancelled workingOrderCount is now -14 workingQty -806</t>
  </si>
  <si>
    <t>2015-2-10 16:45:19.967: RTWSControl - OrderStatus - Got OrderStatus Message id:8995 status: Cancelled filled: 0</t>
  </si>
  <si>
    <t>2015-2-10 16:45:19.967: RTWSControl - OrderStatus - exiting orderStatus</t>
  </si>
  <si>
    <t>2015-2-10 16:45:19.998: RTWSControl - errMsg - got error message 202:Order Canceled - reason:with id 8995</t>
  </si>
  <si>
    <t>2015-2-10 16:45:19.999: OrderManager - canceledOrder - cleaning up after canceled order 8995BEWARE UNACCOUNTED FOR EXECUTIONS!!!</t>
  </si>
  <si>
    <t>2015-2-10 16:45:19.999: OrderManager - terminateOrder - cleaning up after Canceled 8995  order was supposed to BUY 31 1.5359 STP LMT workingQty/OrderCount now -837/-15</t>
  </si>
  <si>
    <t>2015-2-10 16:45:20.470: openOrderEx - I am here</t>
  </si>
  <si>
    <t>2015-2-10 16:45:20.497: RTWSControl - orderStatus -  entering orderStatus id is 8999 status is PreSubmitted</t>
  </si>
  <si>
    <t>2015-2-10 16:45:20.498: OrderManager - UpdateOrderStatus - id 8999 Setting status to PreSubmitted workingOrderCount is now -15 workingQty -837</t>
  </si>
  <si>
    <t>2015-2-10 16:45:20.500: RTWSControl - OrderStatus - Got OrderStatus Message id:8999 status: PreSubmitted filled: 0</t>
  </si>
  <si>
    <t>2015-2-10 16:45:20.500: RTWSControl - OrderStatus - exiting orderStatus</t>
  </si>
  <si>
    <t>2015-2-10 16:47:10.553: Algorithm - FindNextStrikes - price is 1.52495 nextStrikeUp/Down 1.525/1.52</t>
  </si>
  <si>
    <t>2015-2-10 16:47:10.553: Algorithm - getPortfolioForwardDelta - required deltas is 120 currentHedgePosition is 90</t>
  </si>
  <si>
    <t>2015-2-10 16:47:10.553: Algorithm - getHedgeShortfall - required deltas is 120 price is 1.52505 currentHedgePositionDeltas is 90</t>
  </si>
  <si>
    <t>2015-2-10 16:47:10.554: Algorithm - processTransitionPoint - nextUpper/LowerStrikes are 1.525/1.52 requiredDeltas/currentPosition/currentHedgeShortfall/direction/transitionPrice are 120/90/30/1/1.52505</t>
  </si>
  <si>
    <t>2015-2-10 16:47:10.554: TransitionLogger - processTransitionpoint - checking transition - currentHedgeShortfall is 30</t>
  </si>
  <si>
    <t>2015-2-10 16:47:10.555: Algorithm - rehedge - rehedging 30 contracts</t>
  </si>
  <si>
    <t>2015-2-10 16:47:10.555: Algortihm - rehedge - inside the loop</t>
  </si>
  <si>
    <t>2015-2-10 16:47:10.555: OrderManager - PlaceOrder - id 9000 workingQty -832</t>
  </si>
  <si>
    <t>2015-2-10 16:47:10.557: OrderManager - sendOrder - exiting place order id 9000 BUY 5 1.5247  - workingQty -832 currentPosition is 90 workingOrderCount is -14</t>
  </si>
  <si>
    <t>2015-2-10 16:47:10.558: Algorithm - rehedge - placing an order - orderSize is 5 workingQty is -832 working order count -14</t>
  </si>
  <si>
    <t>2015-2-10 16:47:11.509: Algorithm - rehedge - rehedging 30 contracts</t>
  </si>
  <si>
    <t>2015-2-10 16:47:11.509: Algorithm - rehedge - Need to place order but already have a working order - workingQty is -832 working order count -14</t>
  </si>
  <si>
    <t>2015-2-10 16:47:11.625: Algorithm - rehedge - rehedging 30 contracts</t>
  </si>
  <si>
    <t>2015-2-10 16:47:11.625: Algorithm - rehedge - Need to place order but already have a working order - workingQty is -832 working order count -14</t>
  </si>
  <si>
    <t>2015-2-10 16:47:11.747: RTWSControl - nextValidId - entering nextValidId id is 9001</t>
  </si>
  <si>
    <t>2015-2-10 16:47:11.755: openOrderEx - I am here</t>
  </si>
  <si>
    <t>2015-2-10 16:47:11.789: RTWSControl - orderStatus -  entering orderStatus id is 9000 status is Submitted</t>
  </si>
  <si>
    <t>2015-2-10 16:47:11.789: OrderManager - UpdateOrderStatus - id 9000 Setting status to Submitted workingOrderCount is now -14 workingQty -832</t>
  </si>
  <si>
    <t>2015-2-10 16:47:11.791: RTWSControl - OrderStatus - Got OrderStatus Message id:9000 status: Submitted filled: 0</t>
  </si>
  <si>
    <t>2015-2-10 16:47:11.791: RTWSControl - OrderStatus - exiting orderStatus</t>
  </si>
  <si>
    <t>2015-2-10 16:47:13.380: Algorithm - rehedge - rehedging 30 contracts</t>
  </si>
  <si>
    <t>2015-2-10 16:47:13.381: Algorithm - rehedge - Need to place order but already have a working order - workingQty is -832 working order count -14</t>
  </si>
  <si>
    <t>2015-2-10 16:47:13.455: Algorithm - rehedge - rehedging 30 contracts</t>
  </si>
  <si>
    <t>2015-2-10 16:47:13.456: Algorithm - rehedge - Need to place order but already have a working order - workingQty is -832 working order count -14</t>
  </si>
  <si>
    <t>2015-2-10 16:47:19.476: RTWSControl - execDetails -  entering execDetailsEx execution id is 0001f4e5.54d993f9.01.01 shares/cumQty is 2/2</t>
  </si>
  <si>
    <t>2015-2-10 16:47:19.477: Algorithm - FindNextStrikes - price is 1.52475 nextStrikeUp/Down 1.525/1.52</t>
  </si>
  <si>
    <t>2015-2-10 16:47:19.477: Algorithm - getPortfolioForwardDelta - required deltas is 90 currentHedgePosition is 92</t>
  </si>
  <si>
    <t>2015-2-10 16:47:19.478: Algorithm - getHedgeShortfall - required deltas is 90 price is 1.52485 currentHedgePositionDeltas is 92</t>
  </si>
  <si>
    <t>2015-2-10 16:47:19.478: Algorithm - processTransitionPoint - nextUpper/LowerStrikes are 1.525/1.52 requiredDeltas/currentPosition/currentHedgeShortfall/direction/transitionPrice are 90/92/-2/1/1.52485</t>
  </si>
  <si>
    <t>2015-2-10 16:47:19.479: TransitionLogger - processTransitionpoint - checking transition - currentHedgeShortfall is -2</t>
  </si>
  <si>
    <t>2015-2-10 16:47:19.479: TransitionLogger - processTransitionpoint - reversing transition - currentHedgeShortfall/currentTransition.direction is -2/1</t>
  </si>
  <si>
    <t>2015-2-10 16:47:19.480: OrderManager - updateExecution - got a fill for id 9000 qty 2 side BOT price 1.5247 - new working order size is -834 new instrument.qty is 92</t>
  </si>
  <si>
    <t>0001f4e5.54d993f9.01.01</t>
  </si>
  <si>
    <t>20150210  16:47:20</t>
  </si>
  <si>
    <t>2015-2-10 16:47:19.483: OrderManagerView - UpdateExecutionView - entering updateExecutionView  executionId is 0001f4e5.54d993f9.01.01</t>
  </si>
  <si>
    <t>2015-2-10 16:47:19.484: OrderManagerView - updateExecutionView -  exiting UpdateExecutionView</t>
  </si>
  <si>
    <t>2015-2-10 16:47:19.484: RTWSControl - execDetails -  exiting execDetailsEx</t>
  </si>
  <si>
    <t>2015-2-10 16:47:19.484: RTWSControl - execDetails - Got execution Message id:-1</t>
  </si>
  <si>
    <t>2015-2-10 16:47:19.501: openOrderEx - I am here</t>
  </si>
  <si>
    <t>2015-2-10 16:47:19.538: RTWSControl - orderStatus -  entering orderStatus id is 9000 status is Submitted</t>
  </si>
  <si>
    <t>2015-2-10 16:47:19.538: OrderManager - UpdateOrderStatus - id 9000 Setting status to Submitted workingOrderCount is now -14 workingQty -834</t>
  </si>
  <si>
    <t>2015-2-10 16:47:19.540: RTWSControl - OrderStatus - Got OrderStatus Message id:9000 status: Submitted filled: 2</t>
  </si>
  <si>
    <t>2015-2-10 16:47:19.540: RTWSControl - OrderStatus - exiting orderStatus</t>
  </si>
  <si>
    <t>2015-2-10 16:47:19.672: OrderManager - cancelOrder - cancelling order id 9000</t>
  </si>
  <si>
    <t>2015-2-10 16:47:19.673: Algorithm - checkWorkingOrders - cancelling BUYcurrentHedgeShortfall is  -2 - opposite trade required</t>
  </si>
  <si>
    <t>2015-2-10 16:47:19.673: Algorithm - rehedge - rehedging -2 contracts</t>
  </si>
  <si>
    <t>2015-2-10 16:47:19.673: Algorithm - rehedge - Need to place order but already have a working order - workingQty is -834 working order count -14</t>
  </si>
  <si>
    <t>2015-2-10 16:47:19.675: OrderManager - cancelOrder - cancelling order id 8998</t>
  </si>
  <si>
    <t>2015-2-10 16:47:19.676: OrderManager - PlaceOrder - id 9001 workingQty -861</t>
  </si>
  <si>
    <t>2015-2-10 16:47:19.677: OrderManager - sendOrder - exiting place order id 9001 SELL 27 1.5231  - workingQty -861 currentPosition is 92 workingOrderCount is -13</t>
  </si>
  <si>
    <t>2015-2-10 16:47:20.88: openOrderEx - I am here</t>
  </si>
  <si>
    <t>2015-2-10 16:47:20.100: RTWSControl - orderStatus -  entering orderStatus id is 9000 status is Submitted</t>
  </si>
  <si>
    <t>2015-2-10 16:47:20.101: OrderManager - UpdateOrderStatus - id 9000 Setting status to Submitted workingOrderCount is now -13 workingQty -861</t>
  </si>
  <si>
    <t>2015-2-10 16:47:20.103: RTWSControl - OrderStatus - Got OrderStatus Message id:9000 status: Submitted filled: 2</t>
  </si>
  <si>
    <t>2015-2-10 16:47:20.104: RTWSControl - OrderStatus - exiting orderStatus</t>
  </si>
  <si>
    <t>2015-2-10 16:47:20.129: OrderManager - cancelOrder - cancelling order id 9000</t>
  </si>
  <si>
    <t>2015-2-10 16:47:20.129: Algorithm - checkWorkingOrders - cancelling BUYcurrentHedgeShortfall is  -2 - opposite trade required</t>
  </si>
  <si>
    <t>2015-2-10 16:47:20.130: Algorithm - rehedge - rehedging -2 contracts</t>
  </si>
  <si>
    <t>2015-2-10 16:47:20.130: Algorithm - rehedge - Need to place order but already have a working order - workingQty is -861 working order count -13</t>
  </si>
  <si>
    <t>2015-2-10 16:47:20.248: RTWSControl - execDetails -  entering execDetailsEx execution id is 0001f4e5.54d993fa.01.01 shares/cumQty is 3/5</t>
  </si>
  <si>
    <t>2015-2-10 16:47:20.249: Algorithm - FindNextStrikes - price is 1.52465 nextStrikeUp/Down 1.525/1.52</t>
  </si>
  <si>
    <t>2015-2-10 16:47:20.249: Algorithm - getPortfolioForwardDelta - required deltas is 90 currentHedgePosition is 95</t>
  </si>
  <si>
    <t>2015-2-10 16:47:20.249: Algorithm - getHedgeShortfall - required deltas is 90 price is 1.52455 currentHedgePositionDeltas is 95</t>
  </si>
  <si>
    <t>2015-2-10 16:47:20.250: Algorithm - processTransitionPoint - nextUpper/LowerStrikes are 1.525/1.52 requiredDeltas/currentPosition/currentHedgeShortfall/direction/transitionPrice are 90/95/-5/-1/1.52455</t>
  </si>
  <si>
    <t>2015-2-10 16:47:20.250: TransitionLogger - processTransitionpoint - checking transition - currentHedgeShortfall is -5</t>
  </si>
  <si>
    <t>2015-2-10 16:47:20.250: OrderManager - updateExecution - got a fill for id 9000 qty 3 side BOT price 1.5247 - new working order size is -864 new instrument.qty is 95</t>
  </si>
  <si>
    <t>0001f4e5.54d993fa.01.01</t>
  </si>
  <si>
    <t>2015-2-10 16:47:20.252: OrderManagerView - UpdateExecutionView - entering updateExecutionView  executionId is 0001f4e5.54d993fa.01.01</t>
  </si>
  <si>
    <t>2015-2-10 16:47:20.253: OrderManagerView - updateExecutionView -  exiting UpdateExecutionView</t>
  </si>
  <si>
    <t>2015-2-10 16:47:20.253: RTWSControl - execDetails -  exiting execDetailsEx</t>
  </si>
  <si>
    <t>2015-2-10 16:47:20.254: RTWSControl - execDetails - Got execution Message id:-1</t>
  </si>
  <si>
    <t>2015-2-10 16:47:20.267: openOrderEx - I am here</t>
  </si>
  <si>
    <t>2015-2-10 16:47:20.292: RTWSControl - orderStatus -  entering orderStatus id is 9000 status is Filled</t>
  </si>
  <si>
    <t>2015-2-10 16:47:20.293: OrderManager - UpdateOrderStatus - id 9000 Setting status to Filled workingOrderCount is now -14 workingQty -864</t>
  </si>
  <si>
    <t>2015-2-10 16:47:20.293: OrderManager - terminateOrder - cleaning up after Filled 9000  order was supposed to BUY 5 1.5247 LMT workingQty/OrderCount now -864/-15</t>
  </si>
  <si>
    <t>2015-2-10 16:47:20.295: RTWSControl - OrderStatus - Got OrderStatus Message id:9000 status: Filled filled: 5</t>
  </si>
  <si>
    <t>2015-2-10 16:47:20.295: RTWSControl - OrderStatus - exiting orderStatus</t>
  </si>
  <si>
    <t>2015-2-10 16:47:20.332: openOrderEx - I am here</t>
  </si>
  <si>
    <t>2015-2-10 16:47:20.342: RTWSControl - orderStatus -  entering orderStatus id is 9000 status is Filled</t>
  </si>
  <si>
    <t>2015-2-10 16:47:20.342: OrderManager - UpdateOrderStatus - id 9000 Setting status to Filled workingOrderCount is now -15 workingQty -864</t>
  </si>
  <si>
    <t>2015-2-10 16:47:20.343: OrderManager - terminateOrder - cleaning up after Filled 9000  order was supposed to BUY 5 1.5247 LMT workingQty/OrderCount now -864/-16</t>
  </si>
  <si>
    <t>2015-2-10 16:47:20.345: RTWSControl - OrderStatus - Got OrderStatus Message id:9000 status: Filled filled: 5</t>
  </si>
  <si>
    <t>2015-2-10 16:47:20.345: RTWSControl - OrderStatus - exiting orderStatus</t>
  </si>
  <si>
    <t>2015-2-10 16:47:20.461: RTWSControl - errMsg - got error message 161:Cancel attempted when order is not in a cancellable state.  Order permId =415886027with id 9000</t>
  </si>
  <si>
    <t>2015-2-10 16:47:20.466: RTWSControl - nextValidId - entering nextValidId id is 9002</t>
  </si>
  <si>
    <t>2015-2-10 16:47:20.496: RTWSControl - orderStatus -  entering orderStatus id is 8998 status is Cancelled</t>
  </si>
  <si>
    <t>2015-2-10 16:47:20.497: OrderManager - UpdateOrderStatus - id 8998 Setting status to Cancelled workingOrderCount is now -16 workingQty -864</t>
  </si>
  <si>
    <t>2015-2-10 16:47:20.499: RTWSControl - OrderStatus - Got OrderStatus Message id:8998 status: Cancelled filled: 0</t>
  </si>
  <si>
    <t>2015-2-10 16:47:20.499: RTWSControl - OrderStatus - exiting orderStatus</t>
  </si>
  <si>
    <t>2015-2-10 16:47:20.509: RTWSControl - errMsg - got error message 202:Order Canceled - reason:with id 8998</t>
  </si>
  <si>
    <t>2015-2-10 16:47:20.509: OrderManager - canceledOrder - cleaning up after canceled order 8998BEWARE UNACCOUNTED FOR EXECUTIONS!!!</t>
  </si>
  <si>
    <t>2015-2-10 16:47:20.510: OrderManager - terminateOrder - cleaning up after Canceled 8998  order was supposed to SELL 30 1.5229 STP LMT workingQty/OrderCount now -894/-17</t>
  </si>
  <si>
    <t>2015-2-10 16:47:21.452: openOrderEx - I am here</t>
  </si>
  <si>
    <t>2015-2-10 16:47:21.464: RTWSControl - orderStatus -  entering orderStatus id is 9001 status is PreSubmitted</t>
  </si>
  <si>
    <t>2015-2-10 16:47:21.464: OrderManager - UpdateOrderStatus - id 9001 Setting status to PreSubmitted workingOrderCount is now -17 workingQty -894</t>
  </si>
  <si>
    <t>2015-2-10 16:47:21.466: RTWSControl - OrderStatus - Got OrderStatus Message id:9001 status: PreSubmitted filled: 0</t>
  </si>
  <si>
    <t>2015-2-10 16:47:21.466: RTWSControl - OrderStatus - exiting orderStatus</t>
  </si>
  <si>
    <t>2015-2-10 16:47:21.591: RTWSControl - errMsg - got error message 161:Cancel attempted when order is not in a cancellable state.  Order permId =415886027with id 9000</t>
  </si>
  <si>
    <t>2015-2-10 16:47:23.634: Algorithm - FindNextStrikes - price is 1.52465 nextStrikeUp/Down 1.525/1.52</t>
  </si>
  <si>
    <t>2015-2-10 16:47:23.635: Algorithm - getPortfolioForwardDelta - required deltas is 90 currentHedgePosition is 95</t>
  </si>
  <si>
    <t>2015-2-10 16:47:23.635: Algorithm - getHedgeShortfall - required deltas is 90 price is 1.52455 currentHedgePositionDeltas is 95</t>
  </si>
  <si>
    <t>2015-2-10 16:47:23.636: Algorithm - processTransitionPoint - nextUpper/LowerStrikes are 1.525/1.52 requiredDeltas/currentPosition/currentHedgeShortfall/direction/transitionPrice are 90/95/-5/-1/1.52455</t>
  </si>
  <si>
    <t>2015-2-10 16:47:23.636: TransitionLogger - processTransitionpoint - checking transition - currentHedgeShortfall is -5</t>
  </si>
  <si>
    <t>2015-2-10 16:47:23.636: Algorithm - rehedge - rehedging -5 contracts</t>
  </si>
  <si>
    <t>2015-2-10 16:47:23.637: Algortihm - rehedge - inside the loop</t>
  </si>
  <si>
    <t>2015-2-10 16:47:23.637: OrderManager - PlaceOrder - id 9002 workingQty -899</t>
  </si>
  <si>
    <t>2015-2-10 16:47:23.641: OrderManager - sendOrder - exiting place order id 9002 SELL 5 1.5245  - workingQty -899 currentPosition is 95 workingOrderCount is -16</t>
  </si>
  <si>
    <t>2015-2-10 16:47:23.641: Algorithm - rehedge - placing an order - orderSize is 5 workingQty is -899 working order count -16</t>
  </si>
  <si>
    <t>2015-2-10 16:47:23.642: Algorithm - updatePortfolio - haveAllDetails is True</t>
  </si>
  <si>
    <t>2015-2-10 16:47:23.678: Algorithm - FindNextStrikes - price is 1.52465 nextStrikeUp/Down 1.525/1.52</t>
  </si>
  <si>
    <t>2015-2-10 16:47:23.678: Algorithm - getPortfolioForwardDelta - required deltas is 90 currentHedgePosition is 95</t>
  </si>
  <si>
    <t>2015-2-10 16:47:23.678: Algorithm - getHedgeShortfall - required deltas is 90 price is 1.52455 currentHedgePositionDeltas is 95</t>
  </si>
  <si>
    <t>2015-2-10 16:47:23.679: Algorithm - processTransitionPoint - nextUpper/LowerStrikes are 1.525/1.52 requiredDeltas/currentPosition/currentHedgeShortfall/direction/transitionPrice are 90/95/-5/-1/1.52455</t>
  </si>
  <si>
    <t>2015-2-10 16:47:23.679: TransitionLogger - processTransitionpoint - checking transition - currentHedgeShortfall is -5</t>
  </si>
  <si>
    <t>2015-2-10 16:47:23.680: Algorithm - rehedge - rehedging -5 contracts</t>
  </si>
  <si>
    <t>2015-2-10 16:47:23.680: Algorithm - rehedge - Need to place order but already have a working order - workingQty is -899 working order count -16</t>
  </si>
  <si>
    <t>2015-2-10 16:47:23.681: Algorithm - updatePortfolio - haveAllDetails is True</t>
  </si>
  <si>
    <t>2015-2-10 16:47:23.724: Algorithm - FindNextStrikes - price is 1.52465 nextStrikeUp/Down 1.525/1.52</t>
  </si>
  <si>
    <t>2015-2-10 16:47:23.724: Algorithm - getPortfolioForwardDelta - required deltas is 90 currentHedgePosition is 95</t>
  </si>
  <si>
    <t>2015-2-10 16:47:23.724: Algorithm - getHedgeShortfall - required deltas is 90 price is 1.52455 currentHedgePositionDeltas is 95</t>
  </si>
  <si>
    <t>2015-2-10 16:47:23.725: Algorithm - processTransitionPoint - nextUpper/LowerStrikes are 1.525/1.52 requiredDeltas/currentPosition/currentHedgeShortfall/direction/transitionPrice are 90/95/-5/-1/1.52455</t>
  </si>
  <si>
    <t>2015-2-10 16:47:23.725: TransitionLogger - processTransitionpoint - checking transition - currentHedgeShortfall is -5</t>
  </si>
  <si>
    <t>2015-2-10 16:47:23.725: Algorithm - rehedge - rehedging -5 contracts</t>
  </si>
  <si>
    <t>2015-2-10 16:47:23.726: Algorithm - rehedge - Need to place order but already have a working order - workingQty is -899 working order count -16</t>
  </si>
  <si>
    <t>2015-2-10 16:47:23.726: Algorithm - updatePortfolio - haveAllDetails is True</t>
  </si>
  <si>
    <t>2015-2-10 16:47:23.767: Algorithm - FindNextStrikes - price is 1.52465 nextStrikeUp/Down 1.525/1.52</t>
  </si>
  <si>
    <t>2015-2-10 16:47:23.767: Algorithm - getPortfolioForwardDelta - required deltas is 90 currentHedgePosition is 95</t>
  </si>
  <si>
    <t>2015-2-10 16:47:23.768: Algorithm - getHedgeShortfall - required deltas is 90 price is 1.52455 currentHedgePositionDeltas is 95</t>
  </si>
  <si>
    <t>2015-2-10 16:47:23.768: Algorithm - processTransitionPoint - nextUpper/LowerStrikes are 1.525/1.52 requiredDeltas/currentPosition/currentHedgeShortfall/direction/transitionPrice are 90/95/-5/-1/1.52455</t>
  </si>
  <si>
    <t>2015-2-10 16:47:23.768: TransitionLogger - processTransitionpoint - checking transition - currentHedgeShortfall is -5</t>
  </si>
  <si>
    <t>2015-2-10 16:47:23.769: Algorithm - rehedge - rehedging -5 contracts</t>
  </si>
  <si>
    <t>2015-2-10 16:47:23.769: Algorithm - rehedge - Need to place order but already have a working order - workingQty is -899 working order count -16</t>
  </si>
  <si>
    <t>2015-2-10 16:47:23.770: Algorithm - updatePortfolio - haveAllDetails is True</t>
  </si>
  <si>
    <t>2015-2-10 16:47:23.808: Algorithm - FindNextStrikes - price is 1.52465 nextStrikeUp/Down 1.525/1.52</t>
  </si>
  <si>
    <t>2015-2-10 16:47:23.808: Algorithm - getPortfolioForwardDelta - required deltas is 90 currentHedgePosition is 95</t>
  </si>
  <si>
    <t>2015-2-10 16:47:23.809: Algorithm - getHedgeShortfall - required deltas is 90 price is 1.52455 currentHedgePositionDeltas is 95</t>
  </si>
  <si>
    <t>2015-2-10 16:47:23.809: Algorithm - processTransitionPoint - nextUpper/LowerStrikes are 1.525/1.52 requiredDeltas/currentPosition/currentHedgeShortfall/direction/transitionPrice are 90/95/-5/-1/1.52455</t>
  </si>
  <si>
    <t>2015-2-10 16:47:23.809: TransitionLogger - processTransitionpoint - checking transition - currentHedgeShortfall is -5</t>
  </si>
  <si>
    <t>2015-2-10 16:47:23.810: Algorithm - rehedge - rehedging -5 contracts</t>
  </si>
  <si>
    <t>2015-2-10 16:47:23.810: Algorithm - rehedge - Need to place order but already have a working order - workingQty is -899 working order count -16</t>
  </si>
  <si>
    <t>2015-2-10 16:47:23.811: Algorithm - updatePortfolio - haveAllDetails is True</t>
  </si>
  <si>
    <t>2015-2-10 16:47:23.849: Algorithm - FindNextStrikes - price is 1.52465 nextStrikeUp/Down 1.525/1.52</t>
  </si>
  <si>
    <t>2015-2-10 16:47:23.850: Algorithm - getPortfolioForwardDelta - required deltas is 90 currentHedgePosition is 95</t>
  </si>
  <si>
    <t>2015-2-10 16:47:23.850: Algorithm - getHedgeShortfall - required deltas is 90 price is 1.52455 currentHedgePositionDeltas is 95</t>
  </si>
  <si>
    <t>2015-2-10 16:47:23.850: Algorithm - processTransitionPoint - nextUpper/LowerStrikes are 1.525/1.52 requiredDeltas/currentPosition/currentHedgeShortfall/direction/transitionPrice are 90/95/-5/-1/1.52455</t>
  </si>
  <si>
    <t>2015-2-10 16:47:23.851: TransitionLogger - processTransitionpoint - checking transition - currentHedgeShortfall is -5</t>
  </si>
  <si>
    <t>2015-2-10 16:47:23.851: Algorithm - rehedge - rehedging -5 contracts</t>
  </si>
  <si>
    <t>2015-2-10 16:47:23.851: Algorithm - rehedge - Need to place order but already have a working order - workingQty is -899 working order count -16</t>
  </si>
  <si>
    <t>2015-2-10 16:47:23.852: Algorithm - updatePortfolio - haveAllDetails is True</t>
  </si>
  <si>
    <t>2015-2-10 16:47:23.891: Algorithm - FindNextStrikes - price is 1.52465 nextStrikeUp/Down 1.525/1.52</t>
  </si>
  <si>
    <t>2015-2-10 16:47:23.892: Algorithm - getPortfolioForwardDelta - required deltas is 90 currentHedgePosition is 95</t>
  </si>
  <si>
    <t>2015-2-10 16:47:23.892: Algorithm - getHedgeShortfall - required deltas is 90 price is 1.52455 currentHedgePositionDeltas is 95</t>
  </si>
  <si>
    <t>2015-2-10 16:47:23.892: Algorithm - processTransitionPoint - nextUpper/LowerStrikes are 1.525/1.52 requiredDeltas/currentPosition/currentHedgeShortfall/direction/transitionPrice are 90/95/-5/-1/1.52455</t>
  </si>
  <si>
    <t>2015-2-10 16:47:23.893: TransitionLogger - processTransitionpoint - checking transition - currentHedgeShortfall is -5</t>
  </si>
  <si>
    <t>2015-2-10 16:47:23.893: Algorithm - rehedge - rehedging -5 contracts</t>
  </si>
  <si>
    <t>2015-2-10 16:47:23.893: Algorithm - rehedge - Need to place order but already have a working order - workingQty is -899 working order count -16</t>
  </si>
  <si>
    <t>2015-2-10 16:47:23.894: Algorithm - updatePortfolio - haveAllDetails is True</t>
  </si>
  <si>
    <t>2015-2-10 16:47:23.935: Algorithm - FindNextStrikes - price is 1.52465 nextStrikeUp/Down 1.525/1.52</t>
  </si>
  <si>
    <t>2015-2-10 16:47:23.936: Algorithm - getPortfolioForwardDelta - required deltas is 90 currentHedgePosition is 95</t>
  </si>
  <si>
    <t>2015-2-10 16:47:23.936: Algorithm - getHedgeShortfall - required deltas is 90 price is 1.52455 currentHedgePositionDeltas is 95</t>
  </si>
  <si>
    <t>2015-2-10 16:47:23.937: Algorithm - processTransitionPoint - nextUpper/LowerStrikes are 1.525/1.52 requiredDeltas/currentPosition/currentHedgeShortfall/direction/transitionPrice are 90/95/-5/-1/1.52455</t>
  </si>
  <si>
    <t>2015-2-10 16:47:23.937: TransitionLogger - processTransitionpoint - checking transition - currentHedgeShortfall is -5</t>
  </si>
  <si>
    <t>2015-2-10 16:47:23.937: Algorithm - rehedge - rehedging -5 contracts</t>
  </si>
  <si>
    <t>2015-2-10 16:47:23.937: Algorithm - rehedge - Need to place order but already have a working order - workingQty is -899 working order count -16</t>
  </si>
  <si>
    <t>2015-2-10 16:47:23.938: Algorithm - updatePortfolio - haveAllDetails is True</t>
  </si>
  <si>
    <t>2015-2-10 16:47:23.975: Algorithm - FindNextStrikes - price is 1.52465 nextStrikeUp/Down 1.525/1.52</t>
  </si>
  <si>
    <t>2015-2-10 16:47:23.975: Algorithm - getPortfolioForwardDelta - required deltas is 90 currentHedgePosition is 95</t>
  </si>
  <si>
    <t>2015-2-10 16:47:23.975: Algorithm - getHedgeShortfall - required deltas is 90 price is 1.52455 currentHedgePositionDeltas is 95</t>
  </si>
  <si>
    <t>2015-2-10 16:47:23.976: Algorithm - processTransitionPoint - nextUpper/LowerStrikes are 1.525/1.52 requiredDeltas/currentPosition/currentHedgeShortfall/direction/transitionPrice are 90/95/-5/-1/1.52455</t>
  </si>
  <si>
    <t>2015-2-10 16:47:23.976: TransitionLogger - processTransitionpoint - checking transition - currentHedgeShortfall is -5</t>
  </si>
  <si>
    <t>2015-2-10 16:47:23.976: Algorithm - rehedge - rehedging -5 contracts</t>
  </si>
  <si>
    <t>2015-2-10 16:47:23.976: Algorithm - rehedge - Need to place order but already have a working order - workingQty is -899 working order count -16</t>
  </si>
  <si>
    <t>2015-2-10 16:47:23.977: Algorithm - updatePortfolio - haveAllDetails is True</t>
  </si>
  <si>
    <t>2015-2-10 16:47:24.330: RTWSControl - nextValidId - entering nextValidId id is 9003</t>
  </si>
  <si>
    <t>2015-2-10 16:47:24.373: RTWSControl - execDetails -  entering execDetailsEx execution id is 0001f4e5.54d993fb.01.01 shares/cumQty is 5/5</t>
  </si>
  <si>
    <t>2015-2-10 16:47:24.374: Algorithm - FindNextStrikes - price is 1.52465 nextStrikeUp/Down 1.525/1.52</t>
  </si>
  <si>
    <t>2015-2-10 16:47:24.374: Algorithm - getPortfolioForwardDelta - required deltas is 90 currentHedgePosition is 90</t>
  </si>
  <si>
    <t>2015-2-10 16:47:24.374: Algorithm - getHedgeShortfall - required deltas is 90 price is 1.52455 currentHedgePositionDeltas is 90</t>
  </si>
  <si>
    <t>2015-2-10 16:47:24.375: Algorithm - processTransitionPoint - nextUpper/LowerStrikes are 1.525/1.52 requiredDeltas/currentPosition/currentHedgeShortfall/direction/transitionPrice are 90/90/0/-1/1.52455</t>
  </si>
  <si>
    <t>2015-2-10 16:47:24.375: TransitionLogger - processTransitionpoint - checking transition - currentHedgeShortfall is 0</t>
  </si>
  <si>
    <t>2015-2-10 16:47:24.375: OrderManager - updateExecution - got a fill for id 9002 qty 5 side SLD price 1.5246 - new working order size is -894 new instrument.qty is 90</t>
  </si>
  <si>
    <t>0001f4e5.54d993fb.01.01</t>
  </si>
  <si>
    <t>20150210  16:47:25</t>
  </si>
  <si>
    <t>2015-2-10 16:47:24.380: OrderManagerView - UpdateExecutionView - entering updateExecutionView  executionId is 0001f4e5.54d993fb.01.01</t>
  </si>
  <si>
    <t>2015-2-10 16:47:24.381: OrderManagerView - updateExecutionView -  exiting UpdateExecutionView</t>
  </si>
  <si>
    <t>2015-2-10 16:47:24.381: RTWSControl - execDetails -  exiting execDetailsEx</t>
  </si>
  <si>
    <t>2015-2-10 16:47:24.381: RTWSControl - execDetails - Got execution Message id:-1</t>
  </si>
  <si>
    <t>2015-2-10 16:47:24.394: openOrderEx - I am here</t>
  </si>
  <si>
    <t>2015-2-10 16:47:24.419: RTWSControl - orderStatus -  entering orderStatus id is 9002 status is Filled</t>
  </si>
  <si>
    <t>2015-2-10 16:47:24.420: OrderManager - UpdateOrderStatus - id 9002 Setting status to Filled workingOrderCount is now -17 workingQty -894</t>
  </si>
  <si>
    <t>2015-2-10 16:47:24.420: OrderManager - terminateOrder - cleaning up after Filled 9002  order was supposed to SELL 5 1.5245 LMT workingQty/OrderCount now -894/-18</t>
  </si>
  <si>
    <t>2015-2-10 16:47:24.422: RTWSControl - OrderStatus - Got OrderStatus Message id:9002 status: Filled filled: 5</t>
  </si>
  <si>
    <t>2015-2-10 16:47:24.422: RTWSControl - OrderStatus - exiting orderStatus</t>
  </si>
  <si>
    <t>2015-2-10 16:47:24.709: openOrderEx - I am here</t>
  </si>
  <si>
    <t>2015-2-10 16:47:24.719: RTWSControl - orderStatus -  entering orderStatus id is 9002 status is Filled</t>
  </si>
  <si>
    <t>2015-2-10 16:47:24.720: OrderManager - UpdateOrderStatus - id 9002 Setting status to Filled workingOrderCount is now -18 workingQty -894</t>
  </si>
  <si>
    <t>2015-2-10 16:47:24.720: OrderManager - terminateOrder - cleaning up after Filled 9002  order was supposed to SELL 5 1.5245 LMT workingQty/OrderCount now -894/-19</t>
  </si>
  <si>
    <t>2015-2-10 16:47:24.722: RTWSControl - OrderStatus - Got OrderStatus Message id:9002 status: Filled filled: 5</t>
  </si>
  <si>
    <t>2015-2-10 16:47:24.722: RTWSControl - OrderStatus - exiting orderStatus</t>
  </si>
  <si>
    <t>2015-2-10 16:47:24.754: openOrderEx - I am here</t>
  </si>
  <si>
    <t>2015-2-10 16:47:24.788: RTWSControl - orderStatus -  entering orderStatus id is 9002 status is Filled</t>
  </si>
  <si>
    <t>2015-2-10 16:47:24.788: OrderManager - UpdateOrderStatus - id 9002 Setting status to Filled workingOrderCount is now -19 workingQty -894</t>
  </si>
  <si>
    <t>2015-2-10 16:47:24.789: OrderManager - terminateOrder - cleaning up after Filled 9002  order was supposed to SELL 5 1.5245 LMT workingQty/OrderCount now -894/-20</t>
  </si>
  <si>
    <t>2015-2-10 16:47:24.790: RTWSControl - OrderStatus - Got OrderStatus Message id:9002 status: Filled filled: 5</t>
  </si>
  <si>
    <t>2015-2-10 16:47:24.790: RTWSControl - OrderStatus - exiting orderStatus</t>
  </si>
  <si>
    <t>2015-2-10 16:47:26.721: Algorithm - FindNextStrikes - price is 1.52465 nextStrikeUp/Down 1.525/1.52</t>
  </si>
  <si>
    <t>2015-2-10 16:47:26.721: Algorithm - getPortfolioForwardDelta - required deltas is 90 currentHedgePosition is 90</t>
  </si>
  <si>
    <t>2015-2-10 16:47:26.721: Algorithm - getHedgeShortfall - required deltas is 90 price is 1.52455 currentHedgePositionDeltas is 90</t>
  </si>
  <si>
    <t>2015-2-10 16:47:26.722: Algorithm - processTransitionPoint - nextUpper/LowerStrikes are 1.525/1.52 requiredDeltas/currentPosition/currentHedgeShortfall/direction/transitionPrice are 90/90/0/-1/1.52455</t>
  </si>
  <si>
    <t>2015-2-10 16:47:26.722: TransitionLogger - processTransitionpoint - checking transition - currentHedgeShortfall is 0</t>
  </si>
  <si>
    <t>2015-2-10 16:47:26.723: Algorithm - updatePortfolio - haveAllDetails is True</t>
  </si>
  <si>
    <t>2015-2-10 16:47:26.769: Algorithm - FindNextStrikes - price is 1.52465 nextStrikeUp/Down 1.525/1.52</t>
  </si>
  <si>
    <t>2015-2-10 16:47:26.769: Algorithm - getPortfolioForwardDelta - required deltas is 90 currentHedgePosition is 90</t>
  </si>
  <si>
    <t>2015-2-10 16:47:26.769: Algorithm - getHedgeShortfall - required deltas is 90 price is 1.52455 currentHedgePositionDeltas is 90</t>
  </si>
  <si>
    <t>2015-2-10 16:47:26.770: Algorithm - processTransitionPoint - nextUpper/LowerStrikes are 1.525/1.52 requiredDeltas/currentPosition/currentHedgeShortfall/direction/transitionPrice are 90/90/0/-1/1.52455</t>
  </si>
  <si>
    <t>2015-2-10 16:47:26.770: TransitionLogger - processTransitionpoint - checking transition - currentHedgeShortfall is 0</t>
  </si>
  <si>
    <t>2015-2-10 16:47:26.771: Algorithm - updatePortfolio - haveAllDetails is True</t>
  </si>
  <si>
    <t>2015-2-10 16:47:26.810: Algorithm - FindNextStrikes - price is 1.52465 nextStrikeUp/Down 1.525/1.52</t>
  </si>
  <si>
    <t>2015-2-10 16:47:26.810: Algorithm - getPortfolioForwardDelta - required deltas is 90 currentHedgePosition is 90</t>
  </si>
  <si>
    <t>2015-2-10 16:47:26.810: Algorithm - getHedgeShortfall - required deltas is 90 price is 1.52455 currentHedgePositionDeltas is 90</t>
  </si>
  <si>
    <t>2015-2-10 16:47:26.811: Algorithm - processTransitionPoint - nextUpper/LowerStrikes are 1.525/1.52 requiredDeltas/currentPosition/currentHedgeShortfall/direction/transitionPrice are 90/90/0/-1/1.52455</t>
  </si>
  <si>
    <t>2015-2-10 16:47:26.811: TransitionLogger - processTransitionpoint - checking transition - currentHedgeShortfall is 0</t>
  </si>
  <si>
    <t>2015-2-10 16:47:26.812: Algorithm - updatePortfolio - haveAllDetails is True</t>
  </si>
  <si>
    <t>2015-2-10 16:47:30.841: Algorithm - FindNextStrikes - price is 1.52455 nextStrikeUp/Down 1.525/1.52</t>
  </si>
  <si>
    <t>2015-2-10 16:47:30.841: Algorithm - getPortfolioForwardDelta - required deltas is 90 currentHedgePosition is 90</t>
  </si>
  <si>
    <t>2015-2-10 16:47:30.842: Algorithm - getHedgeShortfall - required deltas is 90 price is 1.52445 currentHedgePositionDeltas is 90</t>
  </si>
  <si>
    <t>2015-2-10 16:47:30.842: Algorithm - processTransitionPoint - nextUpper/LowerStrikes are 1.525/1.52 requiredDeltas/currentPosition/currentHedgeShortfall/direction/transitionPrice are 90/90/0/-1/1.52445</t>
  </si>
  <si>
    <t>2015-2-10 16:47:30.843: TransitionLogger - processTransitionpoint - checking transition - currentHedgeShortfall is 0</t>
  </si>
  <si>
    <t>2015-2-10 16:47:30.844: Algorithm - updatePortfolio - haveAllDetails is True</t>
  </si>
  <si>
    <t>2015-2-10 16:47:30.883: Algorithm - FindNextStrikes - price is 1.52455 nextStrikeUp/Down 1.525/1.52</t>
  </si>
  <si>
    <t>2015-2-10 16:47:30.884: Algorithm - getPortfolioForwardDelta - required deltas is 90 currentHedgePosition is 90</t>
  </si>
  <si>
    <t>2015-2-10 16:47:30.884: Algorithm - getHedgeShortfall - required deltas is 90 price is 1.52445 currentHedgePositionDeltas is 90</t>
  </si>
  <si>
    <t>2015-2-10 16:47:30.885: Algorithm - processTransitionPoint - nextUpper/LowerStrikes are 1.525/1.52 requiredDeltas/currentPosition/currentHedgeShortfall/direction/transitionPrice are 90/90/0/-1/1.52445</t>
  </si>
  <si>
    <t>2015-2-10 16:47:30.885: TransitionLogger - processTransitionpoint - checking transition - currentHedgeShortfall is 0</t>
  </si>
  <si>
    <t>2015-2-10 16:47:30.886: Algorithm - updatePortfolio - haveAllDetails is True</t>
  </si>
  <si>
    <t>2015-2-10 16:47:30.930: Algorithm - FindNextStrikes - price is 1.52455 nextStrikeUp/Down 1.525/1.52</t>
  </si>
  <si>
    <t>2015-2-10 16:47:30.930: Algorithm - getPortfolioForwardDelta - required deltas is 90 currentHedgePosition is 90</t>
  </si>
  <si>
    <t>2015-2-10 16:47:30.930: Algorithm - getHedgeShortfall - required deltas is 90 price is 1.52445 currentHedgePositionDeltas is 90</t>
  </si>
  <si>
    <t>2015-2-10 16:47:30.931: Algorithm - processTransitionPoint - nextUpper/LowerStrikes are 1.525/1.52 requiredDeltas/currentPosition/currentHedgeShortfall/direction/transitionPrice are 90/90/0/-1/1.52445</t>
  </si>
  <si>
    <t>2015-2-10 16:47:30.931: TransitionLogger - processTransitionpoint - checking transition - currentHedgeShortfall is 0</t>
  </si>
  <si>
    <t>2015-2-10 16:47:30.932: Algorithm - updatePortfolio - haveAllDetails is True</t>
  </si>
  <si>
    <t>2015-2-10 16:47:30.971: Algorithm - FindNextStrikes - price is 1.52455 nextStrikeUp/Down 1.525/1.52</t>
  </si>
  <si>
    <t>2015-2-10 16:47:30.971: Algorithm - getPortfolioForwardDelta - required deltas is 90 currentHedgePosition is 90</t>
  </si>
  <si>
    <t>2015-2-10 16:47:30.972: Algorithm - getHedgeShortfall - required deltas is 90 price is 1.52445 currentHedgePositionDeltas is 90</t>
  </si>
  <si>
    <t>2015-2-10 16:47:30.972: Algorithm - processTransitionPoint - nextUpper/LowerStrikes are 1.525/1.52 requiredDeltas/currentPosition/currentHedgeShortfall/direction/transitionPrice are 90/90/0/-1/1.52445</t>
  </si>
  <si>
    <t>2015-2-10 16:47:30.972: TransitionLogger - processTransitionpoint - checking transition - currentHedgeShortfall is 0</t>
  </si>
  <si>
    <t>2015-2-10 16:47:30.973: Algorithm - updatePortfolio - haveAllDetails is True</t>
  </si>
  <si>
    <t>2015-2-10 16:47:31.14: Algorithm - FindNextStrikes - price is 1.52455 nextStrikeUp/Down 1.525/1.52</t>
  </si>
  <si>
    <t>2015-2-10 16:47:31.14: Algorithm - getPortfolioForwardDelta - required deltas is 90 currentHedgePosition is 90</t>
  </si>
  <si>
    <t>2015-2-10 16:47:31.14: Algorithm - getHedgeShortfall - required deltas is 90 price is 1.52445 currentHedgePositionDeltas is 90</t>
  </si>
  <si>
    <t>2015-2-10 16:47:31.15: Algorithm - processTransitionPoint - nextUpper/LowerStrikes are 1.525/1.52 requiredDeltas/currentPosition/currentHedgeShortfall/direction/transitionPrice are 90/90/0/-1/1.52445</t>
  </si>
  <si>
    <t>2015-2-10 16:47:31.15: TransitionLogger - processTransitionpoint - checking transition - currentHedgeShortfall is 0</t>
  </si>
  <si>
    <t>2015-2-10 16:47:31.16: Algorithm - updatePortfolio - haveAllDetails is True</t>
  </si>
  <si>
    <t>2015-2-10 16:47:31.55: Algorithm - FindNextStrikes - price is 1.52455 nextStrikeUp/Down 1.525/1.52</t>
  </si>
  <si>
    <t>2015-2-10 16:47:31.55: Algorithm - getPortfolioForwardDelta - required deltas is 90 currentHedgePosition is 90</t>
  </si>
  <si>
    <t>2015-2-10 16:47:31.55: Algorithm - getHedgeShortfall - required deltas is 90 price is 1.52445 currentHedgePositionDeltas is 90</t>
  </si>
  <si>
    <t>2015-2-10 16:47:31.56: Algorithm - processTransitionPoint - nextUpper/LowerStrikes are 1.525/1.52 requiredDeltas/currentPosition/currentHedgeShortfall/direction/transitionPrice are 90/90/0/-1/1.52445</t>
  </si>
  <si>
    <t>2015-2-10 16:47:31.56: TransitionLogger - processTransitionpoint - checking transition - currentHedgeShortfall is 0</t>
  </si>
  <si>
    <t>2015-2-10 16:47:31.57: Algorithm - updatePortfolio - haveAllDetails is True</t>
  </si>
  <si>
    <t>2015-2-10 16:47:31.97: Algorithm - FindNextStrikes - price is 1.52455 nextStrikeUp/Down 1.525/1.52</t>
  </si>
  <si>
    <t>2015-2-10 16:47:31.97: Algorithm - getPortfolioForwardDelta - required deltas is 90 currentHedgePosition is 90</t>
  </si>
  <si>
    <t>2015-2-10 16:47:31.97: Algorithm - getHedgeShortfall - required deltas is 90 price is 1.52445 currentHedgePositionDeltas is 90</t>
  </si>
  <si>
    <t>2015-2-10 16:47:31.98: Algorithm - processTransitionPoint - nextUpper/LowerStrikes are 1.525/1.52 requiredDeltas/currentPosition/currentHedgeShortfall/direction/transitionPrice are 90/90/0/-1/1.52445</t>
  </si>
  <si>
    <t>2015-2-10 16:47:31.98: TransitionLogger - processTransitionpoint - checking transition - currentHedgeShortfall is 0</t>
  </si>
  <si>
    <t>2015-2-10 16:47:31.99: Algorithm - updatePortfolio - haveAllDetails is True</t>
  </si>
  <si>
    <t>2015-2-10 16:47:31.139: Algorithm - FindNextStrikes - price is 1.52455 nextStrikeUp/Down 1.525/1.52</t>
  </si>
  <si>
    <t>2015-2-10 16:47:31.140: Algorithm - getPortfolioForwardDelta - required deltas is 90 currentHedgePosition is 90</t>
  </si>
  <si>
    <t>2015-2-10 16:47:31.140: Algorithm - getHedgeShortfall - required deltas is 90 price is 1.52445 currentHedgePositionDeltas is 90</t>
  </si>
  <si>
    <t>2015-2-10 16:47:31.140: Algorithm - processTransitionPoint - nextUpper/LowerStrikes are 1.525/1.52 requiredDeltas/currentPosition/currentHedgeShortfall/direction/transitionPrice are 90/90/0/-1/1.52445</t>
  </si>
  <si>
    <t>2015-2-10 16:47:31.141: TransitionLogger - processTransitionpoint - checking transition - currentHedgeShortfall is 0</t>
  </si>
  <si>
    <t>2015-2-10 16:47:31.142: Algorithm - updatePortfolio - haveAllDetails is True</t>
  </si>
  <si>
    <t>2015-2-10 16:47:31.179: Algorithm - FindNextStrikes - price is 1.52455 nextStrikeUp/Down 1.525/1.52</t>
  </si>
  <si>
    <t>2015-2-10 16:47:31.179: Algorithm - getPortfolioForwardDelta - required deltas is 90 currentHedgePosition is 90</t>
  </si>
  <si>
    <t>2015-2-10 16:47:31.180: Algorithm - getHedgeShortfall - required deltas is 90 price is 1.52445 currentHedgePositionDeltas is 90</t>
  </si>
  <si>
    <t>2015-2-10 16:47:31.180: Algorithm - processTransitionPoint - nextUpper/LowerStrikes are 1.525/1.52 requiredDeltas/currentPosition/currentHedgeShortfall/direction/transitionPrice are 90/90/0/-1/1.52445</t>
  </si>
  <si>
    <t>2015-2-10 16:47:31.180: TransitionLogger - processTransitionpoint - checking transition - currentHedgeShortfall is 0</t>
  </si>
  <si>
    <t>2015-2-10 16:47:31.181: Algorithm - updatePortfolio - haveAllDetails is True</t>
  </si>
  <si>
    <t>2015-2-10 16:48:13.334: Algorithm - FindNextStrikes - price is 1.52495 nextStrikeUp/Down 1.525/1.52</t>
  </si>
  <si>
    <t>2015-2-10 16:48:13.334: Algorithm - getPortfolioForwardDelta - required deltas is 120 currentHedgePosition is 90</t>
  </si>
  <si>
    <t>2015-2-10 16:48:13.334: Algorithm - getHedgeShortfall - required deltas is 120 price is 1.52505 currentHedgePositionDeltas is 90</t>
  </si>
  <si>
    <t>2015-2-10 16:48:13.335: Algorithm - processTransitionPoint - nextUpper/LowerStrikes are 1.525/1.52 requiredDeltas/currentPosition/currentHedgeShortfall/direction/transitionPrice are 120/90/30/1/1.52505</t>
  </si>
  <si>
    <t>2015-2-10 16:48:13.335: TransitionLogger - processTransitionpoint - checking transition - currentHedgeShortfall is 30</t>
  </si>
  <si>
    <t>2015-2-10 16:48:13.335: Algorithm - rehedge - rehedging 30 contracts</t>
  </si>
  <si>
    <t>2015-2-10 16:48:13.336: Algortihm - rehedge - inside the loop</t>
  </si>
  <si>
    <t>2015-2-10 16:48:13.336: OrderManager - PlaceOrder - id 9003 workingQty -889</t>
  </si>
  <si>
    <t>2015-2-10 16:48:13.338: OrderManager - sendOrder - exiting place order id 9003 BUY 5 1.5248  - workingQty -889 currentPosition is 90 workingOrderCount is -19</t>
  </si>
  <si>
    <t>2015-2-10 16:48:13.338: Algorithm - rehedge - placing an order - orderSize is 5 workingQty is -889 working order count -19</t>
  </si>
  <si>
    <t>2015-2-10 16:48:13.628: RTWSControl - nextValidId - entering nextValidId id is 9004</t>
  </si>
  <si>
    <t>2015-2-10 16:48:13.638: openOrderEx - I am here</t>
  </si>
  <si>
    <t>2015-2-10 16:48:13.667: RTWSControl - orderStatus -  entering orderStatus id is 9003 status is Submitted</t>
  </si>
  <si>
    <t>2015-2-10 16:48:13.667: OrderManager - UpdateOrderStatus - id 9003 Setting status to Submitted workingOrderCount is now -19 workingQty -889</t>
  </si>
  <si>
    <t>2015-2-10 16:48:13.669: RTWSControl - OrderStatus - Got OrderStatus Message id:9003 status: Submitted filled: 0</t>
  </si>
  <si>
    <t>2015-2-10 16:48:13.669: RTWSControl - OrderStatus - exiting orderStatus</t>
  </si>
  <si>
    <t>2015-2-10 16:48:13.679: Algorithm - rehedge - rehedging 30 contracts</t>
  </si>
  <si>
    <t>2015-2-10 16:48:13.679: Algorithm - rehedge - Need to place order but already have a working order - workingQty is -889 working order count -19</t>
  </si>
  <si>
    <t>2015-2-10 16:48:19.271: Algorithm - rehedge - rehedging 30 contracts</t>
  </si>
  <si>
    <t>2015-2-10 16:48:19.272: Algorithm - rehedge - Need to place order but already have a working order - workingQty is -889 working order count -19</t>
  </si>
  <si>
    <t>2015-2-10 16:48:19.691: Algorithm - rehedge - rehedging 30 contracts</t>
  </si>
  <si>
    <t>2015-2-10 16:48:19.692: Algorithm - rehedge - Need to place order but already have a working order - workingQty is -889 working order count -19</t>
  </si>
  <si>
    <t>2015-2-10 16:48:19.898: Algorithm - rehedge - rehedging 30 contracts</t>
  </si>
  <si>
    <t>2015-2-10 16:48:19.898: Algorithm - rehedge - Need to place order but already have a working order - workingQty is -889 working order count -19</t>
  </si>
  <si>
    <t>2015-2-10 16:48:26.168: Algorithm - rehedge - rehedging 30 contracts</t>
  </si>
  <si>
    <t>2015-2-10 16:48:26.168: Algorithm - rehedge - Need to place order but already have a working order - workingQty is -889 working order count -19</t>
  </si>
  <si>
    <t>2015-2-10 16:48:26.218: OrderManager - cancelOrder - cancelling order id 9003</t>
  </si>
  <si>
    <t>2015-2-10 16:48:26.218: Algorithm - checkWorkingOrders - cancelling BUY - orderPrice 1.5248 too far from marketPrice 1.52495</t>
  </si>
  <si>
    <t>2015-2-10 16:48:26.219: Algorithm - FindNextStrikes - price is 1.52495 nextStrikeUp/Down 1.525/1.52</t>
  </si>
  <si>
    <t>2015-2-10 16:48:26.219: Algorithm - getPortfolioForwardDelta - required deltas is 120 currentHedgePosition is 90</t>
  </si>
  <si>
    <t>2015-2-10 16:48:26.219: Algorithm - getHedgeShortfall - required deltas is 120 price is 1.52505 currentHedgePositionDeltas is 90</t>
  </si>
  <si>
    <t>2015-2-10 16:48:26.220: Algorithm - processTransitionPoint - nextUpper/LowerStrikes are 1.525/1.52 requiredDeltas/currentPosition/currentHedgeShortfall/direction/transitionPrice are 120/90/30/1/1.52505</t>
  </si>
  <si>
    <t>2015-2-10 16:48:26.220: TransitionLogger - processTransitionpoint - checking transition - currentHedgeShortfall is 30</t>
  </si>
  <si>
    <t>2015-2-10 16:48:26.220: Algorithm - rehedge - rehedging 30 contracts</t>
  </si>
  <si>
    <t>2015-2-10 16:48:26.221: Algorithm - rehedge - Need to place order but already have a working order - workingQty is -889 working order count -19</t>
  </si>
  <si>
    <t>2015-2-10 16:48:26.388: RTWSControl - orderStatus -  entering orderStatus id is 9003 status is Cancelled</t>
  </si>
  <si>
    <t>2015-2-10 16:48:26.388: OrderManager - UpdateOrderStatus - id 9003 Setting status to Cancelled workingOrderCount is now -19 workingQty -889</t>
  </si>
  <si>
    <t>2015-2-10 16:48:26.390: RTWSControl - OrderStatus - Got OrderStatus Message id:9003 status: Cancelled filled: 0</t>
  </si>
  <si>
    <t>2015-2-10 16:48:26.391: RTWSControl - OrderStatus - exiting orderStatus</t>
  </si>
  <si>
    <t>2015-2-10 16:48:26.415: RTWSControl - errMsg - got error message 202:Order Canceled - reason:with id 9003</t>
  </si>
  <si>
    <t>2015-2-10 16:48:26.416: OrderManager - canceledOrder - cleaning up after canceled order 9003BEWARE UNACCOUNTED FOR EXECUTIONS!!!</t>
  </si>
  <si>
    <t>2015-2-10 16:48:26.416: OrderManager - terminateOrder - cleaning up after Canceled 9003  order was supposed to BUY 5 1.5248 LMT workingQty/OrderCount now -894/-20</t>
  </si>
  <si>
    <t>2015-2-10 16:48:28.584: Algorithm - rehedge - rehedging 30 contracts</t>
  </si>
  <si>
    <t>2015-2-10 16:48:28.584: Algortihm - rehedge - inside the loop</t>
  </si>
  <si>
    <t>2015-2-10 16:48:28.585: OrderManager - PlaceOrder - id 9004 workingQty -889</t>
  </si>
  <si>
    <t>2015-2-10 16:48:28.586: OrderManager - sendOrder - exiting place order id 9004 BUY 5 1.5249  - workingQty -889 currentPosition is 90 workingOrderCount is -19</t>
  </si>
  <si>
    <t>2015-2-10 16:48:28.587: Algorithm - rehedge - placing an order - orderSize is 5 workingQty is -889 working order count -19</t>
  </si>
  <si>
    <t>2015-2-10 16:48:28.635: Algorithm - rehedge - rehedging 30 contracts</t>
  </si>
  <si>
    <t>2015-2-10 16:48:28.635: Algorithm - rehedge - Need to place order but already have a working order - workingQty is -889 working order count -19</t>
  </si>
  <si>
    <t>2015-2-10 16:48:28.803: RTWSControl - nextValidId - entering nextValidId id is 9005</t>
  </si>
  <si>
    <t>2015-2-10 16:48:28.857: Algorithm - rehedge - rehedging 30 contracts</t>
  </si>
  <si>
    <t>2015-2-10 16:48:28.857: Algorithm - rehedge - Need to place order but already have a working order - workingQty is -889 working order count -19</t>
  </si>
  <si>
    <t>2015-2-10 16:48:28.970: RTWSControl - execDetails -  entering execDetailsEx execution id is 0001f4e5.54d99423.01.01 shares/cumQty is 1/1</t>
  </si>
  <si>
    <t>2015-2-10 16:48:28.971: Algorithm - FindNextStrikes - price is 1.5249 nextStrikeUp/Down 1.525/1.52</t>
  </si>
  <si>
    <t>2015-2-10 16:48:28.971: Algorithm - getPortfolioForwardDelta - required deltas is 90 currentHedgePosition is 91</t>
  </si>
  <si>
    <t>2015-2-10 16:48:28.971: Algorithm - getHedgeShortfall - required deltas is 90 price is 1.525 currentHedgePositionDeltas is 91</t>
  </si>
  <si>
    <t>2015-2-10 16:48:28.972: Algorithm - processTransitionPoint - nextUpper/LowerStrikes are 1.525/1.52 requiredDeltas/currentPosition/currentHedgeShortfall/direction/transitionPrice are 90/91/-1/1/1.525</t>
  </si>
  <si>
    <t>2015-2-10 16:48:28.972: TransitionLogger - processTransitionpoint - checking transition - currentHedgeShortfall is -1</t>
  </si>
  <si>
    <t>2015-2-10 16:48:28.972: TransitionLogger - processTransitionpoint - reversing transition - currentHedgeShortfall/currentTransition.direction is -1/1</t>
  </si>
  <si>
    <t>2015-2-10 16:48:28.973: OrderManager - updateExecution - got a fill for id 9004 qty 1 side BOT price 1.5249 - new working order size is -890 new instrument.qty is 91</t>
  </si>
  <si>
    <t>0001f4e5.54d99423.01.01</t>
  </si>
  <si>
    <t>20150210  16:48:30</t>
  </si>
  <si>
    <t>2015-2-10 16:48:28.975: OrderManagerView - UpdateExecutionView - entering updateExecutionView  executionId is 0001f4e5.54d99423.01.01</t>
  </si>
  <si>
    <t>2015-2-10 16:48:28.976: OrderManagerView - updateExecutionView -  exiting UpdateExecutionView</t>
  </si>
  <si>
    <t>2015-2-10 16:48:28.976: RTWSControl - execDetails -  exiting execDetailsEx</t>
  </si>
  <si>
    <t>2015-2-10 16:48:28.976: RTWSControl - execDetails - Got execution Message id:-1</t>
  </si>
  <si>
    <t>2015-2-10 16:48:29.8: openOrderEx - I am here</t>
  </si>
  <si>
    <t>2015-2-10 16:48:29.43: RTWSControl - orderStatus -  entering orderStatus id is 9004 status is PendingSubmit</t>
  </si>
  <si>
    <t>2015-2-10 16:48:29.43: OrderManager - UpdateOrderStatus - id 9004 Setting status to PendingSubmit workingOrderCount is now -19 workingQty -890</t>
  </si>
  <si>
    <t>2015-2-10 16:48:29.45: RTWSControl - OrderStatus - Got OrderStatus Message id:9004 status: PendingSubmit filled: 1</t>
  </si>
  <si>
    <t>2015-2-10 16:48:29.45: RTWSControl - OrderStatus - exiting orderStatus</t>
  </si>
  <si>
    <t>2015-2-10 16:48:29.58: openOrderEx - I am here</t>
  </si>
  <si>
    <t>2015-2-10 16:48:29.89: RTWSControl - orderStatus -  entering orderStatus id is 9004 status is Submitted</t>
  </si>
  <si>
    <t>2015-2-10 16:48:29.89: OrderManager - UpdateOrderStatus - id 9004 Setting status to Submitted workingOrderCount is now -19 workingQty -890</t>
  </si>
  <si>
    <t>2015-2-10 16:48:29.91: RTWSControl - OrderStatus - Got OrderStatus Message id:9004 status: Submitted filled: 1</t>
  </si>
  <si>
    <t>2015-2-10 16:48:29.91: RTWSControl - OrderStatus - exiting orderStatus</t>
  </si>
  <si>
    <t>2015-2-10 16:48:29.128: openOrderEx - I am here</t>
  </si>
  <si>
    <t>2015-2-10 16:48:29.139: RTWSControl - orderStatus -  entering orderStatus id is 9004 status is Submitted</t>
  </si>
  <si>
    <t>2015-2-10 16:48:29.140: OrderManager - UpdateOrderStatus - id 9004 Setting status to Submitted workingOrderCount is now -19 workingQty -890</t>
  </si>
  <si>
    <t>2015-2-10 16:48:29.142: RTWSControl - OrderStatus - Got OrderStatus Message id:9004 status: Submitted filled: 1</t>
  </si>
  <si>
    <t>2015-2-10 16:48:29.142: RTWSControl - OrderStatus - exiting orderStatus</t>
  </si>
  <si>
    <t>2015-2-10 16:48:29.172: OrderManager - cancelOrder - cancelling order id 9004</t>
  </si>
  <si>
    <t>2015-2-10 16:48:29.172: Algorithm - checkWorkingOrders - cancelling BUYcurrentHedgeShortfall is  -1 - opposite trade required</t>
  </si>
  <si>
    <t>2015-2-10 16:48:29.173: Algorithm - FindNextStrikes - price is 1.52495 nextStrikeUp/Down 1.525/1.52</t>
  </si>
  <si>
    <t>2015-2-10 16:48:29.173: Algorithm - getPortfolioForwardDelta - required deltas is 120 currentHedgePosition is 91</t>
  </si>
  <si>
    <t>2015-2-10 16:48:29.173: Algorithm - getHedgeShortfall - required deltas is 120 price is 1.52505 currentHedgePositionDeltas is 91</t>
  </si>
  <si>
    <t>2015-2-10 16:48:29.174: Algorithm - processTransitionPoint - nextUpper/LowerStrikes are 1.525/1.52 requiredDeltas/currentPosition/currentHedgeShortfall/direction/transitionPrice are 120/91/29/1/1.52505</t>
  </si>
  <si>
    <t>2015-2-10 16:48:29.174: TransitionLogger - processTransitionpoint - checking transition - currentHedgeShortfall is 29</t>
  </si>
  <si>
    <t>2015-2-10 16:48:29.174: TransitionLogger - processTransitionpoint - reversing transition - currentHedgeShortfall/currentTransition.direction is 29/-1</t>
  </si>
  <si>
    <t>2015-2-10 16:48:29.175: Algorithm - rehedge - rehedging 29 contracts</t>
  </si>
  <si>
    <t>2015-2-10 16:48:29.175: Algorithm - rehedge - Need to place order but already have a working order - workingQty is -890 working order count -19</t>
  </si>
  <si>
    <t>2015-2-10 16:48:29.293: RTWSControl - execDetails -  entering execDetailsEx execution id is 0001f4e5.54d99424.01.01 shares/cumQty is 1/2</t>
  </si>
  <si>
    <t>2015-2-10 16:48:29.293: Algorithm - FindNextStrikes - price is 1.52495 nextStrikeUp/Down 1.525/1.52</t>
  </si>
  <si>
    <t>2015-2-10 16:48:29.294: Algorithm - getPortfolioForwardDelta - required deltas is 120 currentHedgePosition is 92</t>
  </si>
  <si>
    <t>2015-2-10 16:48:29.294: Algorithm - getHedgeShortfall - required deltas is 120 price is 1.52505 currentHedgePositionDeltas is 92</t>
  </si>
  <si>
    <t>2015-2-10 16:48:29.295: Algorithm - processTransitionPoint - nextUpper/LowerStrikes are 1.525/1.52 requiredDeltas/currentPosition/currentHedgeShortfall/direction/transitionPrice are 120/92/28/1/1.52505</t>
  </si>
  <si>
    <t>2015-2-10 16:48:29.295: TransitionLogger - processTransitionpoint - checking transition - currentHedgeShortfall is 28</t>
  </si>
  <si>
    <t>2015-2-10 16:48:29.295: OrderManager - updateExecution - got a fill for id 9004 qty 1 side BOT price 1.5249 - new working order size is -891 new instrument.qty is 92</t>
  </si>
  <si>
    <t>0001f4e5.54d99424.01.01</t>
  </si>
  <si>
    <t>2015-2-10 16:48:29.297: OrderManagerView - UpdateExecutionView - entering updateExecutionView  executionId is 0001f4e5.54d99424.01.01</t>
  </si>
  <si>
    <t>2015-2-10 16:48:29.298: OrderManagerView - updateExecutionView -  exiting UpdateExecutionView</t>
  </si>
  <si>
    <t>2015-2-10 16:48:29.298: RTWSControl - execDetails -  exiting execDetailsEx</t>
  </si>
  <si>
    <t>2015-2-10 16:48:29.298: RTWSControl - execDetails - Got execution Message id:-1</t>
  </si>
  <si>
    <t>2015-2-10 16:48:29.311: openOrderEx - I am here</t>
  </si>
  <si>
    <t>2015-2-10 16:48:29.339: RTWSControl - orderStatus -  entering orderStatus id is 9004 status is PendingCancel</t>
  </si>
  <si>
    <t>2015-2-10 16:48:29.340: OrderManager - UpdateOrderStatus - id 9004 Setting status to PendingCancel workingOrderCount is now -19 workingQty -891</t>
  </si>
  <si>
    <t>PendingCancel</t>
  </si>
  <si>
    <t>2015-2-10 16:48:29.342: RTWSControl - OrderStatus - Got OrderStatus Message id:9004 status: PendingCancel filled: 2</t>
  </si>
  <si>
    <t>2015-2-10 16:48:29.342: RTWSControl - OrderStatus - exiting orderStatus</t>
  </si>
  <si>
    <t>2015-2-10 16:48:29.594: openOrderEx - I am here</t>
  </si>
  <si>
    <t>2015-2-10 16:48:29.608: RTWSControl - orderStatus -  entering orderStatus id is 9004 status is PendingCancel</t>
  </si>
  <si>
    <t>2015-2-10 16:48:29.609: OrderManager - UpdateOrderStatus - id 9004 Setting status to PendingCancel workingOrderCount is now -19 workingQty -891</t>
  </si>
  <si>
    <t>2015-2-10 16:48:29.611: RTWSControl - OrderStatus - Got OrderStatus Message id:9004 status: PendingCancel filled: 2</t>
  </si>
  <si>
    <t>2015-2-10 16:48:29.611: RTWSControl - OrderStatus - exiting orderStatus</t>
  </si>
  <si>
    <t>2015-2-10 16:48:29.638: Algorithm - rehedge - rehedging 28 contracts</t>
  </si>
  <si>
    <t>2015-2-10 16:48:29.638: Algorithm - rehedge - Need to place order but already have a working order - workingQty is -891 working order count -19</t>
  </si>
  <si>
    <t>2015-2-10 16:48:29.715: RTWSControl - orderStatus -  entering orderStatus id is 9004 status is Cancelled</t>
  </si>
  <si>
    <t>2015-2-10 16:48:29.716: OrderManager - UpdateOrderStatus - id 9004 Setting status to Cancelled workingOrderCount is now -19 workingQty -891</t>
  </si>
  <si>
    <t>2015-2-10 16:48:29.717: RTWSControl - OrderStatus - Got OrderStatus Message id:9004 status: Cancelled filled: 2</t>
  </si>
  <si>
    <t>2015-2-10 16:48:29.718: RTWSControl - OrderStatus - exiting orderStatus</t>
  </si>
  <si>
    <t>2015-2-10 16:48:29.751: RTWSControl - errMsg - got error message 202:Order Canceled - reason:with id 9004</t>
  </si>
  <si>
    <t>2015-2-10 16:48:29.751: OrderManager - canceledOrder - cleaning up after canceled order 9004BEWARE UNACCOUNTED FOR EXECUTIONS!!!</t>
  </si>
  <si>
    <t>2015-2-10 16:48:29.751: OrderManager - terminateOrder - cleaning up after Canceled 9004  order was supposed to BUY 5 1.5249 LMT workingQty/OrderCount now -894/-20</t>
  </si>
  <si>
    <t>2015-2-10 16:48:31.794: Algorithm - FindNextStrikes - price is 1.5249 nextStrikeUp/Down 1.525/1.52</t>
  </si>
  <si>
    <t>2015-2-10 16:48:31.794: Algorithm - getPortfolioForwardDelta - required deltas is 90 currentHedgePosition is 92</t>
  </si>
  <si>
    <t>2015-2-10 16:48:31.795: Algorithm - getHedgeShortfall - required deltas is 90 price is 1.525 currentHedgePositionDeltas is 92</t>
  </si>
  <si>
    <t>2015-2-10 16:48:31.795: Algorithm - processTransitionPoint - nextUpper/LowerStrikes are 1.525/1.52 requiredDeltas/currentPosition/currentHedgeShortfall/direction/transitionPrice are 90/92/-2/1/1.525</t>
  </si>
  <si>
    <t>2015-2-10 16:48:31.796: TransitionLogger - processTransitionpoint - checking transition - currentHedgeShortfall is -2</t>
  </si>
  <si>
    <t>2015-2-10 16:48:31.796: TransitionLogger - processTransitionpoint - reversing transition - currentHedgeShortfall/currentTransition.direction is -2/1</t>
  </si>
  <si>
    <t>2015-2-10 16:48:31.796: Algorithm - rehedge - rehedging -2 contracts</t>
  </si>
  <si>
    <t>2015-2-10 16:48:31.797: Algortihm - rehedge - inside the loop</t>
  </si>
  <si>
    <t>2015-2-10 16:48:31.797: Algorithm - rehedge - trying to trade BUT contracts is -2 and direction indicator is 1</t>
  </si>
  <si>
    <t>2015-2-10 16:48:31.798: Algorithm - updatePortfolio - haveAllDetails is True</t>
  </si>
  <si>
    <t>2015-2-10 16:48:31.841: Algorithm - FindNextStrikes - price is 1.5249 nextStrikeUp/Down 1.525/1.52</t>
  </si>
  <si>
    <t>2015-2-10 16:48:31.841: Algorithm - getPortfolioForwardDelta - required deltas is 90 currentHedgePosition is 92</t>
  </si>
  <si>
    <t>2015-2-10 16:48:31.841: Algorithm - getHedgeShortfall - required deltas is 90 price is 1.525 currentHedgePositionDeltas is 92</t>
  </si>
  <si>
    <t>2015-2-10 16:48:31.842: Algorithm - processTransitionPoint - nextUpper/LowerStrikes are 1.525/1.52 requiredDeltas/currentPosition/currentHedgeShortfall/direction/transitionPrice are 90/92/-2/1/1.525</t>
  </si>
  <si>
    <t>2015-2-10 16:48:31.843: TransitionLogger - processTransitionpoint - checking transition - currentHedgeShortfall is -2</t>
  </si>
  <si>
    <t>2015-2-10 16:48:31.843: Algorithm - rehedge - rehedging -2 contracts</t>
  </si>
  <si>
    <t>2015-2-10 16:48:31.843: Algortihm - rehedge - inside the loop</t>
  </si>
  <si>
    <t>2015-2-10 16:48:31.843: Algorithm - rehedge - trying to trade BUT contracts is -2 and direction indicator is 1</t>
  </si>
  <si>
    <t>2015-2-10 16:48:31.844: Algorithm - updatePortfolio - haveAllDetails is True</t>
  </si>
  <si>
    <t>2015-2-10 16:48:31.886: Algorithm - FindNextStrikes - price is 1.5249 nextStrikeUp/Down 1.525/1.52</t>
  </si>
  <si>
    <t>2015-2-10 16:48:31.886: Algorithm - getPortfolioForwardDelta - required deltas is 90 currentHedgePosition is 92</t>
  </si>
  <si>
    <t>2015-2-10 16:48:31.887: Algorithm - getHedgeShortfall - required deltas is 90 price is 1.525 currentHedgePositionDeltas is 92</t>
  </si>
  <si>
    <t>2015-2-10 16:48:31.887: Algorithm - processTransitionPoint - nextUpper/LowerStrikes are 1.525/1.52 requiredDeltas/currentPosition/currentHedgeShortfall/direction/transitionPrice are 90/92/-2/1/1.525</t>
  </si>
  <si>
    <t>2015-2-10 16:48:31.887: TransitionLogger - processTransitionpoint - checking transition - currentHedgeShortfall is -2</t>
  </si>
  <si>
    <t>2015-2-10 16:48:31.888: Algorithm - rehedge - rehedging -2 contracts</t>
  </si>
  <si>
    <t>2015-2-10 16:48:31.888: Algortihm - rehedge - inside the loop</t>
  </si>
  <si>
    <t>2015-2-10 16:48:31.888: Algorithm - rehedge - trying to trade BUT contracts is -2 and direction indicator is 1</t>
  </si>
  <si>
    <t>2015-2-10 16:48:31.889: Algorithm - updatePortfolio - haveAllDetails is True</t>
  </si>
  <si>
    <t>2015-2-10 16:48:31.928: Algorithm - FindNextStrikes - price is 1.5249 nextStrikeUp/Down 1.525/1.52</t>
  </si>
  <si>
    <t>2015-2-10 16:48:31.928: Algorithm - getPortfolioForwardDelta - required deltas is 90 currentHedgePosition is 92</t>
  </si>
  <si>
    <t>2015-2-10 16:48:31.928: Algorithm - getHedgeShortfall - required deltas is 90 price is 1.525 currentHedgePositionDeltas is 92</t>
  </si>
  <si>
    <t>2015-2-10 16:48:31.929: Algorithm - processTransitionPoint - nextUpper/LowerStrikes are 1.525/1.52 requiredDeltas/currentPosition/currentHedgeShortfall/direction/transitionPrice are 90/92/-2/1/1.525</t>
  </si>
  <si>
    <t>2015-2-10 16:48:31.929: TransitionLogger - processTransitionpoint - checking transition - currentHedgeShortfall is -2</t>
  </si>
  <si>
    <t>2015-2-10 16:48:31.929: Algorithm - rehedge - rehedging -2 contracts</t>
  </si>
  <si>
    <t>2015-2-10 16:48:31.929: Algortihm - rehedge - inside the loop</t>
  </si>
  <si>
    <t>2015-2-10 16:48:31.930: Algorithm - rehedge - trying to trade BUT contracts is -2 and direction indicator is 1</t>
  </si>
  <si>
    <t>2015-2-10 16:48:31.930: Algorithm - updatePortfolio - haveAllDetails is True</t>
  </si>
  <si>
    <t>2015-2-10 16:48:31.971: Algorithm - FindNextStrikes - price is 1.5249 nextStrikeUp/Down 1.525/1.52</t>
  </si>
  <si>
    <t>2015-2-10 16:48:31.971: Algorithm - getPortfolioForwardDelta - required deltas is 90 currentHedgePosition is 92</t>
  </si>
  <si>
    <t>2015-2-10 16:48:31.972: Algorithm - getHedgeShortfall - required deltas is 90 price is 1.525 currentHedgePositionDeltas is 92</t>
  </si>
  <si>
    <t>2015-2-10 16:48:31.972: Algorithm - processTransitionPoint - nextUpper/LowerStrikes are 1.525/1.52 requiredDeltas/currentPosition/currentHedgeShortfall/direction/transitionPrice are 90/92/-2/1/1.525</t>
  </si>
  <si>
    <t>2015-2-10 16:48:31.972: TransitionLogger - processTransitionpoint - checking transition - currentHedgeShortfall is -2</t>
  </si>
  <si>
    <t>2015-2-10 16:48:31.973: Algorithm - rehedge - rehedging -2 contracts</t>
  </si>
  <si>
    <t>2015-2-10 16:48:31.973: Algortihm - rehedge - inside the loop</t>
  </si>
  <si>
    <t>2015-2-10 16:48:31.973: Algorithm - rehedge - trying to trade BUT contracts is -2 and direction indicator is 1</t>
  </si>
  <si>
    <t>2015-2-10 16:48:31.974: Algorithm - updatePortfolio - haveAllDetails is True</t>
  </si>
  <si>
    <t>2015-2-10 16:48:32.10: Algorithm - FindNextStrikes - price is 1.5249 nextStrikeUp/Down 1.525/1.52</t>
  </si>
  <si>
    <t>2015-2-10 16:48:32.10: Algorithm - getPortfolioForwardDelta - required deltas is 90 currentHedgePosition is 92</t>
  </si>
  <si>
    <t>2015-2-10 16:48:32.11: Algorithm - getHedgeShortfall - required deltas is 90 price is 1.525 currentHedgePositionDeltas is 92</t>
  </si>
  <si>
    <t>2015-2-10 16:48:32.11: Algorithm - processTransitionPoint - nextUpper/LowerStrikes are 1.525/1.52 requiredDeltas/currentPosition/currentHedgeShortfall/direction/transitionPrice are 90/92/-2/1/1.525</t>
  </si>
  <si>
    <t>2015-2-10 16:48:32.11: TransitionLogger - processTransitionpoint - checking transition - currentHedgeShortfall is -2</t>
  </si>
  <si>
    <t>2015-2-10 16:48:32.12: Algorithm - rehedge - rehedging -2 contracts</t>
  </si>
  <si>
    <t>2015-2-10 16:48:32.12: Algortihm - rehedge - inside the loop</t>
  </si>
  <si>
    <t>2015-2-10 16:48:32.12: Algorithm - rehedge - trying to trade BUT contracts is -2 and direction indicator is 1</t>
  </si>
  <si>
    <t>2015-2-10 16:48:32.13: Algorithm - updatePortfolio - haveAllDetails is True</t>
  </si>
  <si>
    <t>2015-2-10 16:48:32.54: Algorithm - FindNextStrikes - price is 1.5249 nextStrikeUp/Down 1.525/1.52</t>
  </si>
  <si>
    <t>2015-2-10 16:48:32.54: Algorithm - getPortfolioForwardDelta - required deltas is 90 currentHedgePosition is 92</t>
  </si>
  <si>
    <t>2015-2-10 16:48:32.55: Algorithm - getHedgeShortfall - required deltas is 90 price is 1.525 currentHedgePositionDeltas is 92</t>
  </si>
  <si>
    <t>2015-2-10 16:48:32.55: Algorithm - processTransitionPoint - nextUpper/LowerStrikes are 1.525/1.52 requiredDeltas/currentPosition/currentHedgeShortfall/direction/transitionPrice are 90/92/-2/1/1.525</t>
  </si>
  <si>
    <t>2015-2-10 16:48:32.55: TransitionLogger - processTransitionpoint - checking transition - currentHedgeShortfall is -2</t>
  </si>
  <si>
    <t>2015-2-10 16:48:32.56: Algorithm - rehedge - rehedging -2 contracts</t>
  </si>
  <si>
    <t>2015-2-10 16:48:32.56: Algortihm - rehedge - inside the loop</t>
  </si>
  <si>
    <t>2015-2-10 16:48:32.56: Algorithm - rehedge - trying to trade BUT contracts is -2 and direction indicator is 1</t>
  </si>
  <si>
    <t>2015-2-10 16:48:32.57: Algorithm - updatePortfolio - haveAllDetails is True</t>
  </si>
  <si>
    <t>2015-2-10 16:48:32.96: Algorithm - FindNextStrikes - price is 1.5249 nextStrikeUp/Down 1.525/1.52</t>
  </si>
  <si>
    <t>2015-2-10 16:48:32.96: Algorithm - getPortfolioForwardDelta - required deltas is 90 currentHedgePosition is 92</t>
  </si>
  <si>
    <t>2015-2-10 16:48:32.97: Algorithm - getHedgeShortfall - required deltas is 90 price is 1.525 currentHedgePositionDeltas is 92</t>
  </si>
  <si>
    <t>2015-2-10 16:48:32.97: Algorithm - processTransitionPoint - nextUpper/LowerStrikes are 1.525/1.52 requiredDeltas/currentPosition/currentHedgeShortfall/direction/transitionPrice are 90/92/-2/1/1.525</t>
  </si>
  <si>
    <t>2015-2-10 16:48:32.97: TransitionLogger - processTransitionpoint - checking transition - currentHedgeShortfall is -2</t>
  </si>
  <si>
    <t>2015-2-10 16:48:32.98: Algorithm - rehedge - rehedging -2 contracts</t>
  </si>
  <si>
    <t>2015-2-10 16:48:32.98: Algortihm - rehedge - inside the loop</t>
  </si>
  <si>
    <t>2015-2-10 16:48:32.98: Algorithm - rehedge - trying to trade BUT contracts is -2 and direction indicator is 1</t>
  </si>
  <si>
    <t>2015-2-10 16:48:32.99: Algorithm - updatePortfolio - haveAllDetails is True</t>
  </si>
  <si>
    <t>2015-2-10 16:48:32.136: Algorithm - FindNextStrikes - price is 1.5249 nextStrikeUp/Down 1.525/1.52</t>
  </si>
  <si>
    <t>2015-2-10 16:48:32.137: Algorithm - getPortfolioForwardDelta - required deltas is 90 currentHedgePosition is 92</t>
  </si>
  <si>
    <t>2015-2-10 16:48:32.137: Algorithm - getHedgeShortfall - required deltas is 90 price is 1.525 currentHedgePositionDeltas is 92</t>
  </si>
  <si>
    <t>2015-2-10 16:48:32.137: Algorithm - processTransitionPoint - nextUpper/LowerStrikes are 1.525/1.52 requiredDeltas/currentPosition/currentHedgeShortfall/direction/transitionPrice are 90/92/-2/1/1.525</t>
  </si>
  <si>
    <t>2015-2-10 16:48:32.138: TransitionLogger - processTransitionpoint - checking transition - currentHedgeShortfall is -2</t>
  </si>
  <si>
    <t>2015-2-10 16:48:32.138: Algorithm - rehedge - rehedging -2 contracts</t>
  </si>
  <si>
    <t>2015-2-10 16:48:32.138: Algortihm - rehedge - inside the loop</t>
  </si>
  <si>
    <t>2015-2-10 16:48:32.138: Algorithm - rehedge - trying to trade BUT contracts is -2 and direction indicator is 1</t>
  </si>
  <si>
    <t>2015-2-10 16:48:32.139: Algorithm - updatePortfolio - haveAllDetails is True</t>
  </si>
  <si>
    <t>2015-2-10 16:48:37.315: Algorithm - rehedge - rehedging -2 contracts</t>
  </si>
  <si>
    <t>2015-2-10 16:48:37.316: Algortihm - rehedge - inside the loop</t>
  </si>
  <si>
    <t>2015-2-10 16:48:37.317: Algorithm - rehedge - trying to trade BUT contracts is -2 and direction indicator is 1</t>
  </si>
  <si>
    <t>2015-2-10 16:48:37.323: OrderManager - cancelOrder - cancelling order id 9001</t>
  </si>
  <si>
    <t>2015-2-10 16:48:37.324: OrderManager - PlaceOrder - id 9005 workingQty -924</t>
  </si>
  <si>
    <t>2015-2-10 16:48:37.328: OrderManager - sendOrder - exiting place order id 9005 SELL 30 1.5233  - workingQty -924 currentPosition is 92 workingOrderCount is -19</t>
  </si>
  <si>
    <t>2015-2-10 16:48:37.466: RTWSControl - nextValidId - entering nextValidId id is 9006</t>
  </si>
  <si>
    <t>2015-2-10 16:48:37.568: RTWSControl - orderStatus -  entering orderStatus id is 9001 status is Cancelled</t>
  </si>
  <si>
    <t>2015-2-10 16:48:37.570: OrderManager - UpdateOrderStatus - id 9001 Setting status to Cancelled workingOrderCount is now -19 workingQty -924</t>
  </si>
  <si>
    <t>2015-2-10 16:48:37.577: RTWSControl - OrderStatus - Got OrderStatus Message id:9001 status: Cancelled filled: 0</t>
  </si>
  <si>
    <t>2015-2-10 16:48:37.578: RTWSControl - OrderStatus - exiting orderStatus</t>
  </si>
  <si>
    <t>2015-2-10 16:48:37.597: RTWSControl - errMsg - got error message 202:Order Canceled - reason:with id 9001</t>
  </si>
  <si>
    <t>2015-2-10 16:48:37.598: OrderManager - canceledOrder - cleaning up after canceled order 9001BEWARE UNACCOUNTED FOR EXECUTIONS!!!</t>
  </si>
  <si>
    <t>2015-2-10 16:48:37.598: OrderManager - terminateOrder - cleaning up after Canceled 9001  order was supposed to SELL 27 1.5231 STP LMT workingQty/OrderCount now -951/-20</t>
  </si>
  <si>
    <t>2015-2-10 16:48:37.781: openOrderEx - I am here</t>
  </si>
  <si>
    <t>2015-2-10 16:48:37.822: RTWSControl - orderStatus -  entering orderStatus id is 9005 status is PreSubmitted</t>
  </si>
  <si>
    <t>2015-2-10 16:48:37.823: OrderManager - UpdateOrderStatus - id 9005 Setting status to PreSubmitted workingOrderCount is now -20 workingQty -951</t>
  </si>
  <si>
    <t>2015-2-10 16:48:37.824: RTWSControl - OrderStatus - Got OrderStatus Message id:9005 status: PreSubmitted filled: 0</t>
  </si>
  <si>
    <t>2015-2-10 16:48:37.825: RTWSControl - OrderStatus - exiting orderStatus</t>
  </si>
  <si>
    <t>2015-2-10 16:48:37.834: Algorithm - rehedge - rehedging -2 contracts</t>
  </si>
  <si>
    <t>2015-2-10 16:48:37.834: Algortihm - rehedge - inside the loop</t>
  </si>
  <si>
    <t>2015-2-10 16:48:37.835: Algorithm - rehedge - trying to trade BUT contracts is -2 and direction indicator is 1</t>
  </si>
  <si>
    <t>2015-2-10 16:48:38.922: Algorithm - rehedge - rehedging -2 contracts</t>
  </si>
  <si>
    <t>2015-2-10 16:48:38.922: Algortihm - rehedge - inside the loop</t>
  </si>
  <si>
    <t>2015-2-10 16:48:38.923: Algorithm - rehedge - trying to trade BUT contracts is -2 and direction indicator is 1</t>
  </si>
  <si>
    <t>2015-2-10 16:48:41.649: Algorithm - rehedge - rehedging -2 contracts</t>
  </si>
  <si>
    <t>2015-2-10 16:48:41.649: Algortihm - rehedge - inside the loop</t>
  </si>
  <si>
    <t>2015-2-10 16:48:41.650: Algorithm - rehedge - trying to trade BUT contracts is -2 and direction indicator is 1</t>
  </si>
  <si>
    <t>2015-2-10 16:48:41.755: Algorithm - FindNextStrikes - price is 1.52495 nextStrikeUp/Down 1.525/1.52</t>
  </si>
  <si>
    <t>2015-2-10 16:48:41.755: Algorithm - getPortfolioForwardDelta - required deltas is 120 currentHedgePosition is 92</t>
  </si>
  <si>
    <t>2015-2-10 16:48:41.755: Algorithm - getHedgeShortfall - required deltas is 120 price is 1.52505 currentHedgePositionDeltas is 92</t>
  </si>
  <si>
    <t>2015-2-10 16:48:41.756: Algorithm - processTransitionPoint - nextUpper/LowerStrikes are 1.525/1.52 requiredDeltas/currentPosition/currentHedgeShortfall/direction/transitionPrice are 120/92/28/1/1.52505</t>
  </si>
  <si>
    <t>2015-2-10 16:48:41.756: TransitionLogger - processTransitionpoint - checking transition - currentHedgeShortfall is 28</t>
  </si>
  <si>
    <t>2015-2-10 16:48:41.756: TransitionLogger - processTransitionpoint - reversing transition - currentHedgeShortfall/currentTransition.direction is 28/-1</t>
  </si>
  <si>
    <t>2015-2-10 16:48:41.757: Algorithm - rehedge - rehedging 28 contracts</t>
  </si>
  <si>
    <t>2015-2-10 16:48:41.757: Algortihm - rehedge - inside the loop</t>
  </si>
  <si>
    <t>2015-2-10 16:48:41.758: OrderManager - PlaceOrder - id 9006 workingQty -946</t>
  </si>
  <si>
    <t>2015-2-10 16:48:41.759: OrderManager - sendOrder - exiting place order id 9006 BUY 5 1.5248  - workingQty -946 currentPosition is 92 workingOrderCount is -19</t>
  </si>
  <si>
    <t>2015-2-10 16:48:41.760: Algorithm - rehedge - placing an order - orderSize is 5 workingQty is -946 working order count -19</t>
  </si>
  <si>
    <t>2015-2-10 16:48:41.973: RTWSControl - nextValidId - entering nextValidId id is 9007</t>
  </si>
  <si>
    <t>2015-2-10 16:48:42.13: RTWSControl - errMsg - got error message 508:Bad messagewith id -1</t>
  </si>
  <si>
    <t>2015-2-10 16:48:42.14: RTWSControl - errMsg - Got Error_x000D_id: -1_x000D_errorCode: 508_x000D_errorMsg: Bad message</t>
  </si>
  <si>
    <t>2015-2-10 16:53:44.14: Util - flushTransitionFile - an error occurred Object variable or With block variable not set</t>
  </si>
  <si>
    <t>2015-2-10 16:53:47.129: Util - flushTransitionFile - an error occurred Object variable or With block variable not set</t>
  </si>
  <si>
    <t>2015-2-10 16:53:58.860: Main - close files - an error occurred Object variable or With block variable not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</si>
</sst>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4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19" fillId="0" borderId="0" xfId="0" applyFo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27"/>
  <sheetViews>
    <sheetView tabSelected="1" zoomScale="65" zoomScaleNormal="65" workbookViewId="0">
      <selection activeCell="E24" sqref="E24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100" t="s">
        <v>124</v>
      </c>
      <c r="B6" s="100"/>
      <c r="C6" s="100"/>
      <c r="D6" s="100"/>
      <c r="E6" s="100" t="s">
        <v>125</v>
      </c>
      <c r="F6" s="100"/>
      <c r="G6" s="100" t="s">
        <v>126</v>
      </c>
      <c r="H6" s="100"/>
      <c r="I6" s="100" t="s">
        <v>127</v>
      </c>
      <c r="J6" s="100"/>
      <c r="K6" s="100" t="s">
        <v>128</v>
      </c>
      <c r="L6" s="100"/>
      <c r="M6" s="100" t="s">
        <v>129</v>
      </c>
      <c r="N6" s="100"/>
      <c r="O6" s="100"/>
      <c r="P6" s="100"/>
      <c r="Q6" s="100"/>
      <c r="R6" s="100"/>
      <c r="S6" s="100"/>
      <c r="T6" s="100"/>
      <c r="U6" s="61"/>
      <c r="V6" s="61"/>
      <c r="W6" s="61"/>
      <c r="AF6" s="36"/>
    </row>
    <row r="7" spans="1:36" x14ac:dyDescent="0.25">
      <c r="A7" s="113" t="s">
        <v>130</v>
      </c>
      <c r="B7" s="113"/>
      <c r="C7" s="113">
        <v>7497</v>
      </c>
      <c r="D7" s="113"/>
      <c r="E7" s="113">
        <v>7</v>
      </c>
      <c r="F7" s="113"/>
      <c r="G7" s="113">
        <v>5</v>
      </c>
      <c r="H7" s="113"/>
      <c r="I7" s="114">
        <v>0.96388888888888891</v>
      </c>
      <c r="J7" s="115"/>
      <c r="K7" s="111" t="s">
        <v>217</v>
      </c>
      <c r="L7" s="112"/>
      <c r="M7" s="109"/>
      <c r="N7" s="110"/>
      <c r="O7" s="109"/>
      <c r="P7" s="110"/>
      <c r="Q7" s="109"/>
      <c r="R7" s="110"/>
      <c r="S7" s="109"/>
      <c r="T7" s="110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08" t="s">
        <v>135</v>
      </c>
      <c r="B12" s="108"/>
      <c r="C12" s="108" t="s">
        <v>136</v>
      </c>
      <c r="D12" s="108"/>
      <c r="E12" s="65" t="s">
        <v>137</v>
      </c>
      <c r="F12" s="65"/>
      <c r="G12" s="108" t="s">
        <v>138</v>
      </c>
      <c r="H12" s="108"/>
      <c r="I12" s="108" t="s">
        <v>139</v>
      </c>
      <c r="J12" s="108"/>
      <c r="K12" s="100" t="s">
        <v>140</v>
      </c>
      <c r="L12" s="100"/>
      <c r="M12" s="100" t="s">
        <v>141</v>
      </c>
      <c r="N12" s="100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>
        <v>1036177.97</v>
      </c>
      <c r="B13" s="3"/>
      <c r="C13" s="5">
        <v>459060.26</v>
      </c>
      <c r="D13" s="3">
        <v>459060.26</v>
      </c>
      <c r="E13" s="5">
        <v>459060.26</v>
      </c>
      <c r="F13" s="5"/>
      <c r="G13" s="5">
        <v>476205.91</v>
      </c>
      <c r="H13" s="5"/>
      <c r="I13" s="5">
        <v>4554</v>
      </c>
      <c r="J13" s="5"/>
      <c r="K13" s="6">
        <v>-15569</v>
      </c>
      <c r="L13" s="4"/>
      <c r="M13" s="62" t="s">
        <v>216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92</v>
      </c>
      <c r="K16" s="64">
        <v>1.5248999999999999</v>
      </c>
      <c r="L16" s="64"/>
      <c r="M16" s="64">
        <v>10</v>
      </c>
      <c r="N16" s="64">
        <v>1.5248999999999999</v>
      </c>
      <c r="O16" s="64">
        <v>1.5249999999999999</v>
      </c>
      <c r="P16" s="64">
        <v>41</v>
      </c>
      <c r="Q16" s="64"/>
      <c r="R16" s="64">
        <v>1.52485</v>
      </c>
      <c r="S16" s="64">
        <v>8767887.5600000005</v>
      </c>
      <c r="T16" s="64">
        <v>95235.408780400001</v>
      </c>
      <c r="U16" s="64">
        <v>6229.95</v>
      </c>
      <c r="V16" s="64">
        <v>-15568.77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01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03">
        <v>5</v>
      </c>
      <c r="F21" s="103"/>
      <c r="G21" s="81">
        <v>5</v>
      </c>
      <c r="H21" s="81">
        <v>10</v>
      </c>
      <c r="I21" s="81">
        <v>0.2</v>
      </c>
      <c r="J21" s="81"/>
      <c r="K21" s="104">
        <v>8</v>
      </c>
      <c r="L21" s="105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6" t="s">
        <v>161</v>
      </c>
      <c r="D29" s="107"/>
      <c r="E29" s="12">
        <v>1.52</v>
      </c>
      <c r="F29" s="12"/>
      <c r="G29" s="107" t="s">
        <v>162</v>
      </c>
      <c r="H29" s="107"/>
      <c r="I29" s="12">
        <v>1.5249999999999999</v>
      </c>
      <c r="J29" s="12"/>
      <c r="K29" s="107" t="s">
        <v>163</v>
      </c>
      <c r="L29" s="107"/>
      <c r="M29" s="12">
        <v>120</v>
      </c>
      <c r="N29" s="13"/>
      <c r="O29" s="107" t="s">
        <v>164</v>
      </c>
      <c r="P29" s="107"/>
      <c r="Q29" s="30">
        <v>1.5249068161628518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6" t="s">
        <v>218</v>
      </c>
      <c r="D30" s="107"/>
      <c r="E30" s="12">
        <v>50</v>
      </c>
      <c r="F30" s="12"/>
      <c r="G30" s="107" t="s">
        <v>220</v>
      </c>
      <c r="H30" s="107"/>
      <c r="I30" s="12">
        <v>0</v>
      </c>
      <c r="J30" s="12"/>
      <c r="K30" s="107" t="s">
        <v>194</v>
      </c>
      <c r="L30" s="107"/>
      <c r="M30" s="12">
        <v>92</v>
      </c>
      <c r="N30" s="13"/>
      <c r="O30" s="107" t="s">
        <v>165</v>
      </c>
      <c r="P30" s="107"/>
      <c r="Q30" s="30">
        <v>1.5248951741225245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6" t="s">
        <v>219</v>
      </c>
      <c r="D31" s="107"/>
      <c r="E31" s="12">
        <v>49</v>
      </c>
      <c r="F31" s="12"/>
      <c r="G31" s="107" t="s">
        <v>219</v>
      </c>
      <c r="H31" s="107"/>
      <c r="I31" s="12">
        <v>-1</v>
      </c>
      <c r="J31" s="12"/>
      <c r="K31" s="107" t="s">
        <v>195</v>
      </c>
      <c r="L31" s="107"/>
      <c r="M31" s="12">
        <v>28</v>
      </c>
      <c r="N31" s="13"/>
      <c r="O31" s="107" t="s">
        <v>99</v>
      </c>
      <c r="P31" s="107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20">
        <v>73</v>
      </c>
      <c r="D32" s="118"/>
      <c r="E32" s="118">
        <v>1.5037</v>
      </c>
      <c r="F32" s="118"/>
      <c r="G32" s="118" t="s">
        <v>192</v>
      </c>
      <c r="H32" s="118"/>
      <c r="I32" s="118">
        <v>73</v>
      </c>
      <c r="J32" s="118"/>
      <c r="K32" s="118">
        <v>0</v>
      </c>
      <c r="L32" s="118"/>
      <c r="M32" s="118"/>
      <c r="N32" s="121"/>
      <c r="O32" s="118"/>
      <c r="P32" s="118"/>
      <c r="Q32" s="118"/>
      <c r="R32" s="121"/>
      <c r="S32" s="118"/>
      <c r="T32" s="121"/>
      <c r="U32" s="118"/>
      <c r="V32" s="121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25" t="s">
        <v>205</v>
      </c>
      <c r="B34" s="125"/>
      <c r="C34" s="125"/>
      <c r="D34" s="125"/>
      <c r="E34" s="125"/>
      <c r="F34" s="125"/>
      <c r="G34" s="125"/>
      <c r="H34" s="125"/>
      <c r="I34" s="125"/>
      <c r="Q34" s="126" t="s">
        <v>186</v>
      </c>
      <c r="R34" s="126"/>
      <c r="S34" s="126"/>
      <c r="T34" s="126"/>
      <c r="U34" s="126"/>
      <c r="V34" s="126"/>
      <c r="W34" s="126"/>
    </row>
    <row r="35" spans="1:31" s="11" customFormat="1" ht="27.75" customHeight="1" thickBot="1" x14ac:dyDescent="0.35">
      <c r="A35" s="98" t="s">
        <v>206</v>
      </c>
      <c r="B35" s="98"/>
      <c r="C35" s="98"/>
      <c r="D35" s="98"/>
      <c r="E35" s="98"/>
      <c r="F35" s="98" t="s">
        <v>207</v>
      </c>
      <c r="G35" s="98"/>
      <c r="H35" s="98"/>
      <c r="I35" s="98"/>
      <c r="Q35" s="71"/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213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208</v>
      </c>
      <c r="B37" s="95" t="s">
        <v>212</v>
      </c>
      <c r="C37" s="95" t="s">
        <v>209</v>
      </c>
      <c r="D37" s="95" t="s">
        <v>210</v>
      </c>
      <c r="E37" s="95" t="s">
        <v>3</v>
      </c>
      <c r="F37" s="95" t="s">
        <v>211</v>
      </c>
      <c r="G37" s="95" t="s">
        <v>209</v>
      </c>
      <c r="H37" s="95" t="s">
        <v>212</v>
      </c>
      <c r="I37" s="95" t="s">
        <v>208</v>
      </c>
      <c r="Q37" s="75">
        <f>SUM(U69:U89)+J16</f>
        <v>25.789233004945771</v>
      </c>
      <c r="R37" s="76">
        <f>SUM(X69:X89)</f>
        <v>-5557.2805395135683</v>
      </c>
      <c r="S37" s="74">
        <f>SUM(W69:W89)</f>
        <v>0.29975376101683737</v>
      </c>
      <c r="T37" s="76">
        <f>S37*62500</f>
        <v>18734.610063552336</v>
      </c>
      <c r="U37" s="73">
        <v>0.02</v>
      </c>
      <c r="V37" s="77">
        <f>-1*U37*W37</f>
        <v>-972.5</v>
      </c>
      <c r="W37" s="77">
        <f>AG67</f>
        <v>48625</v>
      </c>
      <c r="X37" s="46"/>
      <c r="Y37" s="46"/>
      <c r="AC37" s="38"/>
    </row>
    <row r="38" spans="1:31" ht="21" x14ac:dyDescent="0.35">
      <c r="A38" s="78">
        <v>0</v>
      </c>
      <c r="B38" s="94">
        <v>-7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>
        <f>ticksUpToLoss(V37,Q37,R37)</f>
        <v>98.497692357072793</v>
      </c>
      <c r="S38" s="76">
        <f>ticksDownToLoss(V37,Q37,R37)</f>
        <v>-5.6852715279342467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-6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>
        <f>Q37+R37*(R38*0.0001)</f>
        <v>-28.948697887349731</v>
      </c>
      <c r="S39" s="76">
        <f>Q37+R37*(S38*0.0001)</f>
        <v>28.948697887349727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-5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26" t="s">
        <v>133</v>
      </c>
      <c r="R40" s="126"/>
      <c r="S40" s="126"/>
      <c r="T40" s="126" t="s">
        <v>189</v>
      </c>
      <c r="U40" s="126"/>
      <c r="V40" s="126"/>
      <c r="W40" s="126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-4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>
        <f>midMarket(N16,O16)+R38/10000</f>
        <v>1.5347997692357074</v>
      </c>
      <c r="S41" s="76">
        <f>ROUND(-R39,0)</f>
        <v>29</v>
      </c>
      <c r="T41" s="72" t="s">
        <v>187</v>
      </c>
      <c r="U41" s="78">
        <v>25</v>
      </c>
      <c r="V41" s="84">
        <v>1.5343</v>
      </c>
      <c r="W41" s="76">
        <v>28</v>
      </c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-3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>
        <f>midMarket(N16,O16)+S38/10000</f>
        <v>1.5243814728472067</v>
      </c>
      <c r="S42" s="76">
        <f>ROUND(-S39,0)</f>
        <v>-29</v>
      </c>
      <c r="T42" s="72" t="s">
        <v>188</v>
      </c>
      <c r="U42" s="78">
        <v>2</v>
      </c>
      <c r="V42" s="84">
        <v>1.5243</v>
      </c>
      <c r="W42" s="76">
        <v>30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-2</v>
      </c>
      <c r="C43" s="78">
        <v>0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-1</v>
      </c>
      <c r="C44" s="78">
        <v>-1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204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1</v>
      </c>
      <c r="C46" s="78">
        <v>-3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2</v>
      </c>
      <c r="C47" s="78">
        <v>-4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29" t="s">
        <v>166</v>
      </c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</row>
    <row r="57" spans="1:15" x14ac:dyDescent="0.25">
      <c r="A57" s="87" t="s">
        <v>26</v>
      </c>
      <c r="B57" s="119" t="s">
        <v>27</v>
      </c>
      <c r="C57" s="119"/>
      <c r="D57" s="119"/>
      <c r="E57" s="119"/>
      <c r="F57" s="88"/>
      <c r="G57" s="119" t="s">
        <v>28</v>
      </c>
      <c r="H57" s="119"/>
      <c r="I57" s="119"/>
      <c r="J57" s="119"/>
      <c r="K57" s="119"/>
      <c r="L57" s="88"/>
      <c r="M57" s="119" t="s">
        <v>167</v>
      </c>
      <c r="N57" s="119"/>
      <c r="O57" s="128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196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 t="s">
        <v>180</v>
      </c>
      <c r="B59" s="16" t="s">
        <v>184</v>
      </c>
      <c r="C59" s="16">
        <v>28</v>
      </c>
      <c r="D59" s="16" t="s">
        <v>221</v>
      </c>
      <c r="E59" s="16">
        <v>1.5343</v>
      </c>
      <c r="F59" s="2">
        <v>8999</v>
      </c>
      <c r="G59" s="18" t="s">
        <v>192</v>
      </c>
      <c r="H59" s="2">
        <v>0</v>
      </c>
      <c r="I59" s="2">
        <v>28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 t="s">
        <v>180</v>
      </c>
      <c r="B60" s="16" t="s">
        <v>193</v>
      </c>
      <c r="C60" s="16">
        <v>30</v>
      </c>
      <c r="D60" s="16" t="s">
        <v>221</v>
      </c>
      <c r="E60" s="16">
        <v>1.5243</v>
      </c>
      <c r="F60" s="2">
        <v>9005</v>
      </c>
      <c r="G60" s="18" t="s">
        <v>192</v>
      </c>
      <c r="H60" s="2">
        <v>0</v>
      </c>
      <c r="I60" s="2">
        <v>30</v>
      </c>
      <c r="J60" s="2">
        <v>0</v>
      </c>
      <c r="K60" s="2">
        <v>0</v>
      </c>
      <c r="L60" s="2"/>
      <c r="M60" s="2"/>
      <c r="N60" s="2"/>
      <c r="O60" s="2"/>
    </row>
    <row r="61" spans="1:15" x14ac:dyDescent="0.25">
      <c r="A61" s="2" t="s">
        <v>180</v>
      </c>
      <c r="B61" s="16" t="s">
        <v>184</v>
      </c>
      <c r="C61" s="16">
        <v>5</v>
      </c>
      <c r="D61" s="16" t="s">
        <v>185</v>
      </c>
      <c r="E61" s="16">
        <v>1.5247999999999999</v>
      </c>
      <c r="F61" s="2">
        <v>9006</v>
      </c>
      <c r="G61" s="18" t="s">
        <v>232</v>
      </c>
      <c r="H61" s="2">
        <v>0</v>
      </c>
      <c r="I61" s="2">
        <v>5</v>
      </c>
      <c r="J61" s="2">
        <v>0</v>
      </c>
      <c r="K61" s="2">
        <v>0</v>
      </c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198</v>
      </c>
      <c r="B64" s="76">
        <f>ticksUpToLoss(F63,A63,B63)</f>
        <v>0</v>
      </c>
      <c r="C64" s="91" t="s">
        <v>199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200</v>
      </c>
      <c r="H64" s="76">
        <f>ticksUpToLoss(L63,G63,H63)</f>
        <v>0</v>
      </c>
      <c r="I64" s="124" t="s">
        <v>201</v>
      </c>
      <c r="J64" s="124"/>
      <c r="K64" s="76"/>
      <c r="L64" s="76"/>
      <c r="M64" s="76"/>
      <c r="N64" s="76"/>
      <c r="O64" s="76"/>
    </row>
    <row r="65" spans="1:33" ht="15.75" x14ac:dyDescent="0.25">
      <c r="A65" s="91" t="s">
        <v>197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7" spans="1:33" x14ac:dyDescent="0.25">
      <c r="A67" s="102" t="s">
        <v>13</v>
      </c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27" t="s">
        <v>101</v>
      </c>
      <c r="O67" s="127"/>
      <c r="P67" s="127"/>
      <c r="Q67" s="127"/>
      <c r="R67" s="127"/>
      <c r="S67" s="127"/>
      <c r="T67" s="127" t="s">
        <v>108</v>
      </c>
      <c r="U67" s="127"/>
      <c r="V67" s="127"/>
      <c r="W67" s="127"/>
      <c r="AG67" s="48">
        <f>SUM(AD69:AD89)</f>
        <v>48625</v>
      </c>
    </row>
    <row r="68" spans="1:33" ht="30" x14ac:dyDescent="0.25">
      <c r="A68" s="1" t="s">
        <v>9</v>
      </c>
      <c r="B68" s="1" t="s">
        <v>11</v>
      </c>
      <c r="C68" s="1" t="s">
        <v>172</v>
      </c>
      <c r="D68" s="1" t="s">
        <v>157</v>
      </c>
      <c r="E68" s="1" t="s">
        <v>158</v>
      </c>
      <c r="F68" s="1" t="s">
        <v>179</v>
      </c>
      <c r="G68" s="1" t="s">
        <v>173</v>
      </c>
      <c r="H68" s="61" t="s">
        <v>19</v>
      </c>
      <c r="I68" s="61" t="s">
        <v>21</v>
      </c>
      <c r="J68" s="61" t="s">
        <v>22</v>
      </c>
      <c r="K68" s="61" t="s">
        <v>18</v>
      </c>
      <c r="L68" s="61" t="s">
        <v>20</v>
      </c>
      <c r="M68" s="61" t="s">
        <v>23</v>
      </c>
      <c r="N68" s="31" t="s">
        <v>102</v>
      </c>
      <c r="O68" s="31" t="s">
        <v>103</v>
      </c>
      <c r="P68" s="31" t="s">
        <v>104</v>
      </c>
      <c r="Q68" s="31" t="s">
        <v>105</v>
      </c>
      <c r="R68" s="31" t="s">
        <v>106</v>
      </c>
      <c r="S68" s="31" t="s">
        <v>107</v>
      </c>
      <c r="T68" s="35" t="s">
        <v>112</v>
      </c>
      <c r="U68" s="31" t="s">
        <v>103</v>
      </c>
      <c r="V68" s="31" t="s">
        <v>104</v>
      </c>
      <c r="W68" s="31" t="s">
        <v>105</v>
      </c>
      <c r="X68" s="35" t="s">
        <v>113</v>
      </c>
      <c r="Y68" s="35" t="s">
        <v>114</v>
      </c>
      <c r="Z68" s="35" t="s">
        <v>119</v>
      </c>
      <c r="AA68" s="50" t="s">
        <v>118</v>
      </c>
      <c r="AB68" s="50" t="s">
        <v>115</v>
      </c>
      <c r="AC68" s="50" t="s">
        <v>116</v>
      </c>
      <c r="AD68" s="50" t="s">
        <v>117</v>
      </c>
    </row>
    <row r="69" spans="1:33" x14ac:dyDescent="0.25">
      <c r="A69" s="2" t="s">
        <v>225</v>
      </c>
      <c r="B69" s="2">
        <v>-50</v>
      </c>
      <c r="C69" s="2">
        <v>2.0133500000000001E-3</v>
      </c>
      <c r="D69" s="2">
        <v>-6291.67</v>
      </c>
      <c r="E69" s="2">
        <v>191.29</v>
      </c>
      <c r="F69" s="28">
        <v>3272.83</v>
      </c>
      <c r="G69" s="2">
        <v>0</v>
      </c>
      <c r="H69" s="2">
        <v>2.7000000000000001E-3</v>
      </c>
      <c r="I69" s="2">
        <v>1</v>
      </c>
      <c r="J69" s="2">
        <v>50</v>
      </c>
      <c r="K69" s="2">
        <v>1.8E-3</v>
      </c>
      <c r="L69" s="2">
        <v>2E-3</v>
      </c>
      <c r="M69" s="2">
        <v>12</v>
      </c>
      <c r="N69" s="2">
        <v>0.12387835937315117</v>
      </c>
      <c r="O69" s="2">
        <v>-0.19256827442872526</v>
      </c>
      <c r="P69" s="2">
        <v>0</v>
      </c>
      <c r="Q69" s="33">
        <v>-7.7412804647761669E-4</v>
      </c>
      <c r="R69" s="2">
        <v>4.2924507415645894E-4</v>
      </c>
      <c r="S69" s="2">
        <v>1.5248999999999999</v>
      </c>
      <c r="T69" s="2">
        <v>14.511760215219077</v>
      </c>
      <c r="U69" s="2">
        <f t="shared" ref="U69:U89" si="0">O69*B69</f>
        <v>9.6284137214362637</v>
      </c>
      <c r="V69" s="2">
        <v>1.5804</v>
      </c>
      <c r="W69" s="2">
        <f t="shared" ref="W69:W89" si="1">Q69*B69</f>
        <v>3.8706402323880833E-2</v>
      </c>
      <c r="X69">
        <f>IF(ISERR(T69),0,T69*B69)</f>
        <v>-725.58801076095381</v>
      </c>
      <c r="Y69">
        <f t="shared" ref="Y69:Y89" si="2">IF(X69 = 0,0,(W69*-10000)/X69)</f>
        <v>0.53344875810844572</v>
      </c>
      <c r="Z69" s="85">
        <f>midMarket(K69,L69) +AA69/10000</f>
        <v>1.9E-3</v>
      </c>
      <c r="AA69">
        <f>IF(rightFromSymbol(A69)="C",MAX(0,$N$16-strikeFromSymbol(A69)),MAX(0,strikeFromSymbol(A69)-$N$16))*10000</f>
        <v>0</v>
      </c>
      <c r="AB69" s="86">
        <f>MAX(0,Z69-AA69) * 10000</f>
        <v>19</v>
      </c>
      <c r="AC69" s="49">
        <f t="shared" ref="AC69:AC89" si="3">-AB69*B69</f>
        <v>950</v>
      </c>
      <c r="AD69" s="48">
        <f t="shared" ref="AD69:AD77" si="4">MAX(0,AC69*6.25)</f>
        <v>5937.5</v>
      </c>
    </row>
    <row r="70" spans="1:33" x14ac:dyDescent="0.25">
      <c r="A70" s="2" t="s">
        <v>226</v>
      </c>
      <c r="B70" s="2">
        <v>-30</v>
      </c>
      <c r="C70" s="2">
        <v>3.11335E-3</v>
      </c>
      <c r="D70" s="2">
        <v>-5837.5</v>
      </c>
      <c r="E70" s="2">
        <v>268.37333335</v>
      </c>
      <c r="F70" s="28">
        <v>2213.6999999999998</v>
      </c>
      <c r="G70" s="2">
        <v>0</v>
      </c>
      <c r="H70" s="2">
        <v>3.0000000000000001E-3</v>
      </c>
      <c r="I70" s="2">
        <v>12</v>
      </c>
      <c r="J70" s="2">
        <v>30</v>
      </c>
      <c r="K70" s="2">
        <v>2.8999999999999998E-3</v>
      </c>
      <c r="L70" s="2">
        <v>3.0999999999999999E-3</v>
      </c>
      <c r="M70" s="2">
        <v>16</v>
      </c>
      <c r="N70" s="2">
        <v>0.1214892543989059</v>
      </c>
      <c r="O70" s="2">
        <v>-0.27821976283649452</v>
      </c>
      <c r="P70" s="2">
        <v>0</v>
      </c>
      <c r="Q70" s="33">
        <v>-9.3110434791334558E-4</v>
      </c>
      <c r="R70" s="2">
        <v>4.9471788544342647E-4</v>
      </c>
      <c r="S70" s="2">
        <v>1.5248999999999999</v>
      </c>
      <c r="T70" s="2">
        <v>17.209137934577061</v>
      </c>
      <c r="U70" s="2">
        <f t="shared" si="0"/>
        <v>8.3465928850948359</v>
      </c>
      <c r="V70" s="2">
        <v>1.5804</v>
      </c>
      <c r="W70" s="2">
        <f t="shared" si="1"/>
        <v>2.7933130437400366E-2</v>
      </c>
      <c r="X70">
        <f t="shared" ref="X70:X89" si="5">IF(ISERR(T70),0,T70*B70)</f>
        <v>-516.27413803731179</v>
      </c>
      <c r="Y70">
        <f t="shared" si="2"/>
        <v>0.54105228945986061</v>
      </c>
      <c r="Z70" s="85">
        <f>midMarket(K70,L70) +AA70/10000</f>
        <v>3.0000000000000001E-3</v>
      </c>
      <c r="AA70">
        <f>IF(rightFromSymbol(A70)="C",MAX(0,$N$16-strikeFromSymbol(A70)),MAX(0,strikeFromSymbol(A70)-$N$16))*10000</f>
        <v>0</v>
      </c>
      <c r="AB70" s="86">
        <f t="shared" ref="AB70:AB89" si="6">MAX(0,Z70-AA70) * 10000</f>
        <v>30</v>
      </c>
      <c r="AC70" s="49">
        <f t="shared" si="3"/>
        <v>900</v>
      </c>
      <c r="AD70" s="48">
        <f t="shared" si="4"/>
        <v>5625</v>
      </c>
    </row>
    <row r="71" spans="1:33" x14ac:dyDescent="0.25">
      <c r="A71" s="2" t="s">
        <v>227</v>
      </c>
      <c r="B71" s="2">
        <v>-90</v>
      </c>
      <c r="C71" s="2">
        <v>9.6028999999999993E-3</v>
      </c>
      <c r="D71" s="2">
        <v>-54016.37</v>
      </c>
      <c r="E71" s="2">
        <v>533.79</v>
      </c>
      <c r="F71" s="28">
        <v>-5975.27</v>
      </c>
      <c r="G71" s="2">
        <v>0</v>
      </c>
      <c r="H71" s="2">
        <v>0</v>
      </c>
      <c r="I71" s="2">
        <v>0</v>
      </c>
      <c r="J71" s="2">
        <v>65</v>
      </c>
      <c r="K71" s="2">
        <v>9.1999999999999998E-3</v>
      </c>
      <c r="L71" s="2">
        <v>9.5999999999999992E-3</v>
      </c>
      <c r="M71" s="2">
        <v>30</v>
      </c>
      <c r="N71" s="2">
        <v>0.11968257827638951</v>
      </c>
      <c r="O71" s="2">
        <v>0.61723505530154865</v>
      </c>
      <c r="P71" s="2">
        <v>0</v>
      </c>
      <c r="Q71" s="33">
        <v>-1.0442869858795949E-3</v>
      </c>
      <c r="R71" s="2">
        <v>5.4642164765408147E-4</v>
      </c>
      <c r="S71" s="2">
        <v>1.5248999999999999</v>
      </c>
      <c r="T71" s="2">
        <v>18.697172647550492</v>
      </c>
      <c r="U71" s="2">
        <f t="shared" si="0"/>
        <v>-55.551154977139376</v>
      </c>
      <c r="V71" s="2">
        <v>1.5804</v>
      </c>
      <c r="W71" s="2">
        <f t="shared" si="1"/>
        <v>9.3985828729163542E-2</v>
      </c>
      <c r="X71">
        <f t="shared" si="5"/>
        <v>-1682.7455382795442</v>
      </c>
      <c r="Y71">
        <f t="shared" si="2"/>
        <v>0.55852668505813174</v>
      </c>
      <c r="Z71" s="85">
        <f>midMarket(K71,L71) +AA71/10000</f>
        <v>1.4299999999999903E-2</v>
      </c>
      <c r="AA71">
        <f>IF(rightFromSymbol(A71)="C",MAX(0,$N$16-strikeFromSymbol(A71)),MAX(0,strikeFromSymbol(A71)-$N$16))*10000</f>
        <v>48.999999999999048</v>
      </c>
      <c r="AB71" s="86">
        <f t="shared" si="6"/>
        <v>0</v>
      </c>
      <c r="AC71" s="49">
        <f t="shared" si="3"/>
        <v>0</v>
      </c>
      <c r="AD71" s="48">
        <f t="shared" si="4"/>
        <v>0</v>
      </c>
    </row>
    <row r="72" spans="1:33" x14ac:dyDescent="0.25">
      <c r="A72" s="2" t="s">
        <v>228</v>
      </c>
      <c r="B72" s="2">
        <v>-30</v>
      </c>
      <c r="C72" s="2">
        <v>6.7022000000000002E-3</v>
      </c>
      <c r="D72" s="2">
        <v>-12566.67</v>
      </c>
      <c r="E72" s="2">
        <v>370.45666664999999</v>
      </c>
      <c r="F72" s="28">
        <v>-1452.97</v>
      </c>
      <c r="G72" s="2">
        <v>0</v>
      </c>
      <c r="H72" s="2">
        <v>7.0000000000000001E-3</v>
      </c>
      <c r="I72" s="2">
        <v>1</v>
      </c>
      <c r="J72" s="2">
        <v>5</v>
      </c>
      <c r="K72" s="2">
        <v>6.4000000000000003E-3</v>
      </c>
      <c r="L72" s="2">
        <v>6.7000000000000002E-3</v>
      </c>
      <c r="M72" s="2">
        <v>57</v>
      </c>
      <c r="N72" s="2">
        <v>0.11845833100561265</v>
      </c>
      <c r="O72" s="2">
        <v>0.49992055221130016</v>
      </c>
      <c r="P72" s="2">
        <v>0</v>
      </c>
      <c r="Q72" s="33">
        <v>-1.0808170951902892E-3</v>
      </c>
      <c r="R72" s="2">
        <v>5.6083374954734016E-4</v>
      </c>
      <c r="S72" s="2">
        <v>1.5248999999999999</v>
      </c>
      <c r="T72" s="2">
        <v>19.664515398913728</v>
      </c>
      <c r="U72" s="2">
        <f t="shared" si="0"/>
        <v>-14.997616566339005</v>
      </c>
      <c r="V72" s="2">
        <v>1.5804</v>
      </c>
      <c r="W72" s="2">
        <f t="shared" si="1"/>
        <v>3.2424512855708673E-2</v>
      </c>
      <c r="X72">
        <f t="shared" si="5"/>
        <v>-589.93546196741181</v>
      </c>
      <c r="Y72">
        <f t="shared" si="2"/>
        <v>0.54962813639943231</v>
      </c>
      <c r="Z72" s="85">
        <f t="shared" ref="Z72:Z89" si="7">midMarket(K72,L72) +AA72/10000</f>
        <v>6.5500000000000003E-3</v>
      </c>
      <c r="AA72">
        <f>IF(rightFromSymbol(A72)="C",MAX(0,$N$16-strikeFromSymbol(A72)),MAX(0,strikeFromSymbol(A72)-$N$16))*10000</f>
        <v>0</v>
      </c>
      <c r="AB72" s="86">
        <f t="shared" si="6"/>
        <v>65.5</v>
      </c>
      <c r="AC72" s="49">
        <f t="shared" si="3"/>
        <v>1965</v>
      </c>
      <c r="AD72" s="48">
        <f t="shared" si="4"/>
        <v>12281.25</v>
      </c>
    </row>
    <row r="73" spans="1:33" x14ac:dyDescent="0.25">
      <c r="A73" s="2" t="s">
        <v>229</v>
      </c>
      <c r="B73" s="2">
        <v>-30</v>
      </c>
      <c r="C73" s="2">
        <v>4.7042999999999998E-3</v>
      </c>
      <c r="D73" s="2">
        <v>-8820.61</v>
      </c>
      <c r="E73" s="2">
        <v>372.54</v>
      </c>
      <c r="F73" s="28">
        <v>2355.59</v>
      </c>
      <c r="G73" s="2">
        <v>0</v>
      </c>
      <c r="H73" s="2">
        <v>0</v>
      </c>
      <c r="I73" s="2">
        <v>0</v>
      </c>
      <c r="J73" s="2">
        <v>5</v>
      </c>
      <c r="K73" s="2">
        <v>4.4000000000000003E-3</v>
      </c>
      <c r="L73" s="2">
        <v>4.7000000000000002E-3</v>
      </c>
      <c r="M73" s="2">
        <v>62</v>
      </c>
      <c r="N73" s="2">
        <v>0.11968257827638951</v>
      </c>
      <c r="O73" s="2">
        <v>-0.38299052334638961</v>
      </c>
      <c r="P73" s="34">
        <v>0</v>
      </c>
      <c r="Q73" s="33">
        <v>-1.0443279986895833E-3</v>
      </c>
      <c r="R73" s="2">
        <v>5.4642642657649378E-4</v>
      </c>
      <c r="S73" s="2">
        <v>1.5248999999999999</v>
      </c>
      <c r="T73" s="2">
        <v>19.1278272608529</v>
      </c>
      <c r="U73" s="2">
        <f t="shared" si="0"/>
        <v>11.489715700391688</v>
      </c>
      <c r="V73" s="2">
        <v>1.5804</v>
      </c>
      <c r="W73" s="2">
        <f t="shared" si="1"/>
        <v>3.13298399606875E-2</v>
      </c>
      <c r="X73">
        <f t="shared" si="5"/>
        <v>-573.83481782558704</v>
      </c>
      <c r="Y73">
        <f t="shared" si="2"/>
        <v>0.54597314396858332</v>
      </c>
      <c r="Z73" s="85">
        <f t="shared" si="7"/>
        <v>4.5500000000000002E-3</v>
      </c>
      <c r="AA73">
        <f>IF(rightFromSymbol(A73)="C",MAX(0,$N$16-strikeFromSymbol(A73)),MAX(0,strikeFromSymbol(A73)-$N$16))*10000</f>
        <v>0</v>
      </c>
      <c r="AB73" s="86">
        <f t="shared" si="6"/>
        <v>45.5</v>
      </c>
      <c r="AC73" s="49">
        <f t="shared" si="3"/>
        <v>1365</v>
      </c>
      <c r="AD73" s="48">
        <f t="shared" si="4"/>
        <v>8531.25</v>
      </c>
    </row>
    <row r="74" spans="1:33" x14ac:dyDescent="0.25">
      <c r="A74" s="2" t="s">
        <v>230</v>
      </c>
      <c r="B74" s="2">
        <v>-30</v>
      </c>
      <c r="C74" s="2">
        <v>4.4069499999999998E-3</v>
      </c>
      <c r="D74" s="2">
        <v>-8263.0400000000009</v>
      </c>
      <c r="E74" s="2">
        <v>241.29</v>
      </c>
      <c r="F74" s="28">
        <v>-1024.3399999999999</v>
      </c>
      <c r="G74" s="2">
        <v>0</v>
      </c>
      <c r="H74" s="2">
        <v>4.1999999999999997E-3</v>
      </c>
      <c r="I74" s="2">
        <v>1</v>
      </c>
      <c r="J74" s="2">
        <v>55</v>
      </c>
      <c r="K74" s="2">
        <v>4.1000000000000003E-3</v>
      </c>
      <c r="L74" s="2">
        <v>4.4000000000000003E-3</v>
      </c>
      <c r="M74" s="2">
        <v>17</v>
      </c>
      <c r="N74" s="2">
        <v>0.11781651258655756</v>
      </c>
      <c r="O74" s="2">
        <v>0.38144582339387095</v>
      </c>
      <c r="P74" s="2">
        <v>0</v>
      </c>
      <c r="Q74" s="33">
        <v>-1.0248213441365346E-3</v>
      </c>
      <c r="R74" s="2">
        <v>5.2029948266868031E-4</v>
      </c>
      <c r="S74" s="2">
        <v>1.5248999999999999</v>
      </c>
      <c r="T74" s="2">
        <v>19.480422205516639</v>
      </c>
      <c r="U74" s="2">
        <f t="shared" si="0"/>
        <v>-11.443374701816129</v>
      </c>
      <c r="V74" s="2">
        <v>1.5804</v>
      </c>
      <c r="W74" s="2">
        <f t="shared" si="1"/>
        <v>3.0744640324096038E-2</v>
      </c>
      <c r="X74">
        <f t="shared" si="5"/>
        <v>-584.41266616549922</v>
      </c>
      <c r="Y74">
        <f t="shared" si="2"/>
        <v>0.52607758359894097</v>
      </c>
      <c r="Z74" s="85">
        <f t="shared" si="7"/>
        <v>4.2500000000000003E-3</v>
      </c>
      <c r="AA74">
        <f>IF(rightFromSymbol(A74)="C",MAX(0,$N$16-strikeFromSymbol(A74)),MAX(0,strikeFromSymbol(A74)-$N$16))*10000</f>
        <v>0</v>
      </c>
      <c r="AB74" s="86">
        <f t="shared" si="6"/>
        <v>42.5</v>
      </c>
      <c r="AC74" s="49">
        <f t="shared" si="3"/>
        <v>1275</v>
      </c>
      <c r="AD74" s="48">
        <f t="shared" si="4"/>
        <v>7968.75</v>
      </c>
    </row>
    <row r="75" spans="1:33" x14ac:dyDescent="0.25">
      <c r="A75" s="2" t="s">
        <v>231</v>
      </c>
      <c r="B75" s="2">
        <v>-50</v>
      </c>
      <c r="C75" s="2">
        <v>2.80145E-3</v>
      </c>
      <c r="D75" s="2">
        <v>-8754.5499999999993</v>
      </c>
      <c r="E75" s="2">
        <v>153.79</v>
      </c>
      <c r="F75" s="28">
        <v>-1065.05</v>
      </c>
      <c r="G75" s="2">
        <v>0</v>
      </c>
      <c r="H75" s="2">
        <v>2.8999999999999998E-3</v>
      </c>
      <c r="I75" s="2">
        <v>1</v>
      </c>
      <c r="J75" s="2">
        <v>60</v>
      </c>
      <c r="K75" s="2">
        <v>2.5000000000000001E-3</v>
      </c>
      <c r="L75" s="2">
        <v>2.8E-3</v>
      </c>
      <c r="M75" s="2">
        <v>100</v>
      </c>
      <c r="N75" s="2">
        <v>0.11775712301923491</v>
      </c>
      <c r="O75" s="2">
        <v>0.27366686113365002</v>
      </c>
      <c r="P75" s="2">
        <v>0</v>
      </c>
      <c r="Q75" s="33">
        <v>-8.9258812771800776E-4</v>
      </c>
      <c r="R75" s="2">
        <v>4.5631091404246121E-4</v>
      </c>
      <c r="S75" s="2">
        <v>1.5248999999999999</v>
      </c>
      <c r="T75" s="2">
        <v>17.689798129545217</v>
      </c>
      <c r="U75" s="2">
        <f t="shared" si="0"/>
        <v>-13.683343056682501</v>
      </c>
      <c r="V75" s="2">
        <v>1.5804</v>
      </c>
      <c r="W75" s="2">
        <f t="shared" si="1"/>
        <v>4.4629406385900391E-2</v>
      </c>
      <c r="X75">
        <f t="shared" si="5"/>
        <v>-884.48990647726089</v>
      </c>
      <c r="Y75">
        <f t="shared" si="2"/>
        <v>0.50457790483613341</v>
      </c>
      <c r="Z75" s="85">
        <f t="shared" si="7"/>
        <v>2.65E-3</v>
      </c>
      <c r="AA75">
        <f>IF(rightFromSymbol(A75)="C",MAX(0,$N$16-strikeFromSymbol(A75)),MAX(0,strikeFromSymbol(A75)-$N$16))*10000</f>
        <v>0</v>
      </c>
      <c r="AB75" s="86">
        <f t="shared" si="6"/>
        <v>26.5</v>
      </c>
      <c r="AC75" s="49">
        <f t="shared" si="3"/>
        <v>1325</v>
      </c>
      <c r="AD75" s="48">
        <f t="shared" si="4"/>
        <v>8281.25</v>
      </c>
    </row>
    <row r="76" spans="1:33" x14ac:dyDescent="0.25">
      <c r="A76" s="2"/>
      <c r="B76" s="2"/>
      <c r="C76" s="2"/>
      <c r="D76" s="2"/>
      <c r="E76" s="2"/>
      <c r="F76" s="28"/>
      <c r="G76" s="2"/>
      <c r="H76" s="2"/>
      <c r="I76" s="2"/>
      <c r="J76" s="2"/>
      <c r="K76" s="2"/>
      <c r="L76" s="2"/>
      <c r="M76" s="2"/>
      <c r="N76" s="2"/>
      <c r="O76" s="2"/>
      <c r="P76" s="2"/>
      <c r="Q76" s="33"/>
      <c r="R76" s="2"/>
      <c r="S76" s="2"/>
      <c r="T76" s="2"/>
      <c r="U76" s="2">
        <f t="shared" si="0"/>
        <v>0</v>
      </c>
      <c r="V76" s="2">
        <v>1.5804</v>
      </c>
      <c r="W76" s="2">
        <f t="shared" si="1"/>
        <v>0</v>
      </c>
      <c r="X76">
        <f t="shared" si="5"/>
        <v>0</v>
      </c>
      <c r="Y76">
        <f t="shared" si="2"/>
        <v>0</v>
      </c>
      <c r="Z76" s="85">
        <f t="shared" si="7"/>
        <v>0</v>
      </c>
      <c r="AA76">
        <f>IF(rightFromSymbol(A76)="C",MAX(0,$N$16-strikeFromSymbol(A76)),MAX(0,strikeFromSymbol(A76)-$N$16))*10000</f>
        <v>0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33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5">
        <f t="shared" si="7"/>
        <v>0</v>
      </c>
      <c r="AA77">
        <f>IF(rightFromSymbol(A77)="C",MAX(0,$N$16-strikeFromSymbol(A77)),MAX(0,strikeFromSymbol(A77)-$N$16))*10000</f>
        <v>0</v>
      </c>
      <c r="AB77" s="86">
        <f t="shared" si="6"/>
        <v>0</v>
      </c>
      <c r="AC77" s="49">
        <f t="shared" si="3"/>
        <v>0</v>
      </c>
      <c r="AD77" s="48">
        <f t="shared" si="4"/>
        <v>0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>MAX(0,AC78*6.25)</f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ref="AD79:AD89" si="8">MAX(0,AC79*6.25)</f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/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 t="shared" si="8"/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/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si="8"/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1" spans="1:30" x14ac:dyDescent="0.25">
      <c r="A91" s="122" t="s">
        <v>174</v>
      </c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</row>
    <row r="92" spans="1:30" x14ac:dyDescent="0.25">
      <c r="A92" s="116" t="s">
        <v>41</v>
      </c>
      <c r="B92" s="117"/>
      <c r="C92" s="117"/>
      <c r="D92" s="117"/>
      <c r="E92" s="117"/>
      <c r="F92" s="117"/>
      <c r="G92" s="117"/>
      <c r="H92" s="117"/>
      <c r="I92" s="117"/>
      <c r="J92" s="117"/>
      <c r="K92" s="117"/>
      <c r="L92" s="117"/>
      <c r="M92" s="117"/>
    </row>
    <row r="93" spans="1:30" x14ac:dyDescent="0.25">
      <c r="A93" s="70" t="s">
        <v>9</v>
      </c>
      <c r="B93" s="69" t="s">
        <v>42</v>
      </c>
      <c r="C93" s="69" t="s">
        <v>43</v>
      </c>
      <c r="D93" s="69" t="s">
        <v>44</v>
      </c>
      <c r="E93" s="69" t="s">
        <v>45</v>
      </c>
      <c r="F93" s="69" t="s">
        <v>33</v>
      </c>
      <c r="G93" s="69" t="s">
        <v>46</v>
      </c>
      <c r="H93" s="69" t="s">
        <v>47</v>
      </c>
      <c r="I93" s="69" t="s">
        <v>48</v>
      </c>
      <c r="J93" s="69" t="s">
        <v>49</v>
      </c>
      <c r="K93" s="69" t="s">
        <v>50</v>
      </c>
      <c r="L93" s="69" t="s">
        <v>51</v>
      </c>
      <c r="M93" s="69" t="s">
        <v>52</v>
      </c>
    </row>
    <row r="94" spans="1:30" x14ac:dyDescent="0.25">
      <c r="A94" s="2" t="s">
        <v>180</v>
      </c>
      <c r="B94" s="16">
        <v>8962</v>
      </c>
      <c r="C94" s="20" t="s">
        <v>303</v>
      </c>
      <c r="D94" s="16" t="s">
        <v>304</v>
      </c>
      <c r="E94" s="16" t="s">
        <v>237</v>
      </c>
      <c r="F94" s="16">
        <v>1</v>
      </c>
      <c r="G94" s="16">
        <v>1</v>
      </c>
      <c r="H94" s="16">
        <v>1.5244</v>
      </c>
      <c r="I94" s="16">
        <v>1.5244</v>
      </c>
      <c r="J94" s="16">
        <v>415885989</v>
      </c>
      <c r="K94" s="16">
        <v>0</v>
      </c>
      <c r="L94" s="16">
        <v>7</v>
      </c>
      <c r="M94" s="16"/>
    </row>
    <row r="95" spans="1:30" x14ac:dyDescent="0.25">
      <c r="A95" s="2" t="s">
        <v>180</v>
      </c>
      <c r="B95" s="16">
        <v>8962</v>
      </c>
      <c r="C95" s="20" t="s">
        <v>333</v>
      </c>
      <c r="D95" s="16" t="s">
        <v>334</v>
      </c>
      <c r="E95" s="16" t="s">
        <v>237</v>
      </c>
      <c r="F95" s="16">
        <v>4</v>
      </c>
      <c r="G95" s="16">
        <v>5</v>
      </c>
      <c r="H95" s="16">
        <v>1.5242</v>
      </c>
      <c r="I95" s="16">
        <v>1.52424</v>
      </c>
      <c r="J95" s="16">
        <v>415885989</v>
      </c>
      <c r="K95" s="16">
        <v>0</v>
      </c>
      <c r="L95" s="16">
        <v>7</v>
      </c>
      <c r="M95" s="16"/>
    </row>
    <row r="96" spans="1:30" x14ac:dyDescent="0.25">
      <c r="A96" s="2" t="s">
        <v>180</v>
      </c>
      <c r="B96" s="16">
        <v>8963</v>
      </c>
      <c r="C96" s="20" t="s">
        <v>434</v>
      </c>
      <c r="D96" s="16" t="s">
        <v>435</v>
      </c>
      <c r="E96" s="16" t="s">
        <v>237</v>
      </c>
      <c r="F96" s="16">
        <v>5</v>
      </c>
      <c r="G96" s="16">
        <v>5</v>
      </c>
      <c r="H96" s="16">
        <v>1.5244</v>
      </c>
      <c r="I96" s="16">
        <v>1.5244</v>
      </c>
      <c r="J96" s="16">
        <v>415885990</v>
      </c>
      <c r="K96" s="16">
        <v>0</v>
      </c>
      <c r="L96" s="16">
        <v>7</v>
      </c>
      <c r="M96" s="16"/>
    </row>
    <row r="97" spans="1:13" x14ac:dyDescent="0.25">
      <c r="A97" s="2" t="s">
        <v>180</v>
      </c>
      <c r="B97" s="16">
        <v>8976</v>
      </c>
      <c r="C97" s="20" t="s">
        <v>1411</v>
      </c>
      <c r="D97" s="16" t="s">
        <v>1412</v>
      </c>
      <c r="E97" s="16" t="s">
        <v>235</v>
      </c>
      <c r="F97" s="16">
        <v>4</v>
      </c>
      <c r="G97" s="16">
        <v>4</v>
      </c>
      <c r="H97" s="16">
        <v>1.5248999999999999</v>
      </c>
      <c r="I97" s="16">
        <v>1.5248999999999999</v>
      </c>
      <c r="J97" s="16">
        <v>415886003</v>
      </c>
      <c r="K97" s="16">
        <v>0</v>
      </c>
      <c r="L97" s="16">
        <v>7</v>
      </c>
      <c r="M97" s="16"/>
    </row>
    <row r="98" spans="1:13" x14ac:dyDescent="0.25">
      <c r="A98" s="2" t="s">
        <v>180</v>
      </c>
      <c r="B98" s="16">
        <v>8976</v>
      </c>
      <c r="C98" s="22" t="s">
        <v>1439</v>
      </c>
      <c r="D98" s="16" t="s">
        <v>1412</v>
      </c>
      <c r="E98" s="16" t="s">
        <v>235</v>
      </c>
      <c r="F98" s="16">
        <v>1</v>
      </c>
      <c r="G98" s="16">
        <v>5</v>
      </c>
      <c r="H98" s="16">
        <v>1.5248999999999999</v>
      </c>
      <c r="I98" s="16">
        <v>1.5248999999999999</v>
      </c>
      <c r="J98" s="16">
        <v>415886003</v>
      </c>
      <c r="K98" s="16">
        <v>0</v>
      </c>
      <c r="L98" s="16">
        <v>7</v>
      </c>
      <c r="M98" s="16"/>
    </row>
    <row r="99" spans="1:13" x14ac:dyDescent="0.25">
      <c r="A99" s="2" t="s">
        <v>180</v>
      </c>
      <c r="B99" s="16">
        <v>8978</v>
      </c>
      <c r="C99" s="22" t="s">
        <v>1598</v>
      </c>
      <c r="D99" s="16" t="s">
        <v>1599</v>
      </c>
      <c r="E99" s="16" t="s">
        <v>235</v>
      </c>
      <c r="F99" s="16">
        <v>5</v>
      </c>
      <c r="G99" s="16">
        <v>5</v>
      </c>
      <c r="H99" s="16">
        <v>1.5248999999999999</v>
      </c>
      <c r="I99" s="16">
        <v>1.5248999999999999</v>
      </c>
      <c r="J99" s="16">
        <v>415886005</v>
      </c>
      <c r="K99" s="16">
        <v>0</v>
      </c>
      <c r="L99" s="16">
        <v>7</v>
      </c>
      <c r="M99" s="16"/>
    </row>
    <row r="100" spans="1:13" x14ac:dyDescent="0.25">
      <c r="A100" s="2" t="s">
        <v>180</v>
      </c>
      <c r="B100" s="16">
        <v>8981</v>
      </c>
      <c r="C100" s="22" t="s">
        <v>1736</v>
      </c>
      <c r="D100" s="16" t="s">
        <v>1737</v>
      </c>
      <c r="E100" s="16" t="s">
        <v>237</v>
      </c>
      <c r="F100" s="16">
        <v>5</v>
      </c>
      <c r="G100" s="16">
        <v>5</v>
      </c>
      <c r="H100" s="16">
        <v>1.5246999999999999</v>
      </c>
      <c r="I100" s="16">
        <v>1.5246999999999999</v>
      </c>
      <c r="J100" s="16">
        <v>415886008</v>
      </c>
      <c r="K100" s="16">
        <v>0</v>
      </c>
      <c r="L100" s="16">
        <v>7</v>
      </c>
      <c r="M100" s="16"/>
    </row>
    <row r="101" spans="1:13" x14ac:dyDescent="0.25">
      <c r="A101" s="2" t="s">
        <v>180</v>
      </c>
      <c r="B101" s="16">
        <v>8982</v>
      </c>
      <c r="C101" s="20" t="s">
        <v>1801</v>
      </c>
      <c r="D101" s="16" t="s">
        <v>1802</v>
      </c>
      <c r="E101" s="16" t="s">
        <v>237</v>
      </c>
      <c r="F101" s="16">
        <v>5</v>
      </c>
      <c r="G101" s="16">
        <v>5</v>
      </c>
      <c r="H101" s="16">
        <v>1.5246999999999999</v>
      </c>
      <c r="I101" s="16">
        <v>1.5246999999999999</v>
      </c>
      <c r="J101" s="16">
        <v>415886009</v>
      </c>
      <c r="K101" s="16">
        <v>0</v>
      </c>
      <c r="L101" s="16">
        <v>7</v>
      </c>
      <c r="M101" s="16"/>
    </row>
    <row r="102" spans="1:13" x14ac:dyDescent="0.25">
      <c r="A102" s="2" t="s">
        <v>180</v>
      </c>
      <c r="B102" s="16">
        <v>9000</v>
      </c>
      <c r="C102" s="22" t="s">
        <v>2487</v>
      </c>
      <c r="D102" s="16" t="s">
        <v>2488</v>
      </c>
      <c r="E102" s="16" t="s">
        <v>235</v>
      </c>
      <c r="F102" s="16">
        <v>2</v>
      </c>
      <c r="G102" s="16">
        <v>2</v>
      </c>
      <c r="H102" s="16">
        <v>1.5246999999999999</v>
      </c>
      <c r="I102" s="16">
        <v>1.5246999999999999</v>
      </c>
      <c r="J102" s="16">
        <v>415886027</v>
      </c>
      <c r="K102" s="16">
        <v>0</v>
      </c>
      <c r="L102" s="16">
        <v>7</v>
      </c>
      <c r="M102" s="16"/>
    </row>
    <row r="103" spans="1:13" x14ac:dyDescent="0.25">
      <c r="A103" s="2" t="s">
        <v>180</v>
      </c>
      <c r="B103" s="16">
        <v>9000</v>
      </c>
      <c r="C103" s="20" t="s">
        <v>2521</v>
      </c>
      <c r="D103" s="16" t="s">
        <v>2488</v>
      </c>
      <c r="E103" s="16" t="s">
        <v>235</v>
      </c>
      <c r="F103" s="16">
        <v>3</v>
      </c>
      <c r="G103" s="16">
        <v>5</v>
      </c>
      <c r="H103" s="16">
        <v>1.5246999999999999</v>
      </c>
      <c r="I103" s="16">
        <v>1.5246999999999999</v>
      </c>
      <c r="J103" s="16">
        <v>415886027</v>
      </c>
      <c r="K103" s="16">
        <v>0</v>
      </c>
      <c r="L103" s="16">
        <v>7</v>
      </c>
      <c r="M103" s="16"/>
    </row>
    <row r="104" spans="1:13" x14ac:dyDescent="0.25">
      <c r="A104" s="2" t="s">
        <v>180</v>
      </c>
      <c r="B104" s="16">
        <v>9002</v>
      </c>
      <c r="C104" s="22" t="s">
        <v>2636</v>
      </c>
      <c r="D104" s="16" t="s">
        <v>2637</v>
      </c>
      <c r="E104" s="16" t="s">
        <v>237</v>
      </c>
      <c r="F104" s="16">
        <v>5</v>
      </c>
      <c r="G104" s="16">
        <v>5</v>
      </c>
      <c r="H104" s="16">
        <v>1.5246</v>
      </c>
      <c r="I104" s="16">
        <v>1.5246</v>
      </c>
      <c r="J104" s="16">
        <v>415886029</v>
      </c>
      <c r="K104" s="16">
        <v>0</v>
      </c>
      <c r="L104" s="16">
        <v>7</v>
      </c>
      <c r="M104" s="16"/>
    </row>
    <row r="105" spans="1:13" x14ac:dyDescent="0.25">
      <c r="A105" s="2" t="s">
        <v>180</v>
      </c>
      <c r="B105" s="16">
        <v>9004</v>
      </c>
      <c r="C105" s="20" t="s">
        <v>2792</v>
      </c>
      <c r="D105" s="16" t="s">
        <v>2793</v>
      </c>
      <c r="E105" s="16" t="s">
        <v>235</v>
      </c>
      <c r="F105" s="16">
        <v>1</v>
      </c>
      <c r="G105" s="16">
        <v>1</v>
      </c>
      <c r="H105" s="16">
        <v>1.5248999999999999</v>
      </c>
      <c r="I105" s="16">
        <v>1.5248999999999999</v>
      </c>
      <c r="J105" s="16">
        <v>415886031</v>
      </c>
      <c r="K105" s="16">
        <v>0</v>
      </c>
      <c r="L105" s="16">
        <v>7</v>
      </c>
      <c r="M105" s="16"/>
    </row>
    <row r="106" spans="1:13" x14ac:dyDescent="0.25">
      <c r="A106" s="2" t="s">
        <v>180</v>
      </c>
      <c r="B106" s="16">
        <v>9004</v>
      </c>
      <c r="C106" s="22" t="s">
        <v>2830</v>
      </c>
      <c r="D106" s="16" t="s">
        <v>2793</v>
      </c>
      <c r="E106" s="16" t="s">
        <v>235</v>
      </c>
      <c r="F106" s="16">
        <v>1</v>
      </c>
      <c r="G106" s="16">
        <v>2</v>
      </c>
      <c r="H106" s="16">
        <v>1.5248999999999999</v>
      </c>
      <c r="I106" s="16">
        <v>1.5248999999999999</v>
      </c>
      <c r="J106" s="16">
        <v>415886031</v>
      </c>
      <c r="K106" s="16">
        <v>0</v>
      </c>
      <c r="L106" s="16">
        <v>7</v>
      </c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0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0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0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0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0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</sheetData>
  <dataConsolidate link="1"/>
  <mergeCells count="66">
    <mergeCell ref="Q32:R32"/>
    <mergeCell ref="Q34:W34"/>
    <mergeCell ref="S32:T32"/>
    <mergeCell ref="N67:S67"/>
    <mergeCell ref="T67:W67"/>
    <mergeCell ref="U32:V32"/>
    <mergeCell ref="M57:O57"/>
    <mergeCell ref="A56:O56"/>
    <mergeCell ref="Q40:S40"/>
    <mergeCell ref="T40:U40"/>
    <mergeCell ref="V40:W40"/>
    <mergeCell ref="A92:M92"/>
    <mergeCell ref="A67:M67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1:M91"/>
    <mergeCell ref="I64:J64"/>
    <mergeCell ref="A34:I34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2" t="s">
        <v>123</v>
      </c>
      <c r="AF1" s="132"/>
      <c r="AG1" s="132"/>
      <c r="AH1" s="132"/>
      <c r="AI1" s="132"/>
      <c r="AJ1" s="132"/>
      <c r="AK1" s="132"/>
    </row>
    <row r="4" spans="2:37" x14ac:dyDescent="0.25">
      <c r="B4" s="101" t="s">
        <v>13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01"/>
      <c r="R4" s="102"/>
      <c r="S4" s="102"/>
      <c r="T4" s="127" t="s">
        <v>101</v>
      </c>
      <c r="U4" s="127"/>
      <c r="V4" s="127"/>
      <c r="W4" s="127"/>
      <c r="X4" s="127"/>
      <c r="Y4" s="127"/>
      <c r="Z4" s="127"/>
      <c r="AA4" s="127"/>
      <c r="AB4" s="127" t="s">
        <v>108</v>
      </c>
      <c r="AC4" s="127"/>
      <c r="AD4" s="127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94</v>
      </c>
    </row>
    <row r="2" spans="1:2" x14ac:dyDescent="0.25">
      <c r="A2" t="s">
        <v>176</v>
      </c>
      <c r="B2">
        <v>1027</v>
      </c>
    </row>
    <row r="3" spans="1:2" x14ac:dyDescent="0.25">
      <c r="A3" t="s">
        <v>177</v>
      </c>
      <c r="B3">
        <v>69</v>
      </c>
    </row>
    <row r="4" spans="1:2" x14ac:dyDescent="0.25">
      <c r="A4" t="s">
        <v>178</v>
      </c>
      <c r="B4">
        <v>89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202</v>
      </c>
      <c r="B10">
        <v>64</v>
      </c>
    </row>
    <row r="11" spans="1:2" x14ac:dyDescent="0.25">
      <c r="A11" t="s">
        <v>203</v>
      </c>
      <c r="B11">
        <v>65</v>
      </c>
    </row>
    <row r="12" spans="1:2" x14ac:dyDescent="0.25">
      <c r="A12" t="s">
        <v>214</v>
      </c>
      <c r="B12">
        <v>16</v>
      </c>
    </row>
    <row r="13" spans="1:2" x14ac:dyDescent="0.25">
      <c r="A13" t="s">
        <v>215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989"/>
  <sheetViews>
    <sheetView topLeftCell="A2969" workbookViewId="0">
      <selection activeCell="G31" sqref="G31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2979</v>
      </c>
    </row>
    <row r="2" spans="1:1" x14ac:dyDescent="0.25">
      <c r="A2" s="27" t="s">
        <v>2980</v>
      </c>
    </row>
    <row r="3" spans="1:1" x14ac:dyDescent="0.25">
      <c r="A3" s="27" t="s">
        <v>2981</v>
      </c>
    </row>
    <row r="4" spans="1:1" x14ac:dyDescent="0.25">
      <c r="A4" s="99" t="s">
        <v>238</v>
      </c>
    </row>
    <row r="5" spans="1:1" x14ac:dyDescent="0.25">
      <c r="A5" s="137" t="s">
        <v>239</v>
      </c>
    </row>
    <row r="6" spans="1:1" x14ac:dyDescent="0.25">
      <c r="A6" s="137" t="s">
        <v>240</v>
      </c>
    </row>
    <row r="7" spans="1:1" x14ac:dyDescent="0.25">
      <c r="A7" s="99" t="s">
        <v>241</v>
      </c>
    </row>
    <row r="8" spans="1:1" x14ac:dyDescent="0.25">
      <c r="A8" s="27" t="s">
        <v>242</v>
      </c>
    </row>
    <row r="9" spans="1:1" x14ac:dyDescent="0.25">
      <c r="A9" s="27" t="s">
        <v>243</v>
      </c>
    </row>
    <row r="10" spans="1:1" x14ac:dyDescent="0.25">
      <c r="A10" s="27" t="s">
        <v>244</v>
      </c>
    </row>
    <row r="11" spans="1:1" x14ac:dyDescent="0.25">
      <c r="A11" s="27" t="s">
        <v>245</v>
      </c>
    </row>
    <row r="12" spans="1:1" x14ac:dyDescent="0.25">
      <c r="A12" s="27" t="s">
        <v>246</v>
      </c>
    </row>
    <row r="13" spans="1:1" x14ac:dyDescent="0.25">
      <c r="A13" s="27" t="s">
        <v>247</v>
      </c>
    </row>
    <row r="14" spans="1:1" x14ac:dyDescent="0.25">
      <c r="A14" s="27" t="s">
        <v>248</v>
      </c>
    </row>
    <row r="15" spans="1:1" x14ac:dyDescent="0.25">
      <c r="A15" t="s">
        <v>249</v>
      </c>
    </row>
    <row r="16" spans="1:1" x14ac:dyDescent="0.25">
      <c r="A16" t="s">
        <v>250</v>
      </c>
    </row>
    <row r="17" spans="1:1" x14ac:dyDescent="0.25">
      <c r="A17" s="137" t="s">
        <v>251</v>
      </c>
    </row>
    <row r="18" spans="1:1" x14ac:dyDescent="0.25">
      <c r="A18" s="99" t="s">
        <v>252</v>
      </c>
    </row>
    <row r="19" spans="1:1" x14ac:dyDescent="0.25">
      <c r="A19" s="137" t="s">
        <v>253</v>
      </c>
    </row>
    <row r="20" spans="1:1" x14ac:dyDescent="0.25">
      <c r="A20" s="137" t="s">
        <v>254</v>
      </c>
    </row>
    <row r="21" spans="1:1" x14ac:dyDescent="0.25">
      <c r="A21" s="27" t="s">
        <v>255</v>
      </c>
    </row>
    <row r="22" spans="1:1" x14ac:dyDescent="0.25">
      <c r="A22" s="27" t="s">
        <v>256</v>
      </c>
    </row>
    <row r="23" spans="1:1" x14ac:dyDescent="0.25">
      <c r="A23" s="27" t="s">
        <v>257</v>
      </c>
    </row>
    <row r="24" spans="1:1" x14ac:dyDescent="0.25">
      <c r="A24" s="99" t="s">
        <v>258</v>
      </c>
    </row>
    <row r="25" spans="1:1" x14ac:dyDescent="0.25">
      <c r="A25" s="137" t="s">
        <v>259</v>
      </c>
    </row>
    <row r="26" spans="1:1" x14ac:dyDescent="0.25">
      <c r="A26" s="137" t="s">
        <v>260</v>
      </c>
    </row>
    <row r="27" spans="1:1" x14ac:dyDescent="0.25">
      <c r="A27" s="137" t="s">
        <v>261</v>
      </c>
    </row>
    <row r="28" spans="1:1" x14ac:dyDescent="0.25">
      <c r="A28" s="137" t="s">
        <v>262</v>
      </c>
    </row>
    <row r="29" spans="1:1" x14ac:dyDescent="0.25">
      <c r="A29" s="137" t="s">
        <v>263</v>
      </c>
    </row>
    <row r="30" spans="1:1" x14ac:dyDescent="0.25">
      <c r="A30" s="137" t="s">
        <v>264</v>
      </c>
    </row>
    <row r="31" spans="1:1" x14ac:dyDescent="0.25">
      <c r="A31" s="137" t="s">
        <v>265</v>
      </c>
    </row>
    <row r="32" spans="1:1" x14ac:dyDescent="0.25">
      <c r="A32" s="137" t="s">
        <v>266</v>
      </c>
    </row>
    <row r="33" spans="1:1" x14ac:dyDescent="0.25">
      <c r="A33" s="137" t="s">
        <v>267</v>
      </c>
    </row>
    <row r="34" spans="1:1" x14ac:dyDescent="0.25">
      <c r="A34" t="s">
        <v>268</v>
      </c>
    </row>
    <row r="35" spans="1:1" x14ac:dyDescent="0.25">
      <c r="A35" t="s">
        <v>269</v>
      </c>
    </row>
    <row r="36" spans="1:1" x14ac:dyDescent="0.25">
      <c r="A36" t="s">
        <v>270</v>
      </c>
    </row>
    <row r="37" spans="1:1" x14ac:dyDescent="0.25">
      <c r="A37" t="s">
        <v>271</v>
      </c>
    </row>
    <row r="38" spans="1:1" x14ac:dyDescent="0.25">
      <c r="A38" t="s">
        <v>272</v>
      </c>
    </row>
    <row r="39" spans="1:1" x14ac:dyDescent="0.25">
      <c r="A39" t="s">
        <v>273</v>
      </c>
    </row>
    <row r="40" spans="1:1" x14ac:dyDescent="0.25">
      <c r="A40" t="s">
        <v>274</v>
      </c>
    </row>
    <row r="41" spans="1:1" x14ac:dyDescent="0.25">
      <c r="A41" t="s">
        <v>275</v>
      </c>
    </row>
    <row r="42" spans="1:1" x14ac:dyDescent="0.25">
      <c r="A42" t="s">
        <v>276</v>
      </c>
    </row>
    <row r="43" spans="1:1" x14ac:dyDescent="0.25">
      <c r="A43" t="s">
        <v>277</v>
      </c>
    </row>
    <row r="44" spans="1:1" x14ac:dyDescent="0.25">
      <c r="A44" t="s">
        <v>278</v>
      </c>
    </row>
    <row r="45" spans="1:1" x14ac:dyDescent="0.25">
      <c r="A45" t="s">
        <v>279</v>
      </c>
    </row>
    <row r="46" spans="1:1" x14ac:dyDescent="0.25">
      <c r="A46" t="s">
        <v>280</v>
      </c>
    </row>
    <row r="47" spans="1:1" x14ac:dyDescent="0.25">
      <c r="A47" t="s">
        <v>281</v>
      </c>
    </row>
    <row r="48" spans="1:1" x14ac:dyDescent="0.25">
      <c r="A48" s="137" t="s">
        <v>282</v>
      </c>
    </row>
    <row r="49" spans="1:1" x14ac:dyDescent="0.25">
      <c r="A49" s="137" t="s">
        <v>283</v>
      </c>
    </row>
    <row r="50" spans="1:1" x14ac:dyDescent="0.25">
      <c r="A50" s="137" t="s">
        <v>284</v>
      </c>
    </row>
    <row r="51" spans="1:1" x14ac:dyDescent="0.25">
      <c r="A51" s="99" t="s">
        <v>285</v>
      </c>
    </row>
    <row r="52" spans="1:1" x14ac:dyDescent="0.25">
      <c r="A52" s="99" t="s">
        <v>286</v>
      </c>
    </row>
    <row r="53" spans="1:1" x14ac:dyDescent="0.25">
      <c r="A53" s="137" t="s">
        <v>287</v>
      </c>
    </row>
    <row r="54" spans="1:1" x14ac:dyDescent="0.25">
      <c r="A54" s="137" t="s">
        <v>288</v>
      </c>
    </row>
    <row r="55" spans="1:1" x14ac:dyDescent="0.25">
      <c r="A55" s="99" t="s">
        <v>289</v>
      </c>
    </row>
    <row r="56" spans="1:1" x14ac:dyDescent="0.25">
      <c r="A56" s="99" t="s">
        <v>290</v>
      </c>
    </row>
    <row r="57" spans="1:1" x14ac:dyDescent="0.25">
      <c r="A57" s="99" t="s">
        <v>291</v>
      </c>
    </row>
    <row r="58" spans="1:1" x14ac:dyDescent="0.25">
      <c r="A58" s="137" t="s">
        <v>292</v>
      </c>
    </row>
    <row r="59" spans="1:1" x14ac:dyDescent="0.25">
      <c r="A59" s="27" t="s">
        <v>293</v>
      </c>
    </row>
    <row r="60" spans="1:1" x14ac:dyDescent="0.25">
      <c r="A60" s="137" t="s">
        <v>294</v>
      </c>
    </row>
    <row r="61" spans="1:1" x14ac:dyDescent="0.25">
      <c r="A61" s="137" t="s">
        <v>295</v>
      </c>
    </row>
    <row r="62" spans="1:1" x14ac:dyDescent="0.25">
      <c r="A62" s="99" t="s">
        <v>296</v>
      </c>
    </row>
    <row r="63" spans="1:1" x14ac:dyDescent="0.25">
      <c r="A63" s="137" t="s">
        <v>297</v>
      </c>
    </row>
    <row r="64" spans="1:1" x14ac:dyDescent="0.25">
      <c r="A64" s="137" t="s">
        <v>298</v>
      </c>
    </row>
    <row r="65" spans="1:1" x14ac:dyDescent="0.25">
      <c r="A65" s="137" t="s">
        <v>299</v>
      </c>
    </row>
    <row r="66" spans="1:1" x14ac:dyDescent="0.25">
      <c r="A66" s="99" t="s">
        <v>300</v>
      </c>
    </row>
    <row r="67" spans="1:1" x14ac:dyDescent="0.25">
      <c r="A67" s="99" t="s">
        <v>301</v>
      </c>
    </row>
    <row r="68" spans="1:1" x14ac:dyDescent="0.25">
      <c r="A68" s="99" t="s">
        <v>302</v>
      </c>
    </row>
    <row r="69" spans="1:1" x14ac:dyDescent="0.25">
      <c r="A69" t="s">
        <v>305</v>
      </c>
    </row>
    <row r="70" spans="1:1" x14ac:dyDescent="0.25">
      <c r="A70" t="s">
        <v>306</v>
      </c>
    </row>
    <row r="71" spans="1:1" x14ac:dyDescent="0.25">
      <c r="A71" s="99" t="s">
        <v>307</v>
      </c>
    </row>
    <row r="72" spans="1:1" x14ac:dyDescent="0.25">
      <c r="A72" s="99" t="s">
        <v>308</v>
      </c>
    </row>
    <row r="73" spans="1:1" x14ac:dyDescent="0.25">
      <c r="A73" s="99" t="s">
        <v>309</v>
      </c>
    </row>
    <row r="74" spans="1:1" x14ac:dyDescent="0.25">
      <c r="A74" s="137" t="s">
        <v>310</v>
      </c>
    </row>
    <row r="75" spans="1:1" x14ac:dyDescent="0.25">
      <c r="A75" s="99" t="s">
        <v>311</v>
      </c>
    </row>
    <row r="76" spans="1:1" x14ac:dyDescent="0.25">
      <c r="A76" s="137" t="s">
        <v>312</v>
      </c>
    </row>
    <row r="77" spans="1:1" x14ac:dyDescent="0.25">
      <c r="A77" s="137" t="s">
        <v>313</v>
      </c>
    </row>
    <row r="78" spans="1:1" x14ac:dyDescent="0.25">
      <c r="A78" s="137" t="s">
        <v>314</v>
      </c>
    </row>
    <row r="79" spans="1:1" x14ac:dyDescent="0.25">
      <c r="A79" s="137" t="s">
        <v>315</v>
      </c>
    </row>
    <row r="80" spans="1:1" x14ac:dyDescent="0.25">
      <c r="A80" s="99" t="s">
        <v>316</v>
      </c>
    </row>
    <row r="81" spans="1:1" x14ac:dyDescent="0.25">
      <c r="A81" s="137" t="s">
        <v>317</v>
      </c>
    </row>
    <row r="82" spans="1:1" x14ac:dyDescent="0.25">
      <c r="A82" s="99" t="s">
        <v>318</v>
      </c>
    </row>
    <row r="83" spans="1:1" x14ac:dyDescent="0.25">
      <c r="A83" s="137" t="s">
        <v>319</v>
      </c>
    </row>
    <row r="84" spans="1:1" x14ac:dyDescent="0.25">
      <c r="A84" s="137" t="s">
        <v>320</v>
      </c>
    </row>
    <row r="85" spans="1:1" x14ac:dyDescent="0.25">
      <c r="A85" s="99" t="s">
        <v>321</v>
      </c>
    </row>
    <row r="86" spans="1:1" x14ac:dyDescent="0.25">
      <c r="A86" s="137" t="s">
        <v>322</v>
      </c>
    </row>
    <row r="87" spans="1:1" x14ac:dyDescent="0.25">
      <c r="A87" s="99" t="s">
        <v>323</v>
      </c>
    </row>
    <row r="88" spans="1:1" x14ac:dyDescent="0.25">
      <c r="A88" s="137" t="s">
        <v>324</v>
      </c>
    </row>
    <row r="89" spans="1:1" x14ac:dyDescent="0.25">
      <c r="A89" s="137" t="s">
        <v>325</v>
      </c>
    </row>
    <row r="90" spans="1:1" x14ac:dyDescent="0.25">
      <c r="A90" s="99" t="s">
        <v>326</v>
      </c>
    </row>
    <row r="91" spans="1:1" x14ac:dyDescent="0.25">
      <c r="A91" s="137" t="s">
        <v>327</v>
      </c>
    </row>
    <row r="92" spans="1:1" x14ac:dyDescent="0.25">
      <c r="A92" s="137" t="s">
        <v>328</v>
      </c>
    </row>
    <row r="93" spans="1:1" x14ac:dyDescent="0.25">
      <c r="A93" s="137" t="s">
        <v>329</v>
      </c>
    </row>
    <row r="94" spans="1:1" x14ac:dyDescent="0.25">
      <c r="A94" s="99" t="s">
        <v>330</v>
      </c>
    </row>
    <row r="95" spans="1:1" x14ac:dyDescent="0.25">
      <c r="A95" s="99" t="s">
        <v>331</v>
      </c>
    </row>
    <row r="96" spans="1:1" x14ac:dyDescent="0.25">
      <c r="A96" s="99" t="s">
        <v>332</v>
      </c>
    </row>
    <row r="97" spans="1:1" x14ac:dyDescent="0.25">
      <c r="A97" t="s">
        <v>335</v>
      </c>
    </row>
    <row r="98" spans="1:1" x14ac:dyDescent="0.25">
      <c r="A98" t="s">
        <v>336</v>
      </c>
    </row>
    <row r="99" spans="1:1" x14ac:dyDescent="0.25">
      <c r="A99" s="99" t="s">
        <v>337</v>
      </c>
    </row>
    <row r="100" spans="1:1" x14ac:dyDescent="0.25">
      <c r="A100" s="99" t="s">
        <v>338</v>
      </c>
    </row>
    <row r="101" spans="1:1" x14ac:dyDescent="0.25">
      <c r="A101" s="99" t="s">
        <v>339</v>
      </c>
    </row>
    <row r="102" spans="1:1" x14ac:dyDescent="0.25">
      <c r="A102" s="137" t="s">
        <v>340</v>
      </c>
    </row>
    <row r="103" spans="1:1" x14ac:dyDescent="0.25">
      <c r="A103" s="99" t="s">
        <v>341</v>
      </c>
    </row>
    <row r="104" spans="1:1" x14ac:dyDescent="0.25">
      <c r="A104" s="27" t="s">
        <v>342</v>
      </c>
    </row>
    <row r="105" spans="1:1" x14ac:dyDescent="0.25">
      <c r="A105" s="137" t="s">
        <v>343</v>
      </c>
    </row>
    <row r="106" spans="1:1" x14ac:dyDescent="0.25">
      <c r="A106" s="137" t="s">
        <v>344</v>
      </c>
    </row>
    <row r="107" spans="1:1" x14ac:dyDescent="0.25">
      <c r="A107" s="99" t="s">
        <v>345</v>
      </c>
    </row>
    <row r="108" spans="1:1" x14ac:dyDescent="0.25">
      <c r="A108" s="137" t="s">
        <v>346</v>
      </c>
    </row>
    <row r="109" spans="1:1" x14ac:dyDescent="0.25">
      <c r="A109" s="99" t="s">
        <v>347</v>
      </c>
    </row>
    <row r="110" spans="1:1" x14ac:dyDescent="0.25">
      <c r="A110" s="27" t="s">
        <v>348</v>
      </c>
    </row>
    <row r="111" spans="1:1" x14ac:dyDescent="0.25">
      <c r="A111" s="137" t="s">
        <v>349</v>
      </c>
    </row>
    <row r="112" spans="1:1" x14ac:dyDescent="0.25">
      <c r="A112" s="137" t="s">
        <v>350</v>
      </c>
    </row>
    <row r="113" spans="1:1" x14ac:dyDescent="0.25">
      <c r="A113" s="137" t="s">
        <v>351</v>
      </c>
    </row>
    <row r="114" spans="1:1" x14ac:dyDescent="0.25">
      <c r="A114" s="137" t="s">
        <v>352</v>
      </c>
    </row>
    <row r="115" spans="1:1" x14ac:dyDescent="0.25">
      <c r="A115" s="137" t="s">
        <v>353</v>
      </c>
    </row>
    <row r="116" spans="1:1" x14ac:dyDescent="0.25">
      <c r="A116" s="99" t="s">
        <v>354</v>
      </c>
    </row>
    <row r="117" spans="1:1" x14ac:dyDescent="0.25">
      <c r="A117" s="99" t="s">
        <v>355</v>
      </c>
    </row>
    <row r="118" spans="1:1" x14ac:dyDescent="0.25">
      <c r="A118" s="137" t="s">
        <v>356</v>
      </c>
    </row>
    <row r="119" spans="1:1" x14ac:dyDescent="0.25">
      <c r="A119" s="99" t="s">
        <v>357</v>
      </c>
    </row>
    <row r="120" spans="1:1" x14ac:dyDescent="0.25">
      <c r="A120" s="99" t="s">
        <v>358</v>
      </c>
    </row>
    <row r="121" spans="1:1" x14ac:dyDescent="0.25">
      <c r="A121" s="99" t="s">
        <v>359</v>
      </c>
    </row>
    <row r="122" spans="1:1" x14ac:dyDescent="0.25">
      <c r="A122" s="137" t="s">
        <v>360</v>
      </c>
    </row>
    <row r="123" spans="1:1" x14ac:dyDescent="0.25">
      <c r="A123" s="137" t="s">
        <v>361</v>
      </c>
    </row>
    <row r="124" spans="1:1" x14ac:dyDescent="0.25">
      <c r="A124" s="137" t="s">
        <v>362</v>
      </c>
    </row>
    <row r="125" spans="1:1" x14ac:dyDescent="0.25">
      <c r="A125" s="137" t="s">
        <v>363</v>
      </c>
    </row>
    <row r="126" spans="1:1" x14ac:dyDescent="0.25">
      <c r="A126" s="137" t="s">
        <v>364</v>
      </c>
    </row>
    <row r="127" spans="1:1" x14ac:dyDescent="0.25">
      <c r="A127" s="99" t="s">
        <v>365</v>
      </c>
    </row>
    <row r="128" spans="1:1" x14ac:dyDescent="0.25">
      <c r="A128" s="99" t="s">
        <v>366</v>
      </c>
    </row>
    <row r="129" spans="1:1" x14ac:dyDescent="0.25">
      <c r="A129" s="137" t="s">
        <v>367</v>
      </c>
    </row>
    <row r="130" spans="1:1" x14ac:dyDescent="0.25">
      <c r="A130" s="137" t="s">
        <v>368</v>
      </c>
    </row>
    <row r="131" spans="1:1" x14ac:dyDescent="0.25">
      <c r="A131" s="137" t="s">
        <v>369</v>
      </c>
    </row>
    <row r="132" spans="1:1" x14ac:dyDescent="0.25">
      <c r="A132" s="137" t="s">
        <v>370</v>
      </c>
    </row>
    <row r="133" spans="1:1" x14ac:dyDescent="0.25">
      <c r="A133" s="137" t="s">
        <v>371</v>
      </c>
    </row>
    <row r="134" spans="1:1" x14ac:dyDescent="0.25">
      <c r="A134" s="137" t="s">
        <v>372</v>
      </c>
    </row>
    <row r="135" spans="1:1" x14ac:dyDescent="0.25">
      <c r="A135" s="99" t="s">
        <v>373</v>
      </c>
    </row>
    <row r="136" spans="1:1" x14ac:dyDescent="0.25">
      <c r="A136" s="99" t="s">
        <v>374</v>
      </c>
    </row>
    <row r="137" spans="1:1" x14ac:dyDescent="0.25">
      <c r="A137" s="137" t="s">
        <v>375</v>
      </c>
    </row>
    <row r="138" spans="1:1" x14ac:dyDescent="0.25">
      <c r="A138" s="137" t="s">
        <v>376</v>
      </c>
    </row>
    <row r="139" spans="1:1" x14ac:dyDescent="0.25">
      <c r="A139" s="137" t="s">
        <v>377</v>
      </c>
    </row>
    <row r="140" spans="1:1" x14ac:dyDescent="0.25">
      <c r="A140" s="137" t="s">
        <v>378</v>
      </c>
    </row>
    <row r="141" spans="1:1" x14ac:dyDescent="0.25">
      <c r="A141" s="137" t="s">
        <v>379</v>
      </c>
    </row>
    <row r="142" spans="1:1" x14ac:dyDescent="0.25">
      <c r="A142" s="137" t="s">
        <v>380</v>
      </c>
    </row>
    <row r="143" spans="1:1" x14ac:dyDescent="0.25">
      <c r="A143" s="99" t="s">
        <v>381</v>
      </c>
    </row>
    <row r="144" spans="1:1" x14ac:dyDescent="0.25">
      <c r="A144" s="99" t="s">
        <v>382</v>
      </c>
    </row>
    <row r="145" spans="1:1" x14ac:dyDescent="0.25">
      <c r="A145" s="137" t="s">
        <v>383</v>
      </c>
    </row>
    <row r="146" spans="1:1" x14ac:dyDescent="0.25">
      <c r="A146" s="137" t="s">
        <v>384</v>
      </c>
    </row>
    <row r="147" spans="1:1" x14ac:dyDescent="0.25">
      <c r="A147" s="137" t="s">
        <v>385</v>
      </c>
    </row>
    <row r="148" spans="1:1" x14ac:dyDescent="0.25">
      <c r="A148" s="137" t="s">
        <v>386</v>
      </c>
    </row>
    <row r="149" spans="1:1" x14ac:dyDescent="0.25">
      <c r="A149" s="137" t="s">
        <v>387</v>
      </c>
    </row>
    <row r="150" spans="1:1" x14ac:dyDescent="0.25">
      <c r="A150" s="137" t="s">
        <v>388</v>
      </c>
    </row>
    <row r="151" spans="1:1" x14ac:dyDescent="0.25">
      <c r="A151" s="99" t="s">
        <v>389</v>
      </c>
    </row>
    <row r="152" spans="1:1" x14ac:dyDescent="0.25">
      <c r="A152" s="99" t="s">
        <v>390</v>
      </c>
    </row>
    <row r="153" spans="1:1" x14ac:dyDescent="0.25">
      <c r="A153" s="137" t="s">
        <v>391</v>
      </c>
    </row>
    <row r="154" spans="1:1" x14ac:dyDescent="0.25">
      <c r="A154" s="137" t="s">
        <v>392</v>
      </c>
    </row>
    <row r="155" spans="1:1" x14ac:dyDescent="0.25">
      <c r="A155" s="137" t="s">
        <v>393</v>
      </c>
    </row>
    <row r="156" spans="1:1" x14ac:dyDescent="0.25">
      <c r="A156" s="137" t="s">
        <v>394</v>
      </c>
    </row>
    <row r="157" spans="1:1" x14ac:dyDescent="0.25">
      <c r="A157" s="137" t="s">
        <v>395</v>
      </c>
    </row>
    <row r="158" spans="1:1" x14ac:dyDescent="0.25">
      <c r="A158" s="137" t="s">
        <v>396</v>
      </c>
    </row>
    <row r="159" spans="1:1" x14ac:dyDescent="0.25">
      <c r="A159" s="99" t="s">
        <v>397</v>
      </c>
    </row>
    <row r="160" spans="1:1" x14ac:dyDescent="0.25">
      <c r="A160" s="99" t="s">
        <v>398</v>
      </c>
    </row>
    <row r="161" spans="1:1" x14ac:dyDescent="0.25">
      <c r="A161" s="137" t="s">
        <v>399</v>
      </c>
    </row>
    <row r="162" spans="1:1" x14ac:dyDescent="0.25">
      <c r="A162" s="137" t="s">
        <v>400</v>
      </c>
    </row>
    <row r="163" spans="1:1" x14ac:dyDescent="0.25">
      <c r="A163" s="137" t="s">
        <v>401</v>
      </c>
    </row>
    <row r="164" spans="1:1" x14ac:dyDescent="0.25">
      <c r="A164" s="137" t="s">
        <v>402</v>
      </c>
    </row>
    <row r="165" spans="1:1" x14ac:dyDescent="0.25">
      <c r="A165" s="137" t="s">
        <v>403</v>
      </c>
    </row>
    <row r="166" spans="1:1" x14ac:dyDescent="0.25">
      <c r="A166" s="137" t="s">
        <v>404</v>
      </c>
    </row>
    <row r="167" spans="1:1" x14ac:dyDescent="0.25">
      <c r="A167" s="99" t="s">
        <v>405</v>
      </c>
    </row>
    <row r="168" spans="1:1" x14ac:dyDescent="0.25">
      <c r="A168" s="99" t="s">
        <v>406</v>
      </c>
    </row>
    <row r="169" spans="1:1" x14ac:dyDescent="0.25">
      <c r="A169" s="137" t="s">
        <v>407</v>
      </c>
    </row>
    <row r="170" spans="1:1" x14ac:dyDescent="0.25">
      <c r="A170" s="137" t="s">
        <v>408</v>
      </c>
    </row>
    <row r="171" spans="1:1" x14ac:dyDescent="0.25">
      <c r="A171" s="137" t="s">
        <v>409</v>
      </c>
    </row>
    <row r="172" spans="1:1" x14ac:dyDescent="0.25">
      <c r="A172" s="137" t="s">
        <v>410</v>
      </c>
    </row>
    <row r="173" spans="1:1" x14ac:dyDescent="0.25">
      <c r="A173" s="137" t="s">
        <v>411</v>
      </c>
    </row>
    <row r="174" spans="1:1" x14ac:dyDescent="0.25">
      <c r="A174" s="137" t="s">
        <v>412</v>
      </c>
    </row>
    <row r="175" spans="1:1" x14ac:dyDescent="0.25">
      <c r="A175" s="99" t="s">
        <v>413</v>
      </c>
    </row>
    <row r="176" spans="1:1" x14ac:dyDescent="0.25">
      <c r="A176" s="99" t="s">
        <v>414</v>
      </c>
    </row>
    <row r="177" spans="1:1" x14ac:dyDescent="0.25">
      <c r="A177" s="137" t="s">
        <v>415</v>
      </c>
    </row>
    <row r="178" spans="1:1" x14ac:dyDescent="0.25">
      <c r="A178" s="137" t="s">
        <v>416</v>
      </c>
    </row>
    <row r="179" spans="1:1" x14ac:dyDescent="0.25">
      <c r="A179" s="137" t="s">
        <v>417</v>
      </c>
    </row>
    <row r="180" spans="1:1" x14ac:dyDescent="0.25">
      <c r="A180" s="137" t="s">
        <v>418</v>
      </c>
    </row>
    <row r="181" spans="1:1" x14ac:dyDescent="0.25">
      <c r="A181" s="137" t="s">
        <v>419</v>
      </c>
    </row>
    <row r="182" spans="1:1" x14ac:dyDescent="0.25">
      <c r="A182" s="137" t="s">
        <v>420</v>
      </c>
    </row>
    <row r="183" spans="1:1" x14ac:dyDescent="0.25">
      <c r="A183" s="99" t="s">
        <v>421</v>
      </c>
    </row>
    <row r="184" spans="1:1" x14ac:dyDescent="0.25">
      <c r="A184" s="99" t="s">
        <v>422</v>
      </c>
    </row>
    <row r="185" spans="1:1" x14ac:dyDescent="0.25">
      <c r="A185" s="137" t="s">
        <v>423</v>
      </c>
    </row>
    <row r="186" spans="1:1" x14ac:dyDescent="0.25">
      <c r="A186" s="137" t="s">
        <v>424</v>
      </c>
    </row>
    <row r="187" spans="1:1" x14ac:dyDescent="0.25">
      <c r="A187" s="137" t="s">
        <v>425</v>
      </c>
    </row>
    <row r="188" spans="1:1" x14ac:dyDescent="0.25">
      <c r="A188" s="27" t="s">
        <v>426</v>
      </c>
    </row>
    <row r="189" spans="1:1" x14ac:dyDescent="0.25">
      <c r="A189" s="99" t="s">
        <v>427</v>
      </c>
    </row>
    <row r="190" spans="1:1" x14ac:dyDescent="0.25">
      <c r="A190" s="137" t="s">
        <v>428</v>
      </c>
    </row>
    <row r="191" spans="1:1" x14ac:dyDescent="0.25">
      <c r="A191" s="137" t="s">
        <v>429</v>
      </c>
    </row>
    <row r="192" spans="1:1" x14ac:dyDescent="0.25">
      <c r="A192" s="137" t="s">
        <v>430</v>
      </c>
    </row>
    <row r="193" spans="1:1" x14ac:dyDescent="0.25">
      <c r="A193" s="99" t="s">
        <v>431</v>
      </c>
    </row>
    <row r="194" spans="1:1" x14ac:dyDescent="0.25">
      <c r="A194" s="99" t="s">
        <v>432</v>
      </c>
    </row>
    <row r="195" spans="1:1" x14ac:dyDescent="0.25">
      <c r="A195" s="99" t="s">
        <v>433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s="99" t="s">
        <v>438</v>
      </c>
    </row>
    <row r="199" spans="1:1" x14ac:dyDescent="0.25">
      <c r="A199" s="99" t="s">
        <v>439</v>
      </c>
    </row>
    <row r="200" spans="1:1" x14ac:dyDescent="0.25">
      <c r="A200" s="99" t="s">
        <v>440</v>
      </c>
    </row>
    <row r="201" spans="1:1" x14ac:dyDescent="0.25">
      <c r="A201" s="137" t="s">
        <v>441</v>
      </c>
    </row>
    <row r="202" spans="1:1" x14ac:dyDescent="0.25">
      <c r="A202" s="99" t="s">
        <v>442</v>
      </c>
    </row>
    <row r="203" spans="1:1" x14ac:dyDescent="0.25">
      <c r="A203" s="27" t="s">
        <v>443</v>
      </c>
    </row>
    <row r="204" spans="1:1" x14ac:dyDescent="0.25">
      <c r="A204" s="137" t="s">
        <v>444</v>
      </c>
    </row>
    <row r="205" spans="1:1" x14ac:dyDescent="0.25">
      <c r="A205" s="137" t="s">
        <v>445</v>
      </c>
    </row>
    <row r="206" spans="1:1" x14ac:dyDescent="0.25">
      <c r="A206" s="99" t="s">
        <v>446</v>
      </c>
    </row>
    <row r="207" spans="1:1" x14ac:dyDescent="0.25">
      <c r="A207" s="137" t="s">
        <v>447</v>
      </c>
    </row>
    <row r="208" spans="1:1" x14ac:dyDescent="0.25">
      <c r="A208" s="99" t="s">
        <v>448</v>
      </c>
    </row>
    <row r="209" spans="1:1" x14ac:dyDescent="0.25">
      <c r="A209" s="27" t="s">
        <v>449</v>
      </c>
    </row>
    <row r="210" spans="1:1" x14ac:dyDescent="0.25">
      <c r="A210" s="137" t="s">
        <v>450</v>
      </c>
    </row>
    <row r="211" spans="1:1" x14ac:dyDescent="0.25">
      <c r="A211" s="137" t="s">
        <v>451</v>
      </c>
    </row>
    <row r="212" spans="1:1" x14ac:dyDescent="0.25">
      <c r="A212" s="99" t="s">
        <v>452</v>
      </c>
    </row>
    <row r="213" spans="1:1" x14ac:dyDescent="0.25">
      <c r="A213" s="137" t="s">
        <v>453</v>
      </c>
    </row>
    <row r="214" spans="1:1" x14ac:dyDescent="0.25">
      <c r="A214" s="99" t="s">
        <v>454</v>
      </c>
    </row>
    <row r="215" spans="1:1" x14ac:dyDescent="0.25">
      <c r="A215" s="27" t="s">
        <v>455</v>
      </c>
    </row>
    <row r="216" spans="1:1" x14ac:dyDescent="0.25">
      <c r="A216" s="137" t="s">
        <v>456</v>
      </c>
    </row>
    <row r="217" spans="1:1" x14ac:dyDescent="0.25">
      <c r="A217" s="137" t="s">
        <v>457</v>
      </c>
    </row>
    <row r="218" spans="1:1" x14ac:dyDescent="0.25">
      <c r="A218" s="27" t="s">
        <v>458</v>
      </c>
    </row>
    <row r="219" spans="1:1" x14ac:dyDescent="0.25">
      <c r="A219" s="27" t="s">
        <v>459</v>
      </c>
    </row>
    <row r="220" spans="1:1" x14ac:dyDescent="0.25">
      <c r="A220" s="27" t="s">
        <v>460</v>
      </c>
    </row>
    <row r="221" spans="1:1" x14ac:dyDescent="0.25">
      <c r="A221" s="27" t="s">
        <v>461</v>
      </c>
    </row>
    <row r="222" spans="1:1" x14ac:dyDescent="0.25">
      <c r="A222" s="27" t="s">
        <v>462</v>
      </c>
    </row>
    <row r="223" spans="1:1" x14ac:dyDescent="0.25">
      <c r="A223" s="27" t="s">
        <v>463</v>
      </c>
    </row>
    <row r="224" spans="1:1" x14ac:dyDescent="0.25">
      <c r="A224" s="27" t="s">
        <v>464</v>
      </c>
    </row>
    <row r="225" spans="1:1" x14ac:dyDescent="0.25">
      <c r="A225" s="27" t="s">
        <v>465</v>
      </c>
    </row>
    <row r="226" spans="1:1" x14ac:dyDescent="0.25">
      <c r="A226" s="27" t="s">
        <v>466</v>
      </c>
    </row>
    <row r="227" spans="1:1" x14ac:dyDescent="0.25">
      <c r="A227" s="27" t="s">
        <v>467</v>
      </c>
    </row>
    <row r="228" spans="1:1" x14ac:dyDescent="0.25">
      <c r="A228" s="27" t="s">
        <v>468</v>
      </c>
    </row>
    <row r="229" spans="1:1" x14ac:dyDescent="0.25">
      <c r="A229" s="27" t="s">
        <v>468</v>
      </c>
    </row>
    <row r="230" spans="1:1" x14ac:dyDescent="0.25">
      <c r="A230" s="137" t="s">
        <v>469</v>
      </c>
    </row>
    <row r="231" spans="1:1" x14ac:dyDescent="0.25">
      <c r="A231" s="137" t="s">
        <v>470</v>
      </c>
    </row>
    <row r="232" spans="1:1" x14ac:dyDescent="0.25">
      <c r="A232" s="137" t="s">
        <v>471</v>
      </c>
    </row>
    <row r="233" spans="1:1" x14ac:dyDescent="0.25">
      <c r="A233" s="99" t="s">
        <v>472</v>
      </c>
    </row>
    <row r="234" spans="1:1" x14ac:dyDescent="0.25">
      <c r="A234" s="99" t="s">
        <v>473</v>
      </c>
    </row>
    <row r="235" spans="1:1" x14ac:dyDescent="0.25">
      <c r="A235" s="137" t="s">
        <v>474</v>
      </c>
    </row>
    <row r="236" spans="1:1" x14ac:dyDescent="0.25">
      <c r="A236" s="137" t="s">
        <v>475</v>
      </c>
    </row>
    <row r="237" spans="1:1" x14ac:dyDescent="0.25">
      <c r="A237" s="137" t="s">
        <v>476</v>
      </c>
    </row>
    <row r="238" spans="1:1" x14ac:dyDescent="0.25">
      <c r="A238" s="137" t="s">
        <v>477</v>
      </c>
    </row>
    <row r="239" spans="1:1" x14ac:dyDescent="0.25">
      <c r="A239" s="99" t="s">
        <v>478</v>
      </c>
    </row>
    <row r="240" spans="1:1" x14ac:dyDescent="0.25">
      <c r="A240" s="99" t="s">
        <v>479</v>
      </c>
    </row>
    <row r="241" spans="1:1" x14ac:dyDescent="0.25">
      <c r="A241" s="137" t="s">
        <v>480</v>
      </c>
    </row>
    <row r="242" spans="1:1" x14ac:dyDescent="0.25">
      <c r="A242" s="27" t="s">
        <v>481</v>
      </c>
    </row>
    <row r="243" spans="1:1" x14ac:dyDescent="0.25">
      <c r="A243" s="27" t="s">
        <v>482</v>
      </c>
    </row>
    <row r="244" spans="1:1" x14ac:dyDescent="0.25">
      <c r="A244" s="27" t="s">
        <v>483</v>
      </c>
    </row>
    <row r="245" spans="1:1" x14ac:dyDescent="0.25">
      <c r="A245" s="27" t="s">
        <v>484</v>
      </c>
    </row>
    <row r="246" spans="1:1" x14ac:dyDescent="0.25">
      <c r="A246" s="27" t="s">
        <v>485</v>
      </c>
    </row>
    <row r="247" spans="1:1" x14ac:dyDescent="0.25">
      <c r="A247" s="27" t="s">
        <v>486</v>
      </c>
    </row>
    <row r="248" spans="1:1" x14ac:dyDescent="0.25">
      <c r="A248" s="27" t="s">
        <v>487</v>
      </c>
    </row>
    <row r="249" spans="1:1" x14ac:dyDescent="0.25">
      <c r="A249" s="27" t="s">
        <v>488</v>
      </c>
    </row>
    <row r="250" spans="1:1" x14ac:dyDescent="0.25">
      <c r="A250" s="27" t="s">
        <v>489</v>
      </c>
    </row>
    <row r="251" spans="1:1" x14ac:dyDescent="0.25">
      <c r="A251" s="27" t="s">
        <v>490</v>
      </c>
    </row>
    <row r="252" spans="1:1" x14ac:dyDescent="0.25">
      <c r="A252" s="27" t="s">
        <v>491</v>
      </c>
    </row>
    <row r="253" spans="1:1" x14ac:dyDescent="0.25">
      <c r="A253" s="27" t="s">
        <v>492</v>
      </c>
    </row>
    <row r="254" spans="1:1" x14ac:dyDescent="0.25">
      <c r="A254" s="27" t="s">
        <v>493</v>
      </c>
    </row>
    <row r="255" spans="1:1" x14ac:dyDescent="0.25">
      <c r="A255" s="27" t="s">
        <v>494</v>
      </c>
    </row>
    <row r="256" spans="1:1" x14ac:dyDescent="0.25">
      <c r="A256" s="27" t="s">
        <v>495</v>
      </c>
    </row>
    <row r="257" spans="1:1" x14ac:dyDescent="0.25">
      <c r="A257" s="27" t="s">
        <v>496</v>
      </c>
    </row>
    <row r="258" spans="1:1" x14ac:dyDescent="0.25">
      <c r="A258" s="27" t="s">
        <v>497</v>
      </c>
    </row>
    <row r="259" spans="1:1" x14ac:dyDescent="0.25">
      <c r="A259" s="27" t="s">
        <v>498</v>
      </c>
    </row>
    <row r="260" spans="1:1" x14ac:dyDescent="0.25">
      <c r="A260" s="27" t="s">
        <v>499</v>
      </c>
    </row>
    <row r="261" spans="1:1" x14ac:dyDescent="0.25">
      <c r="A261" s="27" t="s">
        <v>500</v>
      </c>
    </row>
    <row r="262" spans="1:1" x14ac:dyDescent="0.25">
      <c r="A262" s="27" t="s">
        <v>501</v>
      </c>
    </row>
    <row r="263" spans="1:1" x14ac:dyDescent="0.25">
      <c r="A263" s="27" t="s">
        <v>502</v>
      </c>
    </row>
    <row r="264" spans="1:1" x14ac:dyDescent="0.25">
      <c r="A264" s="27" t="s">
        <v>503</v>
      </c>
    </row>
    <row r="265" spans="1:1" x14ac:dyDescent="0.25">
      <c r="A265" s="27" t="s">
        <v>504</v>
      </c>
    </row>
    <row r="266" spans="1:1" x14ac:dyDescent="0.25">
      <c r="A266" s="137" t="s">
        <v>505</v>
      </c>
    </row>
    <row r="267" spans="1:1" x14ac:dyDescent="0.25">
      <c r="A267" s="137" t="s">
        <v>506</v>
      </c>
    </row>
    <row r="268" spans="1:1" x14ac:dyDescent="0.25">
      <c r="A268" s="137" t="s">
        <v>507</v>
      </c>
    </row>
    <row r="269" spans="1:1" x14ac:dyDescent="0.25">
      <c r="A269" s="99" t="s">
        <v>508</v>
      </c>
    </row>
    <row r="270" spans="1:1" x14ac:dyDescent="0.25">
      <c r="A270" s="99" t="s">
        <v>509</v>
      </c>
    </row>
    <row r="271" spans="1:1" x14ac:dyDescent="0.25">
      <c r="A271" s="137" t="s">
        <v>510</v>
      </c>
    </row>
    <row r="272" spans="1:1" x14ac:dyDescent="0.25">
      <c r="A272" s="137" t="s">
        <v>511</v>
      </c>
    </row>
    <row r="273" spans="1:1" x14ac:dyDescent="0.25">
      <c r="A273" s="137" t="s">
        <v>512</v>
      </c>
    </row>
    <row r="274" spans="1:1" x14ac:dyDescent="0.25">
      <c r="A274" s="137" t="s">
        <v>513</v>
      </c>
    </row>
    <row r="275" spans="1:1" x14ac:dyDescent="0.25">
      <c r="A275" s="99" t="s">
        <v>514</v>
      </c>
    </row>
    <row r="276" spans="1:1" x14ac:dyDescent="0.25">
      <c r="A276" s="99" t="s">
        <v>515</v>
      </c>
    </row>
    <row r="277" spans="1:1" x14ac:dyDescent="0.25">
      <c r="A277" s="137" t="s">
        <v>516</v>
      </c>
    </row>
    <row r="278" spans="1:1" x14ac:dyDescent="0.25">
      <c r="A278" s="137" t="s">
        <v>517</v>
      </c>
    </row>
    <row r="279" spans="1:1" x14ac:dyDescent="0.25">
      <c r="A279" s="137" t="s">
        <v>518</v>
      </c>
    </row>
    <row r="280" spans="1:1" x14ac:dyDescent="0.25">
      <c r="A280" s="137" t="s">
        <v>519</v>
      </c>
    </row>
    <row r="281" spans="1:1" x14ac:dyDescent="0.25">
      <c r="A281" s="99" t="s">
        <v>520</v>
      </c>
    </row>
    <row r="282" spans="1:1" x14ac:dyDescent="0.25">
      <c r="A282" s="99" t="s">
        <v>521</v>
      </c>
    </row>
    <row r="283" spans="1:1" x14ac:dyDescent="0.25">
      <c r="A283" s="137" t="s">
        <v>522</v>
      </c>
    </row>
    <row r="284" spans="1:1" x14ac:dyDescent="0.25">
      <c r="A284" s="137" t="s">
        <v>523</v>
      </c>
    </row>
    <row r="285" spans="1:1" x14ac:dyDescent="0.25">
      <c r="A285" s="137" t="s">
        <v>524</v>
      </c>
    </row>
    <row r="286" spans="1:1" x14ac:dyDescent="0.25">
      <c r="A286" s="137" t="s">
        <v>525</v>
      </c>
    </row>
    <row r="287" spans="1:1" x14ac:dyDescent="0.25">
      <c r="A287" s="99" t="s">
        <v>526</v>
      </c>
    </row>
    <row r="288" spans="1:1" x14ac:dyDescent="0.25">
      <c r="A288" s="99" t="s">
        <v>527</v>
      </c>
    </row>
    <row r="289" spans="1:1" x14ac:dyDescent="0.25">
      <c r="A289" s="137" t="s">
        <v>528</v>
      </c>
    </row>
    <row r="290" spans="1:1" x14ac:dyDescent="0.25">
      <c r="A290" s="137" t="s">
        <v>529</v>
      </c>
    </row>
    <row r="291" spans="1:1" x14ac:dyDescent="0.25">
      <c r="A291" s="137" t="s">
        <v>530</v>
      </c>
    </row>
    <row r="292" spans="1:1" x14ac:dyDescent="0.25">
      <c r="A292" s="137" t="s">
        <v>531</v>
      </c>
    </row>
    <row r="293" spans="1:1" x14ac:dyDescent="0.25">
      <c r="A293" s="99" t="s">
        <v>532</v>
      </c>
    </row>
    <row r="294" spans="1:1" x14ac:dyDescent="0.25">
      <c r="A294" s="99" t="s">
        <v>533</v>
      </c>
    </row>
    <row r="295" spans="1:1" x14ac:dyDescent="0.25">
      <c r="A295" s="137" t="s">
        <v>534</v>
      </c>
    </row>
    <row r="296" spans="1:1" x14ac:dyDescent="0.25">
      <c r="A296" s="137" t="s">
        <v>535</v>
      </c>
    </row>
    <row r="297" spans="1:1" x14ac:dyDescent="0.25">
      <c r="A297" s="137" t="s">
        <v>536</v>
      </c>
    </row>
    <row r="298" spans="1:1" x14ac:dyDescent="0.25">
      <c r="A298" s="137" t="s">
        <v>537</v>
      </c>
    </row>
    <row r="299" spans="1:1" x14ac:dyDescent="0.25">
      <c r="A299" s="99" t="s">
        <v>538</v>
      </c>
    </row>
    <row r="300" spans="1:1" x14ac:dyDescent="0.25">
      <c r="A300" s="99" t="s">
        <v>539</v>
      </c>
    </row>
    <row r="301" spans="1:1" x14ac:dyDescent="0.25">
      <c r="A301" s="137" t="s">
        <v>540</v>
      </c>
    </row>
    <row r="302" spans="1:1" x14ac:dyDescent="0.25">
      <c r="A302" s="137" t="s">
        <v>541</v>
      </c>
    </row>
    <row r="303" spans="1:1" x14ac:dyDescent="0.25">
      <c r="A303" s="137" t="s">
        <v>542</v>
      </c>
    </row>
    <row r="304" spans="1:1" x14ac:dyDescent="0.25">
      <c r="A304" s="137" t="s">
        <v>543</v>
      </c>
    </row>
    <row r="305" spans="1:1" x14ac:dyDescent="0.25">
      <c r="A305" s="99" t="s">
        <v>544</v>
      </c>
    </row>
    <row r="306" spans="1:1" x14ac:dyDescent="0.25">
      <c r="A306" s="99" t="s">
        <v>545</v>
      </c>
    </row>
    <row r="307" spans="1:1" x14ac:dyDescent="0.25">
      <c r="A307" s="137" t="s">
        <v>546</v>
      </c>
    </row>
    <row r="308" spans="1:1" x14ac:dyDescent="0.25">
      <c r="A308" s="137" t="s">
        <v>547</v>
      </c>
    </row>
    <row r="309" spans="1:1" x14ac:dyDescent="0.25">
      <c r="A309" s="137" t="s">
        <v>548</v>
      </c>
    </row>
    <row r="310" spans="1:1" x14ac:dyDescent="0.25">
      <c r="A310" s="137" t="s">
        <v>549</v>
      </c>
    </row>
    <row r="311" spans="1:1" x14ac:dyDescent="0.25">
      <c r="A311" s="99" t="s">
        <v>550</v>
      </c>
    </row>
    <row r="312" spans="1:1" x14ac:dyDescent="0.25">
      <c r="A312" s="99" t="s">
        <v>551</v>
      </c>
    </row>
    <row r="313" spans="1:1" x14ac:dyDescent="0.25">
      <c r="A313" s="137" t="s">
        <v>552</v>
      </c>
    </row>
    <row r="314" spans="1:1" x14ac:dyDescent="0.25">
      <c r="A314" s="137" t="s">
        <v>553</v>
      </c>
    </row>
    <row r="315" spans="1:1" x14ac:dyDescent="0.25">
      <c r="A315" s="137" t="s">
        <v>554</v>
      </c>
    </row>
    <row r="316" spans="1:1" x14ac:dyDescent="0.25">
      <c r="A316" s="137" t="s">
        <v>555</v>
      </c>
    </row>
    <row r="317" spans="1:1" x14ac:dyDescent="0.25">
      <c r="A317" s="99" t="s">
        <v>556</v>
      </c>
    </row>
    <row r="318" spans="1:1" x14ac:dyDescent="0.25">
      <c r="A318" s="99" t="s">
        <v>557</v>
      </c>
    </row>
    <row r="319" spans="1:1" x14ac:dyDescent="0.25">
      <c r="A319" s="137" t="s">
        <v>558</v>
      </c>
    </row>
    <row r="320" spans="1:1" x14ac:dyDescent="0.25">
      <c r="A320" s="27" t="s">
        <v>559</v>
      </c>
    </row>
    <row r="321" spans="1:1" x14ac:dyDescent="0.25">
      <c r="A321" s="27" t="s">
        <v>560</v>
      </c>
    </row>
    <row r="322" spans="1:1" x14ac:dyDescent="0.25">
      <c r="A322" s="27" t="s">
        <v>561</v>
      </c>
    </row>
    <row r="323" spans="1:1" x14ac:dyDescent="0.25">
      <c r="A323" s="27" t="s">
        <v>562</v>
      </c>
    </row>
    <row r="324" spans="1:1" x14ac:dyDescent="0.25">
      <c r="A324" s="27" t="s">
        <v>563</v>
      </c>
    </row>
    <row r="325" spans="1:1" x14ac:dyDescent="0.25">
      <c r="A325" s="27" t="s">
        <v>564</v>
      </c>
    </row>
    <row r="326" spans="1:1" x14ac:dyDescent="0.25">
      <c r="A326" s="27" t="s">
        <v>565</v>
      </c>
    </row>
    <row r="327" spans="1:1" x14ac:dyDescent="0.25">
      <c r="A327" s="27" t="s">
        <v>566</v>
      </c>
    </row>
    <row r="328" spans="1:1" x14ac:dyDescent="0.25">
      <c r="A328" s="27" t="s">
        <v>567</v>
      </c>
    </row>
    <row r="329" spans="1:1" x14ac:dyDescent="0.25">
      <c r="A329" s="27" t="s">
        <v>568</v>
      </c>
    </row>
    <row r="330" spans="1:1" x14ac:dyDescent="0.25">
      <c r="A330" s="27" t="s">
        <v>569</v>
      </c>
    </row>
    <row r="331" spans="1:1" x14ac:dyDescent="0.25">
      <c r="A331" s="27" t="s">
        <v>570</v>
      </c>
    </row>
    <row r="332" spans="1:1" x14ac:dyDescent="0.25">
      <c r="A332" s="27" t="s">
        <v>571</v>
      </c>
    </row>
    <row r="333" spans="1:1" x14ac:dyDescent="0.25">
      <c r="A333" s="27" t="s">
        <v>572</v>
      </c>
    </row>
    <row r="334" spans="1:1" x14ac:dyDescent="0.25">
      <c r="A334" s="27" t="s">
        <v>573</v>
      </c>
    </row>
    <row r="335" spans="1:1" x14ac:dyDescent="0.25">
      <c r="A335" s="27" t="s">
        <v>574</v>
      </c>
    </row>
    <row r="336" spans="1:1" x14ac:dyDescent="0.25">
      <c r="A336" s="27" t="s">
        <v>575</v>
      </c>
    </row>
    <row r="337" spans="1:1" x14ac:dyDescent="0.25">
      <c r="A337" s="27" t="s">
        <v>575</v>
      </c>
    </row>
    <row r="338" spans="1:1" x14ac:dyDescent="0.25">
      <c r="A338" s="27" t="s">
        <v>576</v>
      </c>
    </row>
    <row r="339" spans="1:1" x14ac:dyDescent="0.25">
      <c r="A339" s="27" t="s">
        <v>577</v>
      </c>
    </row>
    <row r="340" spans="1:1" x14ac:dyDescent="0.25">
      <c r="A340" s="27" t="s">
        <v>578</v>
      </c>
    </row>
    <row r="341" spans="1:1" x14ac:dyDescent="0.25">
      <c r="A341" s="27" t="s">
        <v>579</v>
      </c>
    </row>
    <row r="342" spans="1:1" x14ac:dyDescent="0.25">
      <c r="A342" s="27" t="s">
        <v>580</v>
      </c>
    </row>
    <row r="343" spans="1:1" x14ac:dyDescent="0.25">
      <c r="A343" s="27" t="s">
        <v>580</v>
      </c>
    </row>
    <row r="344" spans="1:1" x14ac:dyDescent="0.25">
      <c r="A344" s="27" t="s">
        <v>581</v>
      </c>
    </row>
    <row r="345" spans="1:1" x14ac:dyDescent="0.25">
      <c r="A345" s="27" t="s">
        <v>582</v>
      </c>
    </row>
    <row r="346" spans="1:1" x14ac:dyDescent="0.25">
      <c r="A346" s="27" t="s">
        <v>583</v>
      </c>
    </row>
    <row r="347" spans="1:1" x14ac:dyDescent="0.25">
      <c r="A347" s="27" t="s">
        <v>584</v>
      </c>
    </row>
    <row r="348" spans="1:1" x14ac:dyDescent="0.25">
      <c r="A348" s="27" t="s">
        <v>585</v>
      </c>
    </row>
    <row r="349" spans="1:1" x14ac:dyDescent="0.25">
      <c r="A349" s="27" t="s">
        <v>586</v>
      </c>
    </row>
    <row r="350" spans="1:1" x14ac:dyDescent="0.25">
      <c r="A350" s="27" t="s">
        <v>587</v>
      </c>
    </row>
    <row r="351" spans="1:1" x14ac:dyDescent="0.25">
      <c r="A351" s="27" t="s">
        <v>588</v>
      </c>
    </row>
    <row r="352" spans="1:1" x14ac:dyDescent="0.25">
      <c r="A352" s="27" t="s">
        <v>589</v>
      </c>
    </row>
    <row r="353" spans="1:1" x14ac:dyDescent="0.25">
      <c r="A353" s="27" t="s">
        <v>590</v>
      </c>
    </row>
    <row r="354" spans="1:1" x14ac:dyDescent="0.25">
      <c r="A354" s="27" t="s">
        <v>591</v>
      </c>
    </row>
    <row r="355" spans="1:1" x14ac:dyDescent="0.25">
      <c r="A355" s="27" t="s">
        <v>591</v>
      </c>
    </row>
    <row r="356" spans="1:1" x14ac:dyDescent="0.25">
      <c r="A356" s="27" t="s">
        <v>592</v>
      </c>
    </row>
    <row r="357" spans="1:1" x14ac:dyDescent="0.25">
      <c r="A357" s="27" t="s">
        <v>593</v>
      </c>
    </row>
    <row r="358" spans="1:1" x14ac:dyDescent="0.25">
      <c r="A358" s="27" t="s">
        <v>594</v>
      </c>
    </row>
    <row r="359" spans="1:1" x14ac:dyDescent="0.25">
      <c r="A359" s="27" t="s">
        <v>595</v>
      </c>
    </row>
    <row r="360" spans="1:1" x14ac:dyDescent="0.25">
      <c r="A360" s="27" t="s">
        <v>596</v>
      </c>
    </row>
    <row r="361" spans="1:1" x14ac:dyDescent="0.25">
      <c r="A361" s="27" t="s">
        <v>597</v>
      </c>
    </row>
    <row r="362" spans="1:1" x14ac:dyDescent="0.25">
      <c r="A362" s="27" t="s">
        <v>598</v>
      </c>
    </row>
    <row r="363" spans="1:1" x14ac:dyDescent="0.25">
      <c r="A363" s="27" t="s">
        <v>599</v>
      </c>
    </row>
    <row r="364" spans="1:1" x14ac:dyDescent="0.25">
      <c r="A364" s="27" t="s">
        <v>600</v>
      </c>
    </row>
    <row r="365" spans="1:1" x14ac:dyDescent="0.25">
      <c r="A365" s="27" t="s">
        <v>601</v>
      </c>
    </row>
    <row r="366" spans="1:1" x14ac:dyDescent="0.25">
      <c r="A366" s="27" t="s">
        <v>602</v>
      </c>
    </row>
    <row r="367" spans="1:1" x14ac:dyDescent="0.25">
      <c r="A367" s="27" t="s">
        <v>603</v>
      </c>
    </row>
    <row r="368" spans="1:1" x14ac:dyDescent="0.25">
      <c r="A368" s="27" t="s">
        <v>604</v>
      </c>
    </row>
    <row r="369" spans="1:1" x14ac:dyDescent="0.25">
      <c r="A369" s="27" t="s">
        <v>605</v>
      </c>
    </row>
    <row r="370" spans="1:1" x14ac:dyDescent="0.25">
      <c r="A370" s="27" t="s">
        <v>606</v>
      </c>
    </row>
    <row r="371" spans="1:1" x14ac:dyDescent="0.25">
      <c r="A371" s="27" t="s">
        <v>607</v>
      </c>
    </row>
    <row r="372" spans="1:1" x14ac:dyDescent="0.25">
      <c r="A372" s="27" t="s">
        <v>608</v>
      </c>
    </row>
    <row r="373" spans="1:1" x14ac:dyDescent="0.25">
      <c r="A373" s="27" t="s">
        <v>609</v>
      </c>
    </row>
    <row r="374" spans="1:1" x14ac:dyDescent="0.25">
      <c r="A374" s="27" t="s">
        <v>610</v>
      </c>
    </row>
    <row r="375" spans="1:1" x14ac:dyDescent="0.25">
      <c r="A375" s="27" t="s">
        <v>611</v>
      </c>
    </row>
    <row r="376" spans="1:1" x14ac:dyDescent="0.25">
      <c r="A376" s="27" t="s">
        <v>612</v>
      </c>
    </row>
    <row r="377" spans="1:1" x14ac:dyDescent="0.25">
      <c r="A377" s="27" t="s">
        <v>613</v>
      </c>
    </row>
    <row r="378" spans="1:1" x14ac:dyDescent="0.25">
      <c r="A378" s="27" t="s">
        <v>614</v>
      </c>
    </row>
    <row r="379" spans="1:1" x14ac:dyDescent="0.25">
      <c r="A379" s="27" t="s">
        <v>614</v>
      </c>
    </row>
    <row r="380" spans="1:1" x14ac:dyDescent="0.25">
      <c r="A380" s="27" t="s">
        <v>615</v>
      </c>
    </row>
    <row r="381" spans="1:1" x14ac:dyDescent="0.25">
      <c r="A381" s="27" t="s">
        <v>616</v>
      </c>
    </row>
    <row r="382" spans="1:1" x14ac:dyDescent="0.25">
      <c r="A382" s="27" t="s">
        <v>617</v>
      </c>
    </row>
    <row r="383" spans="1:1" x14ac:dyDescent="0.25">
      <c r="A383" s="27" t="s">
        <v>618</v>
      </c>
    </row>
    <row r="384" spans="1:1" x14ac:dyDescent="0.25">
      <c r="A384" s="27" t="s">
        <v>619</v>
      </c>
    </row>
    <row r="385" spans="1:1" x14ac:dyDescent="0.25">
      <c r="A385" s="27" t="s">
        <v>620</v>
      </c>
    </row>
    <row r="386" spans="1:1" x14ac:dyDescent="0.25">
      <c r="A386" s="27" t="s">
        <v>621</v>
      </c>
    </row>
    <row r="387" spans="1:1" x14ac:dyDescent="0.25">
      <c r="A387" s="27" t="s">
        <v>622</v>
      </c>
    </row>
    <row r="388" spans="1:1" x14ac:dyDescent="0.25">
      <c r="A388" s="27" t="s">
        <v>623</v>
      </c>
    </row>
    <row r="389" spans="1:1" x14ac:dyDescent="0.25">
      <c r="A389" s="27" t="s">
        <v>624</v>
      </c>
    </row>
    <row r="390" spans="1:1" x14ac:dyDescent="0.25">
      <c r="A390" s="27" t="s">
        <v>625</v>
      </c>
    </row>
    <row r="391" spans="1:1" x14ac:dyDescent="0.25">
      <c r="A391" s="27" t="s">
        <v>626</v>
      </c>
    </row>
    <row r="392" spans="1:1" x14ac:dyDescent="0.25">
      <c r="A392" s="27" t="s">
        <v>627</v>
      </c>
    </row>
    <row r="393" spans="1:1" x14ac:dyDescent="0.25">
      <c r="A393" s="27" t="s">
        <v>628</v>
      </c>
    </row>
    <row r="394" spans="1:1" x14ac:dyDescent="0.25">
      <c r="A394" s="27" t="s">
        <v>629</v>
      </c>
    </row>
    <row r="395" spans="1:1" x14ac:dyDescent="0.25">
      <c r="A395" s="27" t="s">
        <v>630</v>
      </c>
    </row>
    <row r="396" spans="1:1" x14ac:dyDescent="0.25">
      <c r="A396" s="27" t="s">
        <v>631</v>
      </c>
    </row>
    <row r="397" spans="1:1" x14ac:dyDescent="0.25">
      <c r="A397" s="27" t="s">
        <v>632</v>
      </c>
    </row>
    <row r="398" spans="1:1" x14ac:dyDescent="0.25">
      <c r="A398" s="27" t="s">
        <v>633</v>
      </c>
    </row>
    <row r="399" spans="1:1" x14ac:dyDescent="0.25">
      <c r="A399" s="27" t="s">
        <v>634</v>
      </c>
    </row>
    <row r="400" spans="1:1" x14ac:dyDescent="0.25">
      <c r="A400" s="27" t="s">
        <v>635</v>
      </c>
    </row>
    <row r="401" spans="1:1" x14ac:dyDescent="0.25">
      <c r="A401" s="27" t="s">
        <v>636</v>
      </c>
    </row>
    <row r="402" spans="1:1" x14ac:dyDescent="0.25">
      <c r="A402" s="27" t="s">
        <v>637</v>
      </c>
    </row>
    <row r="403" spans="1:1" x14ac:dyDescent="0.25">
      <c r="A403" s="27" t="s">
        <v>638</v>
      </c>
    </row>
    <row r="404" spans="1:1" x14ac:dyDescent="0.25">
      <c r="A404" s="27" t="s">
        <v>639</v>
      </c>
    </row>
    <row r="405" spans="1:1" x14ac:dyDescent="0.25">
      <c r="A405" s="27" t="s">
        <v>640</v>
      </c>
    </row>
    <row r="406" spans="1:1" x14ac:dyDescent="0.25">
      <c r="A406" s="27" t="s">
        <v>641</v>
      </c>
    </row>
    <row r="407" spans="1:1" x14ac:dyDescent="0.25">
      <c r="A407" s="27" t="s">
        <v>642</v>
      </c>
    </row>
    <row r="408" spans="1:1" x14ac:dyDescent="0.25">
      <c r="A408" s="27" t="s">
        <v>643</v>
      </c>
    </row>
    <row r="409" spans="1:1" x14ac:dyDescent="0.25">
      <c r="A409" s="27" t="s">
        <v>643</v>
      </c>
    </row>
    <row r="410" spans="1:1" x14ac:dyDescent="0.25">
      <c r="A410" s="27" t="s">
        <v>644</v>
      </c>
    </row>
    <row r="411" spans="1:1" x14ac:dyDescent="0.25">
      <c r="A411" s="27" t="s">
        <v>645</v>
      </c>
    </row>
    <row r="412" spans="1:1" x14ac:dyDescent="0.25">
      <c r="A412" s="27" t="s">
        <v>646</v>
      </c>
    </row>
    <row r="413" spans="1:1" x14ac:dyDescent="0.25">
      <c r="A413" s="27" t="s">
        <v>647</v>
      </c>
    </row>
    <row r="414" spans="1:1" x14ac:dyDescent="0.25">
      <c r="A414" s="27" t="s">
        <v>648</v>
      </c>
    </row>
    <row r="415" spans="1:1" x14ac:dyDescent="0.25">
      <c r="A415" s="27" t="s">
        <v>649</v>
      </c>
    </row>
    <row r="416" spans="1:1" x14ac:dyDescent="0.25">
      <c r="A416" s="27" t="s">
        <v>650</v>
      </c>
    </row>
    <row r="417" spans="1:1" x14ac:dyDescent="0.25">
      <c r="A417" s="27" t="s">
        <v>651</v>
      </c>
    </row>
    <row r="418" spans="1:1" x14ac:dyDescent="0.25">
      <c r="A418" s="27" t="s">
        <v>652</v>
      </c>
    </row>
    <row r="419" spans="1:1" x14ac:dyDescent="0.25">
      <c r="A419" s="27" t="s">
        <v>653</v>
      </c>
    </row>
    <row r="420" spans="1:1" x14ac:dyDescent="0.25">
      <c r="A420" s="27" t="s">
        <v>654</v>
      </c>
    </row>
    <row r="421" spans="1:1" x14ac:dyDescent="0.25">
      <c r="A421" s="27" t="s">
        <v>655</v>
      </c>
    </row>
    <row r="422" spans="1:1" x14ac:dyDescent="0.25">
      <c r="A422" s="27" t="s">
        <v>656</v>
      </c>
    </row>
    <row r="423" spans="1:1" x14ac:dyDescent="0.25">
      <c r="A423" s="27" t="s">
        <v>657</v>
      </c>
    </row>
    <row r="424" spans="1:1" x14ac:dyDescent="0.25">
      <c r="A424" s="27" t="s">
        <v>658</v>
      </c>
    </row>
    <row r="425" spans="1:1" x14ac:dyDescent="0.25">
      <c r="A425" s="27" t="s">
        <v>659</v>
      </c>
    </row>
    <row r="426" spans="1:1" x14ac:dyDescent="0.25">
      <c r="A426" s="27" t="s">
        <v>660</v>
      </c>
    </row>
    <row r="427" spans="1:1" x14ac:dyDescent="0.25">
      <c r="A427" s="27" t="s">
        <v>661</v>
      </c>
    </row>
    <row r="428" spans="1:1" x14ac:dyDescent="0.25">
      <c r="A428" s="27" t="s">
        <v>662</v>
      </c>
    </row>
    <row r="429" spans="1:1" x14ac:dyDescent="0.25">
      <c r="A429" s="27" t="s">
        <v>663</v>
      </c>
    </row>
    <row r="430" spans="1:1" x14ac:dyDescent="0.25">
      <c r="A430" s="27" t="s">
        <v>664</v>
      </c>
    </row>
    <row r="431" spans="1:1" x14ac:dyDescent="0.25">
      <c r="A431" s="27" t="s">
        <v>665</v>
      </c>
    </row>
    <row r="432" spans="1:1" x14ac:dyDescent="0.25">
      <c r="A432" s="27" t="s">
        <v>666</v>
      </c>
    </row>
    <row r="433" spans="1:1" x14ac:dyDescent="0.25">
      <c r="A433" s="27" t="s">
        <v>667</v>
      </c>
    </row>
    <row r="434" spans="1:1" x14ac:dyDescent="0.25">
      <c r="A434" s="27" t="s">
        <v>668</v>
      </c>
    </row>
    <row r="435" spans="1:1" x14ac:dyDescent="0.25">
      <c r="A435" s="27" t="s">
        <v>669</v>
      </c>
    </row>
    <row r="436" spans="1:1" x14ac:dyDescent="0.25">
      <c r="A436" s="27" t="s">
        <v>670</v>
      </c>
    </row>
    <row r="437" spans="1:1" x14ac:dyDescent="0.25">
      <c r="A437" s="27" t="s">
        <v>671</v>
      </c>
    </row>
    <row r="438" spans="1:1" x14ac:dyDescent="0.25">
      <c r="A438" s="27" t="s">
        <v>672</v>
      </c>
    </row>
    <row r="439" spans="1:1" x14ac:dyDescent="0.25">
      <c r="A439" s="27" t="s">
        <v>673</v>
      </c>
    </row>
    <row r="440" spans="1:1" x14ac:dyDescent="0.25">
      <c r="A440" s="27" t="s">
        <v>674</v>
      </c>
    </row>
    <row r="441" spans="1:1" x14ac:dyDescent="0.25">
      <c r="A441" s="27" t="s">
        <v>675</v>
      </c>
    </row>
    <row r="442" spans="1:1" x14ac:dyDescent="0.25">
      <c r="A442" s="27" t="s">
        <v>676</v>
      </c>
    </row>
    <row r="443" spans="1:1" x14ac:dyDescent="0.25">
      <c r="A443" s="27" t="s">
        <v>677</v>
      </c>
    </row>
    <row r="444" spans="1:1" x14ac:dyDescent="0.25">
      <c r="A444" s="27" t="s">
        <v>678</v>
      </c>
    </row>
    <row r="445" spans="1:1" x14ac:dyDescent="0.25">
      <c r="A445" s="27" t="s">
        <v>678</v>
      </c>
    </row>
    <row r="446" spans="1:1" x14ac:dyDescent="0.25">
      <c r="A446" s="27" t="s">
        <v>679</v>
      </c>
    </row>
    <row r="447" spans="1:1" x14ac:dyDescent="0.25">
      <c r="A447" s="27" t="s">
        <v>680</v>
      </c>
    </row>
    <row r="448" spans="1:1" x14ac:dyDescent="0.25">
      <c r="A448" s="27" t="s">
        <v>681</v>
      </c>
    </row>
    <row r="449" spans="1:1" x14ac:dyDescent="0.25">
      <c r="A449" s="27" t="s">
        <v>682</v>
      </c>
    </row>
    <row r="450" spans="1:1" x14ac:dyDescent="0.25">
      <c r="A450" s="27" t="s">
        <v>683</v>
      </c>
    </row>
    <row r="451" spans="1:1" x14ac:dyDescent="0.25">
      <c r="A451" s="27" t="s">
        <v>684</v>
      </c>
    </row>
    <row r="452" spans="1:1" x14ac:dyDescent="0.25">
      <c r="A452" s="27" t="s">
        <v>685</v>
      </c>
    </row>
    <row r="453" spans="1:1" x14ac:dyDescent="0.25">
      <c r="A453" s="27" t="s">
        <v>686</v>
      </c>
    </row>
    <row r="454" spans="1:1" x14ac:dyDescent="0.25">
      <c r="A454" s="27" t="s">
        <v>687</v>
      </c>
    </row>
    <row r="455" spans="1:1" x14ac:dyDescent="0.25">
      <c r="A455" s="27" t="s">
        <v>688</v>
      </c>
    </row>
    <row r="456" spans="1:1" x14ac:dyDescent="0.25">
      <c r="A456" s="27" t="s">
        <v>689</v>
      </c>
    </row>
    <row r="457" spans="1:1" x14ac:dyDescent="0.25">
      <c r="A457" s="27" t="s">
        <v>690</v>
      </c>
    </row>
    <row r="458" spans="1:1" x14ac:dyDescent="0.25">
      <c r="A458" s="27" t="s">
        <v>691</v>
      </c>
    </row>
    <row r="459" spans="1:1" x14ac:dyDescent="0.25">
      <c r="A459" s="27" t="s">
        <v>692</v>
      </c>
    </row>
    <row r="460" spans="1:1" x14ac:dyDescent="0.25">
      <c r="A460" s="27" t="s">
        <v>693</v>
      </c>
    </row>
    <row r="461" spans="1:1" x14ac:dyDescent="0.25">
      <c r="A461" s="27" t="s">
        <v>694</v>
      </c>
    </row>
    <row r="462" spans="1:1" x14ac:dyDescent="0.25">
      <c r="A462" s="27" t="s">
        <v>695</v>
      </c>
    </row>
    <row r="463" spans="1:1" x14ac:dyDescent="0.25">
      <c r="A463" s="27" t="s">
        <v>696</v>
      </c>
    </row>
    <row r="464" spans="1:1" x14ac:dyDescent="0.25">
      <c r="A464" s="27" t="s">
        <v>697</v>
      </c>
    </row>
    <row r="465" spans="1:1" x14ac:dyDescent="0.25">
      <c r="A465" s="27" t="s">
        <v>698</v>
      </c>
    </row>
    <row r="466" spans="1:1" x14ac:dyDescent="0.25">
      <c r="A466" s="27" t="s">
        <v>699</v>
      </c>
    </row>
    <row r="467" spans="1:1" x14ac:dyDescent="0.25">
      <c r="A467" s="27" t="s">
        <v>700</v>
      </c>
    </row>
    <row r="468" spans="1:1" x14ac:dyDescent="0.25">
      <c r="A468" s="27" t="s">
        <v>701</v>
      </c>
    </row>
    <row r="469" spans="1:1" x14ac:dyDescent="0.25">
      <c r="A469" s="27" t="s">
        <v>702</v>
      </c>
    </row>
    <row r="470" spans="1:1" x14ac:dyDescent="0.25">
      <c r="A470" s="27" t="s">
        <v>703</v>
      </c>
    </row>
    <row r="471" spans="1:1" x14ac:dyDescent="0.25">
      <c r="A471" s="27" t="s">
        <v>704</v>
      </c>
    </row>
    <row r="472" spans="1:1" x14ac:dyDescent="0.25">
      <c r="A472" s="27" t="s">
        <v>705</v>
      </c>
    </row>
    <row r="473" spans="1:1" x14ac:dyDescent="0.25">
      <c r="A473" s="27" t="s">
        <v>706</v>
      </c>
    </row>
    <row r="474" spans="1:1" x14ac:dyDescent="0.25">
      <c r="A474" s="27" t="s">
        <v>707</v>
      </c>
    </row>
    <row r="475" spans="1:1" x14ac:dyDescent="0.25">
      <c r="A475" s="27" t="s">
        <v>708</v>
      </c>
    </row>
    <row r="476" spans="1:1" x14ac:dyDescent="0.25">
      <c r="A476" s="27" t="s">
        <v>709</v>
      </c>
    </row>
    <row r="477" spans="1:1" x14ac:dyDescent="0.25">
      <c r="A477" s="27" t="s">
        <v>710</v>
      </c>
    </row>
    <row r="478" spans="1:1" x14ac:dyDescent="0.25">
      <c r="A478" s="27" t="s">
        <v>711</v>
      </c>
    </row>
    <row r="479" spans="1:1" x14ac:dyDescent="0.25">
      <c r="A479" s="27" t="s">
        <v>712</v>
      </c>
    </row>
    <row r="480" spans="1:1" x14ac:dyDescent="0.25">
      <c r="A480" s="27" t="s">
        <v>713</v>
      </c>
    </row>
    <row r="481" spans="1:1" x14ac:dyDescent="0.25">
      <c r="A481" s="27" t="s">
        <v>713</v>
      </c>
    </row>
    <row r="482" spans="1:1" x14ac:dyDescent="0.25">
      <c r="A482" s="27" t="s">
        <v>714</v>
      </c>
    </row>
    <row r="483" spans="1:1" x14ac:dyDescent="0.25">
      <c r="A483" s="27" t="s">
        <v>715</v>
      </c>
    </row>
    <row r="484" spans="1:1" x14ac:dyDescent="0.25">
      <c r="A484" s="27" t="s">
        <v>716</v>
      </c>
    </row>
    <row r="485" spans="1:1" x14ac:dyDescent="0.25">
      <c r="A485" s="27" t="s">
        <v>717</v>
      </c>
    </row>
    <row r="486" spans="1:1" x14ac:dyDescent="0.25">
      <c r="A486" s="27" t="s">
        <v>718</v>
      </c>
    </row>
    <row r="487" spans="1:1" x14ac:dyDescent="0.25">
      <c r="A487" s="27" t="s">
        <v>719</v>
      </c>
    </row>
    <row r="488" spans="1:1" x14ac:dyDescent="0.25">
      <c r="A488" s="27" t="s">
        <v>720</v>
      </c>
    </row>
    <row r="489" spans="1:1" x14ac:dyDescent="0.25">
      <c r="A489" s="27" t="s">
        <v>721</v>
      </c>
    </row>
    <row r="490" spans="1:1" x14ac:dyDescent="0.25">
      <c r="A490" s="27" t="s">
        <v>722</v>
      </c>
    </row>
    <row r="491" spans="1:1" x14ac:dyDescent="0.25">
      <c r="A491" s="27" t="s">
        <v>723</v>
      </c>
    </row>
    <row r="492" spans="1:1" x14ac:dyDescent="0.25">
      <c r="A492" s="27" t="s">
        <v>724</v>
      </c>
    </row>
    <row r="493" spans="1:1" x14ac:dyDescent="0.25">
      <c r="A493" s="27" t="s">
        <v>725</v>
      </c>
    </row>
    <row r="494" spans="1:1" x14ac:dyDescent="0.25">
      <c r="A494" s="27" t="s">
        <v>726</v>
      </c>
    </row>
    <row r="495" spans="1:1" x14ac:dyDescent="0.25">
      <c r="A495" s="27" t="s">
        <v>727</v>
      </c>
    </row>
    <row r="496" spans="1:1" x14ac:dyDescent="0.25">
      <c r="A496" s="27" t="s">
        <v>728</v>
      </c>
    </row>
    <row r="497" spans="1:1" x14ac:dyDescent="0.25">
      <c r="A497" s="27" t="s">
        <v>729</v>
      </c>
    </row>
    <row r="498" spans="1:1" x14ac:dyDescent="0.25">
      <c r="A498" s="27" t="s">
        <v>730</v>
      </c>
    </row>
    <row r="499" spans="1:1" x14ac:dyDescent="0.25">
      <c r="A499" s="27" t="s">
        <v>730</v>
      </c>
    </row>
    <row r="500" spans="1:1" x14ac:dyDescent="0.25">
      <c r="A500" s="27" t="s">
        <v>731</v>
      </c>
    </row>
    <row r="501" spans="1:1" x14ac:dyDescent="0.25">
      <c r="A501" s="27" t="s">
        <v>732</v>
      </c>
    </row>
    <row r="502" spans="1:1" x14ac:dyDescent="0.25">
      <c r="A502" s="27" t="s">
        <v>733</v>
      </c>
    </row>
    <row r="503" spans="1:1" x14ac:dyDescent="0.25">
      <c r="A503" s="27" t="s">
        <v>734</v>
      </c>
    </row>
    <row r="504" spans="1:1" x14ac:dyDescent="0.25">
      <c r="A504" s="27" t="s">
        <v>735</v>
      </c>
    </row>
    <row r="505" spans="1:1" x14ac:dyDescent="0.25">
      <c r="A505" s="27" t="s">
        <v>735</v>
      </c>
    </row>
    <row r="506" spans="1:1" x14ac:dyDescent="0.25">
      <c r="A506" s="27" t="s">
        <v>736</v>
      </c>
    </row>
    <row r="507" spans="1:1" x14ac:dyDescent="0.25">
      <c r="A507" s="27" t="s">
        <v>737</v>
      </c>
    </row>
    <row r="508" spans="1:1" x14ac:dyDescent="0.25">
      <c r="A508" s="27" t="s">
        <v>738</v>
      </c>
    </row>
    <row r="509" spans="1:1" x14ac:dyDescent="0.25">
      <c r="A509" s="27" t="s">
        <v>739</v>
      </c>
    </row>
    <row r="510" spans="1:1" x14ac:dyDescent="0.25">
      <c r="A510" s="27" t="s">
        <v>740</v>
      </c>
    </row>
    <row r="511" spans="1:1" x14ac:dyDescent="0.25">
      <c r="A511" s="27" t="s">
        <v>740</v>
      </c>
    </row>
    <row r="512" spans="1:1" x14ac:dyDescent="0.25">
      <c r="A512" s="27" t="s">
        <v>741</v>
      </c>
    </row>
    <row r="513" spans="1:1" x14ac:dyDescent="0.25">
      <c r="A513" s="27" t="s">
        <v>742</v>
      </c>
    </row>
    <row r="514" spans="1:1" x14ac:dyDescent="0.25">
      <c r="A514" s="27" t="s">
        <v>743</v>
      </c>
    </row>
    <row r="515" spans="1:1" x14ac:dyDescent="0.25">
      <c r="A515" s="27" t="s">
        <v>744</v>
      </c>
    </row>
    <row r="516" spans="1:1" x14ac:dyDescent="0.25">
      <c r="A516" s="27" t="s">
        <v>745</v>
      </c>
    </row>
    <row r="517" spans="1:1" x14ac:dyDescent="0.25">
      <c r="A517" s="27" t="s">
        <v>745</v>
      </c>
    </row>
    <row r="518" spans="1:1" x14ac:dyDescent="0.25">
      <c r="A518" s="27" t="s">
        <v>746</v>
      </c>
    </row>
    <row r="519" spans="1:1" x14ac:dyDescent="0.25">
      <c r="A519" s="27" t="s">
        <v>747</v>
      </c>
    </row>
    <row r="520" spans="1:1" x14ac:dyDescent="0.25">
      <c r="A520" s="27" t="s">
        <v>748</v>
      </c>
    </row>
    <row r="521" spans="1:1" x14ac:dyDescent="0.25">
      <c r="A521" s="27" t="s">
        <v>749</v>
      </c>
    </row>
    <row r="522" spans="1:1" x14ac:dyDescent="0.25">
      <c r="A522" s="27" t="s">
        <v>750</v>
      </c>
    </row>
    <row r="523" spans="1:1" x14ac:dyDescent="0.25">
      <c r="A523" s="27" t="s">
        <v>750</v>
      </c>
    </row>
    <row r="524" spans="1:1" x14ac:dyDescent="0.25">
      <c r="A524" s="27" t="s">
        <v>751</v>
      </c>
    </row>
    <row r="525" spans="1:1" x14ac:dyDescent="0.25">
      <c r="A525" s="27" t="s">
        <v>752</v>
      </c>
    </row>
    <row r="526" spans="1:1" x14ac:dyDescent="0.25">
      <c r="A526" s="27" t="s">
        <v>753</v>
      </c>
    </row>
    <row r="527" spans="1:1" x14ac:dyDescent="0.25">
      <c r="A527" s="27" t="s">
        <v>754</v>
      </c>
    </row>
    <row r="528" spans="1:1" x14ac:dyDescent="0.25">
      <c r="A528" s="27" t="s">
        <v>755</v>
      </c>
    </row>
    <row r="529" spans="1:1" x14ac:dyDescent="0.25">
      <c r="A529" s="27" t="s">
        <v>755</v>
      </c>
    </row>
    <row r="530" spans="1:1" x14ac:dyDescent="0.25">
      <c r="A530" s="27" t="s">
        <v>756</v>
      </c>
    </row>
    <row r="531" spans="1:1" x14ac:dyDescent="0.25">
      <c r="A531" s="27" t="s">
        <v>757</v>
      </c>
    </row>
    <row r="532" spans="1:1" x14ac:dyDescent="0.25">
      <c r="A532" s="27" t="s">
        <v>758</v>
      </c>
    </row>
    <row r="533" spans="1:1" x14ac:dyDescent="0.25">
      <c r="A533" s="27" t="s">
        <v>759</v>
      </c>
    </row>
    <row r="534" spans="1:1" x14ac:dyDescent="0.25">
      <c r="A534" s="27" t="s">
        <v>760</v>
      </c>
    </row>
    <row r="535" spans="1:1" x14ac:dyDescent="0.25">
      <c r="A535" s="27" t="s">
        <v>761</v>
      </c>
    </row>
    <row r="536" spans="1:1" x14ac:dyDescent="0.25">
      <c r="A536" s="27" t="s">
        <v>762</v>
      </c>
    </row>
    <row r="537" spans="1:1" x14ac:dyDescent="0.25">
      <c r="A537" s="27" t="s">
        <v>763</v>
      </c>
    </row>
    <row r="538" spans="1:1" x14ac:dyDescent="0.25">
      <c r="A538" s="27" t="s">
        <v>764</v>
      </c>
    </row>
    <row r="539" spans="1:1" x14ac:dyDescent="0.25">
      <c r="A539" s="27" t="s">
        <v>765</v>
      </c>
    </row>
    <row r="540" spans="1:1" x14ac:dyDescent="0.25">
      <c r="A540" s="27" t="s">
        <v>766</v>
      </c>
    </row>
    <row r="541" spans="1:1" x14ac:dyDescent="0.25">
      <c r="A541" s="27" t="s">
        <v>767</v>
      </c>
    </row>
    <row r="542" spans="1:1" x14ac:dyDescent="0.25">
      <c r="A542" s="27" t="s">
        <v>768</v>
      </c>
    </row>
    <row r="543" spans="1:1" x14ac:dyDescent="0.25">
      <c r="A543" s="27" t="s">
        <v>769</v>
      </c>
    </row>
    <row r="544" spans="1:1" x14ac:dyDescent="0.25">
      <c r="A544" s="27" t="s">
        <v>770</v>
      </c>
    </row>
    <row r="545" spans="1:1" x14ac:dyDescent="0.25">
      <c r="A545" s="27" t="s">
        <v>771</v>
      </c>
    </row>
    <row r="546" spans="1:1" x14ac:dyDescent="0.25">
      <c r="A546" s="27" t="s">
        <v>772</v>
      </c>
    </row>
    <row r="547" spans="1:1" x14ac:dyDescent="0.25">
      <c r="A547" s="27" t="s">
        <v>772</v>
      </c>
    </row>
    <row r="548" spans="1:1" x14ac:dyDescent="0.25">
      <c r="A548" s="27" t="s">
        <v>773</v>
      </c>
    </row>
    <row r="549" spans="1:1" x14ac:dyDescent="0.25">
      <c r="A549" s="27" t="s">
        <v>774</v>
      </c>
    </row>
    <row r="550" spans="1:1" x14ac:dyDescent="0.25">
      <c r="A550" s="27" t="s">
        <v>775</v>
      </c>
    </row>
    <row r="551" spans="1:1" x14ac:dyDescent="0.25">
      <c r="A551" s="27" t="s">
        <v>776</v>
      </c>
    </row>
    <row r="552" spans="1:1" x14ac:dyDescent="0.25">
      <c r="A552" s="27" t="s">
        <v>777</v>
      </c>
    </row>
    <row r="553" spans="1:1" x14ac:dyDescent="0.25">
      <c r="A553" s="27" t="s">
        <v>777</v>
      </c>
    </row>
    <row r="554" spans="1:1" x14ac:dyDescent="0.25">
      <c r="A554" s="27" t="s">
        <v>778</v>
      </c>
    </row>
    <row r="555" spans="1:1" x14ac:dyDescent="0.25">
      <c r="A555" s="27" t="s">
        <v>779</v>
      </c>
    </row>
    <row r="556" spans="1:1" x14ac:dyDescent="0.25">
      <c r="A556" s="27" t="s">
        <v>780</v>
      </c>
    </row>
    <row r="557" spans="1:1" x14ac:dyDescent="0.25">
      <c r="A557" s="27" t="s">
        <v>781</v>
      </c>
    </row>
    <row r="558" spans="1:1" x14ac:dyDescent="0.25">
      <c r="A558" s="27" t="s">
        <v>782</v>
      </c>
    </row>
    <row r="559" spans="1:1" x14ac:dyDescent="0.25">
      <c r="A559" s="27" t="s">
        <v>783</v>
      </c>
    </row>
    <row r="560" spans="1:1" x14ac:dyDescent="0.25">
      <c r="A560" s="27" t="s">
        <v>784</v>
      </c>
    </row>
    <row r="561" spans="1:1" x14ac:dyDescent="0.25">
      <c r="A561" s="27" t="s">
        <v>785</v>
      </c>
    </row>
    <row r="562" spans="1:1" x14ac:dyDescent="0.25">
      <c r="A562" s="27" t="s">
        <v>786</v>
      </c>
    </row>
    <row r="563" spans="1:1" x14ac:dyDescent="0.25">
      <c r="A563" s="27" t="s">
        <v>787</v>
      </c>
    </row>
    <row r="564" spans="1:1" x14ac:dyDescent="0.25">
      <c r="A564" s="27" t="s">
        <v>788</v>
      </c>
    </row>
    <row r="565" spans="1:1" x14ac:dyDescent="0.25">
      <c r="A565" s="27" t="s">
        <v>789</v>
      </c>
    </row>
    <row r="566" spans="1:1" x14ac:dyDescent="0.25">
      <c r="A566" s="27" t="s">
        <v>790</v>
      </c>
    </row>
    <row r="567" spans="1:1" x14ac:dyDescent="0.25">
      <c r="A567" s="27" t="s">
        <v>791</v>
      </c>
    </row>
    <row r="568" spans="1:1" x14ac:dyDescent="0.25">
      <c r="A568" s="27" t="s">
        <v>792</v>
      </c>
    </row>
    <row r="569" spans="1:1" x14ac:dyDescent="0.25">
      <c r="A569" s="27" t="s">
        <v>793</v>
      </c>
    </row>
    <row r="570" spans="1:1" x14ac:dyDescent="0.25">
      <c r="A570" s="27" t="s">
        <v>794</v>
      </c>
    </row>
    <row r="571" spans="1:1" x14ac:dyDescent="0.25">
      <c r="A571" s="27" t="s">
        <v>795</v>
      </c>
    </row>
    <row r="572" spans="1:1" x14ac:dyDescent="0.25">
      <c r="A572" s="27" t="s">
        <v>796</v>
      </c>
    </row>
    <row r="573" spans="1:1" x14ac:dyDescent="0.25">
      <c r="A573" s="27" t="s">
        <v>797</v>
      </c>
    </row>
    <row r="574" spans="1:1" x14ac:dyDescent="0.25">
      <c r="A574" s="27" t="s">
        <v>798</v>
      </c>
    </row>
    <row r="575" spans="1:1" x14ac:dyDescent="0.25">
      <c r="A575" s="27" t="s">
        <v>799</v>
      </c>
    </row>
    <row r="576" spans="1:1" x14ac:dyDescent="0.25">
      <c r="A576" s="27" t="s">
        <v>800</v>
      </c>
    </row>
    <row r="577" spans="1:1" x14ac:dyDescent="0.25">
      <c r="A577" s="27" t="s">
        <v>801</v>
      </c>
    </row>
    <row r="578" spans="1:1" x14ac:dyDescent="0.25">
      <c r="A578" s="27" t="s">
        <v>802</v>
      </c>
    </row>
    <row r="579" spans="1:1" x14ac:dyDescent="0.25">
      <c r="A579" s="27" t="s">
        <v>803</v>
      </c>
    </row>
    <row r="580" spans="1:1" x14ac:dyDescent="0.25">
      <c r="A580" s="27" t="s">
        <v>804</v>
      </c>
    </row>
    <row r="581" spans="1:1" x14ac:dyDescent="0.25">
      <c r="A581" s="27" t="s">
        <v>805</v>
      </c>
    </row>
    <row r="582" spans="1:1" x14ac:dyDescent="0.25">
      <c r="A582" s="27" t="s">
        <v>806</v>
      </c>
    </row>
    <row r="583" spans="1:1" x14ac:dyDescent="0.25">
      <c r="A583" s="27" t="s">
        <v>807</v>
      </c>
    </row>
    <row r="584" spans="1:1" x14ac:dyDescent="0.25">
      <c r="A584" s="27" t="s">
        <v>808</v>
      </c>
    </row>
    <row r="585" spans="1:1" x14ac:dyDescent="0.25">
      <c r="A585" s="27" t="s">
        <v>809</v>
      </c>
    </row>
    <row r="586" spans="1:1" x14ac:dyDescent="0.25">
      <c r="A586" s="27" t="s">
        <v>810</v>
      </c>
    </row>
    <row r="587" spans="1:1" x14ac:dyDescent="0.25">
      <c r="A587" s="27" t="s">
        <v>811</v>
      </c>
    </row>
    <row r="588" spans="1:1" x14ac:dyDescent="0.25">
      <c r="A588" s="27" t="s">
        <v>812</v>
      </c>
    </row>
    <row r="589" spans="1:1" x14ac:dyDescent="0.25">
      <c r="A589" s="27" t="s">
        <v>813</v>
      </c>
    </row>
    <row r="590" spans="1:1" x14ac:dyDescent="0.25">
      <c r="A590" s="27" t="s">
        <v>814</v>
      </c>
    </row>
    <row r="591" spans="1:1" x14ac:dyDescent="0.25">
      <c r="A591" s="27" t="s">
        <v>815</v>
      </c>
    </row>
    <row r="592" spans="1:1" x14ac:dyDescent="0.25">
      <c r="A592" s="27" t="s">
        <v>816</v>
      </c>
    </row>
    <row r="593" spans="1:1" x14ac:dyDescent="0.25">
      <c r="A593" s="27" t="s">
        <v>817</v>
      </c>
    </row>
    <row r="594" spans="1:1" x14ac:dyDescent="0.25">
      <c r="A594" s="27" t="s">
        <v>818</v>
      </c>
    </row>
    <row r="595" spans="1:1" x14ac:dyDescent="0.25">
      <c r="A595" s="27" t="s">
        <v>819</v>
      </c>
    </row>
    <row r="596" spans="1:1" x14ac:dyDescent="0.25">
      <c r="A596" s="27" t="s">
        <v>820</v>
      </c>
    </row>
    <row r="597" spans="1:1" x14ac:dyDescent="0.25">
      <c r="A597" s="27" t="s">
        <v>821</v>
      </c>
    </row>
    <row r="598" spans="1:1" x14ac:dyDescent="0.25">
      <c r="A598" s="27" t="s">
        <v>822</v>
      </c>
    </row>
    <row r="599" spans="1:1" x14ac:dyDescent="0.25">
      <c r="A599" s="27" t="s">
        <v>823</v>
      </c>
    </row>
    <row r="600" spans="1:1" x14ac:dyDescent="0.25">
      <c r="A600" s="27" t="s">
        <v>824</v>
      </c>
    </row>
    <row r="601" spans="1:1" x14ac:dyDescent="0.25">
      <c r="A601" s="27" t="s">
        <v>824</v>
      </c>
    </row>
    <row r="602" spans="1:1" x14ac:dyDescent="0.25">
      <c r="A602" s="27" t="s">
        <v>825</v>
      </c>
    </row>
    <row r="603" spans="1:1" x14ac:dyDescent="0.25">
      <c r="A603" s="27" t="s">
        <v>826</v>
      </c>
    </row>
    <row r="604" spans="1:1" x14ac:dyDescent="0.25">
      <c r="A604" s="27" t="s">
        <v>827</v>
      </c>
    </row>
    <row r="605" spans="1:1" x14ac:dyDescent="0.25">
      <c r="A605" s="27" t="s">
        <v>828</v>
      </c>
    </row>
    <row r="606" spans="1:1" x14ac:dyDescent="0.25">
      <c r="A606" s="27" t="s">
        <v>829</v>
      </c>
    </row>
    <row r="607" spans="1:1" x14ac:dyDescent="0.25">
      <c r="A607" s="27" t="s">
        <v>830</v>
      </c>
    </row>
    <row r="608" spans="1:1" x14ac:dyDescent="0.25">
      <c r="A608" s="27" t="s">
        <v>831</v>
      </c>
    </row>
    <row r="609" spans="1:1" x14ac:dyDescent="0.25">
      <c r="A609" s="27" t="s">
        <v>832</v>
      </c>
    </row>
    <row r="610" spans="1:1" x14ac:dyDescent="0.25">
      <c r="A610" s="27" t="s">
        <v>833</v>
      </c>
    </row>
    <row r="611" spans="1:1" x14ac:dyDescent="0.25">
      <c r="A611" s="27" t="s">
        <v>834</v>
      </c>
    </row>
    <row r="612" spans="1:1" x14ac:dyDescent="0.25">
      <c r="A612" s="27" t="s">
        <v>835</v>
      </c>
    </row>
    <row r="613" spans="1:1" x14ac:dyDescent="0.25">
      <c r="A613" s="27" t="s">
        <v>836</v>
      </c>
    </row>
    <row r="614" spans="1:1" x14ac:dyDescent="0.25">
      <c r="A614" s="27" t="s">
        <v>837</v>
      </c>
    </row>
    <row r="615" spans="1:1" x14ac:dyDescent="0.25">
      <c r="A615" s="27" t="s">
        <v>838</v>
      </c>
    </row>
    <row r="616" spans="1:1" x14ac:dyDescent="0.25">
      <c r="A616" s="27" t="s">
        <v>839</v>
      </c>
    </row>
    <row r="617" spans="1:1" x14ac:dyDescent="0.25">
      <c r="A617" s="27" t="s">
        <v>840</v>
      </c>
    </row>
    <row r="618" spans="1:1" x14ac:dyDescent="0.25">
      <c r="A618" s="27" t="s">
        <v>841</v>
      </c>
    </row>
    <row r="619" spans="1:1" x14ac:dyDescent="0.25">
      <c r="A619" s="27" t="s">
        <v>842</v>
      </c>
    </row>
    <row r="620" spans="1:1" x14ac:dyDescent="0.25">
      <c r="A620" s="27" t="s">
        <v>843</v>
      </c>
    </row>
    <row r="621" spans="1:1" x14ac:dyDescent="0.25">
      <c r="A621" s="27" t="s">
        <v>844</v>
      </c>
    </row>
    <row r="622" spans="1:1" x14ac:dyDescent="0.25">
      <c r="A622" s="27" t="s">
        <v>845</v>
      </c>
    </row>
    <row r="623" spans="1:1" x14ac:dyDescent="0.25">
      <c r="A623" s="27" t="s">
        <v>846</v>
      </c>
    </row>
    <row r="624" spans="1:1" x14ac:dyDescent="0.25">
      <c r="A624" s="27" t="s">
        <v>847</v>
      </c>
    </row>
    <row r="625" spans="1:1" x14ac:dyDescent="0.25">
      <c r="A625" s="27" t="s">
        <v>848</v>
      </c>
    </row>
    <row r="626" spans="1:1" x14ac:dyDescent="0.25">
      <c r="A626" s="27" t="s">
        <v>849</v>
      </c>
    </row>
    <row r="627" spans="1:1" x14ac:dyDescent="0.25">
      <c r="A627" s="27" t="s">
        <v>850</v>
      </c>
    </row>
    <row r="628" spans="1:1" x14ac:dyDescent="0.25">
      <c r="A628" s="27" t="s">
        <v>851</v>
      </c>
    </row>
    <row r="629" spans="1:1" x14ac:dyDescent="0.25">
      <c r="A629" s="27" t="s">
        <v>852</v>
      </c>
    </row>
    <row r="630" spans="1:1" x14ac:dyDescent="0.25">
      <c r="A630" s="27" t="s">
        <v>853</v>
      </c>
    </row>
    <row r="631" spans="1:1" x14ac:dyDescent="0.25">
      <c r="A631" s="27" t="s">
        <v>853</v>
      </c>
    </row>
    <row r="632" spans="1:1" x14ac:dyDescent="0.25">
      <c r="A632" s="27" t="s">
        <v>854</v>
      </c>
    </row>
    <row r="633" spans="1:1" x14ac:dyDescent="0.25">
      <c r="A633" s="27" t="s">
        <v>855</v>
      </c>
    </row>
    <row r="634" spans="1:1" x14ac:dyDescent="0.25">
      <c r="A634" s="27" t="s">
        <v>856</v>
      </c>
    </row>
    <row r="635" spans="1:1" x14ac:dyDescent="0.25">
      <c r="A635" s="27" t="s">
        <v>857</v>
      </c>
    </row>
    <row r="636" spans="1:1" x14ac:dyDescent="0.25">
      <c r="A636" s="27" t="s">
        <v>858</v>
      </c>
    </row>
    <row r="637" spans="1:1" x14ac:dyDescent="0.25">
      <c r="A637" s="27" t="s">
        <v>859</v>
      </c>
    </row>
    <row r="638" spans="1:1" x14ac:dyDescent="0.25">
      <c r="A638" s="27" t="s">
        <v>860</v>
      </c>
    </row>
    <row r="639" spans="1:1" x14ac:dyDescent="0.25">
      <c r="A639" s="27" t="s">
        <v>861</v>
      </c>
    </row>
    <row r="640" spans="1:1" x14ac:dyDescent="0.25">
      <c r="A640" s="27" t="s">
        <v>862</v>
      </c>
    </row>
    <row r="641" spans="1:1" x14ac:dyDescent="0.25">
      <c r="A641" s="27" t="s">
        <v>863</v>
      </c>
    </row>
    <row r="642" spans="1:1" x14ac:dyDescent="0.25">
      <c r="A642" s="27" t="s">
        <v>864</v>
      </c>
    </row>
    <row r="643" spans="1:1" x14ac:dyDescent="0.25">
      <c r="A643" s="27" t="s">
        <v>865</v>
      </c>
    </row>
    <row r="644" spans="1:1" x14ac:dyDescent="0.25">
      <c r="A644" s="27" t="s">
        <v>866</v>
      </c>
    </row>
    <row r="645" spans="1:1" x14ac:dyDescent="0.25">
      <c r="A645" s="27" t="s">
        <v>867</v>
      </c>
    </row>
    <row r="646" spans="1:1" x14ac:dyDescent="0.25">
      <c r="A646" s="27" t="s">
        <v>868</v>
      </c>
    </row>
    <row r="647" spans="1:1" x14ac:dyDescent="0.25">
      <c r="A647" s="27" t="s">
        <v>869</v>
      </c>
    </row>
    <row r="648" spans="1:1" x14ac:dyDescent="0.25">
      <c r="A648" s="27" t="s">
        <v>870</v>
      </c>
    </row>
    <row r="649" spans="1:1" x14ac:dyDescent="0.25">
      <c r="A649" s="27" t="s">
        <v>871</v>
      </c>
    </row>
    <row r="650" spans="1:1" x14ac:dyDescent="0.25">
      <c r="A650" s="27" t="s">
        <v>872</v>
      </c>
    </row>
    <row r="651" spans="1:1" x14ac:dyDescent="0.25">
      <c r="A651" s="27" t="s">
        <v>873</v>
      </c>
    </row>
    <row r="652" spans="1:1" x14ac:dyDescent="0.25">
      <c r="A652" s="27" t="s">
        <v>874</v>
      </c>
    </row>
    <row r="653" spans="1:1" x14ac:dyDescent="0.25">
      <c r="A653" s="27" t="s">
        <v>875</v>
      </c>
    </row>
    <row r="654" spans="1:1" x14ac:dyDescent="0.25">
      <c r="A654" s="27" t="s">
        <v>876</v>
      </c>
    </row>
    <row r="655" spans="1:1" x14ac:dyDescent="0.25">
      <c r="A655" s="27" t="s">
        <v>877</v>
      </c>
    </row>
    <row r="656" spans="1:1" x14ac:dyDescent="0.25">
      <c r="A656" s="27" t="s">
        <v>878</v>
      </c>
    </row>
    <row r="657" spans="1:1" x14ac:dyDescent="0.25">
      <c r="A657" s="27" t="s">
        <v>879</v>
      </c>
    </row>
    <row r="658" spans="1:1" x14ac:dyDescent="0.25">
      <c r="A658" s="99" t="s">
        <v>880</v>
      </c>
    </row>
    <row r="659" spans="1:1" x14ac:dyDescent="0.25">
      <c r="A659" s="99" t="s">
        <v>881</v>
      </c>
    </row>
    <row r="660" spans="1:1" x14ac:dyDescent="0.25">
      <c r="A660" s="99" t="s">
        <v>882</v>
      </c>
    </row>
    <row r="661" spans="1:1" x14ac:dyDescent="0.25">
      <c r="A661" s="99" t="s">
        <v>883</v>
      </c>
    </row>
    <row r="662" spans="1:1" x14ac:dyDescent="0.25">
      <c r="A662" s="27" t="s">
        <v>884</v>
      </c>
    </row>
    <row r="663" spans="1:1" x14ac:dyDescent="0.25">
      <c r="A663" s="99" t="s">
        <v>885</v>
      </c>
    </row>
    <row r="664" spans="1:1" x14ac:dyDescent="0.25">
      <c r="A664" s="137" t="s">
        <v>886</v>
      </c>
    </row>
    <row r="665" spans="1:1" x14ac:dyDescent="0.25">
      <c r="A665" s="99" t="s">
        <v>887</v>
      </c>
    </row>
    <row r="666" spans="1:1" x14ac:dyDescent="0.25">
      <c r="A666" s="137" t="s">
        <v>888</v>
      </c>
    </row>
    <row r="667" spans="1:1" x14ac:dyDescent="0.25">
      <c r="A667" s="137" t="s">
        <v>889</v>
      </c>
    </row>
    <row r="668" spans="1:1" x14ac:dyDescent="0.25">
      <c r="A668" s="99" t="s">
        <v>890</v>
      </c>
    </row>
    <row r="669" spans="1:1" x14ac:dyDescent="0.25">
      <c r="A669" s="99" t="s">
        <v>891</v>
      </c>
    </row>
    <row r="670" spans="1:1" x14ac:dyDescent="0.25">
      <c r="A670" s="27" t="s">
        <v>892</v>
      </c>
    </row>
    <row r="671" spans="1:1" x14ac:dyDescent="0.25">
      <c r="A671" s="99" t="s">
        <v>893</v>
      </c>
    </row>
    <row r="672" spans="1:1" x14ac:dyDescent="0.25">
      <c r="A672" s="137" t="s">
        <v>894</v>
      </c>
    </row>
    <row r="673" spans="1:1" x14ac:dyDescent="0.25">
      <c r="A673" s="99" t="s">
        <v>895</v>
      </c>
    </row>
    <row r="674" spans="1:1" x14ac:dyDescent="0.25">
      <c r="A674" s="137" t="s">
        <v>896</v>
      </c>
    </row>
    <row r="675" spans="1:1" x14ac:dyDescent="0.25">
      <c r="A675" s="137" t="s">
        <v>897</v>
      </c>
    </row>
    <row r="676" spans="1:1" x14ac:dyDescent="0.25">
      <c r="A676" s="137" t="s">
        <v>898</v>
      </c>
    </row>
    <row r="677" spans="1:1" x14ac:dyDescent="0.25">
      <c r="A677" s="137" t="s">
        <v>899</v>
      </c>
    </row>
    <row r="678" spans="1:1" x14ac:dyDescent="0.25">
      <c r="A678" s="137" t="s">
        <v>900</v>
      </c>
    </row>
    <row r="679" spans="1:1" x14ac:dyDescent="0.25">
      <c r="A679" s="99" t="s">
        <v>901</v>
      </c>
    </row>
    <row r="680" spans="1:1" x14ac:dyDescent="0.25">
      <c r="A680" s="99" t="s">
        <v>902</v>
      </c>
    </row>
    <row r="681" spans="1:1" x14ac:dyDescent="0.25">
      <c r="A681" s="137" t="s">
        <v>903</v>
      </c>
    </row>
    <row r="682" spans="1:1" x14ac:dyDescent="0.25">
      <c r="A682" s="137" t="s">
        <v>904</v>
      </c>
    </row>
    <row r="683" spans="1:1" x14ac:dyDescent="0.25">
      <c r="A683" s="137" t="s">
        <v>905</v>
      </c>
    </row>
    <row r="684" spans="1:1" x14ac:dyDescent="0.25">
      <c r="A684" s="137" t="s">
        <v>906</v>
      </c>
    </row>
    <row r="685" spans="1:1" x14ac:dyDescent="0.25">
      <c r="A685" s="99" t="s">
        <v>907</v>
      </c>
    </row>
    <row r="686" spans="1:1" x14ac:dyDescent="0.25">
      <c r="A686" s="99" t="s">
        <v>908</v>
      </c>
    </row>
    <row r="687" spans="1:1" x14ac:dyDescent="0.25">
      <c r="A687" s="137" t="s">
        <v>909</v>
      </c>
    </row>
    <row r="688" spans="1:1" x14ac:dyDescent="0.25">
      <c r="A688" s="137" t="s">
        <v>910</v>
      </c>
    </row>
    <row r="689" spans="1:1" x14ac:dyDescent="0.25">
      <c r="A689" s="137" t="s">
        <v>911</v>
      </c>
    </row>
    <row r="690" spans="1:1" x14ac:dyDescent="0.25">
      <c r="A690" s="137" t="s">
        <v>912</v>
      </c>
    </row>
    <row r="691" spans="1:1" x14ac:dyDescent="0.25">
      <c r="A691" s="99" t="s">
        <v>913</v>
      </c>
    </row>
    <row r="692" spans="1:1" x14ac:dyDescent="0.25">
      <c r="A692" s="99" t="s">
        <v>914</v>
      </c>
    </row>
    <row r="693" spans="1:1" x14ac:dyDescent="0.25">
      <c r="A693" s="137" t="s">
        <v>915</v>
      </c>
    </row>
    <row r="694" spans="1:1" x14ac:dyDescent="0.25">
      <c r="A694" s="137" t="s">
        <v>916</v>
      </c>
    </row>
    <row r="695" spans="1:1" x14ac:dyDescent="0.25">
      <c r="A695" s="137" t="s">
        <v>917</v>
      </c>
    </row>
    <row r="696" spans="1:1" x14ac:dyDescent="0.25">
      <c r="A696" s="137" t="s">
        <v>918</v>
      </c>
    </row>
    <row r="697" spans="1:1" x14ac:dyDescent="0.25">
      <c r="A697" s="99" t="s">
        <v>919</v>
      </c>
    </row>
    <row r="698" spans="1:1" x14ac:dyDescent="0.25">
      <c r="A698" s="99" t="s">
        <v>920</v>
      </c>
    </row>
    <row r="699" spans="1:1" x14ac:dyDescent="0.25">
      <c r="A699" s="137" t="s">
        <v>921</v>
      </c>
    </row>
    <row r="700" spans="1:1" x14ac:dyDescent="0.25">
      <c r="A700" s="137" t="s">
        <v>922</v>
      </c>
    </row>
    <row r="701" spans="1:1" x14ac:dyDescent="0.25">
      <c r="A701" s="137" t="s">
        <v>923</v>
      </c>
    </row>
    <row r="702" spans="1:1" x14ac:dyDescent="0.25">
      <c r="A702" s="137" t="s">
        <v>924</v>
      </c>
    </row>
    <row r="703" spans="1:1" x14ac:dyDescent="0.25">
      <c r="A703" s="99" t="s">
        <v>925</v>
      </c>
    </row>
    <row r="704" spans="1:1" x14ac:dyDescent="0.25">
      <c r="A704" s="99" t="s">
        <v>926</v>
      </c>
    </row>
    <row r="705" spans="1:1" x14ac:dyDescent="0.25">
      <c r="A705" s="137" t="s">
        <v>927</v>
      </c>
    </row>
    <row r="706" spans="1:1" x14ac:dyDescent="0.25">
      <c r="A706" s="137" t="s">
        <v>928</v>
      </c>
    </row>
    <row r="707" spans="1:1" x14ac:dyDescent="0.25">
      <c r="A707" s="137" t="s">
        <v>929</v>
      </c>
    </row>
    <row r="708" spans="1:1" x14ac:dyDescent="0.25">
      <c r="A708" s="137" t="s">
        <v>930</v>
      </c>
    </row>
    <row r="709" spans="1:1" x14ac:dyDescent="0.25">
      <c r="A709" s="99" t="s">
        <v>931</v>
      </c>
    </row>
    <row r="710" spans="1:1" x14ac:dyDescent="0.25">
      <c r="A710" s="99" t="s">
        <v>932</v>
      </c>
    </row>
    <row r="711" spans="1:1" x14ac:dyDescent="0.25">
      <c r="A711" s="137" t="s">
        <v>933</v>
      </c>
    </row>
    <row r="712" spans="1:1" x14ac:dyDescent="0.25">
      <c r="A712" s="137" t="s">
        <v>934</v>
      </c>
    </row>
    <row r="713" spans="1:1" x14ac:dyDescent="0.25">
      <c r="A713" s="137" t="s">
        <v>935</v>
      </c>
    </row>
    <row r="714" spans="1:1" x14ac:dyDescent="0.25">
      <c r="A714" s="137" t="s">
        <v>936</v>
      </c>
    </row>
    <row r="715" spans="1:1" x14ac:dyDescent="0.25">
      <c r="A715" s="99" t="s">
        <v>937</v>
      </c>
    </row>
    <row r="716" spans="1:1" x14ac:dyDescent="0.25">
      <c r="A716" s="99" t="s">
        <v>938</v>
      </c>
    </row>
    <row r="717" spans="1:1" x14ac:dyDescent="0.25">
      <c r="A717" s="137" t="s">
        <v>939</v>
      </c>
    </row>
    <row r="718" spans="1:1" x14ac:dyDescent="0.25">
      <c r="A718" s="137" t="s">
        <v>940</v>
      </c>
    </row>
    <row r="719" spans="1:1" x14ac:dyDescent="0.25">
      <c r="A719" s="137" t="s">
        <v>941</v>
      </c>
    </row>
    <row r="720" spans="1:1" x14ac:dyDescent="0.25">
      <c r="A720" s="137" t="s">
        <v>942</v>
      </c>
    </row>
    <row r="721" spans="1:1" x14ac:dyDescent="0.25">
      <c r="A721" s="99" t="s">
        <v>943</v>
      </c>
    </row>
    <row r="722" spans="1:1" x14ac:dyDescent="0.25">
      <c r="A722" s="99" t="s">
        <v>944</v>
      </c>
    </row>
    <row r="723" spans="1:1" x14ac:dyDescent="0.25">
      <c r="A723" s="137" t="s">
        <v>945</v>
      </c>
    </row>
    <row r="724" spans="1:1" x14ac:dyDescent="0.25">
      <c r="A724" s="137" t="s">
        <v>946</v>
      </c>
    </row>
    <row r="725" spans="1:1" x14ac:dyDescent="0.25">
      <c r="A725" s="137" t="s">
        <v>947</v>
      </c>
    </row>
    <row r="726" spans="1:1" x14ac:dyDescent="0.25">
      <c r="A726" s="137" t="s">
        <v>948</v>
      </c>
    </row>
    <row r="727" spans="1:1" x14ac:dyDescent="0.25">
      <c r="A727" s="99" t="s">
        <v>949</v>
      </c>
    </row>
    <row r="728" spans="1:1" x14ac:dyDescent="0.25">
      <c r="A728" s="99" t="s">
        <v>950</v>
      </c>
    </row>
    <row r="729" spans="1:1" x14ac:dyDescent="0.25">
      <c r="A729" s="137" t="s">
        <v>951</v>
      </c>
    </row>
    <row r="730" spans="1:1" x14ac:dyDescent="0.25">
      <c r="A730" s="99" t="s">
        <v>952</v>
      </c>
    </row>
    <row r="731" spans="1:1" x14ac:dyDescent="0.25">
      <c r="A731" s="99" t="s">
        <v>953</v>
      </c>
    </row>
    <row r="732" spans="1:1" x14ac:dyDescent="0.25">
      <c r="A732" s="99" t="s">
        <v>954</v>
      </c>
    </row>
    <row r="733" spans="1:1" x14ac:dyDescent="0.25">
      <c r="A733" s="99" t="s">
        <v>955</v>
      </c>
    </row>
    <row r="734" spans="1:1" x14ac:dyDescent="0.25">
      <c r="A734" s="99" t="s">
        <v>956</v>
      </c>
    </row>
    <row r="735" spans="1:1" x14ac:dyDescent="0.25">
      <c r="A735" s="99" t="s">
        <v>957</v>
      </c>
    </row>
    <row r="736" spans="1:1" x14ac:dyDescent="0.25">
      <c r="A736" s="27" t="s">
        <v>958</v>
      </c>
    </row>
    <row r="737" spans="1:1" x14ac:dyDescent="0.25">
      <c r="A737" s="137" t="s">
        <v>959</v>
      </c>
    </row>
    <row r="738" spans="1:1" x14ac:dyDescent="0.25">
      <c r="A738" s="99" t="s">
        <v>960</v>
      </c>
    </row>
    <row r="739" spans="1:1" x14ac:dyDescent="0.25">
      <c r="A739" s="137" t="s">
        <v>961</v>
      </c>
    </row>
    <row r="740" spans="1:1" x14ac:dyDescent="0.25">
      <c r="A740" s="137" t="s">
        <v>962</v>
      </c>
    </row>
    <row r="741" spans="1:1" x14ac:dyDescent="0.25">
      <c r="A741" s="27" t="s">
        <v>963</v>
      </c>
    </row>
    <row r="742" spans="1:1" x14ac:dyDescent="0.25">
      <c r="A742" s="27" t="s">
        <v>964</v>
      </c>
    </row>
    <row r="743" spans="1:1" x14ac:dyDescent="0.25">
      <c r="A743" s="27" t="s">
        <v>965</v>
      </c>
    </row>
    <row r="744" spans="1:1" x14ac:dyDescent="0.25">
      <c r="A744" s="137" t="s">
        <v>966</v>
      </c>
    </row>
    <row r="745" spans="1:1" x14ac:dyDescent="0.25">
      <c r="A745" s="99" t="s">
        <v>967</v>
      </c>
    </row>
    <row r="746" spans="1:1" x14ac:dyDescent="0.25">
      <c r="A746" s="137" t="s">
        <v>968</v>
      </c>
    </row>
    <row r="747" spans="1:1" x14ac:dyDescent="0.25">
      <c r="A747" s="137" t="s">
        <v>969</v>
      </c>
    </row>
    <row r="748" spans="1:1" x14ac:dyDescent="0.25">
      <c r="A748" s="27" t="s">
        <v>970</v>
      </c>
    </row>
    <row r="749" spans="1:1" x14ac:dyDescent="0.25">
      <c r="A749" s="27" t="s">
        <v>971</v>
      </c>
    </row>
    <row r="750" spans="1:1" x14ac:dyDescent="0.25">
      <c r="A750" s="27" t="s">
        <v>972</v>
      </c>
    </row>
    <row r="751" spans="1:1" x14ac:dyDescent="0.25">
      <c r="A751" s="99" t="s">
        <v>973</v>
      </c>
    </row>
    <row r="752" spans="1:1" x14ac:dyDescent="0.25">
      <c r="A752" s="137" t="s">
        <v>974</v>
      </c>
    </row>
    <row r="753" spans="1:1" x14ac:dyDescent="0.25">
      <c r="A753" s="99" t="s">
        <v>975</v>
      </c>
    </row>
    <row r="754" spans="1:1" x14ac:dyDescent="0.25">
      <c r="A754" s="137" t="s">
        <v>976</v>
      </c>
    </row>
    <row r="755" spans="1:1" x14ac:dyDescent="0.25">
      <c r="A755" s="137" t="s">
        <v>977</v>
      </c>
    </row>
    <row r="756" spans="1:1" x14ac:dyDescent="0.25">
      <c r="A756" s="99" t="s">
        <v>978</v>
      </c>
    </row>
    <row r="757" spans="1:1" x14ac:dyDescent="0.25">
      <c r="A757" s="99" t="s">
        <v>979</v>
      </c>
    </row>
    <row r="758" spans="1:1" x14ac:dyDescent="0.25">
      <c r="A758" s="27" t="s">
        <v>980</v>
      </c>
    </row>
    <row r="759" spans="1:1" x14ac:dyDescent="0.25">
      <c r="A759" s="99" t="s">
        <v>981</v>
      </c>
    </row>
    <row r="760" spans="1:1" x14ac:dyDescent="0.25">
      <c r="A760" s="137" t="s">
        <v>982</v>
      </c>
    </row>
    <row r="761" spans="1:1" x14ac:dyDescent="0.25">
      <c r="A761" s="99" t="s">
        <v>983</v>
      </c>
    </row>
    <row r="762" spans="1:1" x14ac:dyDescent="0.25">
      <c r="A762" s="137" t="s">
        <v>984</v>
      </c>
    </row>
    <row r="763" spans="1:1" x14ac:dyDescent="0.25">
      <c r="A763" s="137" t="s">
        <v>985</v>
      </c>
    </row>
    <row r="764" spans="1:1" x14ac:dyDescent="0.25">
      <c r="A764" s="137" t="s">
        <v>986</v>
      </c>
    </row>
    <row r="765" spans="1:1" x14ac:dyDescent="0.25">
      <c r="A765" s="137" t="s">
        <v>987</v>
      </c>
    </row>
    <row r="766" spans="1:1" x14ac:dyDescent="0.25">
      <c r="A766" s="137" t="s">
        <v>988</v>
      </c>
    </row>
    <row r="767" spans="1:1" x14ac:dyDescent="0.25">
      <c r="A767" s="99" t="s">
        <v>989</v>
      </c>
    </row>
    <row r="768" spans="1:1" x14ac:dyDescent="0.25">
      <c r="A768" s="99" t="s">
        <v>990</v>
      </c>
    </row>
    <row r="769" spans="1:1" x14ac:dyDescent="0.25">
      <c r="A769" s="137" t="s">
        <v>991</v>
      </c>
    </row>
    <row r="770" spans="1:1" x14ac:dyDescent="0.25">
      <c r="A770" s="137" t="s">
        <v>992</v>
      </c>
    </row>
    <row r="771" spans="1:1" x14ac:dyDescent="0.25">
      <c r="A771" s="137" t="s">
        <v>993</v>
      </c>
    </row>
    <row r="772" spans="1:1" x14ac:dyDescent="0.25">
      <c r="A772" s="137" t="s">
        <v>994</v>
      </c>
    </row>
    <row r="773" spans="1:1" x14ac:dyDescent="0.25">
      <c r="A773" s="99" t="s">
        <v>995</v>
      </c>
    </row>
    <row r="774" spans="1:1" x14ac:dyDescent="0.25">
      <c r="A774" s="99" t="s">
        <v>996</v>
      </c>
    </row>
    <row r="775" spans="1:1" x14ac:dyDescent="0.25">
      <c r="A775" s="137" t="s">
        <v>997</v>
      </c>
    </row>
    <row r="776" spans="1:1" x14ac:dyDescent="0.25">
      <c r="A776" s="137" t="s">
        <v>998</v>
      </c>
    </row>
    <row r="777" spans="1:1" x14ac:dyDescent="0.25">
      <c r="A777" s="137" t="s">
        <v>999</v>
      </c>
    </row>
    <row r="778" spans="1:1" x14ac:dyDescent="0.25">
      <c r="A778" s="137" t="s">
        <v>1000</v>
      </c>
    </row>
    <row r="779" spans="1:1" x14ac:dyDescent="0.25">
      <c r="A779" s="99" t="s">
        <v>1001</v>
      </c>
    </row>
    <row r="780" spans="1:1" x14ac:dyDescent="0.25">
      <c r="A780" s="99" t="s">
        <v>1002</v>
      </c>
    </row>
    <row r="781" spans="1:1" x14ac:dyDescent="0.25">
      <c r="A781" s="137" t="s">
        <v>1003</v>
      </c>
    </row>
    <row r="782" spans="1:1" x14ac:dyDescent="0.25">
      <c r="A782" s="137" t="s">
        <v>1004</v>
      </c>
    </row>
    <row r="783" spans="1:1" x14ac:dyDescent="0.25">
      <c r="A783" s="137" t="s">
        <v>1005</v>
      </c>
    </row>
    <row r="784" spans="1:1" x14ac:dyDescent="0.25">
      <c r="A784" s="137" t="s">
        <v>1006</v>
      </c>
    </row>
    <row r="785" spans="1:1" x14ac:dyDescent="0.25">
      <c r="A785" s="99" t="s">
        <v>1007</v>
      </c>
    </row>
    <row r="786" spans="1:1" x14ac:dyDescent="0.25">
      <c r="A786" s="99" t="s">
        <v>1008</v>
      </c>
    </row>
    <row r="787" spans="1:1" x14ac:dyDescent="0.25">
      <c r="A787" s="137" t="s">
        <v>1009</v>
      </c>
    </row>
    <row r="788" spans="1:1" x14ac:dyDescent="0.25">
      <c r="A788" s="137" t="s">
        <v>1010</v>
      </c>
    </row>
    <row r="789" spans="1:1" x14ac:dyDescent="0.25">
      <c r="A789" s="137" t="s">
        <v>1011</v>
      </c>
    </row>
    <row r="790" spans="1:1" x14ac:dyDescent="0.25">
      <c r="A790" s="137" t="s">
        <v>1012</v>
      </c>
    </row>
    <row r="791" spans="1:1" x14ac:dyDescent="0.25">
      <c r="A791" s="99" t="s">
        <v>1013</v>
      </c>
    </row>
    <row r="792" spans="1:1" x14ac:dyDescent="0.25">
      <c r="A792" s="99" t="s">
        <v>1014</v>
      </c>
    </row>
    <row r="793" spans="1:1" x14ac:dyDescent="0.25">
      <c r="A793" s="137" t="s">
        <v>1015</v>
      </c>
    </row>
    <row r="794" spans="1:1" x14ac:dyDescent="0.25">
      <c r="A794" s="137" t="s">
        <v>1016</v>
      </c>
    </row>
    <row r="795" spans="1:1" x14ac:dyDescent="0.25">
      <c r="A795" s="137" t="s">
        <v>1017</v>
      </c>
    </row>
    <row r="796" spans="1:1" x14ac:dyDescent="0.25">
      <c r="A796" s="137" t="s">
        <v>1018</v>
      </c>
    </row>
    <row r="797" spans="1:1" x14ac:dyDescent="0.25">
      <c r="A797" s="99" t="s">
        <v>1019</v>
      </c>
    </row>
    <row r="798" spans="1:1" x14ac:dyDescent="0.25">
      <c r="A798" s="99" t="s">
        <v>1020</v>
      </c>
    </row>
    <row r="799" spans="1:1" x14ac:dyDescent="0.25">
      <c r="A799" s="137" t="s">
        <v>1021</v>
      </c>
    </row>
    <row r="800" spans="1:1" x14ac:dyDescent="0.25">
      <c r="A800" s="137" t="s">
        <v>1022</v>
      </c>
    </row>
    <row r="801" spans="1:1" x14ac:dyDescent="0.25">
      <c r="A801" s="137" t="s">
        <v>1023</v>
      </c>
    </row>
    <row r="802" spans="1:1" x14ac:dyDescent="0.25">
      <c r="A802" s="137" t="s">
        <v>1024</v>
      </c>
    </row>
    <row r="803" spans="1:1" x14ac:dyDescent="0.25">
      <c r="A803" s="99" t="s">
        <v>1025</v>
      </c>
    </row>
    <row r="804" spans="1:1" x14ac:dyDescent="0.25">
      <c r="A804" s="99" t="s">
        <v>1026</v>
      </c>
    </row>
    <row r="805" spans="1:1" x14ac:dyDescent="0.25">
      <c r="A805" s="137" t="s">
        <v>1027</v>
      </c>
    </row>
    <row r="806" spans="1:1" x14ac:dyDescent="0.25">
      <c r="A806" s="137" t="s">
        <v>1028</v>
      </c>
    </row>
    <row r="807" spans="1:1" x14ac:dyDescent="0.25">
      <c r="A807" s="137" t="s">
        <v>1029</v>
      </c>
    </row>
    <row r="808" spans="1:1" x14ac:dyDescent="0.25">
      <c r="A808" s="137" t="s">
        <v>1030</v>
      </c>
    </row>
    <row r="809" spans="1:1" x14ac:dyDescent="0.25">
      <c r="A809" s="99" t="s">
        <v>1031</v>
      </c>
    </row>
    <row r="810" spans="1:1" x14ac:dyDescent="0.25">
      <c r="A810" s="99" t="s">
        <v>1032</v>
      </c>
    </row>
    <row r="811" spans="1:1" x14ac:dyDescent="0.25">
      <c r="A811" s="137" t="s">
        <v>1033</v>
      </c>
    </row>
    <row r="812" spans="1:1" x14ac:dyDescent="0.25">
      <c r="A812" s="137" t="s">
        <v>1034</v>
      </c>
    </row>
    <row r="813" spans="1:1" x14ac:dyDescent="0.25">
      <c r="A813" s="137" t="s">
        <v>1035</v>
      </c>
    </row>
    <row r="814" spans="1:1" x14ac:dyDescent="0.25">
      <c r="A814" s="137" t="s">
        <v>1036</v>
      </c>
    </row>
    <row r="815" spans="1:1" x14ac:dyDescent="0.25">
      <c r="A815" s="99" t="s">
        <v>1037</v>
      </c>
    </row>
    <row r="816" spans="1:1" x14ac:dyDescent="0.25">
      <c r="A816" s="99" t="s">
        <v>1038</v>
      </c>
    </row>
    <row r="817" spans="1:1" x14ac:dyDescent="0.25">
      <c r="A817" s="137" t="s">
        <v>1039</v>
      </c>
    </row>
    <row r="818" spans="1:1" x14ac:dyDescent="0.25">
      <c r="A818" s="99" t="s">
        <v>1040</v>
      </c>
    </row>
    <row r="819" spans="1:1" x14ac:dyDescent="0.25">
      <c r="A819" s="99" t="s">
        <v>1041</v>
      </c>
    </row>
    <row r="820" spans="1:1" x14ac:dyDescent="0.25">
      <c r="A820" s="99" t="s">
        <v>1042</v>
      </c>
    </row>
    <row r="821" spans="1:1" x14ac:dyDescent="0.25">
      <c r="A821" s="99" t="s">
        <v>1043</v>
      </c>
    </row>
    <row r="822" spans="1:1" x14ac:dyDescent="0.25">
      <c r="A822" s="99" t="s">
        <v>1044</v>
      </c>
    </row>
    <row r="823" spans="1:1" x14ac:dyDescent="0.25">
      <c r="A823" s="99" t="s">
        <v>1045</v>
      </c>
    </row>
    <row r="824" spans="1:1" x14ac:dyDescent="0.25">
      <c r="A824" s="99" t="s">
        <v>1046</v>
      </c>
    </row>
    <row r="825" spans="1:1" x14ac:dyDescent="0.25">
      <c r="A825" s="27" t="s">
        <v>1047</v>
      </c>
    </row>
    <row r="826" spans="1:1" x14ac:dyDescent="0.25">
      <c r="A826" s="137" t="s">
        <v>1048</v>
      </c>
    </row>
    <row r="827" spans="1:1" x14ac:dyDescent="0.25">
      <c r="A827" s="99" t="s">
        <v>1049</v>
      </c>
    </row>
    <row r="828" spans="1:1" x14ac:dyDescent="0.25">
      <c r="A828" s="137" t="s">
        <v>1050</v>
      </c>
    </row>
    <row r="829" spans="1:1" x14ac:dyDescent="0.25">
      <c r="A829" s="137" t="s">
        <v>1051</v>
      </c>
    </row>
    <row r="830" spans="1:1" x14ac:dyDescent="0.25">
      <c r="A830" s="27" t="s">
        <v>1052</v>
      </c>
    </row>
    <row r="831" spans="1:1" x14ac:dyDescent="0.25">
      <c r="A831" s="27" t="s">
        <v>1053</v>
      </c>
    </row>
    <row r="832" spans="1:1" x14ac:dyDescent="0.25">
      <c r="A832" s="27" t="s">
        <v>1054</v>
      </c>
    </row>
    <row r="833" spans="1:1" x14ac:dyDescent="0.25">
      <c r="A833" s="137" t="s">
        <v>1055</v>
      </c>
    </row>
    <row r="834" spans="1:1" x14ac:dyDescent="0.25">
      <c r="A834" s="99" t="s">
        <v>1056</v>
      </c>
    </row>
    <row r="835" spans="1:1" x14ac:dyDescent="0.25">
      <c r="A835" s="137" t="s">
        <v>1057</v>
      </c>
    </row>
    <row r="836" spans="1:1" x14ac:dyDescent="0.25">
      <c r="A836" s="137" t="s">
        <v>1058</v>
      </c>
    </row>
    <row r="837" spans="1:1" x14ac:dyDescent="0.25">
      <c r="A837" s="27" t="s">
        <v>1059</v>
      </c>
    </row>
    <row r="838" spans="1:1" x14ac:dyDescent="0.25">
      <c r="A838" s="27" t="s">
        <v>1060</v>
      </c>
    </row>
    <row r="839" spans="1:1" x14ac:dyDescent="0.25">
      <c r="A839" s="27" t="s">
        <v>1061</v>
      </c>
    </row>
    <row r="840" spans="1:1" x14ac:dyDescent="0.25">
      <c r="A840" s="99" t="s">
        <v>1062</v>
      </c>
    </row>
    <row r="841" spans="1:1" x14ac:dyDescent="0.25">
      <c r="A841" s="137" t="s">
        <v>1063</v>
      </c>
    </row>
    <row r="842" spans="1:1" x14ac:dyDescent="0.25">
      <c r="A842" s="99" t="s">
        <v>1064</v>
      </c>
    </row>
    <row r="843" spans="1:1" x14ac:dyDescent="0.25">
      <c r="A843" s="137" t="s">
        <v>1065</v>
      </c>
    </row>
    <row r="844" spans="1:1" x14ac:dyDescent="0.25">
      <c r="A844" s="137" t="s">
        <v>1066</v>
      </c>
    </row>
    <row r="889" spans="1:1" x14ac:dyDescent="0.25">
      <c r="A889" s="99" t="s">
        <v>1067</v>
      </c>
    </row>
    <row r="890" spans="1:1" x14ac:dyDescent="0.25">
      <c r="A890" s="99" t="s">
        <v>1068</v>
      </c>
    </row>
    <row r="891" spans="1:1" x14ac:dyDescent="0.25">
      <c r="A891" s="27" t="s">
        <v>1069</v>
      </c>
    </row>
    <row r="892" spans="1:1" x14ac:dyDescent="0.25">
      <c r="A892" s="99" t="s">
        <v>1070</v>
      </c>
    </row>
    <row r="893" spans="1:1" x14ac:dyDescent="0.25">
      <c r="A893" s="137" t="s">
        <v>1071</v>
      </c>
    </row>
    <row r="894" spans="1:1" x14ac:dyDescent="0.25">
      <c r="A894" s="99" t="s">
        <v>1072</v>
      </c>
    </row>
    <row r="895" spans="1:1" x14ac:dyDescent="0.25">
      <c r="A895" s="137" t="s">
        <v>1073</v>
      </c>
    </row>
    <row r="896" spans="1:1" x14ac:dyDescent="0.25">
      <c r="A896" s="137" t="s">
        <v>1074</v>
      </c>
    </row>
    <row r="897" spans="1:1" x14ac:dyDescent="0.25">
      <c r="A897" s="99" t="s">
        <v>1075</v>
      </c>
    </row>
    <row r="898" spans="1:1" x14ac:dyDescent="0.25">
      <c r="A898" s="99" t="s">
        <v>1076</v>
      </c>
    </row>
    <row r="899" spans="1:1" x14ac:dyDescent="0.25">
      <c r="A899" s="99" t="s">
        <v>1077</v>
      </c>
    </row>
    <row r="900" spans="1:1" x14ac:dyDescent="0.25">
      <c r="A900" s="99" t="s">
        <v>1078</v>
      </c>
    </row>
    <row r="901" spans="1:1" x14ac:dyDescent="0.25">
      <c r="A901" s="99" t="s">
        <v>1079</v>
      </c>
    </row>
    <row r="902" spans="1:1" x14ac:dyDescent="0.25">
      <c r="A902" s="27" t="s">
        <v>1080</v>
      </c>
    </row>
    <row r="903" spans="1:1" x14ac:dyDescent="0.25">
      <c r="A903" s="137" t="s">
        <v>1081</v>
      </c>
    </row>
    <row r="904" spans="1:1" x14ac:dyDescent="0.25">
      <c r="A904" s="99" t="s">
        <v>1082</v>
      </c>
    </row>
    <row r="905" spans="1:1" x14ac:dyDescent="0.25">
      <c r="A905" s="137" t="s">
        <v>1083</v>
      </c>
    </row>
    <row r="906" spans="1:1" x14ac:dyDescent="0.25">
      <c r="A906" s="137" t="s">
        <v>1084</v>
      </c>
    </row>
    <row r="907" spans="1:1" x14ac:dyDescent="0.25">
      <c r="A907" s="27" t="s">
        <v>1085</v>
      </c>
    </row>
    <row r="908" spans="1:1" x14ac:dyDescent="0.25">
      <c r="A908" s="27" t="s">
        <v>1086</v>
      </c>
    </row>
    <row r="909" spans="1:1" x14ac:dyDescent="0.25">
      <c r="A909" s="27" t="s">
        <v>1087</v>
      </c>
    </row>
    <row r="910" spans="1:1" x14ac:dyDescent="0.25">
      <c r="A910" s="137" t="s">
        <v>1088</v>
      </c>
    </row>
    <row r="911" spans="1:1" x14ac:dyDescent="0.25">
      <c r="A911" s="99" t="s">
        <v>1089</v>
      </c>
    </row>
    <row r="912" spans="1:1" x14ac:dyDescent="0.25">
      <c r="A912" s="137" t="s">
        <v>1090</v>
      </c>
    </row>
    <row r="913" spans="1:1" x14ac:dyDescent="0.25">
      <c r="A913" s="137" t="s">
        <v>1091</v>
      </c>
    </row>
    <row r="914" spans="1:1" x14ac:dyDescent="0.25">
      <c r="A914" s="27" t="s">
        <v>1092</v>
      </c>
    </row>
    <row r="915" spans="1:1" x14ac:dyDescent="0.25">
      <c r="A915" s="27" t="s">
        <v>1093</v>
      </c>
    </row>
    <row r="916" spans="1:1" x14ac:dyDescent="0.25">
      <c r="A916" s="27" t="s">
        <v>1094</v>
      </c>
    </row>
    <row r="917" spans="1:1" x14ac:dyDescent="0.25">
      <c r="A917" s="99" t="s">
        <v>1095</v>
      </c>
    </row>
    <row r="918" spans="1:1" x14ac:dyDescent="0.25">
      <c r="A918" s="137" t="s">
        <v>1096</v>
      </c>
    </row>
    <row r="919" spans="1:1" x14ac:dyDescent="0.25">
      <c r="A919" s="99" t="s">
        <v>1097</v>
      </c>
    </row>
    <row r="920" spans="1:1" x14ac:dyDescent="0.25">
      <c r="A920" s="137" t="s">
        <v>1098</v>
      </c>
    </row>
    <row r="921" spans="1:1" x14ac:dyDescent="0.25">
      <c r="A921" s="137" t="s">
        <v>1099</v>
      </c>
    </row>
    <row r="922" spans="1:1" x14ac:dyDescent="0.25">
      <c r="A922" s="99" t="s">
        <v>1100</v>
      </c>
    </row>
    <row r="923" spans="1:1" x14ac:dyDescent="0.25">
      <c r="A923" s="99" t="s">
        <v>1101</v>
      </c>
    </row>
    <row r="924" spans="1:1" x14ac:dyDescent="0.25">
      <c r="A924" s="27" t="s">
        <v>1102</v>
      </c>
    </row>
    <row r="925" spans="1:1" x14ac:dyDescent="0.25">
      <c r="A925" s="99" t="s">
        <v>1103</v>
      </c>
    </row>
    <row r="926" spans="1:1" x14ac:dyDescent="0.25">
      <c r="A926" s="137" t="s">
        <v>1104</v>
      </c>
    </row>
    <row r="927" spans="1:1" x14ac:dyDescent="0.25">
      <c r="A927" s="99" t="s">
        <v>1105</v>
      </c>
    </row>
    <row r="928" spans="1:1" x14ac:dyDescent="0.25">
      <c r="A928" s="137" t="s">
        <v>1106</v>
      </c>
    </row>
    <row r="929" spans="1:1" x14ac:dyDescent="0.25">
      <c r="A929" s="137" t="s">
        <v>1107</v>
      </c>
    </row>
    <row r="930" spans="1:1" x14ac:dyDescent="0.25">
      <c r="A930" s="137" t="s">
        <v>1108</v>
      </c>
    </row>
    <row r="931" spans="1:1" x14ac:dyDescent="0.25">
      <c r="A931" s="137" t="s">
        <v>1109</v>
      </c>
    </row>
    <row r="932" spans="1:1" x14ac:dyDescent="0.25">
      <c r="A932" s="137" t="s">
        <v>1110</v>
      </c>
    </row>
    <row r="933" spans="1:1" x14ac:dyDescent="0.25">
      <c r="A933" s="99" t="s">
        <v>1111</v>
      </c>
    </row>
    <row r="934" spans="1:1" x14ac:dyDescent="0.25">
      <c r="A934" s="99" t="s">
        <v>1112</v>
      </c>
    </row>
    <row r="935" spans="1:1" x14ac:dyDescent="0.25">
      <c r="A935" s="137" t="s">
        <v>1113</v>
      </c>
    </row>
    <row r="936" spans="1:1" x14ac:dyDescent="0.25">
      <c r="A936" s="137" t="s">
        <v>1114</v>
      </c>
    </row>
    <row r="937" spans="1:1" x14ac:dyDescent="0.25">
      <c r="A937" s="137" t="s">
        <v>1115</v>
      </c>
    </row>
    <row r="938" spans="1:1" x14ac:dyDescent="0.25">
      <c r="A938" s="137" t="s">
        <v>1116</v>
      </c>
    </row>
    <row r="939" spans="1:1" x14ac:dyDescent="0.25">
      <c r="A939" s="99" t="s">
        <v>1117</v>
      </c>
    </row>
    <row r="940" spans="1:1" x14ac:dyDescent="0.25">
      <c r="A940" s="99" t="s">
        <v>1118</v>
      </c>
    </row>
    <row r="941" spans="1:1" x14ac:dyDescent="0.25">
      <c r="A941" s="137" t="s">
        <v>1119</v>
      </c>
    </row>
    <row r="942" spans="1:1" x14ac:dyDescent="0.25">
      <c r="A942" s="137" t="s">
        <v>1120</v>
      </c>
    </row>
    <row r="943" spans="1:1" x14ac:dyDescent="0.25">
      <c r="A943" s="137" t="s">
        <v>1121</v>
      </c>
    </row>
    <row r="944" spans="1:1" x14ac:dyDescent="0.25">
      <c r="A944" s="137" t="s">
        <v>1122</v>
      </c>
    </row>
    <row r="945" spans="1:1" x14ac:dyDescent="0.25">
      <c r="A945" s="99" t="s">
        <v>1123</v>
      </c>
    </row>
    <row r="946" spans="1:1" x14ac:dyDescent="0.25">
      <c r="A946" s="99" t="s">
        <v>1124</v>
      </c>
    </row>
    <row r="947" spans="1:1" x14ac:dyDescent="0.25">
      <c r="A947" s="137" t="s">
        <v>1125</v>
      </c>
    </row>
    <row r="948" spans="1:1" x14ac:dyDescent="0.25">
      <c r="A948" s="137" t="s">
        <v>1126</v>
      </c>
    </row>
    <row r="949" spans="1:1" x14ac:dyDescent="0.25">
      <c r="A949" s="137" t="s">
        <v>1127</v>
      </c>
    </row>
    <row r="950" spans="1:1" x14ac:dyDescent="0.25">
      <c r="A950" s="137" t="s">
        <v>1128</v>
      </c>
    </row>
    <row r="951" spans="1:1" x14ac:dyDescent="0.25">
      <c r="A951" s="99" t="s">
        <v>1129</v>
      </c>
    </row>
    <row r="952" spans="1:1" x14ac:dyDescent="0.25">
      <c r="A952" s="99" t="s">
        <v>1130</v>
      </c>
    </row>
    <row r="953" spans="1:1" x14ac:dyDescent="0.25">
      <c r="A953" s="137" t="s">
        <v>1131</v>
      </c>
    </row>
    <row r="954" spans="1:1" x14ac:dyDescent="0.25">
      <c r="A954" s="137" t="s">
        <v>1132</v>
      </c>
    </row>
    <row r="955" spans="1:1" x14ac:dyDescent="0.25">
      <c r="A955" s="137" t="s">
        <v>1133</v>
      </c>
    </row>
    <row r="956" spans="1:1" x14ac:dyDescent="0.25">
      <c r="A956" s="137" t="s">
        <v>1134</v>
      </c>
    </row>
    <row r="957" spans="1:1" x14ac:dyDescent="0.25">
      <c r="A957" s="99" t="s">
        <v>1135</v>
      </c>
    </row>
    <row r="958" spans="1:1" x14ac:dyDescent="0.25">
      <c r="A958" s="99" t="s">
        <v>1136</v>
      </c>
    </row>
    <row r="959" spans="1:1" x14ac:dyDescent="0.25">
      <c r="A959" s="137" t="s">
        <v>1137</v>
      </c>
    </row>
    <row r="960" spans="1:1" x14ac:dyDescent="0.25">
      <c r="A960" s="137" t="s">
        <v>1138</v>
      </c>
    </row>
    <row r="961" spans="1:1" x14ac:dyDescent="0.25">
      <c r="A961" s="137" t="s">
        <v>1139</v>
      </c>
    </row>
    <row r="962" spans="1:1" x14ac:dyDescent="0.25">
      <c r="A962" s="137" t="s">
        <v>1140</v>
      </c>
    </row>
    <row r="963" spans="1:1" x14ac:dyDescent="0.25">
      <c r="A963" s="99" t="s">
        <v>1141</v>
      </c>
    </row>
    <row r="964" spans="1:1" x14ac:dyDescent="0.25">
      <c r="A964" s="99" t="s">
        <v>1142</v>
      </c>
    </row>
    <row r="965" spans="1:1" x14ac:dyDescent="0.25">
      <c r="A965" s="137" t="s">
        <v>1143</v>
      </c>
    </row>
    <row r="966" spans="1:1" x14ac:dyDescent="0.25">
      <c r="A966" s="137" t="s">
        <v>1144</v>
      </c>
    </row>
    <row r="967" spans="1:1" x14ac:dyDescent="0.25">
      <c r="A967" s="137" t="s">
        <v>1145</v>
      </c>
    </row>
    <row r="968" spans="1:1" x14ac:dyDescent="0.25">
      <c r="A968" s="137" t="s">
        <v>1146</v>
      </c>
    </row>
    <row r="969" spans="1:1" x14ac:dyDescent="0.25">
      <c r="A969" s="99" t="s">
        <v>1147</v>
      </c>
    </row>
    <row r="970" spans="1:1" x14ac:dyDescent="0.25">
      <c r="A970" s="99" t="s">
        <v>1148</v>
      </c>
    </row>
    <row r="971" spans="1:1" x14ac:dyDescent="0.25">
      <c r="A971" s="137" t="s">
        <v>1149</v>
      </c>
    </row>
    <row r="972" spans="1:1" x14ac:dyDescent="0.25">
      <c r="A972" s="137" t="s">
        <v>1150</v>
      </c>
    </row>
    <row r="973" spans="1:1" x14ac:dyDescent="0.25">
      <c r="A973" s="137" t="s">
        <v>1151</v>
      </c>
    </row>
    <row r="974" spans="1:1" x14ac:dyDescent="0.25">
      <c r="A974" s="137" t="s">
        <v>1152</v>
      </c>
    </row>
    <row r="975" spans="1:1" x14ac:dyDescent="0.25">
      <c r="A975" s="99" t="s">
        <v>1153</v>
      </c>
    </row>
    <row r="976" spans="1:1" x14ac:dyDescent="0.25">
      <c r="A976" s="99" t="s">
        <v>1154</v>
      </c>
    </row>
    <row r="977" spans="1:1" x14ac:dyDescent="0.25">
      <c r="A977" s="137" t="s">
        <v>1155</v>
      </c>
    </row>
    <row r="978" spans="1:1" x14ac:dyDescent="0.25">
      <c r="A978" s="137" t="s">
        <v>1156</v>
      </c>
    </row>
    <row r="979" spans="1:1" x14ac:dyDescent="0.25">
      <c r="A979" s="137" t="s">
        <v>1157</v>
      </c>
    </row>
    <row r="980" spans="1:1" x14ac:dyDescent="0.25">
      <c r="A980" s="137" t="s">
        <v>1158</v>
      </c>
    </row>
    <row r="981" spans="1:1" x14ac:dyDescent="0.25">
      <c r="A981" s="99" t="s">
        <v>1159</v>
      </c>
    </row>
    <row r="982" spans="1:1" x14ac:dyDescent="0.25">
      <c r="A982" s="99" t="s">
        <v>1160</v>
      </c>
    </row>
    <row r="983" spans="1:1" x14ac:dyDescent="0.25">
      <c r="A983" s="137" t="s">
        <v>1161</v>
      </c>
    </row>
    <row r="984" spans="1:1" x14ac:dyDescent="0.25">
      <c r="A984" s="99" t="s">
        <v>1162</v>
      </c>
    </row>
    <row r="985" spans="1:1" x14ac:dyDescent="0.25">
      <c r="A985" s="99" t="s">
        <v>1163</v>
      </c>
    </row>
    <row r="986" spans="1:1" x14ac:dyDescent="0.25">
      <c r="A986" s="99" t="s">
        <v>1164</v>
      </c>
    </row>
    <row r="987" spans="1:1" x14ac:dyDescent="0.25">
      <c r="A987" s="27" t="s">
        <v>1165</v>
      </c>
    </row>
    <row r="988" spans="1:1" x14ac:dyDescent="0.25">
      <c r="A988" s="137" t="s">
        <v>1166</v>
      </c>
    </row>
    <row r="989" spans="1:1" x14ac:dyDescent="0.25">
      <c r="A989" s="99" t="s">
        <v>1167</v>
      </c>
    </row>
    <row r="990" spans="1:1" x14ac:dyDescent="0.25">
      <c r="A990" s="137" t="s">
        <v>1168</v>
      </c>
    </row>
    <row r="991" spans="1:1" x14ac:dyDescent="0.25">
      <c r="A991" s="137" t="s">
        <v>1169</v>
      </c>
    </row>
    <row r="992" spans="1:1" x14ac:dyDescent="0.25">
      <c r="A992" s="27" t="s">
        <v>1170</v>
      </c>
    </row>
    <row r="993" spans="1:1" x14ac:dyDescent="0.25">
      <c r="A993" s="27" t="s">
        <v>1171</v>
      </c>
    </row>
    <row r="994" spans="1:1" x14ac:dyDescent="0.25">
      <c r="A994" s="27" t="s">
        <v>1172</v>
      </c>
    </row>
    <row r="995" spans="1:1" x14ac:dyDescent="0.25">
      <c r="A995" s="99" t="s">
        <v>1173</v>
      </c>
    </row>
    <row r="996" spans="1:1" x14ac:dyDescent="0.25">
      <c r="A996" s="137" t="s">
        <v>1174</v>
      </c>
    </row>
    <row r="997" spans="1:1" x14ac:dyDescent="0.25">
      <c r="A997" s="99" t="s">
        <v>1175</v>
      </c>
    </row>
    <row r="998" spans="1:1" x14ac:dyDescent="0.25">
      <c r="A998" s="137" t="s">
        <v>1176</v>
      </c>
    </row>
    <row r="999" spans="1:1" x14ac:dyDescent="0.25">
      <c r="A999" s="137" t="s">
        <v>1177</v>
      </c>
    </row>
    <row r="1000" spans="1:1" x14ac:dyDescent="0.25">
      <c r="A1000" s="137" t="s">
        <v>1178</v>
      </c>
    </row>
    <row r="1001" spans="1:1" x14ac:dyDescent="0.25">
      <c r="A1001" s="137" t="s">
        <v>1179</v>
      </c>
    </row>
    <row r="1002" spans="1:1" x14ac:dyDescent="0.25">
      <c r="A1002" s="137" t="s">
        <v>1180</v>
      </c>
    </row>
    <row r="1003" spans="1:1" x14ac:dyDescent="0.25">
      <c r="A1003" s="99" t="s">
        <v>1181</v>
      </c>
    </row>
    <row r="1004" spans="1:1" x14ac:dyDescent="0.25">
      <c r="A1004" s="99" t="s">
        <v>1182</v>
      </c>
    </row>
    <row r="1005" spans="1:1" x14ac:dyDescent="0.25">
      <c r="A1005" s="137" t="s">
        <v>1183</v>
      </c>
    </row>
    <row r="1006" spans="1:1" x14ac:dyDescent="0.25">
      <c r="A1006" s="137" t="s">
        <v>1184</v>
      </c>
    </row>
    <row r="1007" spans="1:1" x14ac:dyDescent="0.25">
      <c r="A1007" s="137" t="s">
        <v>1185</v>
      </c>
    </row>
    <row r="1008" spans="1:1" x14ac:dyDescent="0.25">
      <c r="A1008" s="137" t="s">
        <v>1186</v>
      </c>
    </row>
    <row r="1009" spans="1:1" x14ac:dyDescent="0.25">
      <c r="A1009" s="99" t="s">
        <v>1187</v>
      </c>
    </row>
    <row r="1010" spans="1:1" x14ac:dyDescent="0.25">
      <c r="A1010" s="99" t="s">
        <v>1188</v>
      </c>
    </row>
    <row r="1011" spans="1:1" x14ac:dyDescent="0.25">
      <c r="A1011" s="137" t="s">
        <v>1189</v>
      </c>
    </row>
    <row r="1012" spans="1:1" x14ac:dyDescent="0.25">
      <c r="A1012" s="137" t="s">
        <v>1190</v>
      </c>
    </row>
    <row r="1013" spans="1:1" x14ac:dyDescent="0.25">
      <c r="A1013" s="137" t="s">
        <v>1191</v>
      </c>
    </row>
    <row r="1014" spans="1:1" x14ac:dyDescent="0.25">
      <c r="A1014" s="137" t="s">
        <v>1192</v>
      </c>
    </row>
    <row r="1015" spans="1:1" x14ac:dyDescent="0.25">
      <c r="A1015" s="99" t="s">
        <v>1193</v>
      </c>
    </row>
    <row r="1016" spans="1:1" x14ac:dyDescent="0.25">
      <c r="A1016" s="99" t="s">
        <v>1194</v>
      </c>
    </row>
    <row r="1017" spans="1:1" x14ac:dyDescent="0.25">
      <c r="A1017" s="137" t="s">
        <v>1195</v>
      </c>
    </row>
    <row r="1018" spans="1:1" x14ac:dyDescent="0.25">
      <c r="A1018" s="137" t="s">
        <v>1196</v>
      </c>
    </row>
    <row r="1019" spans="1:1" x14ac:dyDescent="0.25">
      <c r="A1019" s="137" t="s">
        <v>1197</v>
      </c>
    </row>
    <row r="1020" spans="1:1" x14ac:dyDescent="0.25">
      <c r="A1020" s="137" t="s">
        <v>1198</v>
      </c>
    </row>
    <row r="1021" spans="1:1" x14ac:dyDescent="0.25">
      <c r="A1021" s="99" t="s">
        <v>1199</v>
      </c>
    </row>
    <row r="1022" spans="1:1" x14ac:dyDescent="0.25">
      <c r="A1022" s="99" t="s">
        <v>1200</v>
      </c>
    </row>
    <row r="1023" spans="1:1" x14ac:dyDescent="0.25">
      <c r="A1023" s="137" t="s">
        <v>1201</v>
      </c>
    </row>
    <row r="1024" spans="1:1" x14ac:dyDescent="0.25">
      <c r="A1024" s="137" t="s">
        <v>1202</v>
      </c>
    </row>
    <row r="1025" spans="1:1" x14ac:dyDescent="0.25">
      <c r="A1025" s="137" t="s">
        <v>1203</v>
      </c>
    </row>
    <row r="1026" spans="1:1" x14ac:dyDescent="0.25">
      <c r="A1026" s="137" t="s">
        <v>1204</v>
      </c>
    </row>
    <row r="1027" spans="1:1" x14ac:dyDescent="0.25">
      <c r="A1027" s="99" t="s">
        <v>1205</v>
      </c>
    </row>
    <row r="1028" spans="1:1" x14ac:dyDescent="0.25">
      <c r="A1028" s="99" t="s">
        <v>1206</v>
      </c>
    </row>
    <row r="1029" spans="1:1" x14ac:dyDescent="0.25">
      <c r="A1029" s="137" t="s">
        <v>1207</v>
      </c>
    </row>
    <row r="1030" spans="1:1" x14ac:dyDescent="0.25">
      <c r="A1030" s="137" t="s">
        <v>1208</v>
      </c>
    </row>
    <row r="1031" spans="1:1" x14ac:dyDescent="0.25">
      <c r="A1031" s="137" t="s">
        <v>1209</v>
      </c>
    </row>
    <row r="1032" spans="1:1" x14ac:dyDescent="0.25">
      <c r="A1032" s="137" t="s">
        <v>1210</v>
      </c>
    </row>
    <row r="1033" spans="1:1" x14ac:dyDescent="0.25">
      <c r="A1033" s="99" t="s">
        <v>1211</v>
      </c>
    </row>
    <row r="1034" spans="1:1" x14ac:dyDescent="0.25">
      <c r="A1034" s="99" t="s">
        <v>1212</v>
      </c>
    </row>
    <row r="1035" spans="1:1" x14ac:dyDescent="0.25">
      <c r="A1035" s="137" t="s">
        <v>1213</v>
      </c>
    </row>
    <row r="1036" spans="1:1" x14ac:dyDescent="0.25">
      <c r="A1036" s="137" t="s">
        <v>1214</v>
      </c>
    </row>
    <row r="1037" spans="1:1" x14ac:dyDescent="0.25">
      <c r="A1037" s="137" t="s">
        <v>1215</v>
      </c>
    </row>
    <row r="1038" spans="1:1" x14ac:dyDescent="0.25">
      <c r="A1038" s="137" t="s">
        <v>1216</v>
      </c>
    </row>
    <row r="1039" spans="1:1" x14ac:dyDescent="0.25">
      <c r="A1039" s="99" t="s">
        <v>1217</v>
      </c>
    </row>
    <row r="1040" spans="1:1" x14ac:dyDescent="0.25">
      <c r="A1040" s="99" t="s">
        <v>1218</v>
      </c>
    </row>
    <row r="1041" spans="1:1" x14ac:dyDescent="0.25">
      <c r="A1041" s="137" t="s">
        <v>1219</v>
      </c>
    </row>
    <row r="1042" spans="1:1" x14ac:dyDescent="0.25">
      <c r="A1042" s="137" t="s">
        <v>1220</v>
      </c>
    </row>
    <row r="1043" spans="1:1" x14ac:dyDescent="0.25">
      <c r="A1043" s="137" t="s">
        <v>1221</v>
      </c>
    </row>
    <row r="1044" spans="1:1" x14ac:dyDescent="0.25">
      <c r="A1044" s="137" t="s">
        <v>1222</v>
      </c>
    </row>
    <row r="1045" spans="1:1" x14ac:dyDescent="0.25">
      <c r="A1045" s="99" t="s">
        <v>1223</v>
      </c>
    </row>
    <row r="1046" spans="1:1" x14ac:dyDescent="0.25">
      <c r="A1046" s="99" t="s">
        <v>1224</v>
      </c>
    </row>
    <row r="1047" spans="1:1" x14ac:dyDescent="0.25">
      <c r="A1047" s="137" t="s">
        <v>1225</v>
      </c>
    </row>
    <row r="1048" spans="1:1" x14ac:dyDescent="0.25">
      <c r="A1048" s="137" t="s">
        <v>1226</v>
      </c>
    </row>
    <row r="1049" spans="1:1" x14ac:dyDescent="0.25">
      <c r="A1049" s="137" t="s">
        <v>1227</v>
      </c>
    </row>
    <row r="1050" spans="1:1" x14ac:dyDescent="0.25">
      <c r="A1050" s="137" t="s">
        <v>1228</v>
      </c>
    </row>
    <row r="1051" spans="1:1" x14ac:dyDescent="0.25">
      <c r="A1051" s="99" t="s">
        <v>1229</v>
      </c>
    </row>
    <row r="1052" spans="1:1" x14ac:dyDescent="0.25">
      <c r="A1052" s="99" t="s">
        <v>1230</v>
      </c>
    </row>
    <row r="1053" spans="1:1" x14ac:dyDescent="0.25">
      <c r="A1053" s="137" t="s">
        <v>1231</v>
      </c>
    </row>
    <row r="1054" spans="1:1" x14ac:dyDescent="0.25">
      <c r="A1054" s="99" t="s">
        <v>1232</v>
      </c>
    </row>
    <row r="1055" spans="1:1" x14ac:dyDescent="0.25">
      <c r="A1055" s="99" t="s">
        <v>1233</v>
      </c>
    </row>
    <row r="1056" spans="1:1" x14ac:dyDescent="0.25">
      <c r="A1056" s="99" t="s">
        <v>1234</v>
      </c>
    </row>
    <row r="1057" spans="1:1" x14ac:dyDescent="0.25">
      <c r="A1057" s="137" t="s">
        <v>1235</v>
      </c>
    </row>
    <row r="1058" spans="1:1" x14ac:dyDescent="0.25">
      <c r="A1058" s="137" t="s">
        <v>1236</v>
      </c>
    </row>
    <row r="1059" spans="1:1" x14ac:dyDescent="0.25">
      <c r="A1059" s="137" t="s">
        <v>1237</v>
      </c>
    </row>
    <row r="1060" spans="1:1" x14ac:dyDescent="0.25">
      <c r="A1060" s="99" t="s">
        <v>1238</v>
      </c>
    </row>
    <row r="1061" spans="1:1" x14ac:dyDescent="0.25">
      <c r="A1061" s="99" t="s">
        <v>1239</v>
      </c>
    </row>
    <row r="1062" spans="1:1" x14ac:dyDescent="0.25">
      <c r="A1062" s="137" t="s">
        <v>1240</v>
      </c>
    </row>
    <row r="1063" spans="1:1" x14ac:dyDescent="0.25">
      <c r="A1063" s="137" t="s">
        <v>1241</v>
      </c>
    </row>
    <row r="1064" spans="1:1" x14ac:dyDescent="0.25">
      <c r="A1064" s="137" t="s">
        <v>1242</v>
      </c>
    </row>
    <row r="1065" spans="1:1" x14ac:dyDescent="0.25">
      <c r="A1065" s="137" t="s">
        <v>1243</v>
      </c>
    </row>
    <row r="1066" spans="1:1" x14ac:dyDescent="0.25">
      <c r="A1066" s="99" t="s">
        <v>1244</v>
      </c>
    </row>
    <row r="1067" spans="1:1" x14ac:dyDescent="0.25">
      <c r="A1067" s="99" t="s">
        <v>1245</v>
      </c>
    </row>
    <row r="1068" spans="1:1" x14ac:dyDescent="0.25">
      <c r="A1068" s="137" t="s">
        <v>1246</v>
      </c>
    </row>
    <row r="1069" spans="1:1" x14ac:dyDescent="0.25">
      <c r="A1069" s="137" t="s">
        <v>1247</v>
      </c>
    </row>
    <row r="1070" spans="1:1" x14ac:dyDescent="0.25">
      <c r="A1070" s="137" t="s">
        <v>1248</v>
      </c>
    </row>
    <row r="1071" spans="1:1" x14ac:dyDescent="0.25">
      <c r="A1071" s="137" t="s">
        <v>1249</v>
      </c>
    </row>
    <row r="1072" spans="1:1" x14ac:dyDescent="0.25">
      <c r="A1072" s="99" t="s">
        <v>1250</v>
      </c>
    </row>
    <row r="1073" spans="1:1" x14ac:dyDescent="0.25">
      <c r="A1073" s="99" t="s">
        <v>1251</v>
      </c>
    </row>
    <row r="1074" spans="1:1" x14ac:dyDescent="0.25">
      <c r="A1074" s="137" t="s">
        <v>1252</v>
      </c>
    </row>
    <row r="1075" spans="1:1" x14ac:dyDescent="0.25">
      <c r="A1075" s="137" t="s">
        <v>1253</v>
      </c>
    </row>
    <row r="1076" spans="1:1" x14ac:dyDescent="0.25">
      <c r="A1076" s="137" t="s">
        <v>1254</v>
      </c>
    </row>
    <row r="1077" spans="1:1" x14ac:dyDescent="0.25">
      <c r="A1077" s="137" t="s">
        <v>1255</v>
      </c>
    </row>
    <row r="1078" spans="1:1" x14ac:dyDescent="0.25">
      <c r="A1078" s="99" t="s">
        <v>1256</v>
      </c>
    </row>
    <row r="1079" spans="1:1" x14ac:dyDescent="0.25">
      <c r="A1079" s="99" t="s">
        <v>1257</v>
      </c>
    </row>
    <row r="1080" spans="1:1" x14ac:dyDescent="0.25">
      <c r="A1080" s="137" t="s">
        <v>1258</v>
      </c>
    </row>
    <row r="1081" spans="1:1" x14ac:dyDescent="0.25">
      <c r="A1081" s="137" t="s">
        <v>1259</v>
      </c>
    </row>
    <row r="1082" spans="1:1" x14ac:dyDescent="0.25">
      <c r="A1082" s="137" t="s">
        <v>1260</v>
      </c>
    </row>
    <row r="1083" spans="1:1" x14ac:dyDescent="0.25">
      <c r="A1083" s="137" t="s">
        <v>1261</v>
      </c>
    </row>
    <row r="1084" spans="1:1" x14ac:dyDescent="0.25">
      <c r="A1084" s="99" t="s">
        <v>1262</v>
      </c>
    </row>
    <row r="1085" spans="1:1" x14ac:dyDescent="0.25">
      <c r="A1085" s="99" t="s">
        <v>1263</v>
      </c>
    </row>
    <row r="1086" spans="1:1" x14ac:dyDescent="0.25">
      <c r="A1086" s="137" t="s">
        <v>1264</v>
      </c>
    </row>
    <row r="1087" spans="1:1" x14ac:dyDescent="0.25">
      <c r="A1087" s="137" t="s">
        <v>1265</v>
      </c>
    </row>
    <row r="1088" spans="1:1" x14ac:dyDescent="0.25">
      <c r="A1088" s="137" t="s">
        <v>1266</v>
      </c>
    </row>
    <row r="1089" spans="1:1" x14ac:dyDescent="0.25">
      <c r="A1089" s="137" t="s">
        <v>1267</v>
      </c>
    </row>
    <row r="1090" spans="1:1" x14ac:dyDescent="0.25">
      <c r="A1090" s="99" t="s">
        <v>1268</v>
      </c>
    </row>
    <row r="1091" spans="1:1" x14ac:dyDescent="0.25">
      <c r="A1091" s="99" t="s">
        <v>1269</v>
      </c>
    </row>
    <row r="1092" spans="1:1" x14ac:dyDescent="0.25">
      <c r="A1092" s="137" t="s">
        <v>1270</v>
      </c>
    </row>
    <row r="1093" spans="1:1" x14ac:dyDescent="0.25">
      <c r="A1093" s="137" t="s">
        <v>1271</v>
      </c>
    </row>
    <row r="1094" spans="1:1" x14ac:dyDescent="0.25">
      <c r="A1094" s="137" t="s">
        <v>1272</v>
      </c>
    </row>
    <row r="1095" spans="1:1" x14ac:dyDescent="0.25">
      <c r="A1095" s="137" t="s">
        <v>1273</v>
      </c>
    </row>
    <row r="1096" spans="1:1" x14ac:dyDescent="0.25">
      <c r="A1096" s="99" t="s">
        <v>1274</v>
      </c>
    </row>
    <row r="1097" spans="1:1" x14ac:dyDescent="0.25">
      <c r="A1097" s="99" t="s">
        <v>1275</v>
      </c>
    </row>
    <row r="1098" spans="1:1" x14ac:dyDescent="0.25">
      <c r="A1098" s="137" t="s">
        <v>1276</v>
      </c>
    </row>
    <row r="1099" spans="1:1" x14ac:dyDescent="0.25">
      <c r="A1099" s="137" t="s">
        <v>1277</v>
      </c>
    </row>
    <row r="1100" spans="1:1" x14ac:dyDescent="0.25">
      <c r="A1100" s="137" t="s">
        <v>1278</v>
      </c>
    </row>
    <row r="1101" spans="1:1" x14ac:dyDescent="0.25">
      <c r="A1101" s="137" t="s">
        <v>1279</v>
      </c>
    </row>
    <row r="1102" spans="1:1" x14ac:dyDescent="0.25">
      <c r="A1102" s="99" t="s">
        <v>1280</v>
      </c>
    </row>
    <row r="1103" spans="1:1" x14ac:dyDescent="0.25">
      <c r="A1103" s="99" t="s">
        <v>1281</v>
      </c>
    </row>
    <row r="1104" spans="1:1" x14ac:dyDescent="0.25">
      <c r="A1104" s="137" t="s">
        <v>1282</v>
      </c>
    </row>
    <row r="1105" spans="1:1" x14ac:dyDescent="0.25">
      <c r="A1105" s="137" t="s">
        <v>1283</v>
      </c>
    </row>
    <row r="1106" spans="1:1" x14ac:dyDescent="0.25">
      <c r="A1106" s="137" t="s">
        <v>1284</v>
      </c>
    </row>
    <row r="1107" spans="1:1" x14ac:dyDescent="0.25">
      <c r="A1107" s="137" t="s">
        <v>1285</v>
      </c>
    </row>
    <row r="1108" spans="1:1" x14ac:dyDescent="0.25">
      <c r="A1108" s="99" t="s">
        <v>1286</v>
      </c>
    </row>
    <row r="1109" spans="1:1" x14ac:dyDescent="0.25">
      <c r="A1109" s="99" t="s">
        <v>1287</v>
      </c>
    </row>
    <row r="1110" spans="1:1" x14ac:dyDescent="0.25">
      <c r="A1110" s="137" t="s">
        <v>1288</v>
      </c>
    </row>
    <row r="1111" spans="1:1" x14ac:dyDescent="0.25">
      <c r="A1111" s="27" t="s">
        <v>1289</v>
      </c>
    </row>
    <row r="1112" spans="1:1" x14ac:dyDescent="0.25">
      <c r="A1112" s="137" t="s">
        <v>1290</v>
      </c>
    </row>
    <row r="1113" spans="1:1" x14ac:dyDescent="0.25">
      <c r="A1113" s="99" t="s">
        <v>1291</v>
      </c>
    </row>
    <row r="1114" spans="1:1" x14ac:dyDescent="0.25">
      <c r="A1114" s="137" t="s">
        <v>1292</v>
      </c>
    </row>
    <row r="1115" spans="1:1" x14ac:dyDescent="0.25">
      <c r="A1115" s="137" t="s">
        <v>1293</v>
      </c>
    </row>
    <row r="1116" spans="1:1" x14ac:dyDescent="0.25">
      <c r="A1116" s="27" t="s">
        <v>1294</v>
      </c>
    </row>
    <row r="1117" spans="1:1" x14ac:dyDescent="0.25">
      <c r="A1117" s="27" t="s">
        <v>1295</v>
      </c>
    </row>
    <row r="1118" spans="1:1" x14ac:dyDescent="0.25">
      <c r="A1118" s="27" t="s">
        <v>1296</v>
      </c>
    </row>
    <row r="1119" spans="1:1" x14ac:dyDescent="0.25">
      <c r="A1119" s="99" t="s">
        <v>1297</v>
      </c>
    </row>
    <row r="1120" spans="1:1" x14ac:dyDescent="0.25">
      <c r="A1120" s="137" t="s">
        <v>1298</v>
      </c>
    </row>
    <row r="1121" spans="1:1" x14ac:dyDescent="0.25">
      <c r="A1121" s="99" t="s">
        <v>1299</v>
      </c>
    </row>
    <row r="1122" spans="1:1" x14ac:dyDescent="0.25">
      <c r="A1122" s="137" t="s">
        <v>1300</v>
      </c>
    </row>
    <row r="1123" spans="1:1" x14ac:dyDescent="0.25">
      <c r="A1123" s="137" t="s">
        <v>1301</v>
      </c>
    </row>
    <row r="1124" spans="1:1" x14ac:dyDescent="0.25">
      <c r="A1124" s="137" t="s">
        <v>1302</v>
      </c>
    </row>
    <row r="1125" spans="1:1" x14ac:dyDescent="0.25">
      <c r="A1125" s="137" t="s">
        <v>1303</v>
      </c>
    </row>
    <row r="1126" spans="1:1" x14ac:dyDescent="0.25">
      <c r="A1126" s="137" t="s">
        <v>1304</v>
      </c>
    </row>
    <row r="1127" spans="1:1" x14ac:dyDescent="0.25">
      <c r="A1127" s="99" t="s">
        <v>1305</v>
      </c>
    </row>
    <row r="1128" spans="1:1" x14ac:dyDescent="0.25">
      <c r="A1128" s="99" t="s">
        <v>1306</v>
      </c>
    </row>
    <row r="1129" spans="1:1" x14ac:dyDescent="0.25">
      <c r="A1129" s="137" t="s">
        <v>1307</v>
      </c>
    </row>
    <row r="1130" spans="1:1" x14ac:dyDescent="0.25">
      <c r="A1130" s="137" t="s">
        <v>1308</v>
      </c>
    </row>
    <row r="1131" spans="1:1" x14ac:dyDescent="0.25">
      <c r="A1131" s="137" t="s">
        <v>1309</v>
      </c>
    </row>
    <row r="1132" spans="1:1" x14ac:dyDescent="0.25">
      <c r="A1132" s="137" t="s">
        <v>1310</v>
      </c>
    </row>
    <row r="1133" spans="1:1" x14ac:dyDescent="0.25">
      <c r="A1133" s="99" t="s">
        <v>1311</v>
      </c>
    </row>
    <row r="1134" spans="1:1" x14ac:dyDescent="0.25">
      <c r="A1134" s="99" t="s">
        <v>1312</v>
      </c>
    </row>
    <row r="1135" spans="1:1" x14ac:dyDescent="0.25">
      <c r="A1135" s="137" t="s">
        <v>1313</v>
      </c>
    </row>
    <row r="1136" spans="1:1" x14ac:dyDescent="0.25">
      <c r="A1136" s="137" t="s">
        <v>1314</v>
      </c>
    </row>
    <row r="1137" spans="1:1" x14ac:dyDescent="0.25">
      <c r="A1137" s="137" t="s">
        <v>1315</v>
      </c>
    </row>
    <row r="1138" spans="1:1" x14ac:dyDescent="0.25">
      <c r="A1138" s="137" t="s">
        <v>1316</v>
      </c>
    </row>
    <row r="1139" spans="1:1" x14ac:dyDescent="0.25">
      <c r="A1139" s="99" t="s">
        <v>1317</v>
      </c>
    </row>
    <row r="1140" spans="1:1" x14ac:dyDescent="0.25">
      <c r="A1140" s="99" t="s">
        <v>1318</v>
      </c>
    </row>
    <row r="1141" spans="1:1" x14ac:dyDescent="0.25">
      <c r="A1141" s="137" t="s">
        <v>1319</v>
      </c>
    </row>
    <row r="1142" spans="1:1" x14ac:dyDescent="0.25">
      <c r="A1142" s="137" t="s">
        <v>1320</v>
      </c>
    </row>
    <row r="1143" spans="1:1" x14ac:dyDescent="0.25">
      <c r="A1143" s="137" t="s">
        <v>1321</v>
      </c>
    </row>
    <row r="1144" spans="1:1" x14ac:dyDescent="0.25">
      <c r="A1144" s="137" t="s">
        <v>1322</v>
      </c>
    </row>
    <row r="1145" spans="1:1" x14ac:dyDescent="0.25">
      <c r="A1145" s="99" t="s">
        <v>1323</v>
      </c>
    </row>
    <row r="1146" spans="1:1" x14ac:dyDescent="0.25">
      <c r="A1146" s="99" t="s">
        <v>1324</v>
      </c>
    </row>
    <row r="1147" spans="1:1" x14ac:dyDescent="0.25">
      <c r="A1147" s="137" t="s">
        <v>1325</v>
      </c>
    </row>
    <row r="1148" spans="1:1" x14ac:dyDescent="0.25">
      <c r="A1148" s="137" t="s">
        <v>1326</v>
      </c>
    </row>
    <row r="1149" spans="1:1" x14ac:dyDescent="0.25">
      <c r="A1149" s="137" t="s">
        <v>1327</v>
      </c>
    </row>
    <row r="1150" spans="1:1" x14ac:dyDescent="0.25">
      <c r="A1150" s="137" t="s">
        <v>1328</v>
      </c>
    </row>
    <row r="1151" spans="1:1" x14ac:dyDescent="0.25">
      <c r="A1151" s="99" t="s">
        <v>1329</v>
      </c>
    </row>
    <row r="1152" spans="1:1" x14ac:dyDescent="0.25">
      <c r="A1152" s="99" t="s">
        <v>1330</v>
      </c>
    </row>
    <row r="1153" spans="1:1" x14ac:dyDescent="0.25">
      <c r="A1153" s="137" t="s">
        <v>1331</v>
      </c>
    </row>
    <row r="1154" spans="1:1" x14ac:dyDescent="0.25">
      <c r="A1154" s="137" t="s">
        <v>1332</v>
      </c>
    </row>
    <row r="1155" spans="1:1" x14ac:dyDescent="0.25">
      <c r="A1155" s="137" t="s">
        <v>1333</v>
      </c>
    </row>
    <row r="1156" spans="1:1" x14ac:dyDescent="0.25">
      <c r="A1156" s="137" t="s">
        <v>1334</v>
      </c>
    </row>
    <row r="1157" spans="1:1" x14ac:dyDescent="0.25">
      <c r="A1157" s="99" t="s">
        <v>1335</v>
      </c>
    </row>
    <row r="1158" spans="1:1" x14ac:dyDescent="0.25">
      <c r="A1158" s="99" t="s">
        <v>1336</v>
      </c>
    </row>
    <row r="1159" spans="1:1" x14ac:dyDescent="0.25">
      <c r="A1159" s="137" t="s">
        <v>1337</v>
      </c>
    </row>
    <row r="1160" spans="1:1" x14ac:dyDescent="0.25">
      <c r="A1160" s="137" t="s">
        <v>1338</v>
      </c>
    </row>
    <row r="1161" spans="1:1" x14ac:dyDescent="0.25">
      <c r="A1161" s="137" t="s">
        <v>1339</v>
      </c>
    </row>
    <row r="1162" spans="1:1" x14ac:dyDescent="0.25">
      <c r="A1162" s="137" t="s">
        <v>1340</v>
      </c>
    </row>
    <row r="1163" spans="1:1" x14ac:dyDescent="0.25">
      <c r="A1163" s="99" t="s">
        <v>1341</v>
      </c>
    </row>
    <row r="1164" spans="1:1" x14ac:dyDescent="0.25">
      <c r="A1164" s="99" t="s">
        <v>1342</v>
      </c>
    </row>
    <row r="1165" spans="1:1" x14ac:dyDescent="0.25">
      <c r="A1165" s="137" t="s">
        <v>1343</v>
      </c>
    </row>
    <row r="1166" spans="1:1" x14ac:dyDescent="0.25">
      <c r="A1166" s="137" t="s">
        <v>1344</v>
      </c>
    </row>
    <row r="1167" spans="1:1" x14ac:dyDescent="0.25">
      <c r="A1167" s="137" t="s">
        <v>1345</v>
      </c>
    </row>
    <row r="1168" spans="1:1" x14ac:dyDescent="0.25">
      <c r="A1168" s="137" t="s">
        <v>1346</v>
      </c>
    </row>
    <row r="1169" spans="1:1" x14ac:dyDescent="0.25">
      <c r="A1169" s="99" t="s">
        <v>1347</v>
      </c>
    </row>
    <row r="1170" spans="1:1" x14ac:dyDescent="0.25">
      <c r="A1170" s="99" t="s">
        <v>1348</v>
      </c>
    </row>
    <row r="1171" spans="1:1" x14ac:dyDescent="0.25">
      <c r="A1171" s="137" t="s">
        <v>1349</v>
      </c>
    </row>
    <row r="1172" spans="1:1" x14ac:dyDescent="0.25">
      <c r="A1172" s="137" t="s">
        <v>1350</v>
      </c>
    </row>
    <row r="1173" spans="1:1" x14ac:dyDescent="0.25">
      <c r="A1173" s="137" t="s">
        <v>1351</v>
      </c>
    </row>
    <row r="1174" spans="1:1" x14ac:dyDescent="0.25">
      <c r="A1174" s="137" t="s">
        <v>1352</v>
      </c>
    </row>
    <row r="1175" spans="1:1" x14ac:dyDescent="0.25">
      <c r="A1175" s="99" t="s">
        <v>1353</v>
      </c>
    </row>
    <row r="1176" spans="1:1" x14ac:dyDescent="0.25">
      <c r="A1176" s="99" t="s">
        <v>1354</v>
      </c>
    </row>
    <row r="1177" spans="1:1" x14ac:dyDescent="0.25">
      <c r="A1177" s="137" t="s">
        <v>1355</v>
      </c>
    </row>
    <row r="1178" spans="1:1" x14ac:dyDescent="0.25">
      <c r="A1178" s="99" t="s">
        <v>1356</v>
      </c>
    </row>
    <row r="1179" spans="1:1" x14ac:dyDescent="0.25">
      <c r="A1179" s="99" t="s">
        <v>1357</v>
      </c>
    </row>
    <row r="1180" spans="1:1" x14ac:dyDescent="0.25">
      <c r="A1180" s="99" t="s">
        <v>1358</v>
      </c>
    </row>
    <row r="1181" spans="1:1" x14ac:dyDescent="0.25">
      <c r="A1181" s="27" t="s">
        <v>1359</v>
      </c>
    </row>
    <row r="1182" spans="1:1" x14ac:dyDescent="0.25">
      <c r="A1182" s="137" t="s">
        <v>1360</v>
      </c>
    </row>
    <row r="1183" spans="1:1" x14ac:dyDescent="0.25">
      <c r="A1183" s="99" t="s">
        <v>1361</v>
      </c>
    </row>
    <row r="1184" spans="1:1" x14ac:dyDescent="0.25">
      <c r="A1184" s="137" t="s">
        <v>1362</v>
      </c>
    </row>
    <row r="1185" spans="1:1" x14ac:dyDescent="0.25">
      <c r="A1185" s="137" t="s">
        <v>1363</v>
      </c>
    </row>
    <row r="1186" spans="1:1" x14ac:dyDescent="0.25">
      <c r="A1186" s="27" t="s">
        <v>1364</v>
      </c>
    </row>
    <row r="1187" spans="1:1" x14ac:dyDescent="0.25">
      <c r="A1187" s="27" t="s">
        <v>1365</v>
      </c>
    </row>
    <row r="1188" spans="1:1" x14ac:dyDescent="0.25">
      <c r="A1188" s="27" t="s">
        <v>1366</v>
      </c>
    </row>
    <row r="1189" spans="1:1" x14ac:dyDescent="0.25">
      <c r="A1189" s="99" t="s">
        <v>1367</v>
      </c>
    </row>
    <row r="1190" spans="1:1" x14ac:dyDescent="0.25">
      <c r="A1190" s="137" t="s">
        <v>1368</v>
      </c>
    </row>
    <row r="1191" spans="1:1" x14ac:dyDescent="0.25">
      <c r="A1191" s="99" t="s">
        <v>1369</v>
      </c>
    </row>
    <row r="1192" spans="1:1" x14ac:dyDescent="0.25">
      <c r="A1192" s="137" t="s">
        <v>1370</v>
      </c>
    </row>
    <row r="1193" spans="1:1" x14ac:dyDescent="0.25">
      <c r="A1193" s="137" t="s">
        <v>1371</v>
      </c>
    </row>
    <row r="1194" spans="1:1" x14ac:dyDescent="0.25">
      <c r="A1194" s="99" t="s">
        <v>1372</v>
      </c>
    </row>
    <row r="1195" spans="1:1" x14ac:dyDescent="0.25">
      <c r="A1195" s="99" t="s">
        <v>1373</v>
      </c>
    </row>
    <row r="1196" spans="1:1" x14ac:dyDescent="0.25">
      <c r="A1196" s="99" t="s">
        <v>1374</v>
      </c>
    </row>
    <row r="1197" spans="1:1" x14ac:dyDescent="0.25">
      <c r="A1197" s="27" t="s">
        <v>1375</v>
      </c>
    </row>
    <row r="1198" spans="1:1" x14ac:dyDescent="0.25">
      <c r="A1198" s="137" t="s">
        <v>1376</v>
      </c>
    </row>
    <row r="1199" spans="1:1" x14ac:dyDescent="0.25">
      <c r="A1199" s="99" t="s">
        <v>1377</v>
      </c>
    </row>
    <row r="1200" spans="1:1" x14ac:dyDescent="0.25">
      <c r="A1200" s="137" t="s">
        <v>1378</v>
      </c>
    </row>
    <row r="1201" spans="1:1" x14ac:dyDescent="0.25">
      <c r="A1201" s="137" t="s">
        <v>1379</v>
      </c>
    </row>
    <row r="1202" spans="1:1" x14ac:dyDescent="0.25">
      <c r="A1202" s="27" t="s">
        <v>1380</v>
      </c>
    </row>
    <row r="1203" spans="1:1" x14ac:dyDescent="0.25">
      <c r="A1203" s="27" t="s">
        <v>1381</v>
      </c>
    </row>
    <row r="1204" spans="1:1" x14ac:dyDescent="0.25">
      <c r="A1204" s="27" t="s">
        <v>1382</v>
      </c>
    </row>
    <row r="1205" spans="1:1" x14ac:dyDescent="0.25">
      <c r="A1205" s="99" t="s">
        <v>1383</v>
      </c>
    </row>
    <row r="1206" spans="1:1" x14ac:dyDescent="0.25">
      <c r="A1206" s="137" t="s">
        <v>1384</v>
      </c>
    </row>
    <row r="1207" spans="1:1" x14ac:dyDescent="0.25">
      <c r="A1207" s="99" t="s">
        <v>1385</v>
      </c>
    </row>
    <row r="1208" spans="1:1" x14ac:dyDescent="0.25">
      <c r="A1208" s="137" t="s">
        <v>1386</v>
      </c>
    </row>
    <row r="1209" spans="1:1" x14ac:dyDescent="0.25">
      <c r="A1209" s="137" t="s">
        <v>1387</v>
      </c>
    </row>
    <row r="1210" spans="1:1" x14ac:dyDescent="0.25">
      <c r="A1210" s="137" t="s">
        <v>1388</v>
      </c>
    </row>
    <row r="1211" spans="1:1" x14ac:dyDescent="0.25">
      <c r="A1211" s="137" t="s">
        <v>1389</v>
      </c>
    </row>
    <row r="1212" spans="1:1" x14ac:dyDescent="0.25">
      <c r="A1212" s="137" t="s">
        <v>1390</v>
      </c>
    </row>
    <row r="1213" spans="1:1" x14ac:dyDescent="0.25">
      <c r="A1213" s="99" t="s">
        <v>1391</v>
      </c>
    </row>
    <row r="1214" spans="1:1" x14ac:dyDescent="0.25">
      <c r="A1214" s="99" t="s">
        <v>1392</v>
      </c>
    </row>
    <row r="1215" spans="1:1" x14ac:dyDescent="0.25">
      <c r="A1215" s="137" t="s">
        <v>1393</v>
      </c>
    </row>
    <row r="1216" spans="1:1" x14ac:dyDescent="0.25">
      <c r="A1216" s="99" t="s">
        <v>1394</v>
      </c>
    </row>
    <row r="1217" spans="1:1" x14ac:dyDescent="0.25">
      <c r="A1217" s="99" t="s">
        <v>1395</v>
      </c>
    </row>
    <row r="1218" spans="1:1" x14ac:dyDescent="0.25">
      <c r="A1218" s="99" t="s">
        <v>1396</v>
      </c>
    </row>
    <row r="1219" spans="1:1" x14ac:dyDescent="0.25">
      <c r="A1219" s="137" t="s">
        <v>1397</v>
      </c>
    </row>
    <row r="1220" spans="1:1" x14ac:dyDescent="0.25">
      <c r="A1220" s="27" t="s">
        <v>1398</v>
      </c>
    </row>
    <row r="1221" spans="1:1" x14ac:dyDescent="0.25">
      <c r="A1221" s="99" t="s">
        <v>1399</v>
      </c>
    </row>
    <row r="1222" spans="1:1" x14ac:dyDescent="0.25">
      <c r="A1222" s="137" t="s">
        <v>1400</v>
      </c>
    </row>
    <row r="1223" spans="1:1" x14ac:dyDescent="0.25">
      <c r="A1223" s="99" t="s">
        <v>1401</v>
      </c>
    </row>
    <row r="1224" spans="1:1" x14ac:dyDescent="0.25">
      <c r="A1224" s="137" t="s">
        <v>1402</v>
      </c>
    </row>
    <row r="1225" spans="1:1" x14ac:dyDescent="0.25">
      <c r="A1225" s="137" t="s">
        <v>1403</v>
      </c>
    </row>
    <row r="1226" spans="1:1" x14ac:dyDescent="0.25">
      <c r="A1226" s="99" t="s">
        <v>1404</v>
      </c>
    </row>
    <row r="1227" spans="1:1" x14ac:dyDescent="0.25">
      <c r="A1227" s="137" t="s">
        <v>1405</v>
      </c>
    </row>
    <row r="1228" spans="1:1" x14ac:dyDescent="0.25">
      <c r="A1228" s="137" t="s">
        <v>1406</v>
      </c>
    </row>
    <row r="1229" spans="1:1" x14ac:dyDescent="0.25">
      <c r="A1229" s="137" t="s">
        <v>1407</v>
      </c>
    </row>
    <row r="1230" spans="1:1" x14ac:dyDescent="0.25">
      <c r="A1230" s="99" t="s">
        <v>1408</v>
      </c>
    </row>
    <row r="1231" spans="1:1" x14ac:dyDescent="0.25">
      <c r="A1231" s="99" t="s">
        <v>1409</v>
      </c>
    </row>
    <row r="1232" spans="1:1" x14ac:dyDescent="0.25">
      <c r="A1232" s="99" t="s">
        <v>1410</v>
      </c>
    </row>
    <row r="1233" spans="1:1" x14ac:dyDescent="0.25">
      <c r="A1233" t="s">
        <v>1413</v>
      </c>
    </row>
    <row r="1234" spans="1:1" x14ac:dyDescent="0.25">
      <c r="A1234" t="s">
        <v>1414</v>
      </c>
    </row>
    <row r="1235" spans="1:1" x14ac:dyDescent="0.25">
      <c r="A1235" s="99" t="s">
        <v>1415</v>
      </c>
    </row>
    <row r="1236" spans="1:1" x14ac:dyDescent="0.25">
      <c r="A1236" s="99" t="s">
        <v>1416</v>
      </c>
    </row>
    <row r="1237" spans="1:1" x14ac:dyDescent="0.25">
      <c r="A1237" s="99" t="s">
        <v>1417</v>
      </c>
    </row>
    <row r="1238" spans="1:1" x14ac:dyDescent="0.25">
      <c r="A1238" s="137" t="s">
        <v>1418</v>
      </c>
    </row>
    <row r="1239" spans="1:1" x14ac:dyDescent="0.25">
      <c r="A1239" s="99" t="s">
        <v>1419</v>
      </c>
    </row>
    <row r="1240" spans="1:1" x14ac:dyDescent="0.25">
      <c r="A1240" s="137" t="s">
        <v>1420</v>
      </c>
    </row>
    <row r="1241" spans="1:1" x14ac:dyDescent="0.25">
      <c r="A1241" s="137" t="s">
        <v>1421</v>
      </c>
    </row>
    <row r="1242" spans="1:1" x14ac:dyDescent="0.25">
      <c r="A1242" s="137" t="s">
        <v>1422</v>
      </c>
    </row>
    <row r="1243" spans="1:1" x14ac:dyDescent="0.25">
      <c r="A1243" s="137" t="s">
        <v>1423</v>
      </c>
    </row>
    <row r="1244" spans="1:1" x14ac:dyDescent="0.25">
      <c r="A1244" s="99" t="s">
        <v>1424</v>
      </c>
    </row>
    <row r="1245" spans="1:1" x14ac:dyDescent="0.25">
      <c r="A1245" s="137" t="s">
        <v>1425</v>
      </c>
    </row>
    <row r="1246" spans="1:1" x14ac:dyDescent="0.25">
      <c r="A1246" s="99" t="s">
        <v>1426</v>
      </c>
    </row>
    <row r="1247" spans="1:1" x14ac:dyDescent="0.25">
      <c r="A1247" s="137" t="s">
        <v>1427</v>
      </c>
    </row>
    <row r="1248" spans="1:1" x14ac:dyDescent="0.25">
      <c r="A1248" s="137" t="s">
        <v>1428</v>
      </c>
    </row>
    <row r="1249" spans="1:1" x14ac:dyDescent="0.25">
      <c r="A1249" s="137" t="s">
        <v>1429</v>
      </c>
    </row>
    <row r="1250" spans="1:1" x14ac:dyDescent="0.25">
      <c r="A1250" s="137" t="s">
        <v>1430</v>
      </c>
    </row>
    <row r="1251" spans="1:1" x14ac:dyDescent="0.25">
      <c r="A1251" s="99" t="s">
        <v>1431</v>
      </c>
    </row>
    <row r="1252" spans="1:1" x14ac:dyDescent="0.25">
      <c r="A1252" s="137" t="s">
        <v>1432</v>
      </c>
    </row>
    <row r="1253" spans="1:1" x14ac:dyDescent="0.25">
      <c r="A1253" s="137" t="s">
        <v>1433</v>
      </c>
    </row>
    <row r="1254" spans="1:1" x14ac:dyDescent="0.25">
      <c r="A1254" s="137" t="s">
        <v>1434</v>
      </c>
    </row>
    <row r="1255" spans="1:1" x14ac:dyDescent="0.25">
      <c r="A1255" s="99" t="s">
        <v>1435</v>
      </c>
    </row>
    <row r="1256" spans="1:1" x14ac:dyDescent="0.25">
      <c r="A1256" s="99" t="s">
        <v>1436</v>
      </c>
    </row>
    <row r="1257" spans="1:1" x14ac:dyDescent="0.25">
      <c r="A1257" s="99" t="s">
        <v>1437</v>
      </c>
    </row>
    <row r="1258" spans="1:1" x14ac:dyDescent="0.25">
      <c r="A1258" s="99" t="s">
        <v>1438</v>
      </c>
    </row>
    <row r="1259" spans="1:1" x14ac:dyDescent="0.25">
      <c r="A1259" t="s">
        <v>1440</v>
      </c>
    </row>
    <row r="1260" spans="1:1" x14ac:dyDescent="0.25">
      <c r="A1260" t="s">
        <v>1441</v>
      </c>
    </row>
    <row r="1261" spans="1:1" x14ac:dyDescent="0.25">
      <c r="A1261" s="99" t="s">
        <v>1442</v>
      </c>
    </row>
    <row r="1262" spans="1:1" x14ac:dyDescent="0.25">
      <c r="A1262" s="99" t="s">
        <v>1443</v>
      </c>
    </row>
    <row r="1263" spans="1:1" x14ac:dyDescent="0.25">
      <c r="A1263" s="99" t="s">
        <v>1444</v>
      </c>
    </row>
    <row r="1264" spans="1:1" x14ac:dyDescent="0.25">
      <c r="A1264" s="137" t="s">
        <v>1445</v>
      </c>
    </row>
    <row r="1265" spans="1:1" x14ac:dyDescent="0.25">
      <c r="A1265" s="99" t="s">
        <v>1446</v>
      </c>
    </row>
    <row r="1266" spans="1:1" x14ac:dyDescent="0.25">
      <c r="A1266" s="27" t="s">
        <v>1447</v>
      </c>
    </row>
    <row r="1267" spans="1:1" x14ac:dyDescent="0.25">
      <c r="A1267" s="137" t="s">
        <v>1448</v>
      </c>
    </row>
    <row r="1268" spans="1:1" x14ac:dyDescent="0.25">
      <c r="A1268" s="137" t="s">
        <v>1449</v>
      </c>
    </row>
    <row r="1269" spans="1:1" x14ac:dyDescent="0.25">
      <c r="A1269" s="99" t="s">
        <v>1450</v>
      </c>
    </row>
    <row r="1270" spans="1:1" x14ac:dyDescent="0.25">
      <c r="A1270" s="137" t="s">
        <v>1451</v>
      </c>
    </row>
    <row r="1271" spans="1:1" x14ac:dyDescent="0.25">
      <c r="A1271" s="99" t="s">
        <v>1452</v>
      </c>
    </row>
    <row r="1272" spans="1:1" x14ac:dyDescent="0.25">
      <c r="A1272" s="27" t="s">
        <v>1453</v>
      </c>
    </row>
    <row r="1273" spans="1:1" x14ac:dyDescent="0.25">
      <c r="A1273" s="137" t="s">
        <v>1454</v>
      </c>
    </row>
    <row r="1274" spans="1:1" x14ac:dyDescent="0.25">
      <c r="A1274" s="137" t="s">
        <v>1455</v>
      </c>
    </row>
    <row r="1275" spans="1:1" x14ac:dyDescent="0.25">
      <c r="A1275" s="137" t="s">
        <v>1456</v>
      </c>
    </row>
    <row r="1276" spans="1:1" x14ac:dyDescent="0.25">
      <c r="A1276" s="137" t="s">
        <v>1457</v>
      </c>
    </row>
    <row r="1277" spans="1:1" x14ac:dyDescent="0.25">
      <c r="A1277" s="137" t="s">
        <v>1458</v>
      </c>
    </row>
    <row r="1278" spans="1:1" x14ac:dyDescent="0.25">
      <c r="A1278" s="99" t="s">
        <v>1459</v>
      </c>
    </row>
    <row r="1279" spans="1:1" x14ac:dyDescent="0.25">
      <c r="A1279" s="99" t="s">
        <v>1460</v>
      </c>
    </row>
    <row r="1280" spans="1:1" x14ac:dyDescent="0.25">
      <c r="A1280" s="137" t="s">
        <v>1461</v>
      </c>
    </row>
    <row r="1281" spans="1:1" x14ac:dyDescent="0.25">
      <c r="A1281" s="99" t="s">
        <v>1462</v>
      </c>
    </row>
    <row r="1282" spans="1:1" x14ac:dyDescent="0.25">
      <c r="A1282" s="137" t="s">
        <v>1463</v>
      </c>
    </row>
    <row r="1283" spans="1:1" x14ac:dyDescent="0.25">
      <c r="A1283" s="137" t="s">
        <v>1464</v>
      </c>
    </row>
    <row r="1284" spans="1:1" x14ac:dyDescent="0.25">
      <c r="A1284" s="137" t="s">
        <v>1465</v>
      </c>
    </row>
    <row r="1285" spans="1:1" x14ac:dyDescent="0.25">
      <c r="A1285" s="137" t="s">
        <v>1466</v>
      </c>
    </row>
    <row r="1286" spans="1:1" x14ac:dyDescent="0.25">
      <c r="A1286" s="137" t="s">
        <v>1467</v>
      </c>
    </row>
    <row r="1287" spans="1:1" x14ac:dyDescent="0.25">
      <c r="A1287" s="99" t="s">
        <v>1468</v>
      </c>
    </row>
    <row r="1288" spans="1:1" x14ac:dyDescent="0.25">
      <c r="A1288" s="99" t="s">
        <v>1469</v>
      </c>
    </row>
    <row r="1289" spans="1:1" x14ac:dyDescent="0.25">
      <c r="A1289" s="137" t="s">
        <v>1470</v>
      </c>
    </row>
    <row r="1290" spans="1:1" x14ac:dyDescent="0.25">
      <c r="A1290" s="99" t="s">
        <v>1471</v>
      </c>
    </row>
    <row r="1291" spans="1:1" x14ac:dyDescent="0.25">
      <c r="A1291" s="137" t="s">
        <v>1472</v>
      </c>
    </row>
    <row r="1292" spans="1:1" x14ac:dyDescent="0.25">
      <c r="A1292" s="137" t="s">
        <v>1473</v>
      </c>
    </row>
    <row r="1293" spans="1:1" x14ac:dyDescent="0.25">
      <c r="A1293" s="137" t="s">
        <v>1474</v>
      </c>
    </row>
    <row r="1294" spans="1:1" x14ac:dyDescent="0.25">
      <c r="A1294" s="137" t="s">
        <v>1475</v>
      </c>
    </row>
    <row r="1295" spans="1:1" x14ac:dyDescent="0.25">
      <c r="A1295" s="137" t="s">
        <v>1476</v>
      </c>
    </row>
    <row r="1296" spans="1:1" x14ac:dyDescent="0.25">
      <c r="A1296" s="99" t="s">
        <v>1477</v>
      </c>
    </row>
    <row r="1297" spans="1:1" x14ac:dyDescent="0.25">
      <c r="A1297" s="99" t="s">
        <v>1478</v>
      </c>
    </row>
    <row r="1298" spans="1:1" x14ac:dyDescent="0.25">
      <c r="A1298" s="137" t="s">
        <v>1479</v>
      </c>
    </row>
    <row r="1299" spans="1:1" x14ac:dyDescent="0.25">
      <c r="A1299" s="99" t="s">
        <v>1480</v>
      </c>
    </row>
    <row r="1300" spans="1:1" x14ac:dyDescent="0.25">
      <c r="A1300" s="137" t="s">
        <v>1481</v>
      </c>
    </row>
    <row r="1301" spans="1:1" x14ac:dyDescent="0.25">
      <c r="A1301" s="137" t="s">
        <v>1482</v>
      </c>
    </row>
    <row r="1302" spans="1:1" x14ac:dyDescent="0.25">
      <c r="A1302" s="137" t="s">
        <v>1483</v>
      </c>
    </row>
    <row r="1303" spans="1:1" x14ac:dyDescent="0.25">
      <c r="A1303" s="137" t="s">
        <v>1484</v>
      </c>
    </row>
    <row r="1304" spans="1:1" x14ac:dyDescent="0.25">
      <c r="A1304" s="137" t="s">
        <v>1485</v>
      </c>
    </row>
    <row r="1305" spans="1:1" x14ac:dyDescent="0.25">
      <c r="A1305" s="99" t="s">
        <v>1486</v>
      </c>
    </row>
    <row r="1306" spans="1:1" x14ac:dyDescent="0.25">
      <c r="A1306" s="99" t="s">
        <v>1487</v>
      </c>
    </row>
    <row r="1307" spans="1:1" x14ac:dyDescent="0.25">
      <c r="A1307" s="137" t="s">
        <v>1488</v>
      </c>
    </row>
    <row r="1308" spans="1:1" x14ac:dyDescent="0.25">
      <c r="A1308" s="99" t="s">
        <v>1489</v>
      </c>
    </row>
    <row r="1309" spans="1:1" x14ac:dyDescent="0.25">
      <c r="A1309" s="137" t="s">
        <v>1490</v>
      </c>
    </row>
    <row r="1310" spans="1:1" x14ac:dyDescent="0.25">
      <c r="A1310" s="137" t="s">
        <v>1491</v>
      </c>
    </row>
    <row r="1311" spans="1:1" x14ac:dyDescent="0.25">
      <c r="A1311" s="137" t="s">
        <v>1492</v>
      </c>
    </row>
    <row r="1312" spans="1:1" x14ac:dyDescent="0.25">
      <c r="A1312" s="137" t="s">
        <v>1493</v>
      </c>
    </row>
    <row r="1313" spans="1:1" x14ac:dyDescent="0.25">
      <c r="A1313" s="137" t="s">
        <v>1494</v>
      </c>
    </row>
    <row r="1314" spans="1:1" x14ac:dyDescent="0.25">
      <c r="A1314" s="99" t="s">
        <v>1495</v>
      </c>
    </row>
    <row r="1315" spans="1:1" x14ac:dyDescent="0.25">
      <c r="A1315" s="99" t="s">
        <v>1496</v>
      </c>
    </row>
    <row r="1316" spans="1:1" x14ac:dyDescent="0.25">
      <c r="A1316" s="137" t="s">
        <v>1497</v>
      </c>
    </row>
    <row r="1317" spans="1:1" x14ac:dyDescent="0.25">
      <c r="A1317" s="99" t="s">
        <v>1498</v>
      </c>
    </row>
    <row r="1318" spans="1:1" x14ac:dyDescent="0.25">
      <c r="A1318" s="137" t="s">
        <v>1499</v>
      </c>
    </row>
    <row r="1319" spans="1:1" x14ac:dyDescent="0.25">
      <c r="A1319" s="137" t="s">
        <v>1500</v>
      </c>
    </row>
    <row r="1320" spans="1:1" x14ac:dyDescent="0.25">
      <c r="A1320" s="137" t="s">
        <v>1501</v>
      </c>
    </row>
    <row r="1321" spans="1:1" x14ac:dyDescent="0.25">
      <c r="A1321" s="137" t="s">
        <v>1502</v>
      </c>
    </row>
    <row r="1322" spans="1:1" x14ac:dyDescent="0.25">
      <c r="A1322" s="137" t="s">
        <v>1503</v>
      </c>
    </row>
    <row r="1323" spans="1:1" x14ac:dyDescent="0.25">
      <c r="A1323" s="99" t="s">
        <v>1504</v>
      </c>
    </row>
    <row r="1324" spans="1:1" x14ac:dyDescent="0.25">
      <c r="A1324" s="99" t="s">
        <v>1505</v>
      </c>
    </row>
    <row r="1325" spans="1:1" x14ac:dyDescent="0.25">
      <c r="A1325" s="137" t="s">
        <v>1506</v>
      </c>
    </row>
    <row r="1326" spans="1:1" x14ac:dyDescent="0.25">
      <c r="A1326" s="99" t="s">
        <v>1507</v>
      </c>
    </row>
    <row r="1327" spans="1:1" x14ac:dyDescent="0.25">
      <c r="A1327" s="137" t="s">
        <v>1508</v>
      </c>
    </row>
    <row r="1328" spans="1:1" x14ac:dyDescent="0.25">
      <c r="A1328" s="137" t="s">
        <v>1509</v>
      </c>
    </row>
    <row r="1329" spans="1:1" x14ac:dyDescent="0.25">
      <c r="A1329" s="137" t="s">
        <v>1510</v>
      </c>
    </row>
    <row r="1330" spans="1:1" x14ac:dyDescent="0.25">
      <c r="A1330" s="137" t="s">
        <v>1511</v>
      </c>
    </row>
    <row r="1331" spans="1:1" x14ac:dyDescent="0.25">
      <c r="A1331" s="137" t="s">
        <v>1512</v>
      </c>
    </row>
    <row r="1332" spans="1:1" x14ac:dyDescent="0.25">
      <c r="A1332" s="99" t="s">
        <v>1513</v>
      </c>
    </row>
    <row r="1333" spans="1:1" x14ac:dyDescent="0.25">
      <c r="A1333" s="99" t="s">
        <v>1514</v>
      </c>
    </row>
    <row r="1334" spans="1:1" x14ac:dyDescent="0.25">
      <c r="A1334" s="137" t="s">
        <v>1515</v>
      </c>
    </row>
    <row r="1335" spans="1:1" x14ac:dyDescent="0.25">
      <c r="A1335" s="99" t="s">
        <v>1516</v>
      </c>
    </row>
    <row r="1336" spans="1:1" x14ac:dyDescent="0.25">
      <c r="A1336" s="137" t="s">
        <v>1517</v>
      </c>
    </row>
    <row r="1337" spans="1:1" x14ac:dyDescent="0.25">
      <c r="A1337" s="137" t="s">
        <v>1518</v>
      </c>
    </row>
    <row r="1338" spans="1:1" x14ac:dyDescent="0.25">
      <c r="A1338" s="137" t="s">
        <v>1519</v>
      </c>
    </row>
    <row r="1339" spans="1:1" x14ac:dyDescent="0.25">
      <c r="A1339" s="137" t="s">
        <v>1520</v>
      </c>
    </row>
    <row r="1340" spans="1:1" x14ac:dyDescent="0.25">
      <c r="A1340" s="137" t="s">
        <v>1521</v>
      </c>
    </row>
    <row r="1341" spans="1:1" x14ac:dyDescent="0.25">
      <c r="A1341" s="99" t="s">
        <v>1522</v>
      </c>
    </row>
    <row r="1342" spans="1:1" x14ac:dyDescent="0.25">
      <c r="A1342" s="99" t="s">
        <v>1523</v>
      </c>
    </row>
    <row r="1343" spans="1:1" x14ac:dyDescent="0.25">
      <c r="A1343" s="137" t="s">
        <v>1524</v>
      </c>
    </row>
    <row r="1344" spans="1:1" x14ac:dyDescent="0.25">
      <c r="A1344" s="99" t="s">
        <v>1525</v>
      </c>
    </row>
    <row r="1345" spans="1:1" x14ac:dyDescent="0.25">
      <c r="A1345" s="137" t="s">
        <v>1526</v>
      </c>
    </row>
    <row r="1346" spans="1:1" x14ac:dyDescent="0.25">
      <c r="A1346" s="137" t="s">
        <v>1527</v>
      </c>
    </row>
    <row r="1347" spans="1:1" x14ac:dyDescent="0.25">
      <c r="A1347" s="137" t="s">
        <v>1528</v>
      </c>
    </row>
    <row r="1348" spans="1:1" x14ac:dyDescent="0.25">
      <c r="A1348" s="137" t="s">
        <v>1529</v>
      </c>
    </row>
    <row r="1349" spans="1:1" x14ac:dyDescent="0.25">
      <c r="A1349" s="137" t="s">
        <v>1530</v>
      </c>
    </row>
    <row r="1350" spans="1:1" x14ac:dyDescent="0.25">
      <c r="A1350" s="99" t="s">
        <v>1531</v>
      </c>
    </row>
    <row r="1351" spans="1:1" x14ac:dyDescent="0.25">
      <c r="A1351" s="99" t="s">
        <v>1532</v>
      </c>
    </row>
    <row r="1352" spans="1:1" x14ac:dyDescent="0.25">
      <c r="A1352" s="137" t="s">
        <v>1533</v>
      </c>
    </row>
    <row r="1353" spans="1:1" x14ac:dyDescent="0.25">
      <c r="A1353" s="99" t="s">
        <v>1534</v>
      </c>
    </row>
    <row r="1354" spans="1:1" x14ac:dyDescent="0.25">
      <c r="A1354" s="137" t="s">
        <v>1535</v>
      </c>
    </row>
    <row r="1355" spans="1:1" x14ac:dyDescent="0.25">
      <c r="A1355" s="137" t="s">
        <v>1536</v>
      </c>
    </row>
    <row r="1356" spans="1:1" x14ac:dyDescent="0.25">
      <c r="A1356" s="137" t="s">
        <v>1537</v>
      </c>
    </row>
    <row r="1357" spans="1:1" x14ac:dyDescent="0.25">
      <c r="A1357" s="99" t="s">
        <v>1538</v>
      </c>
    </row>
    <row r="1358" spans="1:1" x14ac:dyDescent="0.25">
      <c r="A1358" s="137" t="s">
        <v>1539</v>
      </c>
    </row>
    <row r="1359" spans="1:1" x14ac:dyDescent="0.25">
      <c r="A1359" s="99" t="s">
        <v>1540</v>
      </c>
    </row>
    <row r="1360" spans="1:1" x14ac:dyDescent="0.25">
      <c r="A1360" s="99" t="s">
        <v>1541</v>
      </c>
    </row>
    <row r="1361" spans="1:1" x14ac:dyDescent="0.25">
      <c r="A1361" s="99" t="s">
        <v>1542</v>
      </c>
    </row>
    <row r="1362" spans="1:1" x14ac:dyDescent="0.25">
      <c r="A1362" s="99" t="s">
        <v>1543</v>
      </c>
    </row>
    <row r="1363" spans="1:1" x14ac:dyDescent="0.25">
      <c r="A1363" s="99" t="s">
        <v>1544</v>
      </c>
    </row>
    <row r="1364" spans="1:1" x14ac:dyDescent="0.25">
      <c r="A1364" s="137" t="s">
        <v>1545</v>
      </c>
    </row>
    <row r="1365" spans="1:1" x14ac:dyDescent="0.25">
      <c r="A1365" s="137" t="s">
        <v>1546</v>
      </c>
    </row>
    <row r="1366" spans="1:1" x14ac:dyDescent="0.25">
      <c r="A1366" s="137" t="s">
        <v>1547</v>
      </c>
    </row>
    <row r="1367" spans="1:1" x14ac:dyDescent="0.25">
      <c r="A1367" s="99" t="s">
        <v>1548</v>
      </c>
    </row>
    <row r="1368" spans="1:1" x14ac:dyDescent="0.25">
      <c r="A1368" s="99" t="s">
        <v>1549</v>
      </c>
    </row>
    <row r="1369" spans="1:1" x14ac:dyDescent="0.25">
      <c r="A1369" s="99" t="s">
        <v>1550</v>
      </c>
    </row>
    <row r="1370" spans="1:1" x14ac:dyDescent="0.25">
      <c r="A1370" s="137" t="s">
        <v>1551</v>
      </c>
    </row>
    <row r="1371" spans="1:1" x14ac:dyDescent="0.25">
      <c r="A1371" s="99" t="s">
        <v>1552</v>
      </c>
    </row>
    <row r="1372" spans="1:1" x14ac:dyDescent="0.25">
      <c r="A1372" s="99" t="s">
        <v>1553</v>
      </c>
    </row>
    <row r="1373" spans="1:1" x14ac:dyDescent="0.25">
      <c r="A1373" s="27" t="s">
        <v>1554</v>
      </c>
    </row>
    <row r="1374" spans="1:1" x14ac:dyDescent="0.25">
      <c r="A1374" s="137" t="s">
        <v>1555</v>
      </c>
    </row>
    <row r="1375" spans="1:1" x14ac:dyDescent="0.25">
      <c r="A1375" s="99" t="s">
        <v>1556</v>
      </c>
    </row>
    <row r="1376" spans="1:1" x14ac:dyDescent="0.25">
      <c r="A1376" s="137" t="s">
        <v>1557</v>
      </c>
    </row>
    <row r="1377" spans="1:1" x14ac:dyDescent="0.25">
      <c r="A1377" s="99" t="s">
        <v>1558</v>
      </c>
    </row>
    <row r="1378" spans="1:1" x14ac:dyDescent="0.25">
      <c r="A1378" s="99" t="s">
        <v>1559</v>
      </c>
    </row>
    <row r="1379" spans="1:1" x14ac:dyDescent="0.25">
      <c r="A1379" s="27" t="s">
        <v>1560</v>
      </c>
    </row>
    <row r="1380" spans="1:1" x14ac:dyDescent="0.25">
      <c r="A1380" s="137" t="s">
        <v>1561</v>
      </c>
    </row>
    <row r="1381" spans="1:1" x14ac:dyDescent="0.25">
      <c r="A1381" s="99" t="s">
        <v>1562</v>
      </c>
    </row>
    <row r="1382" spans="1:1" x14ac:dyDescent="0.25">
      <c r="A1382" s="27" t="s">
        <v>1563</v>
      </c>
    </row>
    <row r="1383" spans="1:1" x14ac:dyDescent="0.25">
      <c r="A1383" s="137" t="s">
        <v>1564</v>
      </c>
    </row>
    <row r="1384" spans="1:1" x14ac:dyDescent="0.25">
      <c r="A1384" s="99" t="s">
        <v>1565</v>
      </c>
    </row>
    <row r="1385" spans="1:1" x14ac:dyDescent="0.25">
      <c r="A1385" s="137" t="s">
        <v>1566</v>
      </c>
    </row>
    <row r="1386" spans="1:1" x14ac:dyDescent="0.25">
      <c r="A1386" s="137" t="s">
        <v>1567</v>
      </c>
    </row>
    <row r="1387" spans="1:1" x14ac:dyDescent="0.25">
      <c r="A1387" s="27" t="s">
        <v>1568</v>
      </c>
    </row>
    <row r="1388" spans="1:1" x14ac:dyDescent="0.25">
      <c r="A1388" s="27" t="s">
        <v>1569</v>
      </c>
    </row>
    <row r="1389" spans="1:1" x14ac:dyDescent="0.25">
      <c r="A1389" s="27" t="s">
        <v>1570</v>
      </c>
    </row>
    <row r="1390" spans="1:1" x14ac:dyDescent="0.25">
      <c r="A1390" s="137" t="s">
        <v>1571</v>
      </c>
    </row>
    <row r="1391" spans="1:1" x14ac:dyDescent="0.25">
      <c r="A1391" s="99" t="s">
        <v>1572</v>
      </c>
    </row>
    <row r="1392" spans="1:1" x14ac:dyDescent="0.25">
      <c r="A1392" s="137" t="s">
        <v>1573</v>
      </c>
    </row>
    <row r="1393" spans="1:1" x14ac:dyDescent="0.25">
      <c r="A1393" s="137" t="s">
        <v>1574</v>
      </c>
    </row>
    <row r="1394" spans="1:1" x14ac:dyDescent="0.25">
      <c r="A1394" s="27" t="s">
        <v>1575</v>
      </c>
    </row>
    <row r="1395" spans="1:1" x14ac:dyDescent="0.25">
      <c r="A1395" s="27" t="s">
        <v>1576</v>
      </c>
    </row>
    <row r="1396" spans="1:1" x14ac:dyDescent="0.25">
      <c r="A1396" s="27" t="s">
        <v>1577</v>
      </c>
    </row>
    <row r="1397" spans="1:1" x14ac:dyDescent="0.25">
      <c r="A1397" s="99" t="s">
        <v>1578</v>
      </c>
    </row>
    <row r="1398" spans="1:1" x14ac:dyDescent="0.25">
      <c r="A1398" s="137" t="s">
        <v>1579</v>
      </c>
    </row>
    <row r="1399" spans="1:1" x14ac:dyDescent="0.25">
      <c r="A1399" s="99" t="s">
        <v>1580</v>
      </c>
    </row>
    <row r="1400" spans="1:1" x14ac:dyDescent="0.25">
      <c r="A1400" s="137" t="s">
        <v>1581</v>
      </c>
    </row>
    <row r="1401" spans="1:1" x14ac:dyDescent="0.25">
      <c r="A1401" s="137" t="s">
        <v>1582</v>
      </c>
    </row>
    <row r="1402" spans="1:1" x14ac:dyDescent="0.25">
      <c r="A1402" s="137" t="s">
        <v>1583</v>
      </c>
    </row>
    <row r="1403" spans="1:1" x14ac:dyDescent="0.25">
      <c r="A1403" s="99" t="s">
        <v>1584</v>
      </c>
    </row>
    <row r="1404" spans="1:1" x14ac:dyDescent="0.25">
      <c r="A1404" s="99" t="s">
        <v>1585</v>
      </c>
    </row>
    <row r="1405" spans="1:1" x14ac:dyDescent="0.25">
      <c r="A1405" s="99" t="s">
        <v>1586</v>
      </c>
    </row>
    <row r="1406" spans="1:1" x14ac:dyDescent="0.25">
      <c r="A1406" s="137" t="s">
        <v>1587</v>
      </c>
    </row>
    <row r="1407" spans="1:1" x14ac:dyDescent="0.25">
      <c r="A1407" s="99" t="s">
        <v>1588</v>
      </c>
    </row>
    <row r="1408" spans="1:1" x14ac:dyDescent="0.25">
      <c r="A1408" s="27" t="s">
        <v>1589</v>
      </c>
    </row>
    <row r="1409" spans="1:1" x14ac:dyDescent="0.25">
      <c r="A1409" s="99" t="s">
        <v>1590</v>
      </c>
    </row>
    <row r="1410" spans="1:1" x14ac:dyDescent="0.25">
      <c r="A1410" s="137" t="s">
        <v>1591</v>
      </c>
    </row>
    <row r="1411" spans="1:1" x14ac:dyDescent="0.25">
      <c r="A1411" s="137" t="s">
        <v>1592</v>
      </c>
    </row>
    <row r="1412" spans="1:1" x14ac:dyDescent="0.25">
      <c r="A1412" s="137" t="s">
        <v>1593</v>
      </c>
    </row>
    <row r="1413" spans="1:1" x14ac:dyDescent="0.25">
      <c r="A1413" s="99" t="s">
        <v>1594</v>
      </c>
    </row>
    <row r="1414" spans="1:1" x14ac:dyDescent="0.25">
      <c r="A1414" s="99" t="s">
        <v>1595</v>
      </c>
    </row>
    <row r="1415" spans="1:1" x14ac:dyDescent="0.25">
      <c r="A1415" s="99" t="s">
        <v>1596</v>
      </c>
    </row>
    <row r="1416" spans="1:1" x14ac:dyDescent="0.25">
      <c r="A1416" s="99" t="s">
        <v>1597</v>
      </c>
    </row>
    <row r="1417" spans="1:1" x14ac:dyDescent="0.25">
      <c r="A1417" t="s">
        <v>1600</v>
      </c>
    </row>
    <row r="1418" spans="1:1" x14ac:dyDescent="0.25">
      <c r="A1418" t="s">
        <v>1601</v>
      </c>
    </row>
    <row r="1419" spans="1:1" x14ac:dyDescent="0.25">
      <c r="A1419" s="99" t="s">
        <v>1602</v>
      </c>
    </row>
    <row r="1420" spans="1:1" x14ac:dyDescent="0.25">
      <c r="A1420" s="99" t="s">
        <v>1603</v>
      </c>
    </row>
    <row r="1421" spans="1:1" x14ac:dyDescent="0.25">
      <c r="A1421" s="99" t="s">
        <v>1604</v>
      </c>
    </row>
    <row r="1422" spans="1:1" x14ac:dyDescent="0.25">
      <c r="A1422" s="137" t="s">
        <v>1605</v>
      </c>
    </row>
    <row r="1423" spans="1:1" x14ac:dyDescent="0.25">
      <c r="A1423" s="99" t="s">
        <v>1606</v>
      </c>
    </row>
    <row r="1424" spans="1:1" x14ac:dyDescent="0.25">
      <c r="A1424" s="27" t="s">
        <v>1607</v>
      </c>
    </row>
    <row r="1425" spans="1:1" x14ac:dyDescent="0.25">
      <c r="A1425" s="137" t="s">
        <v>1608</v>
      </c>
    </row>
    <row r="1426" spans="1:1" x14ac:dyDescent="0.25">
      <c r="A1426" s="137" t="s">
        <v>1609</v>
      </c>
    </row>
    <row r="1427" spans="1:1" x14ac:dyDescent="0.25">
      <c r="A1427" s="99" t="s">
        <v>1610</v>
      </c>
    </row>
    <row r="1428" spans="1:1" x14ac:dyDescent="0.25">
      <c r="A1428" s="137" t="s">
        <v>1611</v>
      </c>
    </row>
    <row r="1429" spans="1:1" x14ac:dyDescent="0.25">
      <c r="A1429" s="99" t="s">
        <v>1612</v>
      </c>
    </row>
    <row r="1430" spans="1:1" x14ac:dyDescent="0.25">
      <c r="A1430" s="27" t="s">
        <v>1613</v>
      </c>
    </row>
    <row r="1431" spans="1:1" x14ac:dyDescent="0.25">
      <c r="A1431" s="137" t="s">
        <v>1614</v>
      </c>
    </row>
    <row r="1432" spans="1:1" x14ac:dyDescent="0.25">
      <c r="A1432" s="137" t="s">
        <v>1615</v>
      </c>
    </row>
    <row r="1433" spans="1:1" x14ac:dyDescent="0.25">
      <c r="A1433" s="99" t="s">
        <v>1616</v>
      </c>
    </row>
    <row r="1434" spans="1:1" x14ac:dyDescent="0.25">
      <c r="A1434" s="137" t="s">
        <v>1617</v>
      </c>
    </row>
    <row r="1435" spans="1:1" x14ac:dyDescent="0.25">
      <c r="A1435" s="99" t="s">
        <v>1618</v>
      </c>
    </row>
    <row r="1436" spans="1:1" x14ac:dyDescent="0.25">
      <c r="A1436" s="27" t="s">
        <v>1619</v>
      </c>
    </row>
    <row r="1437" spans="1:1" x14ac:dyDescent="0.25">
      <c r="A1437" s="137" t="s">
        <v>1620</v>
      </c>
    </row>
    <row r="1438" spans="1:1" x14ac:dyDescent="0.25">
      <c r="A1438" s="137" t="s">
        <v>1621</v>
      </c>
    </row>
    <row r="1439" spans="1:1" x14ac:dyDescent="0.25">
      <c r="A1439" s="137" t="s">
        <v>1622</v>
      </c>
    </row>
    <row r="1440" spans="1:1" x14ac:dyDescent="0.25">
      <c r="A1440" s="137" t="s">
        <v>1623</v>
      </c>
    </row>
    <row r="1441" spans="1:1" x14ac:dyDescent="0.25">
      <c r="A1441" s="137" t="s">
        <v>1624</v>
      </c>
    </row>
    <row r="1442" spans="1:1" x14ac:dyDescent="0.25">
      <c r="A1442" s="99" t="s">
        <v>1625</v>
      </c>
    </row>
    <row r="1443" spans="1:1" x14ac:dyDescent="0.25">
      <c r="A1443" s="99" t="s">
        <v>1626</v>
      </c>
    </row>
    <row r="1444" spans="1:1" x14ac:dyDescent="0.25">
      <c r="A1444" s="137" t="s">
        <v>1627</v>
      </c>
    </row>
    <row r="1445" spans="1:1" x14ac:dyDescent="0.25">
      <c r="A1445" s="99" t="s">
        <v>1628</v>
      </c>
    </row>
    <row r="1446" spans="1:1" x14ac:dyDescent="0.25">
      <c r="A1446" s="137" t="s">
        <v>1629</v>
      </c>
    </row>
    <row r="1447" spans="1:1" x14ac:dyDescent="0.25">
      <c r="A1447" s="137" t="s">
        <v>1630</v>
      </c>
    </row>
    <row r="1448" spans="1:1" x14ac:dyDescent="0.25">
      <c r="A1448" s="137" t="s">
        <v>1631</v>
      </c>
    </row>
    <row r="1449" spans="1:1" x14ac:dyDescent="0.25">
      <c r="A1449" s="137" t="s">
        <v>1632</v>
      </c>
    </row>
    <row r="1450" spans="1:1" x14ac:dyDescent="0.25">
      <c r="A1450" s="137" t="s">
        <v>1633</v>
      </c>
    </row>
    <row r="1451" spans="1:1" x14ac:dyDescent="0.25">
      <c r="A1451" s="99" t="s">
        <v>1634</v>
      </c>
    </row>
    <row r="1452" spans="1:1" x14ac:dyDescent="0.25">
      <c r="A1452" s="99" t="s">
        <v>1635</v>
      </c>
    </row>
    <row r="1453" spans="1:1" x14ac:dyDescent="0.25">
      <c r="A1453" s="137" t="s">
        <v>1636</v>
      </c>
    </row>
    <row r="1454" spans="1:1" x14ac:dyDescent="0.25">
      <c r="A1454" s="99" t="s">
        <v>1637</v>
      </c>
    </row>
    <row r="1455" spans="1:1" x14ac:dyDescent="0.25">
      <c r="A1455" s="137" t="s">
        <v>1638</v>
      </c>
    </row>
    <row r="1456" spans="1:1" x14ac:dyDescent="0.25">
      <c r="A1456" s="137" t="s">
        <v>1639</v>
      </c>
    </row>
    <row r="1457" spans="1:1" x14ac:dyDescent="0.25">
      <c r="A1457" s="137" t="s">
        <v>1640</v>
      </c>
    </row>
    <row r="1458" spans="1:1" x14ac:dyDescent="0.25">
      <c r="A1458" s="137" t="s">
        <v>1641</v>
      </c>
    </row>
    <row r="1459" spans="1:1" x14ac:dyDescent="0.25">
      <c r="A1459" s="137" t="s">
        <v>1642</v>
      </c>
    </row>
    <row r="1460" spans="1:1" x14ac:dyDescent="0.25">
      <c r="A1460" s="99" t="s">
        <v>1643</v>
      </c>
    </row>
    <row r="1461" spans="1:1" x14ac:dyDescent="0.25">
      <c r="A1461" s="99" t="s">
        <v>1644</v>
      </c>
    </row>
    <row r="1462" spans="1:1" x14ac:dyDescent="0.25">
      <c r="A1462" s="137" t="s">
        <v>1645</v>
      </c>
    </row>
    <row r="1463" spans="1:1" x14ac:dyDescent="0.25">
      <c r="A1463" s="99" t="s">
        <v>1646</v>
      </c>
    </row>
    <row r="1464" spans="1:1" x14ac:dyDescent="0.25">
      <c r="A1464" s="137" t="s">
        <v>1647</v>
      </c>
    </row>
    <row r="1465" spans="1:1" x14ac:dyDescent="0.25">
      <c r="A1465" s="137" t="s">
        <v>1648</v>
      </c>
    </row>
    <row r="1466" spans="1:1" x14ac:dyDescent="0.25">
      <c r="A1466" s="137" t="s">
        <v>1649</v>
      </c>
    </row>
    <row r="1467" spans="1:1" x14ac:dyDescent="0.25">
      <c r="A1467" s="137" t="s">
        <v>1650</v>
      </c>
    </row>
    <row r="1468" spans="1:1" x14ac:dyDescent="0.25">
      <c r="A1468" s="137" t="s">
        <v>1651</v>
      </c>
    </row>
    <row r="1469" spans="1:1" x14ac:dyDescent="0.25">
      <c r="A1469" s="99" t="s">
        <v>1652</v>
      </c>
    </row>
    <row r="1470" spans="1:1" x14ac:dyDescent="0.25">
      <c r="A1470" s="99" t="s">
        <v>1653</v>
      </c>
    </row>
    <row r="1471" spans="1:1" x14ac:dyDescent="0.25">
      <c r="A1471" s="137" t="s">
        <v>1654</v>
      </c>
    </row>
    <row r="1472" spans="1:1" x14ac:dyDescent="0.25">
      <c r="A1472" s="99" t="s">
        <v>1655</v>
      </c>
    </row>
    <row r="1473" spans="1:1" x14ac:dyDescent="0.25">
      <c r="A1473" s="137" t="s">
        <v>1656</v>
      </c>
    </row>
    <row r="1474" spans="1:1" x14ac:dyDescent="0.25">
      <c r="A1474" s="137" t="s">
        <v>1657</v>
      </c>
    </row>
    <row r="1475" spans="1:1" x14ac:dyDescent="0.25">
      <c r="A1475" s="137" t="s">
        <v>1658</v>
      </c>
    </row>
    <row r="1476" spans="1:1" x14ac:dyDescent="0.25">
      <c r="A1476" s="137" t="s">
        <v>1659</v>
      </c>
    </row>
    <row r="1477" spans="1:1" x14ac:dyDescent="0.25">
      <c r="A1477" s="137" t="s">
        <v>1660</v>
      </c>
    </row>
    <row r="1478" spans="1:1" x14ac:dyDescent="0.25">
      <c r="A1478" s="99" t="s">
        <v>1661</v>
      </c>
    </row>
    <row r="1479" spans="1:1" x14ac:dyDescent="0.25">
      <c r="A1479" s="99" t="s">
        <v>1662</v>
      </c>
    </row>
    <row r="1480" spans="1:1" x14ac:dyDescent="0.25">
      <c r="A1480" s="137" t="s">
        <v>1663</v>
      </c>
    </row>
    <row r="1481" spans="1:1" x14ac:dyDescent="0.25">
      <c r="A1481" s="99" t="s">
        <v>1664</v>
      </c>
    </row>
    <row r="1482" spans="1:1" x14ac:dyDescent="0.25">
      <c r="A1482" s="137" t="s">
        <v>1665</v>
      </c>
    </row>
    <row r="1483" spans="1:1" x14ac:dyDescent="0.25">
      <c r="A1483" s="137" t="s">
        <v>1666</v>
      </c>
    </row>
    <row r="1484" spans="1:1" x14ac:dyDescent="0.25">
      <c r="A1484" s="137" t="s">
        <v>1667</v>
      </c>
    </row>
    <row r="1485" spans="1:1" x14ac:dyDescent="0.25">
      <c r="A1485" s="137" t="s">
        <v>1668</v>
      </c>
    </row>
    <row r="1486" spans="1:1" x14ac:dyDescent="0.25">
      <c r="A1486" s="137" t="s">
        <v>1669</v>
      </c>
    </row>
    <row r="1487" spans="1:1" x14ac:dyDescent="0.25">
      <c r="A1487" s="99" t="s">
        <v>1670</v>
      </c>
    </row>
    <row r="1488" spans="1:1" x14ac:dyDescent="0.25">
      <c r="A1488" s="99" t="s">
        <v>1671</v>
      </c>
    </row>
    <row r="1489" spans="1:1" x14ac:dyDescent="0.25">
      <c r="A1489" s="137" t="s">
        <v>1672</v>
      </c>
    </row>
    <row r="1490" spans="1:1" x14ac:dyDescent="0.25">
      <c r="A1490" s="99" t="s">
        <v>1673</v>
      </c>
    </row>
    <row r="1491" spans="1:1" x14ac:dyDescent="0.25">
      <c r="A1491" s="137" t="s">
        <v>1674</v>
      </c>
    </row>
    <row r="1492" spans="1:1" x14ac:dyDescent="0.25">
      <c r="A1492" s="137" t="s">
        <v>1675</v>
      </c>
    </row>
    <row r="1493" spans="1:1" x14ac:dyDescent="0.25">
      <c r="A1493" s="137" t="s">
        <v>1676</v>
      </c>
    </row>
    <row r="1494" spans="1:1" x14ac:dyDescent="0.25">
      <c r="A1494" s="99" t="s">
        <v>1677</v>
      </c>
    </row>
    <row r="1495" spans="1:1" x14ac:dyDescent="0.25">
      <c r="A1495" s="137" t="s">
        <v>1678</v>
      </c>
    </row>
    <row r="1496" spans="1:1" x14ac:dyDescent="0.25">
      <c r="A1496" s="99" t="s">
        <v>1679</v>
      </c>
    </row>
    <row r="1497" spans="1:1" x14ac:dyDescent="0.25">
      <c r="A1497" s="99" t="s">
        <v>1680</v>
      </c>
    </row>
    <row r="1498" spans="1:1" x14ac:dyDescent="0.25">
      <c r="A1498" s="99" t="s">
        <v>1681</v>
      </c>
    </row>
    <row r="1499" spans="1:1" x14ac:dyDescent="0.25">
      <c r="A1499" s="99" t="s">
        <v>1682</v>
      </c>
    </row>
    <row r="1500" spans="1:1" x14ac:dyDescent="0.25">
      <c r="A1500" s="137" t="s">
        <v>1683</v>
      </c>
    </row>
    <row r="1501" spans="1:1" x14ac:dyDescent="0.25">
      <c r="A1501" s="99" t="s">
        <v>1684</v>
      </c>
    </row>
    <row r="1502" spans="1:1" x14ac:dyDescent="0.25">
      <c r="A1502" s="137" t="s">
        <v>1685</v>
      </c>
    </row>
    <row r="1503" spans="1:1" x14ac:dyDescent="0.25">
      <c r="A1503" s="99" t="s">
        <v>1686</v>
      </c>
    </row>
    <row r="1504" spans="1:1" x14ac:dyDescent="0.25">
      <c r="A1504" s="27" t="s">
        <v>1687</v>
      </c>
    </row>
    <row r="1505" spans="1:1" x14ac:dyDescent="0.25">
      <c r="A1505" s="137" t="s">
        <v>1688</v>
      </c>
    </row>
    <row r="1506" spans="1:1" x14ac:dyDescent="0.25">
      <c r="A1506" s="99" t="s">
        <v>1689</v>
      </c>
    </row>
    <row r="1507" spans="1:1" x14ac:dyDescent="0.25">
      <c r="A1507" s="137" t="s">
        <v>1690</v>
      </c>
    </row>
    <row r="1508" spans="1:1" x14ac:dyDescent="0.25">
      <c r="A1508" s="137" t="s">
        <v>1691</v>
      </c>
    </row>
    <row r="1509" spans="1:1" x14ac:dyDescent="0.25">
      <c r="A1509" s="27" t="s">
        <v>1692</v>
      </c>
    </row>
    <row r="1510" spans="1:1" x14ac:dyDescent="0.25">
      <c r="A1510" s="27" t="s">
        <v>1693</v>
      </c>
    </row>
    <row r="1511" spans="1:1" x14ac:dyDescent="0.25">
      <c r="A1511" s="27" t="s">
        <v>1694</v>
      </c>
    </row>
    <row r="1512" spans="1:1" x14ac:dyDescent="0.25">
      <c r="A1512" s="137" t="s">
        <v>1695</v>
      </c>
    </row>
    <row r="1513" spans="1:1" x14ac:dyDescent="0.25">
      <c r="A1513" s="99" t="s">
        <v>1696</v>
      </c>
    </row>
    <row r="1514" spans="1:1" x14ac:dyDescent="0.25">
      <c r="A1514" s="137" t="s">
        <v>1697</v>
      </c>
    </row>
    <row r="1515" spans="1:1" x14ac:dyDescent="0.25">
      <c r="A1515" s="99" t="s">
        <v>1698</v>
      </c>
    </row>
    <row r="1516" spans="1:1" x14ac:dyDescent="0.25">
      <c r="A1516" s="99" t="s">
        <v>1699</v>
      </c>
    </row>
    <row r="1517" spans="1:1" x14ac:dyDescent="0.25">
      <c r="A1517" s="99" t="s">
        <v>1700</v>
      </c>
    </row>
    <row r="1518" spans="1:1" x14ac:dyDescent="0.25">
      <c r="A1518" s="137" t="s">
        <v>1701</v>
      </c>
    </row>
    <row r="1519" spans="1:1" x14ac:dyDescent="0.25">
      <c r="A1519" s="99" t="s">
        <v>1702</v>
      </c>
    </row>
    <row r="1520" spans="1:1" x14ac:dyDescent="0.25">
      <c r="A1520" s="137" t="s">
        <v>1703</v>
      </c>
    </row>
    <row r="1521" spans="1:1" x14ac:dyDescent="0.25">
      <c r="A1521" s="137" t="s">
        <v>1704</v>
      </c>
    </row>
    <row r="1522" spans="1:1" x14ac:dyDescent="0.25">
      <c r="A1522" s="27" t="s">
        <v>1705</v>
      </c>
    </row>
    <row r="1523" spans="1:1" x14ac:dyDescent="0.25">
      <c r="A1523" s="99" t="s">
        <v>1706</v>
      </c>
    </row>
    <row r="1524" spans="1:1" x14ac:dyDescent="0.25">
      <c r="A1524" s="137" t="s">
        <v>1707</v>
      </c>
    </row>
    <row r="1525" spans="1:1" x14ac:dyDescent="0.25">
      <c r="A1525" s="99" t="s">
        <v>1708</v>
      </c>
    </row>
    <row r="1526" spans="1:1" x14ac:dyDescent="0.25">
      <c r="A1526" s="137" t="s">
        <v>1709</v>
      </c>
    </row>
    <row r="1527" spans="1:1" x14ac:dyDescent="0.25">
      <c r="A1527" s="137" t="s">
        <v>1710</v>
      </c>
    </row>
    <row r="1528" spans="1:1" x14ac:dyDescent="0.25">
      <c r="A1528" s="137" t="s">
        <v>1711</v>
      </c>
    </row>
    <row r="1529" spans="1:1" x14ac:dyDescent="0.25">
      <c r="A1529" s="99" t="s">
        <v>1712</v>
      </c>
    </row>
    <row r="1530" spans="1:1" x14ac:dyDescent="0.25">
      <c r="A1530" s="137" t="s">
        <v>1713</v>
      </c>
    </row>
    <row r="1531" spans="1:1" x14ac:dyDescent="0.25">
      <c r="A1531" s="137" t="s">
        <v>1714</v>
      </c>
    </row>
    <row r="1532" spans="1:1" x14ac:dyDescent="0.25">
      <c r="A1532" s="99" t="s">
        <v>1715</v>
      </c>
    </row>
    <row r="1533" spans="1:1" x14ac:dyDescent="0.25">
      <c r="A1533" s="137" t="s">
        <v>1716</v>
      </c>
    </row>
    <row r="1534" spans="1:1" x14ac:dyDescent="0.25">
      <c r="A1534" s="137" t="s">
        <v>1717</v>
      </c>
    </row>
    <row r="1535" spans="1:1" x14ac:dyDescent="0.25">
      <c r="A1535" s="99" t="s">
        <v>1718</v>
      </c>
    </row>
    <row r="1536" spans="1:1" x14ac:dyDescent="0.25">
      <c r="A1536" s="137" t="s">
        <v>1719</v>
      </c>
    </row>
    <row r="1537" spans="1:1" x14ac:dyDescent="0.25">
      <c r="A1537" s="137" t="s">
        <v>1720</v>
      </c>
    </row>
    <row r="1538" spans="1:1" x14ac:dyDescent="0.25">
      <c r="A1538" s="99" t="s">
        <v>1721</v>
      </c>
    </row>
    <row r="1539" spans="1:1" x14ac:dyDescent="0.25">
      <c r="A1539" s="137" t="s">
        <v>1722</v>
      </c>
    </row>
    <row r="1540" spans="1:1" x14ac:dyDescent="0.25">
      <c r="A1540" s="137" t="s">
        <v>1723</v>
      </c>
    </row>
    <row r="1541" spans="1:1" x14ac:dyDescent="0.25">
      <c r="A1541" s="99" t="s">
        <v>1724</v>
      </c>
    </row>
    <row r="1542" spans="1:1" x14ac:dyDescent="0.25">
      <c r="A1542" s="99" t="s">
        <v>1725</v>
      </c>
    </row>
    <row r="1543" spans="1:1" x14ac:dyDescent="0.25">
      <c r="A1543" s="99" t="s">
        <v>1726</v>
      </c>
    </row>
    <row r="1544" spans="1:1" x14ac:dyDescent="0.25">
      <c r="A1544" s="137" t="s">
        <v>1727</v>
      </c>
    </row>
    <row r="1545" spans="1:1" x14ac:dyDescent="0.25">
      <c r="A1545" s="27" t="s">
        <v>1728</v>
      </c>
    </row>
    <row r="1546" spans="1:1" x14ac:dyDescent="0.25">
      <c r="A1546" s="99" t="s">
        <v>1729</v>
      </c>
    </row>
    <row r="1547" spans="1:1" x14ac:dyDescent="0.25">
      <c r="A1547" s="137" t="s">
        <v>1730</v>
      </c>
    </row>
    <row r="1548" spans="1:1" x14ac:dyDescent="0.25">
      <c r="A1548" s="137" t="s">
        <v>1731</v>
      </c>
    </row>
    <row r="1549" spans="1:1" x14ac:dyDescent="0.25">
      <c r="A1549" s="137" t="s">
        <v>1732</v>
      </c>
    </row>
    <row r="1550" spans="1:1" x14ac:dyDescent="0.25">
      <c r="A1550" s="99" t="s">
        <v>1733</v>
      </c>
    </row>
    <row r="1551" spans="1:1" x14ac:dyDescent="0.25">
      <c r="A1551" s="99" t="s">
        <v>1734</v>
      </c>
    </row>
    <row r="1552" spans="1:1" x14ac:dyDescent="0.25">
      <c r="A1552" s="99" t="s">
        <v>1735</v>
      </c>
    </row>
    <row r="1553" spans="1:1" x14ac:dyDescent="0.25">
      <c r="A1553" t="s">
        <v>1738</v>
      </c>
    </row>
    <row r="1554" spans="1:1" x14ac:dyDescent="0.25">
      <c r="A1554" t="s">
        <v>1739</v>
      </c>
    </row>
    <row r="1555" spans="1:1" x14ac:dyDescent="0.25">
      <c r="A1555" s="99" t="s">
        <v>1740</v>
      </c>
    </row>
    <row r="1556" spans="1:1" x14ac:dyDescent="0.25">
      <c r="A1556" s="99" t="s">
        <v>1741</v>
      </c>
    </row>
    <row r="1557" spans="1:1" x14ac:dyDescent="0.25">
      <c r="A1557" s="99" t="s">
        <v>1742</v>
      </c>
    </row>
    <row r="1558" spans="1:1" x14ac:dyDescent="0.25">
      <c r="A1558" s="137" t="s">
        <v>1743</v>
      </c>
    </row>
    <row r="1559" spans="1:1" x14ac:dyDescent="0.25">
      <c r="A1559" s="99" t="s">
        <v>1744</v>
      </c>
    </row>
    <row r="1560" spans="1:1" x14ac:dyDescent="0.25">
      <c r="A1560" s="27" t="s">
        <v>1745</v>
      </c>
    </row>
    <row r="1561" spans="1:1" x14ac:dyDescent="0.25">
      <c r="A1561" s="137" t="s">
        <v>1746</v>
      </c>
    </row>
    <row r="1562" spans="1:1" x14ac:dyDescent="0.25">
      <c r="A1562" s="137" t="s">
        <v>1747</v>
      </c>
    </row>
    <row r="1563" spans="1:1" x14ac:dyDescent="0.25">
      <c r="A1563" s="99" t="s">
        <v>1748</v>
      </c>
    </row>
    <row r="1564" spans="1:1" x14ac:dyDescent="0.25">
      <c r="A1564" s="137" t="s">
        <v>1749</v>
      </c>
    </row>
    <row r="1565" spans="1:1" x14ac:dyDescent="0.25">
      <c r="A1565" s="99" t="s">
        <v>1750</v>
      </c>
    </row>
    <row r="1566" spans="1:1" x14ac:dyDescent="0.25">
      <c r="A1566" s="27" t="s">
        <v>1751</v>
      </c>
    </row>
    <row r="1567" spans="1:1" x14ac:dyDescent="0.25">
      <c r="A1567" s="137" t="s">
        <v>1752</v>
      </c>
    </row>
    <row r="1568" spans="1:1" x14ac:dyDescent="0.25">
      <c r="A1568" s="137" t="s">
        <v>1753</v>
      </c>
    </row>
    <row r="1569" spans="1:1" x14ac:dyDescent="0.25">
      <c r="A1569" s="99" t="s">
        <v>1754</v>
      </c>
    </row>
    <row r="1570" spans="1:1" x14ac:dyDescent="0.25">
      <c r="A1570" s="137" t="s">
        <v>1755</v>
      </c>
    </row>
    <row r="1571" spans="1:1" x14ac:dyDescent="0.25">
      <c r="A1571" s="99" t="s">
        <v>1756</v>
      </c>
    </row>
    <row r="1572" spans="1:1" x14ac:dyDescent="0.25">
      <c r="A1572" s="27" t="s">
        <v>1757</v>
      </c>
    </row>
    <row r="1573" spans="1:1" x14ac:dyDescent="0.25">
      <c r="A1573" s="137" t="s">
        <v>1758</v>
      </c>
    </row>
    <row r="1574" spans="1:1" x14ac:dyDescent="0.25">
      <c r="A1574" s="137" t="s">
        <v>1759</v>
      </c>
    </row>
    <row r="1575" spans="1:1" x14ac:dyDescent="0.25">
      <c r="A1575" s="137" t="s">
        <v>1760</v>
      </c>
    </row>
    <row r="1576" spans="1:1" x14ac:dyDescent="0.25">
      <c r="A1576" s="137" t="s">
        <v>1761</v>
      </c>
    </row>
    <row r="1577" spans="1:1" x14ac:dyDescent="0.25">
      <c r="A1577" s="137" t="s">
        <v>1762</v>
      </c>
    </row>
    <row r="1578" spans="1:1" x14ac:dyDescent="0.25">
      <c r="A1578" s="99" t="s">
        <v>1763</v>
      </c>
    </row>
    <row r="1579" spans="1:1" x14ac:dyDescent="0.25">
      <c r="A1579" s="99" t="s">
        <v>1764</v>
      </c>
    </row>
    <row r="1580" spans="1:1" x14ac:dyDescent="0.25">
      <c r="A1580" s="137" t="s">
        <v>1765</v>
      </c>
    </row>
    <row r="1581" spans="1:1" x14ac:dyDescent="0.25">
      <c r="A1581" s="99" t="s">
        <v>1766</v>
      </c>
    </row>
    <row r="1582" spans="1:1" x14ac:dyDescent="0.25">
      <c r="A1582" s="99" t="s">
        <v>1767</v>
      </c>
    </row>
    <row r="1583" spans="1:1" x14ac:dyDescent="0.25">
      <c r="A1583" s="99" t="s">
        <v>1768</v>
      </c>
    </row>
    <row r="1584" spans="1:1" x14ac:dyDescent="0.25">
      <c r="A1584" s="137" t="s">
        <v>1769</v>
      </c>
    </row>
    <row r="1585" spans="1:1" x14ac:dyDescent="0.25">
      <c r="A1585" s="137" t="s">
        <v>1770</v>
      </c>
    </row>
    <row r="1586" spans="1:1" x14ac:dyDescent="0.25">
      <c r="A1586" s="137" t="s">
        <v>1771</v>
      </c>
    </row>
    <row r="1587" spans="1:1" x14ac:dyDescent="0.25">
      <c r="A1587" s="137" t="s">
        <v>1772</v>
      </c>
    </row>
    <row r="1588" spans="1:1" x14ac:dyDescent="0.25">
      <c r="A1588" s="137" t="s">
        <v>1773</v>
      </c>
    </row>
    <row r="1589" spans="1:1" x14ac:dyDescent="0.25">
      <c r="A1589" s="99" t="s">
        <v>1774</v>
      </c>
    </row>
    <row r="1590" spans="1:1" x14ac:dyDescent="0.25">
      <c r="A1590" s="99" t="s">
        <v>1775</v>
      </c>
    </row>
    <row r="1591" spans="1:1" x14ac:dyDescent="0.25">
      <c r="A1591" s="137" t="s">
        <v>1776</v>
      </c>
    </row>
    <row r="1592" spans="1:1" x14ac:dyDescent="0.25">
      <c r="A1592" s="137" t="s">
        <v>1777</v>
      </c>
    </row>
    <row r="1593" spans="1:1" x14ac:dyDescent="0.25">
      <c r="A1593" s="137" t="s">
        <v>1778</v>
      </c>
    </row>
    <row r="1594" spans="1:1" x14ac:dyDescent="0.25">
      <c r="A1594" s="137" t="s">
        <v>1779</v>
      </c>
    </row>
    <row r="1595" spans="1:1" x14ac:dyDescent="0.25">
      <c r="A1595" s="137" t="s">
        <v>1780</v>
      </c>
    </row>
    <row r="1596" spans="1:1" x14ac:dyDescent="0.25">
      <c r="A1596" s="137" t="s">
        <v>1781</v>
      </c>
    </row>
    <row r="1597" spans="1:1" x14ac:dyDescent="0.25">
      <c r="A1597" s="99" t="s">
        <v>1782</v>
      </c>
    </row>
    <row r="1598" spans="1:1" x14ac:dyDescent="0.25">
      <c r="A1598" s="99" t="s">
        <v>1783</v>
      </c>
    </row>
    <row r="1599" spans="1:1" x14ac:dyDescent="0.25">
      <c r="A1599" s="137" t="s">
        <v>1784</v>
      </c>
    </row>
    <row r="1600" spans="1:1" x14ac:dyDescent="0.25">
      <c r="A1600" s="137" t="s">
        <v>1785</v>
      </c>
    </row>
    <row r="1601" spans="1:1" x14ac:dyDescent="0.25">
      <c r="A1601" s="137" t="s">
        <v>1786</v>
      </c>
    </row>
    <row r="1602" spans="1:1" x14ac:dyDescent="0.25">
      <c r="A1602" s="137" t="s">
        <v>1787</v>
      </c>
    </row>
    <row r="1603" spans="1:1" x14ac:dyDescent="0.25">
      <c r="A1603" s="137" t="s">
        <v>1788</v>
      </c>
    </row>
    <row r="1604" spans="1:1" x14ac:dyDescent="0.25">
      <c r="A1604" s="99" t="s">
        <v>1789</v>
      </c>
    </row>
    <row r="1605" spans="1:1" x14ac:dyDescent="0.25">
      <c r="A1605" s="99" t="s">
        <v>1790</v>
      </c>
    </row>
    <row r="1606" spans="1:1" x14ac:dyDescent="0.25">
      <c r="A1606" s="99" t="s">
        <v>1791</v>
      </c>
    </row>
    <row r="1607" spans="1:1" x14ac:dyDescent="0.25">
      <c r="A1607" s="99" t="s">
        <v>1792</v>
      </c>
    </row>
    <row r="1608" spans="1:1" x14ac:dyDescent="0.25">
      <c r="A1608" s="27" t="s">
        <v>1793</v>
      </c>
    </row>
    <row r="1609" spans="1:1" x14ac:dyDescent="0.25">
      <c r="A1609" s="99" t="s">
        <v>1794</v>
      </c>
    </row>
    <row r="1610" spans="1:1" x14ac:dyDescent="0.25">
      <c r="A1610" s="137" t="s">
        <v>1795</v>
      </c>
    </row>
    <row r="1611" spans="1:1" x14ac:dyDescent="0.25">
      <c r="A1611" s="137" t="s">
        <v>1796</v>
      </c>
    </row>
    <row r="1612" spans="1:1" x14ac:dyDescent="0.25">
      <c r="A1612" s="137" t="s">
        <v>1797</v>
      </c>
    </row>
    <row r="1613" spans="1:1" x14ac:dyDescent="0.25">
      <c r="A1613" s="99" t="s">
        <v>1798</v>
      </c>
    </row>
    <row r="1614" spans="1:1" x14ac:dyDescent="0.25">
      <c r="A1614" s="99" t="s">
        <v>1799</v>
      </c>
    </row>
    <row r="1615" spans="1:1" x14ac:dyDescent="0.25">
      <c r="A1615" s="99" t="s">
        <v>1800</v>
      </c>
    </row>
    <row r="1616" spans="1:1" x14ac:dyDescent="0.25">
      <c r="A1616" t="s">
        <v>1803</v>
      </c>
    </row>
    <row r="1617" spans="1:1" x14ac:dyDescent="0.25">
      <c r="A1617" t="s">
        <v>1804</v>
      </c>
    </row>
    <row r="1618" spans="1:1" x14ac:dyDescent="0.25">
      <c r="A1618" s="99" t="s">
        <v>1805</v>
      </c>
    </row>
    <row r="1619" spans="1:1" x14ac:dyDescent="0.25">
      <c r="A1619" s="99" t="s">
        <v>1806</v>
      </c>
    </row>
    <row r="1620" spans="1:1" x14ac:dyDescent="0.25">
      <c r="A1620" s="99" t="s">
        <v>1807</v>
      </c>
    </row>
    <row r="1621" spans="1:1" x14ac:dyDescent="0.25">
      <c r="A1621" s="137" t="s">
        <v>1808</v>
      </c>
    </row>
    <row r="1622" spans="1:1" x14ac:dyDescent="0.25">
      <c r="A1622" s="99" t="s">
        <v>1809</v>
      </c>
    </row>
    <row r="1623" spans="1:1" x14ac:dyDescent="0.25">
      <c r="A1623" s="27" t="s">
        <v>1810</v>
      </c>
    </row>
    <row r="1624" spans="1:1" x14ac:dyDescent="0.25">
      <c r="A1624" s="137" t="s">
        <v>1811</v>
      </c>
    </row>
    <row r="1625" spans="1:1" x14ac:dyDescent="0.25">
      <c r="A1625" s="137" t="s">
        <v>1812</v>
      </c>
    </row>
    <row r="1626" spans="1:1" x14ac:dyDescent="0.25">
      <c r="A1626" s="99" t="s">
        <v>1813</v>
      </c>
    </row>
    <row r="1627" spans="1:1" x14ac:dyDescent="0.25">
      <c r="A1627" s="137" t="s">
        <v>1814</v>
      </c>
    </row>
    <row r="1628" spans="1:1" x14ac:dyDescent="0.25">
      <c r="A1628" s="99" t="s">
        <v>1815</v>
      </c>
    </row>
    <row r="1629" spans="1:1" x14ac:dyDescent="0.25">
      <c r="A1629" s="27" t="s">
        <v>1816</v>
      </c>
    </row>
    <row r="1630" spans="1:1" x14ac:dyDescent="0.25">
      <c r="A1630" s="137" t="s">
        <v>1817</v>
      </c>
    </row>
    <row r="1631" spans="1:1" x14ac:dyDescent="0.25">
      <c r="A1631" s="137" t="s">
        <v>1818</v>
      </c>
    </row>
    <row r="1632" spans="1:1" x14ac:dyDescent="0.25">
      <c r="A1632" s="99" t="s">
        <v>1819</v>
      </c>
    </row>
    <row r="1633" spans="1:1" x14ac:dyDescent="0.25">
      <c r="A1633" s="137" t="s">
        <v>1820</v>
      </c>
    </row>
    <row r="1634" spans="1:1" x14ac:dyDescent="0.25">
      <c r="A1634" s="99" t="s">
        <v>1821</v>
      </c>
    </row>
    <row r="1635" spans="1:1" x14ac:dyDescent="0.25">
      <c r="A1635" s="27" t="s">
        <v>1822</v>
      </c>
    </row>
    <row r="1636" spans="1:1" x14ac:dyDescent="0.25">
      <c r="A1636" s="137" t="s">
        <v>1823</v>
      </c>
    </row>
    <row r="1637" spans="1:1" x14ac:dyDescent="0.25">
      <c r="A1637" s="137" t="s">
        <v>1824</v>
      </c>
    </row>
    <row r="1638" spans="1:1" x14ac:dyDescent="0.25">
      <c r="A1638" s="137" t="s">
        <v>1825</v>
      </c>
    </row>
    <row r="1639" spans="1:1" x14ac:dyDescent="0.25">
      <c r="A1639" s="99" t="s">
        <v>1826</v>
      </c>
    </row>
    <row r="1640" spans="1:1" x14ac:dyDescent="0.25">
      <c r="A1640" s="137" t="s">
        <v>1827</v>
      </c>
    </row>
    <row r="1641" spans="1:1" x14ac:dyDescent="0.25">
      <c r="A1641" s="137" t="s">
        <v>1828</v>
      </c>
    </row>
    <row r="1642" spans="1:1" x14ac:dyDescent="0.25">
      <c r="A1642" s="27" t="s">
        <v>1829</v>
      </c>
    </row>
    <row r="1643" spans="1:1" x14ac:dyDescent="0.25">
      <c r="A1643" s="27" t="s">
        <v>1830</v>
      </c>
    </row>
    <row r="1644" spans="1:1" x14ac:dyDescent="0.25">
      <c r="A1644" s="27" t="s">
        <v>1831</v>
      </c>
    </row>
    <row r="1645" spans="1:1" x14ac:dyDescent="0.25">
      <c r="A1645" s="137" t="s">
        <v>1832</v>
      </c>
    </row>
    <row r="1646" spans="1:1" x14ac:dyDescent="0.25">
      <c r="A1646" s="99" t="s">
        <v>1833</v>
      </c>
    </row>
    <row r="1647" spans="1:1" x14ac:dyDescent="0.25">
      <c r="A1647" s="137" t="s">
        <v>1834</v>
      </c>
    </row>
    <row r="1648" spans="1:1" x14ac:dyDescent="0.25">
      <c r="A1648" s="137" t="s">
        <v>1835</v>
      </c>
    </row>
    <row r="1649" spans="1:1" x14ac:dyDescent="0.25">
      <c r="A1649" s="27" t="s">
        <v>1836</v>
      </c>
    </row>
    <row r="1650" spans="1:1" x14ac:dyDescent="0.25">
      <c r="A1650" s="27" t="s">
        <v>1837</v>
      </c>
    </row>
    <row r="1651" spans="1:1" x14ac:dyDescent="0.25">
      <c r="A1651" s="27" t="s">
        <v>1838</v>
      </c>
    </row>
    <row r="1652" spans="1:1" x14ac:dyDescent="0.25">
      <c r="A1652" s="137" t="s">
        <v>1839</v>
      </c>
    </row>
    <row r="1653" spans="1:1" x14ac:dyDescent="0.25">
      <c r="A1653" s="137" t="s">
        <v>1840</v>
      </c>
    </row>
    <row r="1654" spans="1:1" x14ac:dyDescent="0.25">
      <c r="A1654" s="137" t="s">
        <v>1841</v>
      </c>
    </row>
    <row r="1655" spans="1:1" x14ac:dyDescent="0.25">
      <c r="A1655" s="99" t="s">
        <v>1842</v>
      </c>
    </row>
    <row r="1656" spans="1:1" x14ac:dyDescent="0.25">
      <c r="A1656" s="99" t="s">
        <v>1843</v>
      </c>
    </row>
    <row r="1657" spans="1:1" x14ac:dyDescent="0.25">
      <c r="A1657" s="137" t="s">
        <v>1844</v>
      </c>
    </row>
    <row r="1658" spans="1:1" x14ac:dyDescent="0.25">
      <c r="A1658" s="99" t="s">
        <v>1845</v>
      </c>
    </row>
    <row r="1659" spans="1:1" x14ac:dyDescent="0.25">
      <c r="A1659" s="99" t="s">
        <v>1846</v>
      </c>
    </row>
    <row r="1660" spans="1:1" x14ac:dyDescent="0.25">
      <c r="A1660" s="99" t="s">
        <v>1847</v>
      </c>
    </row>
    <row r="1661" spans="1:1" x14ac:dyDescent="0.25">
      <c r="A1661" s="27" t="s">
        <v>1848</v>
      </c>
    </row>
    <row r="1662" spans="1:1" x14ac:dyDescent="0.25">
      <c r="A1662" s="99" t="s">
        <v>1849</v>
      </c>
    </row>
    <row r="1663" spans="1:1" x14ac:dyDescent="0.25">
      <c r="A1663" s="137" t="s">
        <v>1850</v>
      </c>
    </row>
    <row r="1664" spans="1:1" x14ac:dyDescent="0.25">
      <c r="A1664" s="99" t="s">
        <v>1851</v>
      </c>
    </row>
    <row r="1665" spans="1:1" x14ac:dyDescent="0.25">
      <c r="A1665" s="137" t="s">
        <v>1852</v>
      </c>
    </row>
    <row r="1666" spans="1:1" x14ac:dyDescent="0.25">
      <c r="A1666" s="137" t="s">
        <v>1853</v>
      </c>
    </row>
    <row r="1667" spans="1:1" x14ac:dyDescent="0.25">
      <c r="A1667" s="99" t="s">
        <v>1854</v>
      </c>
    </row>
    <row r="1668" spans="1:1" x14ac:dyDescent="0.25">
      <c r="A1668" s="99" t="s">
        <v>1855</v>
      </c>
    </row>
    <row r="1669" spans="1:1" x14ac:dyDescent="0.25">
      <c r="A1669" s="27" t="s">
        <v>1856</v>
      </c>
    </row>
    <row r="1670" spans="1:1" x14ac:dyDescent="0.25">
      <c r="A1670" s="99" t="s">
        <v>1857</v>
      </c>
    </row>
    <row r="1671" spans="1:1" x14ac:dyDescent="0.25">
      <c r="A1671" s="137" t="s">
        <v>1858</v>
      </c>
    </row>
    <row r="1672" spans="1:1" x14ac:dyDescent="0.25">
      <c r="A1672" s="99" t="s">
        <v>1859</v>
      </c>
    </row>
    <row r="1673" spans="1:1" x14ac:dyDescent="0.25">
      <c r="A1673" s="137" t="s">
        <v>1860</v>
      </c>
    </row>
    <row r="1674" spans="1:1" x14ac:dyDescent="0.25">
      <c r="A1674" s="137" t="s">
        <v>1861</v>
      </c>
    </row>
    <row r="1675" spans="1:1" x14ac:dyDescent="0.25">
      <c r="A1675" s="137" t="s">
        <v>1862</v>
      </c>
    </row>
    <row r="1676" spans="1:1" x14ac:dyDescent="0.25">
      <c r="A1676" s="137" t="s">
        <v>1863</v>
      </c>
    </row>
    <row r="1677" spans="1:1" x14ac:dyDescent="0.25">
      <c r="A1677" s="137" t="s">
        <v>1864</v>
      </c>
    </row>
    <row r="1678" spans="1:1" x14ac:dyDescent="0.25">
      <c r="A1678" s="99" t="s">
        <v>1865</v>
      </c>
    </row>
    <row r="1679" spans="1:1" x14ac:dyDescent="0.25">
      <c r="A1679" s="99" t="s">
        <v>1866</v>
      </c>
    </row>
    <row r="1680" spans="1:1" x14ac:dyDescent="0.25">
      <c r="A1680" s="137" t="s">
        <v>1867</v>
      </c>
    </row>
    <row r="1681" spans="1:1" x14ac:dyDescent="0.25">
      <c r="A1681" s="137" t="s">
        <v>1868</v>
      </c>
    </row>
    <row r="1682" spans="1:1" x14ac:dyDescent="0.25">
      <c r="A1682" s="137" t="s">
        <v>1869</v>
      </c>
    </row>
    <row r="1683" spans="1:1" x14ac:dyDescent="0.25">
      <c r="A1683" s="137" t="s">
        <v>1870</v>
      </c>
    </row>
    <row r="1684" spans="1:1" x14ac:dyDescent="0.25">
      <c r="A1684" s="99" t="s">
        <v>1871</v>
      </c>
    </row>
    <row r="1685" spans="1:1" x14ac:dyDescent="0.25">
      <c r="A1685" s="99" t="s">
        <v>1872</v>
      </c>
    </row>
    <row r="1686" spans="1:1" x14ac:dyDescent="0.25">
      <c r="A1686" s="137" t="s">
        <v>1873</v>
      </c>
    </row>
    <row r="1687" spans="1:1" x14ac:dyDescent="0.25">
      <c r="A1687" s="137" t="s">
        <v>1874</v>
      </c>
    </row>
    <row r="1688" spans="1:1" x14ac:dyDescent="0.25">
      <c r="A1688" s="137" t="s">
        <v>1875</v>
      </c>
    </row>
    <row r="1689" spans="1:1" x14ac:dyDescent="0.25">
      <c r="A1689" s="137" t="s">
        <v>1876</v>
      </c>
    </row>
    <row r="1690" spans="1:1" x14ac:dyDescent="0.25">
      <c r="A1690" s="99" t="s">
        <v>1877</v>
      </c>
    </row>
    <row r="1691" spans="1:1" x14ac:dyDescent="0.25">
      <c r="A1691" s="99" t="s">
        <v>1878</v>
      </c>
    </row>
    <row r="1692" spans="1:1" x14ac:dyDescent="0.25">
      <c r="A1692" s="137" t="s">
        <v>1879</v>
      </c>
    </row>
    <row r="1693" spans="1:1" x14ac:dyDescent="0.25">
      <c r="A1693" s="137" t="s">
        <v>1880</v>
      </c>
    </row>
    <row r="1694" spans="1:1" x14ac:dyDescent="0.25">
      <c r="A1694" s="137" t="s">
        <v>1881</v>
      </c>
    </row>
    <row r="1695" spans="1:1" x14ac:dyDescent="0.25">
      <c r="A1695" s="137" t="s">
        <v>1882</v>
      </c>
    </row>
    <row r="1696" spans="1:1" x14ac:dyDescent="0.25">
      <c r="A1696" s="99" t="s">
        <v>1883</v>
      </c>
    </row>
    <row r="1697" spans="1:1" x14ac:dyDescent="0.25">
      <c r="A1697" s="99" t="s">
        <v>1884</v>
      </c>
    </row>
    <row r="1698" spans="1:1" x14ac:dyDescent="0.25">
      <c r="A1698" s="137" t="s">
        <v>1885</v>
      </c>
    </row>
    <row r="1699" spans="1:1" x14ac:dyDescent="0.25">
      <c r="A1699" s="137" t="s">
        <v>1886</v>
      </c>
    </row>
    <row r="1700" spans="1:1" x14ac:dyDescent="0.25">
      <c r="A1700" s="137" t="s">
        <v>1887</v>
      </c>
    </row>
    <row r="1701" spans="1:1" x14ac:dyDescent="0.25">
      <c r="A1701" s="137" t="s">
        <v>1888</v>
      </c>
    </row>
    <row r="1702" spans="1:1" x14ac:dyDescent="0.25">
      <c r="A1702" s="99" t="s">
        <v>1889</v>
      </c>
    </row>
    <row r="1703" spans="1:1" x14ac:dyDescent="0.25">
      <c r="A1703" s="99" t="s">
        <v>1890</v>
      </c>
    </row>
    <row r="1704" spans="1:1" x14ac:dyDescent="0.25">
      <c r="A1704" s="137" t="s">
        <v>1891</v>
      </c>
    </row>
    <row r="1705" spans="1:1" x14ac:dyDescent="0.25">
      <c r="A1705" s="137" t="s">
        <v>1892</v>
      </c>
    </row>
    <row r="1706" spans="1:1" x14ac:dyDescent="0.25">
      <c r="A1706" s="137" t="s">
        <v>1893</v>
      </c>
    </row>
    <row r="1707" spans="1:1" x14ac:dyDescent="0.25">
      <c r="A1707" s="137" t="s">
        <v>1894</v>
      </c>
    </row>
    <row r="1708" spans="1:1" x14ac:dyDescent="0.25">
      <c r="A1708" s="99" t="s">
        <v>1895</v>
      </c>
    </row>
    <row r="1709" spans="1:1" x14ac:dyDescent="0.25">
      <c r="A1709" s="99" t="s">
        <v>1896</v>
      </c>
    </row>
    <row r="1710" spans="1:1" x14ac:dyDescent="0.25">
      <c r="A1710" s="137" t="s">
        <v>1897</v>
      </c>
    </row>
    <row r="1711" spans="1:1" x14ac:dyDescent="0.25">
      <c r="A1711" s="137" t="s">
        <v>1898</v>
      </c>
    </row>
    <row r="1712" spans="1:1" x14ac:dyDescent="0.25">
      <c r="A1712" s="137" t="s">
        <v>1899</v>
      </c>
    </row>
    <row r="1713" spans="1:1" x14ac:dyDescent="0.25">
      <c r="A1713" s="137" t="s">
        <v>1900</v>
      </c>
    </row>
    <row r="1714" spans="1:1" x14ac:dyDescent="0.25">
      <c r="A1714" s="99" t="s">
        <v>1901</v>
      </c>
    </row>
    <row r="1715" spans="1:1" x14ac:dyDescent="0.25">
      <c r="A1715" s="99" t="s">
        <v>1902</v>
      </c>
    </row>
    <row r="1716" spans="1:1" x14ac:dyDescent="0.25">
      <c r="A1716" s="137" t="s">
        <v>1903</v>
      </c>
    </row>
    <row r="1717" spans="1:1" x14ac:dyDescent="0.25">
      <c r="A1717" s="137" t="s">
        <v>1904</v>
      </c>
    </row>
    <row r="1718" spans="1:1" x14ac:dyDescent="0.25">
      <c r="A1718" s="137" t="s">
        <v>1905</v>
      </c>
    </row>
    <row r="1719" spans="1:1" x14ac:dyDescent="0.25">
      <c r="A1719" s="137" t="s">
        <v>1906</v>
      </c>
    </row>
    <row r="1720" spans="1:1" x14ac:dyDescent="0.25">
      <c r="A1720" s="99" t="s">
        <v>1907</v>
      </c>
    </row>
    <row r="1721" spans="1:1" x14ac:dyDescent="0.25">
      <c r="A1721" s="99" t="s">
        <v>1908</v>
      </c>
    </row>
    <row r="1722" spans="1:1" x14ac:dyDescent="0.25">
      <c r="A1722" s="137" t="s">
        <v>1909</v>
      </c>
    </row>
    <row r="1723" spans="1:1" x14ac:dyDescent="0.25">
      <c r="A1723" s="137" t="s">
        <v>1910</v>
      </c>
    </row>
    <row r="1724" spans="1:1" x14ac:dyDescent="0.25">
      <c r="A1724" s="137" t="s">
        <v>1911</v>
      </c>
    </row>
    <row r="1725" spans="1:1" x14ac:dyDescent="0.25">
      <c r="A1725" s="137" t="s">
        <v>1912</v>
      </c>
    </row>
    <row r="1726" spans="1:1" x14ac:dyDescent="0.25">
      <c r="A1726" s="99" t="s">
        <v>1913</v>
      </c>
    </row>
    <row r="1727" spans="1:1" x14ac:dyDescent="0.25">
      <c r="A1727" s="99" t="s">
        <v>1914</v>
      </c>
    </row>
    <row r="1728" spans="1:1" x14ac:dyDescent="0.25">
      <c r="A1728" s="137" t="s">
        <v>1915</v>
      </c>
    </row>
    <row r="1729" spans="1:1" x14ac:dyDescent="0.25">
      <c r="A1729" s="99" t="s">
        <v>1916</v>
      </c>
    </row>
    <row r="1730" spans="1:1" x14ac:dyDescent="0.25">
      <c r="A1730" s="99" t="s">
        <v>1917</v>
      </c>
    </row>
    <row r="1731" spans="1:1" x14ac:dyDescent="0.25">
      <c r="A1731" s="99" t="s">
        <v>1918</v>
      </c>
    </row>
    <row r="1732" spans="1:1" x14ac:dyDescent="0.25">
      <c r="A1732" s="99" t="s">
        <v>1919</v>
      </c>
    </row>
    <row r="1733" spans="1:1" x14ac:dyDescent="0.25">
      <c r="A1733" s="99" t="s">
        <v>1920</v>
      </c>
    </row>
    <row r="1734" spans="1:1" x14ac:dyDescent="0.25">
      <c r="A1734" s="99" t="s">
        <v>1921</v>
      </c>
    </row>
    <row r="1735" spans="1:1" x14ac:dyDescent="0.25">
      <c r="A1735" s="27" t="s">
        <v>1922</v>
      </c>
    </row>
    <row r="1736" spans="1:1" x14ac:dyDescent="0.25">
      <c r="A1736" s="137" t="s">
        <v>1923</v>
      </c>
    </row>
    <row r="1737" spans="1:1" x14ac:dyDescent="0.25">
      <c r="A1737" s="99" t="s">
        <v>1924</v>
      </c>
    </row>
    <row r="1738" spans="1:1" x14ac:dyDescent="0.25">
      <c r="A1738" s="137" t="s">
        <v>1925</v>
      </c>
    </row>
    <row r="1739" spans="1:1" x14ac:dyDescent="0.25">
      <c r="A1739" s="137" t="s">
        <v>1926</v>
      </c>
    </row>
    <row r="1740" spans="1:1" x14ac:dyDescent="0.25">
      <c r="A1740" s="27" t="s">
        <v>1927</v>
      </c>
    </row>
    <row r="1741" spans="1:1" x14ac:dyDescent="0.25">
      <c r="A1741" s="27" t="s">
        <v>1928</v>
      </c>
    </row>
    <row r="1742" spans="1:1" x14ac:dyDescent="0.25">
      <c r="A1742" s="27" t="s">
        <v>1929</v>
      </c>
    </row>
    <row r="1743" spans="1:1" x14ac:dyDescent="0.25">
      <c r="A1743" s="137" t="s">
        <v>1930</v>
      </c>
    </row>
    <row r="1744" spans="1:1" x14ac:dyDescent="0.25">
      <c r="A1744" s="99" t="s">
        <v>1931</v>
      </c>
    </row>
    <row r="1745" spans="1:1" x14ac:dyDescent="0.25">
      <c r="A1745" s="137" t="s">
        <v>1932</v>
      </c>
    </row>
    <row r="1746" spans="1:1" x14ac:dyDescent="0.25">
      <c r="A1746" s="137" t="s">
        <v>1933</v>
      </c>
    </row>
    <row r="1747" spans="1:1" x14ac:dyDescent="0.25">
      <c r="A1747" s="27" t="s">
        <v>1934</v>
      </c>
    </row>
    <row r="1748" spans="1:1" x14ac:dyDescent="0.25">
      <c r="A1748" s="27" t="s">
        <v>1935</v>
      </c>
    </row>
    <row r="1749" spans="1:1" x14ac:dyDescent="0.25">
      <c r="A1749" s="27" t="s">
        <v>1936</v>
      </c>
    </row>
    <row r="1750" spans="1:1" x14ac:dyDescent="0.25">
      <c r="A1750" s="99" t="s">
        <v>1937</v>
      </c>
    </row>
    <row r="1751" spans="1:1" x14ac:dyDescent="0.25">
      <c r="A1751" s="137" t="s">
        <v>1938</v>
      </c>
    </row>
    <row r="1752" spans="1:1" x14ac:dyDescent="0.25">
      <c r="A1752" s="99" t="s">
        <v>1939</v>
      </c>
    </row>
    <row r="1753" spans="1:1" x14ac:dyDescent="0.25">
      <c r="A1753" s="137" t="s">
        <v>1940</v>
      </c>
    </row>
    <row r="1754" spans="1:1" x14ac:dyDescent="0.25">
      <c r="A1754" s="137" t="s">
        <v>1941</v>
      </c>
    </row>
    <row r="1755" spans="1:1" x14ac:dyDescent="0.25">
      <c r="A1755" s="99" t="s">
        <v>1942</v>
      </c>
    </row>
    <row r="1756" spans="1:1" x14ac:dyDescent="0.25">
      <c r="A1756" s="99" t="s">
        <v>1943</v>
      </c>
    </row>
    <row r="1757" spans="1:1" x14ac:dyDescent="0.25">
      <c r="A1757" s="27" t="s">
        <v>1944</v>
      </c>
    </row>
    <row r="1758" spans="1:1" x14ac:dyDescent="0.25">
      <c r="A1758" s="99" t="s">
        <v>1945</v>
      </c>
    </row>
    <row r="1759" spans="1:1" x14ac:dyDescent="0.25">
      <c r="A1759" s="137" t="s">
        <v>1946</v>
      </c>
    </row>
    <row r="1760" spans="1:1" x14ac:dyDescent="0.25">
      <c r="A1760" s="99" t="s">
        <v>1947</v>
      </c>
    </row>
    <row r="1761" spans="1:1" x14ac:dyDescent="0.25">
      <c r="A1761" s="137" t="s">
        <v>1948</v>
      </c>
    </row>
    <row r="1762" spans="1:1" x14ac:dyDescent="0.25">
      <c r="A1762" s="137" t="s">
        <v>1949</v>
      </c>
    </row>
    <row r="1763" spans="1:1" x14ac:dyDescent="0.25">
      <c r="A1763" s="99" t="s">
        <v>1950</v>
      </c>
    </row>
    <row r="1764" spans="1:1" x14ac:dyDescent="0.25">
      <c r="A1764" s="99" t="s">
        <v>1951</v>
      </c>
    </row>
    <row r="1765" spans="1:1" x14ac:dyDescent="0.25">
      <c r="A1765" s="99" t="s">
        <v>1952</v>
      </c>
    </row>
    <row r="1766" spans="1:1" x14ac:dyDescent="0.25">
      <c r="A1766" s="99" t="s">
        <v>1953</v>
      </c>
    </row>
    <row r="1767" spans="1:1" x14ac:dyDescent="0.25">
      <c r="A1767" s="99" t="s">
        <v>1954</v>
      </c>
    </row>
    <row r="1768" spans="1:1" x14ac:dyDescent="0.25">
      <c r="A1768" s="99" t="s">
        <v>1955</v>
      </c>
    </row>
    <row r="1769" spans="1:1" x14ac:dyDescent="0.25">
      <c r="A1769" s="27" t="s">
        <v>1956</v>
      </c>
    </row>
    <row r="1770" spans="1:1" x14ac:dyDescent="0.25">
      <c r="A1770" s="137" t="s">
        <v>1957</v>
      </c>
    </row>
    <row r="1771" spans="1:1" x14ac:dyDescent="0.25">
      <c r="A1771" s="99" t="s">
        <v>1958</v>
      </c>
    </row>
    <row r="1772" spans="1:1" x14ac:dyDescent="0.25">
      <c r="A1772" s="137" t="s">
        <v>1959</v>
      </c>
    </row>
    <row r="1773" spans="1:1" x14ac:dyDescent="0.25">
      <c r="A1773" s="137" t="s">
        <v>1960</v>
      </c>
    </row>
    <row r="1774" spans="1:1" x14ac:dyDescent="0.25">
      <c r="A1774" s="27" t="s">
        <v>1961</v>
      </c>
    </row>
    <row r="1775" spans="1:1" x14ac:dyDescent="0.25">
      <c r="A1775" s="27" t="s">
        <v>1962</v>
      </c>
    </row>
    <row r="1776" spans="1:1" x14ac:dyDescent="0.25">
      <c r="A1776" s="27" t="s">
        <v>1963</v>
      </c>
    </row>
    <row r="1777" spans="1:1" x14ac:dyDescent="0.25">
      <c r="A1777" s="137" t="s">
        <v>1964</v>
      </c>
    </row>
    <row r="1778" spans="1:1" x14ac:dyDescent="0.25">
      <c r="A1778" s="99" t="s">
        <v>1965</v>
      </c>
    </row>
    <row r="1779" spans="1:1" x14ac:dyDescent="0.25">
      <c r="A1779" s="137" t="s">
        <v>1966</v>
      </c>
    </row>
    <row r="1780" spans="1:1" x14ac:dyDescent="0.25">
      <c r="A1780" s="137" t="s">
        <v>1967</v>
      </c>
    </row>
    <row r="1781" spans="1:1" x14ac:dyDescent="0.25">
      <c r="A1781" s="27" t="s">
        <v>1968</v>
      </c>
    </row>
    <row r="1782" spans="1:1" x14ac:dyDescent="0.25">
      <c r="A1782" s="27" t="s">
        <v>1969</v>
      </c>
    </row>
    <row r="1783" spans="1:1" x14ac:dyDescent="0.25">
      <c r="A1783" s="27" t="s">
        <v>1970</v>
      </c>
    </row>
    <row r="1784" spans="1:1" x14ac:dyDescent="0.25">
      <c r="A1784" s="99" t="s">
        <v>1971</v>
      </c>
    </row>
    <row r="1785" spans="1:1" x14ac:dyDescent="0.25">
      <c r="A1785" s="137" t="s">
        <v>1972</v>
      </c>
    </row>
    <row r="1786" spans="1:1" x14ac:dyDescent="0.25">
      <c r="A1786" s="99" t="s">
        <v>1973</v>
      </c>
    </row>
    <row r="1787" spans="1:1" x14ac:dyDescent="0.25">
      <c r="A1787" s="137" t="s">
        <v>1974</v>
      </c>
    </row>
    <row r="1788" spans="1:1" x14ac:dyDescent="0.25">
      <c r="A1788" s="137" t="s">
        <v>1975</v>
      </c>
    </row>
    <row r="1789" spans="1:1" x14ac:dyDescent="0.25">
      <c r="A1789" s="99" t="s">
        <v>1976</v>
      </c>
    </row>
    <row r="1790" spans="1:1" x14ac:dyDescent="0.25">
      <c r="A1790" s="99" t="s">
        <v>1977</v>
      </c>
    </row>
    <row r="1791" spans="1:1" x14ac:dyDescent="0.25">
      <c r="A1791" s="27" t="s">
        <v>1978</v>
      </c>
    </row>
    <row r="1792" spans="1:1" x14ac:dyDescent="0.25">
      <c r="A1792" s="99" t="s">
        <v>1979</v>
      </c>
    </row>
    <row r="1793" spans="1:1" x14ac:dyDescent="0.25">
      <c r="A1793" s="137" t="s">
        <v>1980</v>
      </c>
    </row>
    <row r="1794" spans="1:1" x14ac:dyDescent="0.25">
      <c r="A1794" s="99" t="s">
        <v>1981</v>
      </c>
    </row>
    <row r="1795" spans="1:1" x14ac:dyDescent="0.25">
      <c r="A1795" s="137" t="s">
        <v>1982</v>
      </c>
    </row>
    <row r="1796" spans="1:1" x14ac:dyDescent="0.25">
      <c r="A1796" s="137" t="s">
        <v>1983</v>
      </c>
    </row>
    <row r="1797" spans="1:1" x14ac:dyDescent="0.25">
      <c r="A1797" s="137" t="s">
        <v>1984</v>
      </c>
    </row>
    <row r="1798" spans="1:1" x14ac:dyDescent="0.25">
      <c r="A1798" s="137" t="s">
        <v>1985</v>
      </c>
    </row>
    <row r="1799" spans="1:1" x14ac:dyDescent="0.25">
      <c r="A1799" s="137" t="s">
        <v>1986</v>
      </c>
    </row>
    <row r="1800" spans="1:1" x14ac:dyDescent="0.25">
      <c r="A1800" s="99" t="s">
        <v>1987</v>
      </c>
    </row>
    <row r="1801" spans="1:1" x14ac:dyDescent="0.25">
      <c r="A1801" s="99" t="s">
        <v>1988</v>
      </c>
    </row>
    <row r="1802" spans="1:1" x14ac:dyDescent="0.25">
      <c r="A1802" s="137" t="s">
        <v>1989</v>
      </c>
    </row>
    <row r="1803" spans="1:1" x14ac:dyDescent="0.25">
      <c r="A1803" s="137" t="s">
        <v>1990</v>
      </c>
    </row>
    <row r="1804" spans="1:1" x14ac:dyDescent="0.25">
      <c r="A1804" s="137" t="s">
        <v>1991</v>
      </c>
    </row>
    <row r="1805" spans="1:1" x14ac:dyDescent="0.25">
      <c r="A1805" s="137" t="s">
        <v>1992</v>
      </c>
    </row>
    <row r="1806" spans="1:1" x14ac:dyDescent="0.25">
      <c r="A1806" s="99" t="s">
        <v>1993</v>
      </c>
    </row>
    <row r="1807" spans="1:1" x14ac:dyDescent="0.25">
      <c r="A1807" s="99" t="s">
        <v>1994</v>
      </c>
    </row>
    <row r="1808" spans="1:1" x14ac:dyDescent="0.25">
      <c r="A1808" s="137" t="s">
        <v>1995</v>
      </c>
    </row>
    <row r="1809" spans="1:1" x14ac:dyDescent="0.25">
      <c r="A1809" s="137" t="s">
        <v>1996</v>
      </c>
    </row>
    <row r="1810" spans="1:1" x14ac:dyDescent="0.25">
      <c r="A1810" s="137" t="s">
        <v>1997</v>
      </c>
    </row>
    <row r="1811" spans="1:1" x14ac:dyDescent="0.25">
      <c r="A1811" s="137" t="s">
        <v>1998</v>
      </c>
    </row>
    <row r="1812" spans="1:1" x14ac:dyDescent="0.25">
      <c r="A1812" s="99" t="s">
        <v>1999</v>
      </c>
    </row>
    <row r="1813" spans="1:1" x14ac:dyDescent="0.25">
      <c r="A1813" s="99" t="s">
        <v>2000</v>
      </c>
    </row>
    <row r="1814" spans="1:1" x14ac:dyDescent="0.25">
      <c r="A1814" s="137" t="s">
        <v>2001</v>
      </c>
    </row>
    <row r="1815" spans="1:1" x14ac:dyDescent="0.25">
      <c r="A1815" s="137" t="s">
        <v>2002</v>
      </c>
    </row>
    <row r="1816" spans="1:1" x14ac:dyDescent="0.25">
      <c r="A1816" s="137" t="s">
        <v>2003</v>
      </c>
    </row>
    <row r="1817" spans="1:1" x14ac:dyDescent="0.25">
      <c r="A1817" s="137" t="s">
        <v>2004</v>
      </c>
    </row>
    <row r="1818" spans="1:1" x14ac:dyDescent="0.25">
      <c r="A1818" s="99" t="s">
        <v>2005</v>
      </c>
    </row>
    <row r="1819" spans="1:1" x14ac:dyDescent="0.25">
      <c r="A1819" s="99" t="s">
        <v>2006</v>
      </c>
    </row>
    <row r="1820" spans="1:1" x14ac:dyDescent="0.25">
      <c r="A1820" s="137" t="s">
        <v>2007</v>
      </c>
    </row>
    <row r="1821" spans="1:1" x14ac:dyDescent="0.25">
      <c r="A1821" s="137" t="s">
        <v>2008</v>
      </c>
    </row>
    <row r="1822" spans="1:1" x14ac:dyDescent="0.25">
      <c r="A1822" s="137" t="s">
        <v>2009</v>
      </c>
    </row>
    <row r="1823" spans="1:1" x14ac:dyDescent="0.25">
      <c r="A1823" s="137" t="s">
        <v>2010</v>
      </c>
    </row>
    <row r="1824" spans="1:1" x14ac:dyDescent="0.25">
      <c r="A1824" s="99" t="s">
        <v>2011</v>
      </c>
    </row>
    <row r="1825" spans="1:1" x14ac:dyDescent="0.25">
      <c r="A1825" s="99" t="s">
        <v>2012</v>
      </c>
    </row>
    <row r="1826" spans="1:1" x14ac:dyDescent="0.25">
      <c r="A1826" s="137" t="s">
        <v>2013</v>
      </c>
    </row>
    <row r="1827" spans="1:1" x14ac:dyDescent="0.25">
      <c r="A1827" s="137" t="s">
        <v>2014</v>
      </c>
    </row>
    <row r="1828" spans="1:1" x14ac:dyDescent="0.25">
      <c r="A1828" s="137" t="s">
        <v>2015</v>
      </c>
    </row>
    <row r="1829" spans="1:1" x14ac:dyDescent="0.25">
      <c r="A1829" s="137" t="s">
        <v>2016</v>
      </c>
    </row>
    <row r="1830" spans="1:1" x14ac:dyDescent="0.25">
      <c r="A1830" s="99" t="s">
        <v>2017</v>
      </c>
    </row>
    <row r="1831" spans="1:1" x14ac:dyDescent="0.25">
      <c r="A1831" s="99" t="s">
        <v>2018</v>
      </c>
    </row>
    <row r="1832" spans="1:1" x14ac:dyDescent="0.25">
      <c r="A1832" s="137" t="s">
        <v>2019</v>
      </c>
    </row>
    <row r="1833" spans="1:1" x14ac:dyDescent="0.25">
      <c r="A1833" s="137" t="s">
        <v>2020</v>
      </c>
    </row>
    <row r="1834" spans="1:1" x14ac:dyDescent="0.25">
      <c r="A1834" s="137" t="s">
        <v>2021</v>
      </c>
    </row>
    <row r="1835" spans="1:1" x14ac:dyDescent="0.25">
      <c r="A1835" s="137" t="s">
        <v>2022</v>
      </c>
    </row>
    <row r="1836" spans="1:1" x14ac:dyDescent="0.25">
      <c r="A1836" s="99" t="s">
        <v>2023</v>
      </c>
    </row>
    <row r="1837" spans="1:1" x14ac:dyDescent="0.25">
      <c r="A1837" s="99" t="s">
        <v>2024</v>
      </c>
    </row>
    <row r="1838" spans="1:1" x14ac:dyDescent="0.25">
      <c r="A1838" s="137" t="s">
        <v>2025</v>
      </c>
    </row>
    <row r="1839" spans="1:1" x14ac:dyDescent="0.25">
      <c r="A1839" s="137" t="s">
        <v>2026</v>
      </c>
    </row>
    <row r="1840" spans="1:1" x14ac:dyDescent="0.25">
      <c r="A1840" s="137" t="s">
        <v>2027</v>
      </c>
    </row>
    <row r="1841" spans="1:1" x14ac:dyDescent="0.25">
      <c r="A1841" s="137" t="s">
        <v>2028</v>
      </c>
    </row>
    <row r="1842" spans="1:1" x14ac:dyDescent="0.25">
      <c r="A1842" s="99" t="s">
        <v>2029</v>
      </c>
    </row>
    <row r="1843" spans="1:1" x14ac:dyDescent="0.25">
      <c r="A1843" s="99" t="s">
        <v>2030</v>
      </c>
    </row>
    <row r="1844" spans="1:1" x14ac:dyDescent="0.25">
      <c r="A1844" s="137" t="s">
        <v>2031</v>
      </c>
    </row>
    <row r="1845" spans="1:1" x14ac:dyDescent="0.25">
      <c r="A1845" s="137" t="s">
        <v>2032</v>
      </c>
    </row>
    <row r="1846" spans="1:1" x14ac:dyDescent="0.25">
      <c r="A1846" s="137" t="s">
        <v>2033</v>
      </c>
    </row>
    <row r="1847" spans="1:1" x14ac:dyDescent="0.25">
      <c r="A1847" s="137" t="s">
        <v>2034</v>
      </c>
    </row>
    <row r="1848" spans="1:1" x14ac:dyDescent="0.25">
      <c r="A1848" s="99" t="s">
        <v>2035</v>
      </c>
    </row>
    <row r="1849" spans="1:1" x14ac:dyDescent="0.25">
      <c r="A1849" s="99" t="s">
        <v>2036</v>
      </c>
    </row>
    <row r="1850" spans="1:1" x14ac:dyDescent="0.25">
      <c r="A1850" s="137" t="s">
        <v>2037</v>
      </c>
    </row>
    <row r="1851" spans="1:1" x14ac:dyDescent="0.25">
      <c r="A1851" s="99" t="s">
        <v>2038</v>
      </c>
    </row>
    <row r="1852" spans="1:1" x14ac:dyDescent="0.25">
      <c r="A1852" s="99" t="s">
        <v>2039</v>
      </c>
    </row>
    <row r="1853" spans="1:1" x14ac:dyDescent="0.25">
      <c r="A1853" s="99" t="s">
        <v>2040</v>
      </c>
    </row>
    <row r="1854" spans="1:1" x14ac:dyDescent="0.25">
      <c r="A1854" s="27" t="s">
        <v>2041</v>
      </c>
    </row>
    <row r="1855" spans="1:1" x14ac:dyDescent="0.25">
      <c r="A1855" s="137" t="s">
        <v>2042</v>
      </c>
    </row>
    <row r="1856" spans="1:1" x14ac:dyDescent="0.25">
      <c r="A1856" s="99" t="s">
        <v>2043</v>
      </c>
    </row>
    <row r="1857" spans="1:1" x14ac:dyDescent="0.25">
      <c r="A1857" s="137" t="s">
        <v>2044</v>
      </c>
    </row>
    <row r="1858" spans="1:1" x14ac:dyDescent="0.25">
      <c r="A1858" s="137" t="s">
        <v>2045</v>
      </c>
    </row>
    <row r="1859" spans="1:1" x14ac:dyDescent="0.25">
      <c r="A1859" s="27" t="s">
        <v>2046</v>
      </c>
    </row>
    <row r="1860" spans="1:1" x14ac:dyDescent="0.25">
      <c r="A1860" s="27" t="s">
        <v>2047</v>
      </c>
    </row>
    <row r="1861" spans="1:1" x14ac:dyDescent="0.25">
      <c r="A1861" s="27" t="s">
        <v>2048</v>
      </c>
    </row>
    <row r="1862" spans="1:1" x14ac:dyDescent="0.25">
      <c r="A1862" s="99" t="s">
        <v>2049</v>
      </c>
    </row>
    <row r="1863" spans="1:1" x14ac:dyDescent="0.25">
      <c r="A1863" s="137" t="s">
        <v>2050</v>
      </c>
    </row>
    <row r="1864" spans="1:1" x14ac:dyDescent="0.25">
      <c r="A1864" s="99" t="s">
        <v>2051</v>
      </c>
    </row>
    <row r="1865" spans="1:1" x14ac:dyDescent="0.25">
      <c r="A1865" s="137" t="s">
        <v>2052</v>
      </c>
    </row>
    <row r="1866" spans="1:1" x14ac:dyDescent="0.25">
      <c r="A1866" s="137" t="s">
        <v>2053</v>
      </c>
    </row>
    <row r="1867" spans="1:1" x14ac:dyDescent="0.25">
      <c r="A1867" s="99" t="s">
        <v>2054</v>
      </c>
    </row>
    <row r="1868" spans="1:1" x14ac:dyDescent="0.25">
      <c r="A1868" s="99" t="s">
        <v>2055</v>
      </c>
    </row>
    <row r="1869" spans="1:1" x14ac:dyDescent="0.25">
      <c r="A1869" s="99" t="s">
        <v>2056</v>
      </c>
    </row>
    <row r="1870" spans="1:1" x14ac:dyDescent="0.25">
      <c r="A1870" s="27" t="s">
        <v>2057</v>
      </c>
    </row>
    <row r="1871" spans="1:1" x14ac:dyDescent="0.25">
      <c r="A1871" s="137" t="s">
        <v>2058</v>
      </c>
    </row>
    <row r="1872" spans="1:1" x14ac:dyDescent="0.25">
      <c r="A1872" s="99" t="s">
        <v>2059</v>
      </c>
    </row>
    <row r="1873" spans="1:1" x14ac:dyDescent="0.25">
      <c r="A1873" s="137" t="s">
        <v>2060</v>
      </c>
    </row>
    <row r="1874" spans="1:1" x14ac:dyDescent="0.25">
      <c r="A1874" s="137" t="s">
        <v>2061</v>
      </c>
    </row>
    <row r="1875" spans="1:1" x14ac:dyDescent="0.25">
      <c r="A1875" s="27" t="s">
        <v>2062</v>
      </c>
    </row>
    <row r="1876" spans="1:1" x14ac:dyDescent="0.25">
      <c r="A1876" s="27" t="s">
        <v>2063</v>
      </c>
    </row>
    <row r="1877" spans="1:1" x14ac:dyDescent="0.25">
      <c r="A1877" s="27" t="s">
        <v>2064</v>
      </c>
    </row>
    <row r="1878" spans="1:1" x14ac:dyDescent="0.25">
      <c r="A1878" s="99" t="s">
        <v>2065</v>
      </c>
    </row>
    <row r="1879" spans="1:1" x14ac:dyDescent="0.25">
      <c r="A1879" s="137" t="s">
        <v>2066</v>
      </c>
    </row>
    <row r="1880" spans="1:1" x14ac:dyDescent="0.25">
      <c r="A1880" s="99" t="s">
        <v>2067</v>
      </c>
    </row>
    <row r="1881" spans="1:1" x14ac:dyDescent="0.25">
      <c r="A1881" s="137" t="s">
        <v>2068</v>
      </c>
    </row>
    <row r="1882" spans="1:1" x14ac:dyDescent="0.25">
      <c r="A1882" s="137" t="s">
        <v>2069</v>
      </c>
    </row>
    <row r="1883" spans="1:1" x14ac:dyDescent="0.25">
      <c r="A1883" s="137" t="s">
        <v>2070</v>
      </c>
    </row>
    <row r="1884" spans="1:1" x14ac:dyDescent="0.25">
      <c r="A1884" s="137" t="s">
        <v>2071</v>
      </c>
    </row>
    <row r="1885" spans="1:1" x14ac:dyDescent="0.25">
      <c r="A1885" s="137" t="s">
        <v>2072</v>
      </c>
    </row>
    <row r="1886" spans="1:1" x14ac:dyDescent="0.25">
      <c r="A1886" s="99" t="s">
        <v>2073</v>
      </c>
    </row>
    <row r="1887" spans="1:1" x14ac:dyDescent="0.25">
      <c r="A1887" s="99" t="s">
        <v>2074</v>
      </c>
    </row>
    <row r="1888" spans="1:1" x14ac:dyDescent="0.25">
      <c r="A1888" s="137" t="s">
        <v>2075</v>
      </c>
    </row>
    <row r="1889" spans="1:1" x14ac:dyDescent="0.25">
      <c r="A1889" s="137" t="s">
        <v>2076</v>
      </c>
    </row>
    <row r="1890" spans="1:1" x14ac:dyDescent="0.25">
      <c r="A1890" s="137" t="s">
        <v>2077</v>
      </c>
    </row>
    <row r="1891" spans="1:1" x14ac:dyDescent="0.25">
      <c r="A1891" s="137" t="s">
        <v>2078</v>
      </c>
    </row>
    <row r="1892" spans="1:1" x14ac:dyDescent="0.25">
      <c r="A1892" s="99" t="s">
        <v>2079</v>
      </c>
    </row>
    <row r="1893" spans="1:1" x14ac:dyDescent="0.25">
      <c r="A1893" s="99" t="s">
        <v>2080</v>
      </c>
    </row>
    <row r="1894" spans="1:1" x14ac:dyDescent="0.25">
      <c r="A1894" s="137" t="s">
        <v>2081</v>
      </c>
    </row>
    <row r="1895" spans="1:1" x14ac:dyDescent="0.25">
      <c r="A1895" s="137" t="s">
        <v>2082</v>
      </c>
    </row>
    <row r="1896" spans="1:1" x14ac:dyDescent="0.25">
      <c r="A1896" s="137" t="s">
        <v>2083</v>
      </c>
    </row>
    <row r="1897" spans="1:1" x14ac:dyDescent="0.25">
      <c r="A1897" s="137" t="s">
        <v>2084</v>
      </c>
    </row>
    <row r="1898" spans="1:1" x14ac:dyDescent="0.25">
      <c r="A1898" s="99" t="s">
        <v>2085</v>
      </c>
    </row>
    <row r="1899" spans="1:1" x14ac:dyDescent="0.25">
      <c r="A1899" s="99" t="s">
        <v>2086</v>
      </c>
    </row>
    <row r="1900" spans="1:1" x14ac:dyDescent="0.25">
      <c r="A1900" s="137" t="s">
        <v>2087</v>
      </c>
    </row>
    <row r="1901" spans="1:1" x14ac:dyDescent="0.25">
      <c r="A1901" s="137" t="s">
        <v>2088</v>
      </c>
    </row>
    <row r="1902" spans="1:1" x14ac:dyDescent="0.25">
      <c r="A1902" s="137" t="s">
        <v>2089</v>
      </c>
    </row>
    <row r="1903" spans="1:1" x14ac:dyDescent="0.25">
      <c r="A1903" s="137" t="s">
        <v>2090</v>
      </c>
    </row>
    <row r="1904" spans="1:1" x14ac:dyDescent="0.25">
      <c r="A1904" s="99" t="s">
        <v>2091</v>
      </c>
    </row>
    <row r="1905" spans="1:1" x14ac:dyDescent="0.25">
      <c r="A1905" s="99" t="s">
        <v>2092</v>
      </c>
    </row>
    <row r="1906" spans="1:1" x14ac:dyDescent="0.25">
      <c r="A1906" s="137" t="s">
        <v>2093</v>
      </c>
    </row>
    <row r="1907" spans="1:1" x14ac:dyDescent="0.25">
      <c r="A1907" s="137" t="s">
        <v>2094</v>
      </c>
    </row>
    <row r="1908" spans="1:1" x14ac:dyDescent="0.25">
      <c r="A1908" s="137" t="s">
        <v>2095</v>
      </c>
    </row>
    <row r="1909" spans="1:1" x14ac:dyDescent="0.25">
      <c r="A1909" s="137" t="s">
        <v>2096</v>
      </c>
    </row>
    <row r="1910" spans="1:1" x14ac:dyDescent="0.25">
      <c r="A1910" s="99" t="s">
        <v>2097</v>
      </c>
    </row>
    <row r="1911" spans="1:1" x14ac:dyDescent="0.25">
      <c r="A1911" s="99" t="s">
        <v>2098</v>
      </c>
    </row>
    <row r="1912" spans="1:1" x14ac:dyDescent="0.25">
      <c r="A1912" s="137" t="s">
        <v>2099</v>
      </c>
    </row>
    <row r="1913" spans="1:1" x14ac:dyDescent="0.25">
      <c r="A1913" s="137" t="s">
        <v>2100</v>
      </c>
    </row>
    <row r="1914" spans="1:1" x14ac:dyDescent="0.25">
      <c r="A1914" s="137" t="s">
        <v>2101</v>
      </c>
    </row>
    <row r="1915" spans="1:1" x14ac:dyDescent="0.25">
      <c r="A1915" s="137" t="s">
        <v>2102</v>
      </c>
    </row>
    <row r="1916" spans="1:1" x14ac:dyDescent="0.25">
      <c r="A1916" s="99" t="s">
        <v>2103</v>
      </c>
    </row>
    <row r="1917" spans="1:1" x14ac:dyDescent="0.25">
      <c r="A1917" s="99" t="s">
        <v>2104</v>
      </c>
    </row>
    <row r="1918" spans="1:1" x14ac:dyDescent="0.25">
      <c r="A1918" s="137" t="s">
        <v>2105</v>
      </c>
    </row>
    <row r="1919" spans="1:1" x14ac:dyDescent="0.25">
      <c r="A1919" s="137" t="s">
        <v>2106</v>
      </c>
    </row>
    <row r="1920" spans="1:1" x14ac:dyDescent="0.25">
      <c r="A1920" s="137" t="s">
        <v>2107</v>
      </c>
    </row>
    <row r="1921" spans="1:1" x14ac:dyDescent="0.25">
      <c r="A1921" s="137" t="s">
        <v>2108</v>
      </c>
    </row>
    <row r="1922" spans="1:1" x14ac:dyDescent="0.25">
      <c r="A1922" s="99" t="s">
        <v>2109</v>
      </c>
    </row>
    <row r="1923" spans="1:1" x14ac:dyDescent="0.25">
      <c r="A1923" s="99" t="s">
        <v>2110</v>
      </c>
    </row>
    <row r="1924" spans="1:1" x14ac:dyDescent="0.25">
      <c r="A1924" s="137" t="s">
        <v>2111</v>
      </c>
    </row>
    <row r="1925" spans="1:1" x14ac:dyDescent="0.25">
      <c r="A1925" s="137" t="s">
        <v>2112</v>
      </c>
    </row>
    <row r="1926" spans="1:1" x14ac:dyDescent="0.25">
      <c r="A1926" s="137" t="s">
        <v>2113</v>
      </c>
    </row>
    <row r="1927" spans="1:1" x14ac:dyDescent="0.25">
      <c r="A1927" s="137" t="s">
        <v>2114</v>
      </c>
    </row>
    <row r="1928" spans="1:1" x14ac:dyDescent="0.25">
      <c r="A1928" s="99" t="s">
        <v>2115</v>
      </c>
    </row>
    <row r="1929" spans="1:1" x14ac:dyDescent="0.25">
      <c r="A1929" s="99" t="s">
        <v>2116</v>
      </c>
    </row>
    <row r="1930" spans="1:1" x14ac:dyDescent="0.25">
      <c r="A1930" s="137" t="s">
        <v>2117</v>
      </c>
    </row>
    <row r="1931" spans="1:1" x14ac:dyDescent="0.25">
      <c r="A1931" s="137" t="s">
        <v>2118</v>
      </c>
    </row>
    <row r="1932" spans="1:1" x14ac:dyDescent="0.25">
      <c r="A1932" s="137" t="s">
        <v>2119</v>
      </c>
    </row>
    <row r="1933" spans="1:1" x14ac:dyDescent="0.25">
      <c r="A1933" s="137" t="s">
        <v>2120</v>
      </c>
    </row>
    <row r="1934" spans="1:1" x14ac:dyDescent="0.25">
      <c r="A1934" s="99" t="s">
        <v>2121</v>
      </c>
    </row>
    <row r="1935" spans="1:1" x14ac:dyDescent="0.25">
      <c r="A1935" s="99" t="s">
        <v>2122</v>
      </c>
    </row>
    <row r="1936" spans="1:1" x14ac:dyDescent="0.25">
      <c r="A1936" s="137" t="s">
        <v>2123</v>
      </c>
    </row>
    <row r="2144" spans="1:1" x14ac:dyDescent="0.25">
      <c r="A2144" s="99" t="s">
        <v>2124</v>
      </c>
    </row>
    <row r="2145" spans="1:1" x14ac:dyDescent="0.25">
      <c r="A2145" s="99" t="s">
        <v>2125</v>
      </c>
    </row>
    <row r="2146" spans="1:1" x14ac:dyDescent="0.25">
      <c r="A2146" s="99" t="s">
        <v>2126</v>
      </c>
    </row>
    <row r="2147" spans="1:1" x14ac:dyDescent="0.25">
      <c r="A2147" s="27" t="s">
        <v>2127</v>
      </c>
    </row>
    <row r="2148" spans="1:1" x14ac:dyDescent="0.25">
      <c r="A2148" s="137" t="s">
        <v>2128</v>
      </c>
    </row>
    <row r="2149" spans="1:1" x14ac:dyDescent="0.25">
      <c r="A2149" s="99" t="s">
        <v>2129</v>
      </c>
    </row>
    <row r="2150" spans="1:1" x14ac:dyDescent="0.25">
      <c r="A2150" s="137" t="s">
        <v>2130</v>
      </c>
    </row>
    <row r="2151" spans="1:1" x14ac:dyDescent="0.25">
      <c r="A2151" s="137" t="s">
        <v>2131</v>
      </c>
    </row>
    <row r="2152" spans="1:1" x14ac:dyDescent="0.25">
      <c r="A2152" s="27" t="s">
        <v>2132</v>
      </c>
    </row>
    <row r="2153" spans="1:1" x14ac:dyDescent="0.25">
      <c r="A2153" s="27" t="s">
        <v>2133</v>
      </c>
    </row>
    <row r="2154" spans="1:1" x14ac:dyDescent="0.25">
      <c r="A2154" s="27" t="s">
        <v>2134</v>
      </c>
    </row>
    <row r="2155" spans="1:1" x14ac:dyDescent="0.25">
      <c r="A2155" s="99" t="s">
        <v>2135</v>
      </c>
    </row>
    <row r="2156" spans="1:1" x14ac:dyDescent="0.25">
      <c r="A2156" s="137" t="s">
        <v>2136</v>
      </c>
    </row>
    <row r="2157" spans="1:1" x14ac:dyDescent="0.25">
      <c r="A2157" s="99" t="s">
        <v>2137</v>
      </c>
    </row>
    <row r="2158" spans="1:1" x14ac:dyDescent="0.25">
      <c r="A2158" s="137" t="s">
        <v>2138</v>
      </c>
    </row>
    <row r="2159" spans="1:1" x14ac:dyDescent="0.25">
      <c r="A2159" s="137" t="s">
        <v>2139</v>
      </c>
    </row>
    <row r="2160" spans="1:1" x14ac:dyDescent="0.25">
      <c r="A2160" s="99" t="s">
        <v>2140</v>
      </c>
    </row>
    <row r="2161" spans="1:1" x14ac:dyDescent="0.25">
      <c r="A2161" s="99" t="s">
        <v>2141</v>
      </c>
    </row>
    <row r="2162" spans="1:1" x14ac:dyDescent="0.25">
      <c r="A2162" s="99" t="s">
        <v>2142</v>
      </c>
    </row>
    <row r="2163" spans="1:1" x14ac:dyDescent="0.25">
      <c r="A2163" s="27" t="s">
        <v>2143</v>
      </c>
    </row>
    <row r="2164" spans="1:1" x14ac:dyDescent="0.25">
      <c r="A2164" s="137" t="s">
        <v>2144</v>
      </c>
    </row>
    <row r="2165" spans="1:1" x14ac:dyDescent="0.25">
      <c r="A2165" s="99" t="s">
        <v>2145</v>
      </c>
    </row>
    <row r="2166" spans="1:1" x14ac:dyDescent="0.25">
      <c r="A2166" s="137" t="s">
        <v>2146</v>
      </c>
    </row>
    <row r="2167" spans="1:1" x14ac:dyDescent="0.25">
      <c r="A2167" s="137" t="s">
        <v>2147</v>
      </c>
    </row>
    <row r="2168" spans="1:1" x14ac:dyDescent="0.25">
      <c r="A2168" s="27" t="s">
        <v>2148</v>
      </c>
    </row>
    <row r="2169" spans="1:1" x14ac:dyDescent="0.25">
      <c r="A2169" s="27" t="s">
        <v>2149</v>
      </c>
    </row>
    <row r="2170" spans="1:1" x14ac:dyDescent="0.25">
      <c r="A2170" s="27" t="s">
        <v>2150</v>
      </c>
    </row>
    <row r="2171" spans="1:1" x14ac:dyDescent="0.25">
      <c r="A2171" s="99" t="s">
        <v>2151</v>
      </c>
    </row>
    <row r="2172" spans="1:1" x14ac:dyDescent="0.25">
      <c r="A2172" s="137" t="s">
        <v>2152</v>
      </c>
    </row>
    <row r="2173" spans="1:1" x14ac:dyDescent="0.25">
      <c r="A2173" s="99" t="s">
        <v>2153</v>
      </c>
    </row>
    <row r="2174" spans="1:1" x14ac:dyDescent="0.25">
      <c r="A2174" s="137" t="s">
        <v>2154</v>
      </c>
    </row>
    <row r="2175" spans="1:1" x14ac:dyDescent="0.25">
      <c r="A2175" s="137" t="s">
        <v>2155</v>
      </c>
    </row>
    <row r="2176" spans="1:1" x14ac:dyDescent="0.25">
      <c r="A2176" s="99" t="s">
        <v>2156</v>
      </c>
    </row>
    <row r="2177" spans="1:1" x14ac:dyDescent="0.25">
      <c r="A2177" s="99" t="s">
        <v>2157</v>
      </c>
    </row>
    <row r="2178" spans="1:1" x14ac:dyDescent="0.25">
      <c r="A2178" s="99" t="s">
        <v>2158</v>
      </c>
    </row>
    <row r="2179" spans="1:1" x14ac:dyDescent="0.25">
      <c r="A2179" s="27" t="s">
        <v>2159</v>
      </c>
    </row>
    <row r="2180" spans="1:1" x14ac:dyDescent="0.25">
      <c r="A2180" s="137" t="s">
        <v>2160</v>
      </c>
    </row>
    <row r="2181" spans="1:1" x14ac:dyDescent="0.25">
      <c r="A2181" s="99" t="s">
        <v>2161</v>
      </c>
    </row>
    <row r="2182" spans="1:1" x14ac:dyDescent="0.25">
      <c r="A2182" s="137" t="s">
        <v>2162</v>
      </c>
    </row>
    <row r="2183" spans="1:1" x14ac:dyDescent="0.25">
      <c r="A2183" s="137" t="s">
        <v>2163</v>
      </c>
    </row>
    <row r="2184" spans="1:1" x14ac:dyDescent="0.25">
      <c r="A2184" s="27" t="s">
        <v>2164</v>
      </c>
    </row>
    <row r="2185" spans="1:1" x14ac:dyDescent="0.25">
      <c r="A2185" s="27" t="s">
        <v>2165</v>
      </c>
    </row>
    <row r="2186" spans="1:1" x14ac:dyDescent="0.25">
      <c r="A2186" s="27" t="s">
        <v>2166</v>
      </c>
    </row>
    <row r="2187" spans="1:1" x14ac:dyDescent="0.25">
      <c r="A2187" s="99" t="s">
        <v>2167</v>
      </c>
    </row>
    <row r="2188" spans="1:1" x14ac:dyDescent="0.25">
      <c r="A2188" s="137" t="s">
        <v>2168</v>
      </c>
    </row>
    <row r="2189" spans="1:1" x14ac:dyDescent="0.25">
      <c r="A2189" s="99" t="s">
        <v>2169</v>
      </c>
    </row>
    <row r="2190" spans="1:1" x14ac:dyDescent="0.25">
      <c r="A2190" s="137" t="s">
        <v>2170</v>
      </c>
    </row>
    <row r="2191" spans="1:1" x14ac:dyDescent="0.25">
      <c r="A2191" s="137" t="s">
        <v>2171</v>
      </c>
    </row>
    <row r="2192" spans="1:1" x14ac:dyDescent="0.25">
      <c r="A2192" s="99" t="s">
        <v>2172</v>
      </c>
    </row>
    <row r="2193" spans="1:1" x14ac:dyDescent="0.25">
      <c r="A2193" s="99" t="s">
        <v>2173</v>
      </c>
    </row>
    <row r="2194" spans="1:1" x14ac:dyDescent="0.25">
      <c r="A2194" s="99" t="s">
        <v>2174</v>
      </c>
    </row>
    <row r="2195" spans="1:1" x14ac:dyDescent="0.25">
      <c r="A2195" s="27" t="s">
        <v>2175</v>
      </c>
    </row>
    <row r="2196" spans="1:1" x14ac:dyDescent="0.25">
      <c r="A2196" s="137" t="s">
        <v>2176</v>
      </c>
    </row>
    <row r="2197" spans="1:1" x14ac:dyDescent="0.25">
      <c r="A2197" s="99" t="s">
        <v>2177</v>
      </c>
    </row>
    <row r="2198" spans="1:1" x14ac:dyDescent="0.25">
      <c r="A2198" s="137" t="s">
        <v>2178</v>
      </c>
    </row>
    <row r="2199" spans="1:1" x14ac:dyDescent="0.25">
      <c r="A2199" s="137" t="s">
        <v>2179</v>
      </c>
    </row>
    <row r="2200" spans="1:1" x14ac:dyDescent="0.25">
      <c r="A2200" s="27" t="s">
        <v>2180</v>
      </c>
    </row>
    <row r="2201" spans="1:1" x14ac:dyDescent="0.25">
      <c r="A2201" s="27" t="s">
        <v>2181</v>
      </c>
    </row>
    <row r="2202" spans="1:1" x14ac:dyDescent="0.25">
      <c r="A2202" s="27" t="s">
        <v>2182</v>
      </c>
    </row>
    <row r="2203" spans="1:1" x14ac:dyDescent="0.25">
      <c r="A2203" s="99" t="s">
        <v>2183</v>
      </c>
    </row>
    <row r="2204" spans="1:1" x14ac:dyDescent="0.25">
      <c r="A2204" s="137" t="s">
        <v>2184</v>
      </c>
    </row>
    <row r="2205" spans="1:1" x14ac:dyDescent="0.25">
      <c r="A2205" s="99" t="s">
        <v>2185</v>
      </c>
    </row>
    <row r="2206" spans="1:1" x14ac:dyDescent="0.25">
      <c r="A2206" s="137" t="s">
        <v>2186</v>
      </c>
    </row>
    <row r="2207" spans="1:1" x14ac:dyDescent="0.25">
      <c r="A2207" s="137" t="s">
        <v>2187</v>
      </c>
    </row>
    <row r="2208" spans="1:1" x14ac:dyDescent="0.25">
      <c r="A2208" s="137" t="s">
        <v>2188</v>
      </c>
    </row>
    <row r="2209" spans="1:1" x14ac:dyDescent="0.25">
      <c r="A2209" s="137" t="s">
        <v>2189</v>
      </c>
    </row>
    <row r="2210" spans="1:1" x14ac:dyDescent="0.25">
      <c r="A2210" s="137" t="s">
        <v>2190</v>
      </c>
    </row>
    <row r="2211" spans="1:1" x14ac:dyDescent="0.25">
      <c r="A2211" s="99" t="s">
        <v>2191</v>
      </c>
    </row>
    <row r="2212" spans="1:1" x14ac:dyDescent="0.25">
      <c r="A2212" s="99" t="s">
        <v>2192</v>
      </c>
    </row>
    <row r="2213" spans="1:1" x14ac:dyDescent="0.25">
      <c r="A2213" s="137" t="s">
        <v>2193</v>
      </c>
    </row>
    <row r="2214" spans="1:1" x14ac:dyDescent="0.25">
      <c r="A2214" s="137" t="s">
        <v>2194</v>
      </c>
    </row>
    <row r="2215" spans="1:1" x14ac:dyDescent="0.25">
      <c r="A2215" s="137" t="s">
        <v>2195</v>
      </c>
    </row>
    <row r="2216" spans="1:1" x14ac:dyDescent="0.25">
      <c r="A2216" s="137" t="s">
        <v>2196</v>
      </c>
    </row>
    <row r="2217" spans="1:1" x14ac:dyDescent="0.25">
      <c r="A2217" s="99" t="s">
        <v>2197</v>
      </c>
    </row>
    <row r="2218" spans="1:1" x14ac:dyDescent="0.25">
      <c r="A2218" s="99" t="s">
        <v>2198</v>
      </c>
    </row>
    <row r="2219" spans="1:1" x14ac:dyDescent="0.25">
      <c r="A2219" s="137" t="s">
        <v>2199</v>
      </c>
    </row>
    <row r="2220" spans="1:1" x14ac:dyDescent="0.25">
      <c r="A2220" s="137" t="s">
        <v>2200</v>
      </c>
    </row>
    <row r="2221" spans="1:1" x14ac:dyDescent="0.25">
      <c r="A2221" s="137" t="s">
        <v>2201</v>
      </c>
    </row>
    <row r="2222" spans="1:1" x14ac:dyDescent="0.25">
      <c r="A2222" s="137" t="s">
        <v>2202</v>
      </c>
    </row>
    <row r="2223" spans="1:1" x14ac:dyDescent="0.25">
      <c r="A2223" s="99" t="s">
        <v>2203</v>
      </c>
    </row>
    <row r="2224" spans="1:1" x14ac:dyDescent="0.25">
      <c r="A2224" s="99" t="s">
        <v>2204</v>
      </c>
    </row>
    <row r="2225" spans="1:1" x14ac:dyDescent="0.25">
      <c r="A2225" s="137" t="s">
        <v>2205</v>
      </c>
    </row>
    <row r="2226" spans="1:1" x14ac:dyDescent="0.25">
      <c r="A2226" s="137" t="s">
        <v>2206</v>
      </c>
    </row>
    <row r="2227" spans="1:1" x14ac:dyDescent="0.25">
      <c r="A2227" s="137" t="s">
        <v>2207</v>
      </c>
    </row>
    <row r="2228" spans="1:1" x14ac:dyDescent="0.25">
      <c r="A2228" s="137" t="s">
        <v>2208</v>
      </c>
    </row>
    <row r="2229" spans="1:1" x14ac:dyDescent="0.25">
      <c r="A2229" s="99" t="s">
        <v>2209</v>
      </c>
    </row>
    <row r="2230" spans="1:1" x14ac:dyDescent="0.25">
      <c r="A2230" s="99" t="s">
        <v>2210</v>
      </c>
    </row>
    <row r="2231" spans="1:1" x14ac:dyDescent="0.25">
      <c r="A2231" s="137" t="s">
        <v>2211</v>
      </c>
    </row>
    <row r="2232" spans="1:1" x14ac:dyDescent="0.25">
      <c r="A2232" s="137" t="s">
        <v>2212</v>
      </c>
    </row>
    <row r="2233" spans="1:1" x14ac:dyDescent="0.25">
      <c r="A2233" s="137" t="s">
        <v>2213</v>
      </c>
    </row>
    <row r="2234" spans="1:1" x14ac:dyDescent="0.25">
      <c r="A2234" s="137" t="s">
        <v>2214</v>
      </c>
    </row>
    <row r="2235" spans="1:1" x14ac:dyDescent="0.25">
      <c r="A2235" s="99" t="s">
        <v>2215</v>
      </c>
    </row>
    <row r="2236" spans="1:1" x14ac:dyDescent="0.25">
      <c r="A2236" s="99" t="s">
        <v>2216</v>
      </c>
    </row>
    <row r="2237" spans="1:1" x14ac:dyDescent="0.25">
      <c r="A2237" s="137" t="s">
        <v>2217</v>
      </c>
    </row>
    <row r="2238" spans="1:1" x14ac:dyDescent="0.25">
      <c r="A2238" s="137" t="s">
        <v>2218</v>
      </c>
    </row>
    <row r="2239" spans="1:1" x14ac:dyDescent="0.25">
      <c r="A2239" s="137" t="s">
        <v>2219</v>
      </c>
    </row>
    <row r="2240" spans="1:1" x14ac:dyDescent="0.25">
      <c r="A2240" s="137" t="s">
        <v>2220</v>
      </c>
    </row>
    <row r="2241" spans="1:1" x14ac:dyDescent="0.25">
      <c r="A2241" s="99" t="s">
        <v>2221</v>
      </c>
    </row>
    <row r="2242" spans="1:1" x14ac:dyDescent="0.25">
      <c r="A2242" s="99" t="s">
        <v>2222</v>
      </c>
    </row>
    <row r="2243" spans="1:1" x14ac:dyDescent="0.25">
      <c r="A2243" s="137" t="s">
        <v>2223</v>
      </c>
    </row>
    <row r="2244" spans="1:1" x14ac:dyDescent="0.25">
      <c r="A2244" s="137" t="s">
        <v>2224</v>
      </c>
    </row>
    <row r="2245" spans="1:1" x14ac:dyDescent="0.25">
      <c r="A2245" s="137" t="s">
        <v>2225</v>
      </c>
    </row>
    <row r="2246" spans="1:1" x14ac:dyDescent="0.25">
      <c r="A2246" s="137" t="s">
        <v>2226</v>
      </c>
    </row>
    <row r="2247" spans="1:1" x14ac:dyDescent="0.25">
      <c r="A2247" s="99" t="s">
        <v>2227</v>
      </c>
    </row>
    <row r="2248" spans="1:1" x14ac:dyDescent="0.25">
      <c r="A2248" s="99" t="s">
        <v>2228</v>
      </c>
    </row>
    <row r="2249" spans="1:1" x14ac:dyDescent="0.25">
      <c r="A2249" s="137" t="s">
        <v>2229</v>
      </c>
    </row>
    <row r="2250" spans="1:1" x14ac:dyDescent="0.25">
      <c r="A2250" s="137" t="s">
        <v>2230</v>
      </c>
    </row>
    <row r="2251" spans="1:1" x14ac:dyDescent="0.25">
      <c r="A2251" s="137" t="s">
        <v>2231</v>
      </c>
    </row>
    <row r="2252" spans="1:1" x14ac:dyDescent="0.25">
      <c r="A2252" s="137" t="s">
        <v>2232</v>
      </c>
    </row>
    <row r="2253" spans="1:1" x14ac:dyDescent="0.25">
      <c r="A2253" s="99" t="s">
        <v>2233</v>
      </c>
    </row>
    <row r="2254" spans="1:1" x14ac:dyDescent="0.25">
      <c r="A2254" s="99" t="s">
        <v>2234</v>
      </c>
    </row>
    <row r="2255" spans="1:1" x14ac:dyDescent="0.25">
      <c r="A2255" s="137" t="s">
        <v>2235</v>
      </c>
    </row>
    <row r="2256" spans="1:1" x14ac:dyDescent="0.25">
      <c r="A2256" s="137" t="s">
        <v>2236</v>
      </c>
    </row>
    <row r="2257" spans="1:1" x14ac:dyDescent="0.25">
      <c r="A2257" s="137" t="s">
        <v>2237</v>
      </c>
    </row>
    <row r="2258" spans="1:1" x14ac:dyDescent="0.25">
      <c r="A2258" s="137" t="s">
        <v>2238</v>
      </c>
    </row>
    <row r="2259" spans="1:1" x14ac:dyDescent="0.25">
      <c r="A2259" s="99" t="s">
        <v>2239</v>
      </c>
    </row>
    <row r="2260" spans="1:1" x14ac:dyDescent="0.25">
      <c r="A2260" s="99" t="s">
        <v>2240</v>
      </c>
    </row>
    <row r="2261" spans="1:1" x14ac:dyDescent="0.25">
      <c r="A2261" s="137" t="s">
        <v>2241</v>
      </c>
    </row>
    <row r="2262" spans="1:1" x14ac:dyDescent="0.25">
      <c r="A2262" s="99" t="s">
        <v>2242</v>
      </c>
    </row>
    <row r="2263" spans="1:1" x14ac:dyDescent="0.25">
      <c r="A2263" s="99" t="s">
        <v>2243</v>
      </c>
    </row>
    <row r="2264" spans="1:1" x14ac:dyDescent="0.25">
      <c r="A2264" s="99" t="s">
        <v>2244</v>
      </c>
    </row>
    <row r="2265" spans="1:1" x14ac:dyDescent="0.25">
      <c r="A2265" s="27" t="s">
        <v>2245</v>
      </c>
    </row>
    <row r="2266" spans="1:1" x14ac:dyDescent="0.25">
      <c r="A2266" s="137" t="s">
        <v>2246</v>
      </c>
    </row>
    <row r="2267" spans="1:1" x14ac:dyDescent="0.25">
      <c r="A2267" s="99" t="s">
        <v>2247</v>
      </c>
    </row>
    <row r="2268" spans="1:1" x14ac:dyDescent="0.25">
      <c r="A2268" s="137" t="s">
        <v>2248</v>
      </c>
    </row>
    <row r="2269" spans="1:1" x14ac:dyDescent="0.25">
      <c r="A2269" s="137" t="s">
        <v>2249</v>
      </c>
    </row>
    <row r="2270" spans="1:1" x14ac:dyDescent="0.25">
      <c r="A2270" s="27" t="s">
        <v>2250</v>
      </c>
    </row>
    <row r="2271" spans="1:1" x14ac:dyDescent="0.25">
      <c r="A2271" s="27" t="s">
        <v>2251</v>
      </c>
    </row>
    <row r="2272" spans="1:1" x14ac:dyDescent="0.25">
      <c r="A2272" s="27" t="s">
        <v>2252</v>
      </c>
    </row>
    <row r="2273" spans="1:1" x14ac:dyDescent="0.25">
      <c r="A2273" s="99" t="s">
        <v>2253</v>
      </c>
    </row>
    <row r="2274" spans="1:1" x14ac:dyDescent="0.25">
      <c r="A2274" s="137" t="s">
        <v>2254</v>
      </c>
    </row>
    <row r="2275" spans="1:1" x14ac:dyDescent="0.25">
      <c r="A2275" s="99" t="s">
        <v>2255</v>
      </c>
    </row>
    <row r="2276" spans="1:1" x14ac:dyDescent="0.25">
      <c r="A2276" s="137" t="s">
        <v>2256</v>
      </c>
    </row>
    <row r="2277" spans="1:1" x14ac:dyDescent="0.25">
      <c r="A2277" s="137" t="s">
        <v>2257</v>
      </c>
    </row>
    <row r="2278" spans="1:1" x14ac:dyDescent="0.25">
      <c r="A2278" s="27" t="s">
        <v>2258</v>
      </c>
    </row>
    <row r="2279" spans="1:1" x14ac:dyDescent="0.25">
      <c r="A2279" s="137" t="s">
        <v>2259</v>
      </c>
    </row>
    <row r="2280" spans="1:1" x14ac:dyDescent="0.25">
      <c r="A2280" s="137" t="s">
        <v>2260</v>
      </c>
    </row>
    <row r="2281" spans="1:1" x14ac:dyDescent="0.25">
      <c r="A2281" s="137" t="s">
        <v>2261</v>
      </c>
    </row>
    <row r="2282" spans="1:1" x14ac:dyDescent="0.25">
      <c r="A2282" s="99" t="s">
        <v>2262</v>
      </c>
    </row>
    <row r="2283" spans="1:1" x14ac:dyDescent="0.25">
      <c r="A2283" s="99" t="s">
        <v>2263</v>
      </c>
    </row>
    <row r="2284" spans="1:1" x14ac:dyDescent="0.25">
      <c r="A2284" s="137" t="s">
        <v>2264</v>
      </c>
    </row>
    <row r="2285" spans="1:1" x14ac:dyDescent="0.25">
      <c r="A2285" s="137" t="s">
        <v>2265</v>
      </c>
    </row>
    <row r="2286" spans="1:1" x14ac:dyDescent="0.25">
      <c r="A2286" s="137" t="s">
        <v>2266</v>
      </c>
    </row>
    <row r="2287" spans="1:1" x14ac:dyDescent="0.25">
      <c r="A2287" s="137" t="s">
        <v>2267</v>
      </c>
    </row>
    <row r="2288" spans="1:1" x14ac:dyDescent="0.25">
      <c r="A2288" s="99" t="s">
        <v>2268</v>
      </c>
    </row>
    <row r="2289" spans="1:1" x14ac:dyDescent="0.25">
      <c r="A2289" s="99" t="s">
        <v>2269</v>
      </c>
    </row>
    <row r="2290" spans="1:1" x14ac:dyDescent="0.25">
      <c r="A2290" s="137" t="s">
        <v>2270</v>
      </c>
    </row>
    <row r="2291" spans="1:1" x14ac:dyDescent="0.25">
      <c r="A2291" s="137" t="s">
        <v>2271</v>
      </c>
    </row>
    <row r="2292" spans="1:1" x14ac:dyDescent="0.25">
      <c r="A2292" s="137" t="s">
        <v>2272</v>
      </c>
    </row>
    <row r="2293" spans="1:1" x14ac:dyDescent="0.25">
      <c r="A2293" s="137" t="s">
        <v>2273</v>
      </c>
    </row>
    <row r="2294" spans="1:1" x14ac:dyDescent="0.25">
      <c r="A2294" s="99" t="s">
        <v>2274</v>
      </c>
    </row>
    <row r="2295" spans="1:1" x14ac:dyDescent="0.25">
      <c r="A2295" s="99" t="s">
        <v>2275</v>
      </c>
    </row>
    <row r="2296" spans="1:1" x14ac:dyDescent="0.25">
      <c r="A2296" s="137" t="s">
        <v>2276</v>
      </c>
    </row>
    <row r="2297" spans="1:1" x14ac:dyDescent="0.25">
      <c r="A2297" s="137" t="s">
        <v>2277</v>
      </c>
    </row>
    <row r="2298" spans="1:1" x14ac:dyDescent="0.25">
      <c r="A2298" s="137" t="s">
        <v>2278</v>
      </c>
    </row>
    <row r="2299" spans="1:1" x14ac:dyDescent="0.25">
      <c r="A2299" s="137" t="s">
        <v>2279</v>
      </c>
    </row>
    <row r="2300" spans="1:1" x14ac:dyDescent="0.25">
      <c r="A2300" s="99" t="s">
        <v>2280</v>
      </c>
    </row>
    <row r="2301" spans="1:1" x14ac:dyDescent="0.25">
      <c r="A2301" s="99" t="s">
        <v>2281</v>
      </c>
    </row>
    <row r="2302" spans="1:1" x14ac:dyDescent="0.25">
      <c r="A2302" s="137" t="s">
        <v>2282</v>
      </c>
    </row>
    <row r="2303" spans="1:1" x14ac:dyDescent="0.25">
      <c r="A2303" s="137" t="s">
        <v>2283</v>
      </c>
    </row>
    <row r="2304" spans="1:1" x14ac:dyDescent="0.25">
      <c r="A2304" s="137" t="s">
        <v>2284</v>
      </c>
    </row>
    <row r="2305" spans="1:1" x14ac:dyDescent="0.25">
      <c r="A2305" s="137" t="s">
        <v>2285</v>
      </c>
    </row>
    <row r="2306" spans="1:1" x14ac:dyDescent="0.25">
      <c r="A2306" s="99" t="s">
        <v>2286</v>
      </c>
    </row>
    <row r="2307" spans="1:1" x14ac:dyDescent="0.25">
      <c r="A2307" s="99" t="s">
        <v>2287</v>
      </c>
    </row>
    <row r="2308" spans="1:1" x14ac:dyDescent="0.25">
      <c r="A2308" s="137" t="s">
        <v>2288</v>
      </c>
    </row>
    <row r="2309" spans="1:1" x14ac:dyDescent="0.25">
      <c r="A2309" s="137" t="s">
        <v>2289</v>
      </c>
    </row>
    <row r="2310" spans="1:1" x14ac:dyDescent="0.25">
      <c r="A2310" s="137" t="s">
        <v>2290</v>
      </c>
    </row>
    <row r="2311" spans="1:1" x14ac:dyDescent="0.25">
      <c r="A2311" s="137" t="s">
        <v>2291</v>
      </c>
    </row>
    <row r="2312" spans="1:1" x14ac:dyDescent="0.25">
      <c r="A2312" s="99" t="s">
        <v>2292</v>
      </c>
    </row>
    <row r="2313" spans="1:1" x14ac:dyDescent="0.25">
      <c r="A2313" s="99" t="s">
        <v>2293</v>
      </c>
    </row>
    <row r="2314" spans="1:1" x14ac:dyDescent="0.25">
      <c r="A2314" s="137" t="s">
        <v>2294</v>
      </c>
    </row>
    <row r="2315" spans="1:1" x14ac:dyDescent="0.25">
      <c r="A2315" s="137" t="s">
        <v>2295</v>
      </c>
    </row>
    <row r="2316" spans="1:1" x14ac:dyDescent="0.25">
      <c r="A2316" s="137" t="s">
        <v>2296</v>
      </c>
    </row>
    <row r="2317" spans="1:1" x14ac:dyDescent="0.25">
      <c r="A2317" s="137" t="s">
        <v>2297</v>
      </c>
    </row>
    <row r="2318" spans="1:1" x14ac:dyDescent="0.25">
      <c r="A2318" s="99" t="s">
        <v>2298</v>
      </c>
    </row>
    <row r="2319" spans="1:1" x14ac:dyDescent="0.25">
      <c r="A2319" s="99" t="s">
        <v>2299</v>
      </c>
    </row>
    <row r="2320" spans="1:1" x14ac:dyDescent="0.25">
      <c r="A2320" s="137" t="s">
        <v>2300</v>
      </c>
    </row>
    <row r="2321" spans="1:1" x14ac:dyDescent="0.25">
      <c r="A2321" s="137" t="s">
        <v>2301</v>
      </c>
    </row>
    <row r="2322" spans="1:1" x14ac:dyDescent="0.25">
      <c r="A2322" s="137" t="s">
        <v>2302</v>
      </c>
    </row>
    <row r="2323" spans="1:1" x14ac:dyDescent="0.25">
      <c r="A2323" s="137" t="s">
        <v>2303</v>
      </c>
    </row>
    <row r="2324" spans="1:1" x14ac:dyDescent="0.25">
      <c r="A2324" s="99" t="s">
        <v>2304</v>
      </c>
    </row>
    <row r="2325" spans="1:1" x14ac:dyDescent="0.25">
      <c r="A2325" s="99" t="s">
        <v>2305</v>
      </c>
    </row>
    <row r="2326" spans="1:1" x14ac:dyDescent="0.25">
      <c r="A2326" s="137" t="s">
        <v>2306</v>
      </c>
    </row>
    <row r="2327" spans="1:1" x14ac:dyDescent="0.25">
      <c r="A2327" s="137" t="s">
        <v>2307</v>
      </c>
    </row>
    <row r="2328" spans="1:1" x14ac:dyDescent="0.25">
      <c r="A2328" s="137" t="s">
        <v>2308</v>
      </c>
    </row>
    <row r="2329" spans="1:1" x14ac:dyDescent="0.25">
      <c r="A2329" s="137" t="s">
        <v>2309</v>
      </c>
    </row>
    <row r="2330" spans="1:1" x14ac:dyDescent="0.25">
      <c r="A2330" s="99" t="s">
        <v>2310</v>
      </c>
    </row>
    <row r="2331" spans="1:1" x14ac:dyDescent="0.25">
      <c r="A2331" s="99" t="s">
        <v>2311</v>
      </c>
    </row>
    <row r="2332" spans="1:1" x14ac:dyDescent="0.25">
      <c r="A2332" s="137" t="s">
        <v>2312</v>
      </c>
    </row>
    <row r="2333" spans="1:1" x14ac:dyDescent="0.25">
      <c r="A2333" s="99" t="s">
        <v>2313</v>
      </c>
    </row>
    <row r="2334" spans="1:1" x14ac:dyDescent="0.25">
      <c r="A2334" s="99" t="s">
        <v>2314</v>
      </c>
    </row>
    <row r="2335" spans="1:1" x14ac:dyDescent="0.25">
      <c r="A2335" s="99" t="s">
        <v>2315</v>
      </c>
    </row>
    <row r="2336" spans="1:1" x14ac:dyDescent="0.25">
      <c r="A2336" s="27" t="s">
        <v>2316</v>
      </c>
    </row>
    <row r="2337" spans="1:1" x14ac:dyDescent="0.25">
      <c r="A2337" s="137" t="s">
        <v>2317</v>
      </c>
    </row>
    <row r="2338" spans="1:1" x14ac:dyDescent="0.25">
      <c r="A2338" s="99" t="s">
        <v>2318</v>
      </c>
    </row>
    <row r="2339" spans="1:1" x14ac:dyDescent="0.25">
      <c r="A2339" s="137" t="s">
        <v>2319</v>
      </c>
    </row>
    <row r="2340" spans="1:1" x14ac:dyDescent="0.25">
      <c r="A2340" s="137" t="s">
        <v>2320</v>
      </c>
    </row>
    <row r="2341" spans="1:1" x14ac:dyDescent="0.25">
      <c r="A2341" s="27" t="s">
        <v>2321</v>
      </c>
    </row>
    <row r="2342" spans="1:1" x14ac:dyDescent="0.25">
      <c r="A2342" s="27" t="s">
        <v>2322</v>
      </c>
    </row>
    <row r="2343" spans="1:1" x14ac:dyDescent="0.25">
      <c r="A2343" s="27" t="s">
        <v>2323</v>
      </c>
    </row>
    <row r="2344" spans="1:1" x14ac:dyDescent="0.25">
      <c r="A2344" s="99" t="s">
        <v>2324</v>
      </c>
    </row>
    <row r="2345" spans="1:1" x14ac:dyDescent="0.25">
      <c r="A2345" s="137" t="s">
        <v>2325</v>
      </c>
    </row>
    <row r="2346" spans="1:1" x14ac:dyDescent="0.25">
      <c r="A2346" s="99" t="s">
        <v>2326</v>
      </c>
    </row>
    <row r="2347" spans="1:1" x14ac:dyDescent="0.25">
      <c r="A2347" s="137" t="s">
        <v>2327</v>
      </c>
    </row>
    <row r="2348" spans="1:1" x14ac:dyDescent="0.25">
      <c r="A2348" s="137" t="s">
        <v>2328</v>
      </c>
    </row>
    <row r="2349" spans="1:1" x14ac:dyDescent="0.25">
      <c r="A2349" s="99" t="s">
        <v>2329</v>
      </c>
    </row>
    <row r="2350" spans="1:1" x14ac:dyDescent="0.25">
      <c r="A2350" s="99" t="s">
        <v>2330</v>
      </c>
    </row>
    <row r="2351" spans="1:1" x14ac:dyDescent="0.25">
      <c r="A2351" s="99" t="s">
        <v>2331</v>
      </c>
    </row>
    <row r="2352" spans="1:1" x14ac:dyDescent="0.25">
      <c r="A2352" s="27" t="s">
        <v>2332</v>
      </c>
    </row>
    <row r="2353" spans="1:1" x14ac:dyDescent="0.25">
      <c r="A2353" s="137" t="s">
        <v>2333</v>
      </c>
    </row>
    <row r="2354" spans="1:1" x14ac:dyDescent="0.25">
      <c r="A2354" s="99" t="s">
        <v>2334</v>
      </c>
    </row>
    <row r="2355" spans="1:1" x14ac:dyDescent="0.25">
      <c r="A2355" s="137" t="s">
        <v>2335</v>
      </c>
    </row>
    <row r="2356" spans="1:1" x14ac:dyDescent="0.25">
      <c r="A2356" s="137" t="s">
        <v>2336</v>
      </c>
    </row>
    <row r="2357" spans="1:1" x14ac:dyDescent="0.25">
      <c r="A2357" s="27" t="s">
        <v>2337</v>
      </c>
    </row>
    <row r="2358" spans="1:1" x14ac:dyDescent="0.25">
      <c r="A2358" s="27" t="s">
        <v>2338</v>
      </c>
    </row>
    <row r="2359" spans="1:1" x14ac:dyDescent="0.25">
      <c r="A2359" s="27" t="s">
        <v>2339</v>
      </c>
    </row>
    <row r="2360" spans="1:1" x14ac:dyDescent="0.25">
      <c r="A2360" s="99" t="s">
        <v>2340</v>
      </c>
    </row>
    <row r="2361" spans="1:1" x14ac:dyDescent="0.25">
      <c r="A2361" s="137" t="s">
        <v>2341</v>
      </c>
    </row>
    <row r="2362" spans="1:1" x14ac:dyDescent="0.25">
      <c r="A2362" s="99" t="s">
        <v>2342</v>
      </c>
    </row>
    <row r="2363" spans="1:1" x14ac:dyDescent="0.25">
      <c r="A2363" s="137" t="s">
        <v>2343</v>
      </c>
    </row>
    <row r="2364" spans="1:1" x14ac:dyDescent="0.25">
      <c r="A2364" s="137" t="s">
        <v>2344</v>
      </c>
    </row>
    <row r="2365" spans="1:1" x14ac:dyDescent="0.25">
      <c r="A2365" s="99" t="s">
        <v>2345</v>
      </c>
    </row>
    <row r="2366" spans="1:1" x14ac:dyDescent="0.25">
      <c r="A2366" s="99" t="s">
        <v>2346</v>
      </c>
    </row>
    <row r="2367" spans="1:1" x14ac:dyDescent="0.25">
      <c r="A2367" s="99" t="s">
        <v>2347</v>
      </c>
    </row>
    <row r="2368" spans="1:1" x14ac:dyDescent="0.25">
      <c r="A2368" s="27" t="s">
        <v>2348</v>
      </c>
    </row>
    <row r="2369" spans="1:1" x14ac:dyDescent="0.25">
      <c r="A2369" s="137" t="s">
        <v>2349</v>
      </c>
    </row>
    <row r="2370" spans="1:1" x14ac:dyDescent="0.25">
      <c r="A2370" s="99" t="s">
        <v>2350</v>
      </c>
    </row>
    <row r="2371" spans="1:1" x14ac:dyDescent="0.25">
      <c r="A2371" s="137" t="s">
        <v>2351</v>
      </c>
    </row>
    <row r="2372" spans="1:1" x14ac:dyDescent="0.25">
      <c r="A2372" s="137" t="s">
        <v>2352</v>
      </c>
    </row>
    <row r="2373" spans="1:1" x14ac:dyDescent="0.25">
      <c r="A2373" s="27" t="s">
        <v>2353</v>
      </c>
    </row>
    <row r="2374" spans="1:1" x14ac:dyDescent="0.25">
      <c r="A2374" s="27" t="s">
        <v>2354</v>
      </c>
    </row>
    <row r="2375" spans="1:1" x14ac:dyDescent="0.25">
      <c r="A2375" s="27" t="s">
        <v>2355</v>
      </c>
    </row>
    <row r="2376" spans="1:1" x14ac:dyDescent="0.25">
      <c r="A2376" s="99" t="s">
        <v>2356</v>
      </c>
    </row>
    <row r="2377" spans="1:1" x14ac:dyDescent="0.25">
      <c r="A2377" s="137" t="s">
        <v>2357</v>
      </c>
    </row>
    <row r="2378" spans="1:1" x14ac:dyDescent="0.25">
      <c r="A2378" s="99" t="s">
        <v>2358</v>
      </c>
    </row>
    <row r="2379" spans="1:1" x14ac:dyDescent="0.25">
      <c r="A2379" s="137" t="s">
        <v>2359</v>
      </c>
    </row>
    <row r="2380" spans="1:1" x14ac:dyDescent="0.25">
      <c r="A2380" s="137" t="s">
        <v>2360</v>
      </c>
    </row>
    <row r="2381" spans="1:1" x14ac:dyDescent="0.25">
      <c r="A2381" s="137" t="s">
        <v>2361</v>
      </c>
    </row>
    <row r="2382" spans="1:1" x14ac:dyDescent="0.25">
      <c r="A2382" s="137" t="s">
        <v>2362</v>
      </c>
    </row>
    <row r="2383" spans="1:1" x14ac:dyDescent="0.25">
      <c r="A2383" s="137" t="s">
        <v>2363</v>
      </c>
    </row>
    <row r="2384" spans="1:1" x14ac:dyDescent="0.25">
      <c r="A2384" s="99" t="s">
        <v>2364</v>
      </c>
    </row>
    <row r="2385" spans="1:1" x14ac:dyDescent="0.25">
      <c r="A2385" s="99" t="s">
        <v>2365</v>
      </c>
    </row>
    <row r="2386" spans="1:1" x14ac:dyDescent="0.25">
      <c r="A2386" s="137" t="s">
        <v>2366</v>
      </c>
    </row>
    <row r="2387" spans="1:1" x14ac:dyDescent="0.25">
      <c r="A2387" s="137" t="s">
        <v>2367</v>
      </c>
    </row>
    <row r="2388" spans="1:1" x14ac:dyDescent="0.25">
      <c r="A2388" s="137" t="s">
        <v>2368</v>
      </c>
    </row>
    <row r="2389" spans="1:1" x14ac:dyDescent="0.25">
      <c r="A2389" s="137" t="s">
        <v>2369</v>
      </c>
    </row>
    <row r="2390" spans="1:1" x14ac:dyDescent="0.25">
      <c r="A2390" s="99" t="s">
        <v>2370</v>
      </c>
    </row>
    <row r="2391" spans="1:1" x14ac:dyDescent="0.25">
      <c r="A2391" s="99" t="s">
        <v>2371</v>
      </c>
    </row>
    <row r="2392" spans="1:1" x14ac:dyDescent="0.25">
      <c r="A2392" s="137" t="s">
        <v>2372</v>
      </c>
    </row>
    <row r="2393" spans="1:1" x14ac:dyDescent="0.25">
      <c r="A2393" s="137" t="s">
        <v>2373</v>
      </c>
    </row>
    <row r="2394" spans="1:1" x14ac:dyDescent="0.25">
      <c r="A2394" s="137" t="s">
        <v>2374</v>
      </c>
    </row>
    <row r="2395" spans="1:1" x14ac:dyDescent="0.25">
      <c r="A2395" s="137" t="s">
        <v>2375</v>
      </c>
    </row>
    <row r="2396" spans="1:1" x14ac:dyDescent="0.25">
      <c r="A2396" s="99" t="s">
        <v>2376</v>
      </c>
    </row>
    <row r="2397" spans="1:1" x14ac:dyDescent="0.25">
      <c r="A2397" s="99" t="s">
        <v>2377</v>
      </c>
    </row>
    <row r="2398" spans="1:1" x14ac:dyDescent="0.25">
      <c r="A2398" s="137" t="s">
        <v>2378</v>
      </c>
    </row>
    <row r="2399" spans="1:1" x14ac:dyDescent="0.25">
      <c r="A2399" s="137" t="s">
        <v>2379</v>
      </c>
    </row>
    <row r="2400" spans="1:1" x14ac:dyDescent="0.25">
      <c r="A2400" s="137" t="s">
        <v>2380</v>
      </c>
    </row>
    <row r="2401" spans="1:1" x14ac:dyDescent="0.25">
      <c r="A2401" s="137" t="s">
        <v>2381</v>
      </c>
    </row>
    <row r="2402" spans="1:1" x14ac:dyDescent="0.25">
      <c r="A2402" s="99" t="s">
        <v>2382</v>
      </c>
    </row>
    <row r="2403" spans="1:1" x14ac:dyDescent="0.25">
      <c r="A2403" s="99" t="s">
        <v>2383</v>
      </c>
    </row>
    <row r="2404" spans="1:1" x14ac:dyDescent="0.25">
      <c r="A2404" s="137" t="s">
        <v>2384</v>
      </c>
    </row>
    <row r="2405" spans="1:1" x14ac:dyDescent="0.25">
      <c r="A2405" s="137" t="s">
        <v>2385</v>
      </c>
    </row>
    <row r="2406" spans="1:1" x14ac:dyDescent="0.25">
      <c r="A2406" s="137" t="s">
        <v>2386</v>
      </c>
    </row>
    <row r="2407" spans="1:1" x14ac:dyDescent="0.25">
      <c r="A2407" s="137" t="s">
        <v>2387</v>
      </c>
    </row>
    <row r="2408" spans="1:1" x14ac:dyDescent="0.25">
      <c r="A2408" s="99" t="s">
        <v>2388</v>
      </c>
    </row>
    <row r="2409" spans="1:1" x14ac:dyDescent="0.25">
      <c r="A2409" s="99" t="s">
        <v>2389</v>
      </c>
    </row>
    <row r="2410" spans="1:1" x14ac:dyDescent="0.25">
      <c r="A2410" s="137" t="s">
        <v>2390</v>
      </c>
    </row>
    <row r="2411" spans="1:1" x14ac:dyDescent="0.25">
      <c r="A2411" s="137" t="s">
        <v>2391</v>
      </c>
    </row>
    <row r="2412" spans="1:1" x14ac:dyDescent="0.25">
      <c r="A2412" s="137" t="s">
        <v>2392</v>
      </c>
    </row>
    <row r="2413" spans="1:1" x14ac:dyDescent="0.25">
      <c r="A2413" s="137" t="s">
        <v>2393</v>
      </c>
    </row>
    <row r="2414" spans="1:1" x14ac:dyDescent="0.25">
      <c r="A2414" s="99" t="s">
        <v>2394</v>
      </c>
    </row>
    <row r="2415" spans="1:1" x14ac:dyDescent="0.25">
      <c r="A2415" s="99" t="s">
        <v>2395</v>
      </c>
    </row>
    <row r="2416" spans="1:1" x14ac:dyDescent="0.25">
      <c r="A2416" s="137" t="s">
        <v>2396</v>
      </c>
    </row>
    <row r="2417" spans="1:1" x14ac:dyDescent="0.25">
      <c r="A2417" s="137" t="s">
        <v>2397</v>
      </c>
    </row>
    <row r="2418" spans="1:1" x14ac:dyDescent="0.25">
      <c r="A2418" s="137" t="s">
        <v>2398</v>
      </c>
    </row>
    <row r="2419" spans="1:1" x14ac:dyDescent="0.25">
      <c r="A2419" s="137" t="s">
        <v>2399</v>
      </c>
    </row>
    <row r="2420" spans="1:1" x14ac:dyDescent="0.25">
      <c r="A2420" s="99" t="s">
        <v>2400</v>
      </c>
    </row>
    <row r="2421" spans="1:1" x14ac:dyDescent="0.25">
      <c r="A2421" s="99" t="s">
        <v>2401</v>
      </c>
    </row>
    <row r="2422" spans="1:1" x14ac:dyDescent="0.25">
      <c r="A2422" s="137" t="s">
        <v>2402</v>
      </c>
    </row>
    <row r="2423" spans="1:1" x14ac:dyDescent="0.25">
      <c r="A2423" s="137" t="s">
        <v>2403</v>
      </c>
    </row>
    <row r="2424" spans="1:1" x14ac:dyDescent="0.25">
      <c r="A2424" s="137" t="s">
        <v>2404</v>
      </c>
    </row>
    <row r="2425" spans="1:1" x14ac:dyDescent="0.25">
      <c r="A2425" s="137" t="s">
        <v>2405</v>
      </c>
    </row>
    <row r="2426" spans="1:1" x14ac:dyDescent="0.25">
      <c r="A2426" s="99" t="s">
        <v>2406</v>
      </c>
    </row>
    <row r="2427" spans="1:1" x14ac:dyDescent="0.25">
      <c r="A2427" s="99" t="s">
        <v>2407</v>
      </c>
    </row>
    <row r="2428" spans="1:1" x14ac:dyDescent="0.25">
      <c r="A2428" s="137" t="s">
        <v>2408</v>
      </c>
    </row>
    <row r="2429" spans="1:1" x14ac:dyDescent="0.25">
      <c r="A2429" s="137" t="s">
        <v>2409</v>
      </c>
    </row>
    <row r="2430" spans="1:1" x14ac:dyDescent="0.25">
      <c r="A2430" s="137" t="s">
        <v>2410</v>
      </c>
    </row>
    <row r="2431" spans="1:1" x14ac:dyDescent="0.25">
      <c r="A2431" s="137" t="s">
        <v>2411</v>
      </c>
    </row>
    <row r="2432" spans="1:1" x14ac:dyDescent="0.25">
      <c r="A2432" s="99" t="s">
        <v>2412</v>
      </c>
    </row>
    <row r="2433" spans="1:1" x14ac:dyDescent="0.25">
      <c r="A2433" s="99" t="s">
        <v>2413</v>
      </c>
    </row>
    <row r="2434" spans="1:1" x14ac:dyDescent="0.25">
      <c r="A2434" s="137" t="s">
        <v>2414</v>
      </c>
    </row>
    <row r="2435" spans="1:1" x14ac:dyDescent="0.25">
      <c r="A2435" s="137" t="s">
        <v>2415</v>
      </c>
    </row>
    <row r="2436" spans="1:1" x14ac:dyDescent="0.25">
      <c r="A2436" s="137" t="s">
        <v>2416</v>
      </c>
    </row>
    <row r="2437" spans="1:1" x14ac:dyDescent="0.25">
      <c r="A2437" s="137" t="s">
        <v>2417</v>
      </c>
    </row>
    <row r="2438" spans="1:1" x14ac:dyDescent="0.25">
      <c r="A2438" s="99" t="s">
        <v>2418</v>
      </c>
    </row>
    <row r="2439" spans="1:1" x14ac:dyDescent="0.25">
      <c r="A2439" s="99" t="s">
        <v>2419</v>
      </c>
    </row>
    <row r="2440" spans="1:1" x14ac:dyDescent="0.25">
      <c r="A2440" s="137" t="s">
        <v>2420</v>
      </c>
    </row>
    <row r="2441" spans="1:1" x14ac:dyDescent="0.25">
      <c r="A2441" s="137" t="s">
        <v>2421</v>
      </c>
    </row>
    <row r="2442" spans="1:1" x14ac:dyDescent="0.25">
      <c r="A2442" s="137" t="s">
        <v>2422</v>
      </c>
    </row>
    <row r="2443" spans="1:1" x14ac:dyDescent="0.25">
      <c r="A2443" s="137" t="s">
        <v>2423</v>
      </c>
    </row>
    <row r="2444" spans="1:1" x14ac:dyDescent="0.25">
      <c r="A2444" s="99" t="s">
        <v>2424</v>
      </c>
    </row>
    <row r="2445" spans="1:1" x14ac:dyDescent="0.25">
      <c r="A2445" s="99" t="s">
        <v>2425</v>
      </c>
    </row>
    <row r="2446" spans="1:1" x14ac:dyDescent="0.25">
      <c r="A2446" s="137" t="s">
        <v>2426</v>
      </c>
    </row>
    <row r="2447" spans="1:1" x14ac:dyDescent="0.25">
      <c r="A2447" s="137" t="s">
        <v>2427</v>
      </c>
    </row>
    <row r="2448" spans="1:1" x14ac:dyDescent="0.25">
      <c r="A2448" s="137" t="s">
        <v>2428</v>
      </c>
    </row>
    <row r="2449" spans="1:1" x14ac:dyDescent="0.25">
      <c r="A2449" s="137" t="s">
        <v>2429</v>
      </c>
    </row>
    <row r="2450" spans="1:1" x14ac:dyDescent="0.25">
      <c r="A2450" s="99" t="s">
        <v>2430</v>
      </c>
    </row>
    <row r="2451" spans="1:1" x14ac:dyDescent="0.25">
      <c r="A2451" s="99" t="s">
        <v>2431</v>
      </c>
    </row>
    <row r="2452" spans="1:1" x14ac:dyDescent="0.25">
      <c r="A2452" s="137" t="s">
        <v>2432</v>
      </c>
    </row>
    <row r="2453" spans="1:1" x14ac:dyDescent="0.25">
      <c r="A2453" s="137" t="s">
        <v>2433</v>
      </c>
    </row>
    <row r="2454" spans="1:1" x14ac:dyDescent="0.25">
      <c r="A2454" s="137" t="s">
        <v>2434</v>
      </c>
    </row>
    <row r="2455" spans="1:1" x14ac:dyDescent="0.25">
      <c r="A2455" s="137" t="s">
        <v>2435</v>
      </c>
    </row>
    <row r="2456" spans="1:1" x14ac:dyDescent="0.25">
      <c r="A2456" s="99" t="s">
        <v>2436</v>
      </c>
    </row>
    <row r="2457" spans="1:1" x14ac:dyDescent="0.25">
      <c r="A2457" s="99" t="s">
        <v>2437</v>
      </c>
    </row>
    <row r="2458" spans="1:1" x14ac:dyDescent="0.25">
      <c r="A2458" s="137" t="s">
        <v>2438</v>
      </c>
    </row>
    <row r="2459" spans="1:1" x14ac:dyDescent="0.25">
      <c r="A2459" s="99" t="s">
        <v>2439</v>
      </c>
    </row>
    <row r="2460" spans="1:1" x14ac:dyDescent="0.25">
      <c r="A2460" s="99" t="s">
        <v>2440</v>
      </c>
    </row>
    <row r="2461" spans="1:1" x14ac:dyDescent="0.25">
      <c r="A2461" s="99" t="s">
        <v>2441</v>
      </c>
    </row>
    <row r="2462" spans="1:1" x14ac:dyDescent="0.25">
      <c r="A2462" s="27" t="s">
        <v>2442</v>
      </c>
    </row>
    <row r="2463" spans="1:1" x14ac:dyDescent="0.25">
      <c r="A2463" s="137" t="s">
        <v>2443</v>
      </c>
    </row>
    <row r="2464" spans="1:1" x14ac:dyDescent="0.25">
      <c r="A2464" s="99" t="s">
        <v>2444</v>
      </c>
    </row>
    <row r="2465" spans="1:1" x14ac:dyDescent="0.25">
      <c r="A2465" s="137" t="s">
        <v>2445</v>
      </c>
    </row>
    <row r="2466" spans="1:1" x14ac:dyDescent="0.25">
      <c r="A2466" s="137" t="s">
        <v>2446</v>
      </c>
    </row>
    <row r="2467" spans="1:1" x14ac:dyDescent="0.25">
      <c r="A2467" s="27" t="s">
        <v>2447</v>
      </c>
    </row>
    <row r="2468" spans="1:1" x14ac:dyDescent="0.25">
      <c r="A2468" s="27" t="s">
        <v>2448</v>
      </c>
    </row>
    <row r="2469" spans="1:1" x14ac:dyDescent="0.25">
      <c r="A2469" s="27" t="s">
        <v>2449</v>
      </c>
    </row>
    <row r="2470" spans="1:1" x14ac:dyDescent="0.25">
      <c r="A2470" s="99" t="s">
        <v>2450</v>
      </c>
    </row>
    <row r="2471" spans="1:1" x14ac:dyDescent="0.25">
      <c r="A2471" s="137" t="s">
        <v>2451</v>
      </c>
    </row>
    <row r="2472" spans="1:1" x14ac:dyDescent="0.25">
      <c r="A2472" s="99" t="s">
        <v>2452</v>
      </c>
    </row>
    <row r="2473" spans="1:1" x14ac:dyDescent="0.25">
      <c r="A2473" s="137" t="s">
        <v>2453</v>
      </c>
    </row>
    <row r="2474" spans="1:1" x14ac:dyDescent="0.25">
      <c r="A2474" s="137" t="s">
        <v>2454</v>
      </c>
    </row>
    <row r="2475" spans="1:1" x14ac:dyDescent="0.25">
      <c r="A2475" s="137" t="s">
        <v>2455</v>
      </c>
    </row>
    <row r="2476" spans="1:1" x14ac:dyDescent="0.25">
      <c r="A2476" s="137" t="s">
        <v>2456</v>
      </c>
    </row>
    <row r="2477" spans="1:1" x14ac:dyDescent="0.25">
      <c r="A2477" s="137" t="s">
        <v>2457</v>
      </c>
    </row>
    <row r="2478" spans="1:1" x14ac:dyDescent="0.25">
      <c r="A2478" s="99" t="s">
        <v>2458</v>
      </c>
    </row>
    <row r="2479" spans="1:1" x14ac:dyDescent="0.25">
      <c r="A2479" s="99" t="s">
        <v>2459</v>
      </c>
    </row>
    <row r="2480" spans="1:1" x14ac:dyDescent="0.25">
      <c r="A2480" s="137" t="s">
        <v>2460</v>
      </c>
    </row>
    <row r="2481" spans="1:1" x14ac:dyDescent="0.25">
      <c r="A2481" s="99" t="s">
        <v>2461</v>
      </c>
    </row>
    <row r="2482" spans="1:1" x14ac:dyDescent="0.25">
      <c r="A2482" s="99" t="s">
        <v>2462</v>
      </c>
    </row>
    <row r="2483" spans="1:1" x14ac:dyDescent="0.25">
      <c r="A2483" s="99" t="s">
        <v>2463</v>
      </c>
    </row>
    <row r="2484" spans="1:1" x14ac:dyDescent="0.25">
      <c r="A2484" s="137" t="s">
        <v>2464</v>
      </c>
    </row>
    <row r="2485" spans="1:1" x14ac:dyDescent="0.25">
      <c r="A2485" s="137" t="s">
        <v>2465</v>
      </c>
    </row>
    <row r="2486" spans="1:1" x14ac:dyDescent="0.25">
      <c r="A2486" s="137" t="s">
        <v>2466</v>
      </c>
    </row>
    <row r="2487" spans="1:1" x14ac:dyDescent="0.25">
      <c r="A2487" s="137" t="s">
        <v>2467</v>
      </c>
    </row>
    <row r="2488" spans="1:1" x14ac:dyDescent="0.25">
      <c r="A2488" s="137" t="s">
        <v>2468</v>
      </c>
    </row>
    <row r="2489" spans="1:1" x14ac:dyDescent="0.25">
      <c r="A2489" s="27" t="s">
        <v>2469</v>
      </c>
    </row>
    <row r="2490" spans="1:1" x14ac:dyDescent="0.25">
      <c r="A2490" s="99" t="s">
        <v>2470</v>
      </c>
    </row>
    <row r="2491" spans="1:1" x14ac:dyDescent="0.25">
      <c r="A2491" s="137" t="s">
        <v>2471</v>
      </c>
    </row>
    <row r="2492" spans="1:1" x14ac:dyDescent="0.25">
      <c r="A2492" s="99" t="s">
        <v>2472</v>
      </c>
    </row>
    <row r="2493" spans="1:1" x14ac:dyDescent="0.25">
      <c r="A2493" s="137" t="s">
        <v>2473</v>
      </c>
    </row>
    <row r="2494" spans="1:1" x14ac:dyDescent="0.25">
      <c r="A2494" s="137" t="s">
        <v>2474</v>
      </c>
    </row>
    <row r="2495" spans="1:1" x14ac:dyDescent="0.25">
      <c r="A2495" s="137" t="s">
        <v>2475</v>
      </c>
    </row>
    <row r="2496" spans="1:1" x14ac:dyDescent="0.25">
      <c r="A2496" s="137" t="s">
        <v>2476</v>
      </c>
    </row>
    <row r="2497" spans="1:1" x14ac:dyDescent="0.25">
      <c r="A2497" s="137" t="s">
        <v>2477</v>
      </c>
    </row>
    <row r="2498" spans="1:1" x14ac:dyDescent="0.25">
      <c r="A2498" s="137" t="s">
        <v>2478</v>
      </c>
    </row>
    <row r="2499" spans="1:1" x14ac:dyDescent="0.25">
      <c r="A2499" s="99" t="s">
        <v>2479</v>
      </c>
    </row>
    <row r="2500" spans="1:1" x14ac:dyDescent="0.25">
      <c r="A2500" s="137" t="s">
        <v>2480</v>
      </c>
    </row>
    <row r="2501" spans="1:1" x14ac:dyDescent="0.25">
      <c r="A2501" s="137" t="s">
        <v>2481</v>
      </c>
    </row>
    <row r="2502" spans="1:1" x14ac:dyDescent="0.25">
      <c r="A2502" s="137" t="s">
        <v>2482</v>
      </c>
    </row>
    <row r="2503" spans="1:1" x14ac:dyDescent="0.25">
      <c r="A2503" s="99" t="s">
        <v>2483</v>
      </c>
    </row>
    <row r="2504" spans="1:1" x14ac:dyDescent="0.25">
      <c r="A2504" s="99" t="s">
        <v>2484</v>
      </c>
    </row>
    <row r="2505" spans="1:1" x14ac:dyDescent="0.25">
      <c r="A2505" s="99" t="s">
        <v>2485</v>
      </c>
    </row>
    <row r="2506" spans="1:1" x14ac:dyDescent="0.25">
      <c r="A2506" s="99" t="s">
        <v>2486</v>
      </c>
    </row>
    <row r="2507" spans="1:1" x14ac:dyDescent="0.25">
      <c r="A2507" t="s">
        <v>2489</v>
      </c>
    </row>
    <row r="2508" spans="1:1" x14ac:dyDescent="0.25">
      <c r="A2508" t="s">
        <v>2490</v>
      </c>
    </row>
    <row r="2509" spans="1:1" x14ac:dyDescent="0.25">
      <c r="A2509" s="99" t="s">
        <v>2491</v>
      </c>
    </row>
    <row r="2510" spans="1:1" x14ac:dyDescent="0.25">
      <c r="A2510" s="99" t="s">
        <v>2492</v>
      </c>
    </row>
    <row r="2511" spans="1:1" x14ac:dyDescent="0.25">
      <c r="A2511" s="99" t="s">
        <v>2493</v>
      </c>
    </row>
    <row r="2512" spans="1:1" x14ac:dyDescent="0.25">
      <c r="A2512" s="137" t="s">
        <v>2494</v>
      </c>
    </row>
    <row r="2513" spans="1:1" x14ac:dyDescent="0.25">
      <c r="A2513" s="99" t="s">
        <v>2495</v>
      </c>
    </row>
    <row r="2514" spans="1:1" x14ac:dyDescent="0.25">
      <c r="A2514" s="137" t="s">
        <v>2496</v>
      </c>
    </row>
    <row r="2515" spans="1:1" x14ac:dyDescent="0.25">
      <c r="A2515" s="137" t="s">
        <v>2497</v>
      </c>
    </row>
    <row r="2516" spans="1:1" x14ac:dyDescent="0.25">
      <c r="A2516" s="99" t="s">
        <v>2498</v>
      </c>
    </row>
    <row r="2517" spans="1:1" x14ac:dyDescent="0.25">
      <c r="A2517" s="137" t="s">
        <v>2499</v>
      </c>
    </row>
    <row r="2518" spans="1:1" x14ac:dyDescent="0.25">
      <c r="A2518" s="137" t="s">
        <v>2500</v>
      </c>
    </row>
    <row r="2519" spans="1:1" x14ac:dyDescent="0.25">
      <c r="A2519" s="137" t="s">
        <v>2501</v>
      </c>
    </row>
    <row r="2520" spans="1:1" x14ac:dyDescent="0.25">
      <c r="A2520" s="99" t="s">
        <v>2502</v>
      </c>
    </row>
    <row r="2521" spans="1:1" x14ac:dyDescent="0.25">
      <c r="A2521" s="99" t="s">
        <v>2503</v>
      </c>
    </row>
    <row r="2522" spans="1:1" x14ac:dyDescent="0.25">
      <c r="A2522" s="99" t="s">
        <v>2504</v>
      </c>
    </row>
    <row r="2523" spans="1:1" x14ac:dyDescent="0.25">
      <c r="A2523" s="99" t="s">
        <v>2505</v>
      </c>
    </row>
    <row r="2524" spans="1:1" x14ac:dyDescent="0.25">
      <c r="A2524" s="137" t="s">
        <v>2506</v>
      </c>
    </row>
    <row r="2525" spans="1:1" x14ac:dyDescent="0.25">
      <c r="A2525" s="99" t="s">
        <v>2507</v>
      </c>
    </row>
    <row r="2526" spans="1:1" x14ac:dyDescent="0.25">
      <c r="A2526" s="137" t="s">
        <v>2508</v>
      </c>
    </row>
    <row r="2527" spans="1:1" x14ac:dyDescent="0.25">
      <c r="A2527" s="137" t="s">
        <v>2509</v>
      </c>
    </row>
    <row r="2528" spans="1:1" x14ac:dyDescent="0.25">
      <c r="A2528" s="99" t="s">
        <v>2510</v>
      </c>
    </row>
    <row r="2529" spans="1:1" x14ac:dyDescent="0.25">
      <c r="A2529" s="137" t="s">
        <v>2511</v>
      </c>
    </row>
    <row r="2530" spans="1:1" x14ac:dyDescent="0.25">
      <c r="A2530" s="137" t="s">
        <v>2512</v>
      </c>
    </row>
    <row r="2531" spans="1:1" x14ac:dyDescent="0.25">
      <c r="A2531" s="137" t="s">
        <v>2513</v>
      </c>
    </row>
    <row r="2532" spans="1:1" x14ac:dyDescent="0.25">
      <c r="A2532" s="99" t="s">
        <v>2514</v>
      </c>
    </row>
    <row r="2533" spans="1:1" x14ac:dyDescent="0.25">
      <c r="A2533" s="137" t="s">
        <v>2515</v>
      </c>
    </row>
    <row r="2534" spans="1:1" x14ac:dyDescent="0.25">
      <c r="A2534" s="137" t="s">
        <v>2516</v>
      </c>
    </row>
    <row r="2535" spans="1:1" x14ac:dyDescent="0.25">
      <c r="A2535" s="137" t="s">
        <v>2517</v>
      </c>
    </row>
    <row r="2536" spans="1:1" x14ac:dyDescent="0.25">
      <c r="A2536" s="99" t="s">
        <v>2518</v>
      </c>
    </row>
    <row r="2537" spans="1:1" x14ac:dyDescent="0.25">
      <c r="A2537" s="99" t="s">
        <v>2519</v>
      </c>
    </row>
    <row r="2538" spans="1:1" x14ac:dyDescent="0.25">
      <c r="A2538" s="99" t="s">
        <v>2520</v>
      </c>
    </row>
    <row r="2539" spans="1:1" x14ac:dyDescent="0.25">
      <c r="A2539" t="s">
        <v>2522</v>
      </c>
    </row>
    <row r="2540" spans="1:1" x14ac:dyDescent="0.25">
      <c r="A2540" t="s">
        <v>2523</v>
      </c>
    </row>
    <row r="2541" spans="1:1" x14ac:dyDescent="0.25">
      <c r="A2541" s="99" t="s">
        <v>2524</v>
      </c>
    </row>
    <row r="2542" spans="1:1" x14ac:dyDescent="0.25">
      <c r="A2542" s="99" t="s">
        <v>2525</v>
      </c>
    </row>
    <row r="2543" spans="1:1" x14ac:dyDescent="0.25">
      <c r="A2543" s="99" t="s">
        <v>2526</v>
      </c>
    </row>
    <row r="2544" spans="1:1" x14ac:dyDescent="0.25">
      <c r="A2544" s="137" t="s">
        <v>2527</v>
      </c>
    </row>
    <row r="2545" spans="1:1" x14ac:dyDescent="0.25">
      <c r="A2545" s="99" t="s">
        <v>2528</v>
      </c>
    </row>
    <row r="2546" spans="1:1" x14ac:dyDescent="0.25">
      <c r="A2546" s="27" t="s">
        <v>2529</v>
      </c>
    </row>
    <row r="2547" spans="1:1" x14ac:dyDescent="0.25">
      <c r="A2547" s="137" t="s">
        <v>2530</v>
      </c>
    </row>
    <row r="2548" spans="1:1" x14ac:dyDescent="0.25">
      <c r="A2548" s="137" t="s">
        <v>2531</v>
      </c>
    </row>
    <row r="2549" spans="1:1" x14ac:dyDescent="0.25">
      <c r="A2549" s="99" t="s">
        <v>2532</v>
      </c>
    </row>
    <row r="2550" spans="1:1" x14ac:dyDescent="0.25">
      <c r="A2550" s="137" t="s">
        <v>2533</v>
      </c>
    </row>
    <row r="2551" spans="1:1" x14ac:dyDescent="0.25">
      <c r="A2551" s="99" t="s">
        <v>2534</v>
      </c>
    </row>
    <row r="2552" spans="1:1" x14ac:dyDescent="0.25">
      <c r="A2552" s="27" t="s">
        <v>2535</v>
      </c>
    </row>
    <row r="2553" spans="1:1" x14ac:dyDescent="0.25">
      <c r="A2553" s="137" t="s">
        <v>2536</v>
      </c>
    </row>
    <row r="2554" spans="1:1" x14ac:dyDescent="0.25">
      <c r="A2554" s="137" t="s">
        <v>2537</v>
      </c>
    </row>
    <row r="2555" spans="1:1" x14ac:dyDescent="0.25">
      <c r="A2555" s="27" t="s">
        <v>2538</v>
      </c>
    </row>
    <row r="2556" spans="1:1" x14ac:dyDescent="0.25">
      <c r="A2556" s="27" t="s">
        <v>2539</v>
      </c>
    </row>
    <row r="2557" spans="1:1" x14ac:dyDescent="0.25">
      <c r="A2557" s="137" t="s">
        <v>2540</v>
      </c>
    </row>
    <row r="2558" spans="1:1" x14ac:dyDescent="0.25">
      <c r="A2558" s="99" t="s">
        <v>2541</v>
      </c>
    </row>
    <row r="2559" spans="1:1" x14ac:dyDescent="0.25">
      <c r="A2559" s="137" t="s">
        <v>2542</v>
      </c>
    </row>
    <row r="2560" spans="1:1" x14ac:dyDescent="0.25">
      <c r="A2560" s="137" t="s">
        <v>2543</v>
      </c>
    </row>
    <row r="2561" spans="1:1" x14ac:dyDescent="0.25">
      <c r="A2561" s="27" t="s">
        <v>2544</v>
      </c>
    </row>
    <row r="2562" spans="1:1" x14ac:dyDescent="0.25">
      <c r="A2562" s="27" t="s">
        <v>2545</v>
      </c>
    </row>
    <row r="2563" spans="1:1" x14ac:dyDescent="0.25">
      <c r="A2563" s="27" t="s">
        <v>2546</v>
      </c>
    </row>
    <row r="2564" spans="1:1" x14ac:dyDescent="0.25">
      <c r="A2564" s="99" t="s">
        <v>2547</v>
      </c>
    </row>
    <row r="2565" spans="1:1" x14ac:dyDescent="0.25">
      <c r="A2565" s="137" t="s">
        <v>2548</v>
      </c>
    </row>
    <row r="2566" spans="1:1" x14ac:dyDescent="0.25">
      <c r="A2566" s="99" t="s">
        <v>2549</v>
      </c>
    </row>
    <row r="2567" spans="1:1" x14ac:dyDescent="0.25">
      <c r="A2567" s="137" t="s">
        <v>2550</v>
      </c>
    </row>
    <row r="2568" spans="1:1" x14ac:dyDescent="0.25">
      <c r="A2568" s="137" t="s">
        <v>2551</v>
      </c>
    </row>
    <row r="2569" spans="1:1" x14ac:dyDescent="0.25">
      <c r="A2569" s="27" t="s">
        <v>2552</v>
      </c>
    </row>
    <row r="2570" spans="1:1" x14ac:dyDescent="0.25">
      <c r="A2570" s="137" t="s">
        <v>2553</v>
      </c>
    </row>
    <row r="2571" spans="1:1" x14ac:dyDescent="0.25">
      <c r="A2571" s="137" t="s">
        <v>2554</v>
      </c>
    </row>
    <row r="2572" spans="1:1" x14ac:dyDescent="0.25">
      <c r="A2572" s="137" t="s">
        <v>2555</v>
      </c>
    </row>
    <row r="2573" spans="1:1" x14ac:dyDescent="0.25">
      <c r="A2573" s="99" t="s">
        <v>2556</v>
      </c>
    </row>
    <row r="2574" spans="1:1" x14ac:dyDescent="0.25">
      <c r="A2574" s="99" t="s">
        <v>2557</v>
      </c>
    </row>
    <row r="2575" spans="1:1" x14ac:dyDescent="0.25">
      <c r="A2575" s="137" t="s">
        <v>2558</v>
      </c>
    </row>
    <row r="2576" spans="1:1" x14ac:dyDescent="0.25">
      <c r="A2576" s="99" t="s">
        <v>2559</v>
      </c>
    </row>
    <row r="2577" spans="1:1" x14ac:dyDescent="0.25">
      <c r="A2577" s="99" t="s">
        <v>2560</v>
      </c>
    </row>
    <row r="2578" spans="1:1" x14ac:dyDescent="0.25">
      <c r="A2578" s="99" t="s">
        <v>2561</v>
      </c>
    </row>
    <row r="2579" spans="1:1" x14ac:dyDescent="0.25">
      <c r="A2579" s="137" t="s">
        <v>2562</v>
      </c>
    </row>
    <row r="2580" spans="1:1" x14ac:dyDescent="0.25">
      <c r="A2580" s="137" t="s">
        <v>2563</v>
      </c>
    </row>
    <row r="2581" spans="1:1" x14ac:dyDescent="0.25">
      <c r="A2581" s="137" t="s">
        <v>2564</v>
      </c>
    </row>
    <row r="2582" spans="1:1" x14ac:dyDescent="0.25">
      <c r="A2582" s="137" t="s">
        <v>2565</v>
      </c>
    </row>
    <row r="2583" spans="1:1" x14ac:dyDescent="0.25">
      <c r="A2583" s="137" t="s">
        <v>2566</v>
      </c>
    </row>
    <row r="2584" spans="1:1" x14ac:dyDescent="0.25">
      <c r="A2584" s="99" t="s">
        <v>2567</v>
      </c>
    </row>
    <row r="2585" spans="1:1" x14ac:dyDescent="0.25">
      <c r="A2585" s="99" t="s">
        <v>2568</v>
      </c>
    </row>
    <row r="2586" spans="1:1" x14ac:dyDescent="0.25">
      <c r="A2586" s="137" t="s">
        <v>2569</v>
      </c>
    </row>
    <row r="2587" spans="1:1" x14ac:dyDescent="0.25">
      <c r="A2587" s="137" t="s">
        <v>2570</v>
      </c>
    </row>
    <row r="2588" spans="1:1" x14ac:dyDescent="0.25">
      <c r="A2588" s="137" t="s">
        <v>2571</v>
      </c>
    </row>
    <row r="2589" spans="1:1" x14ac:dyDescent="0.25">
      <c r="A2589" s="137" t="s">
        <v>2572</v>
      </c>
    </row>
    <row r="2590" spans="1:1" x14ac:dyDescent="0.25">
      <c r="A2590" s="137" t="s">
        <v>2573</v>
      </c>
    </row>
    <row r="2591" spans="1:1" x14ac:dyDescent="0.25">
      <c r="A2591" s="137" t="s">
        <v>2574</v>
      </c>
    </row>
    <row r="2592" spans="1:1" x14ac:dyDescent="0.25">
      <c r="A2592" s="99" t="s">
        <v>2575</v>
      </c>
    </row>
    <row r="2593" spans="1:1" x14ac:dyDescent="0.25">
      <c r="A2593" s="99" t="s">
        <v>2576</v>
      </c>
    </row>
    <row r="2594" spans="1:1" x14ac:dyDescent="0.25">
      <c r="A2594" s="137" t="s">
        <v>2577</v>
      </c>
    </row>
    <row r="2595" spans="1:1" x14ac:dyDescent="0.25">
      <c r="A2595" s="137" t="s">
        <v>2578</v>
      </c>
    </row>
    <row r="2596" spans="1:1" x14ac:dyDescent="0.25">
      <c r="A2596" s="137" t="s">
        <v>2579</v>
      </c>
    </row>
    <row r="2597" spans="1:1" x14ac:dyDescent="0.25">
      <c r="A2597" s="137" t="s">
        <v>2580</v>
      </c>
    </row>
    <row r="2598" spans="1:1" x14ac:dyDescent="0.25">
      <c r="A2598" s="137" t="s">
        <v>2581</v>
      </c>
    </row>
    <row r="2599" spans="1:1" x14ac:dyDescent="0.25">
      <c r="A2599" s="137" t="s">
        <v>2582</v>
      </c>
    </row>
    <row r="2600" spans="1:1" x14ac:dyDescent="0.25">
      <c r="A2600" s="99" t="s">
        <v>2583</v>
      </c>
    </row>
    <row r="2601" spans="1:1" x14ac:dyDescent="0.25">
      <c r="A2601" s="99" t="s">
        <v>2584</v>
      </c>
    </row>
    <row r="2602" spans="1:1" x14ac:dyDescent="0.25">
      <c r="A2602" s="137" t="s">
        <v>2585</v>
      </c>
    </row>
    <row r="2603" spans="1:1" x14ac:dyDescent="0.25">
      <c r="A2603" s="137" t="s">
        <v>2586</v>
      </c>
    </row>
    <row r="2604" spans="1:1" x14ac:dyDescent="0.25">
      <c r="A2604" s="137" t="s">
        <v>2587</v>
      </c>
    </row>
    <row r="2605" spans="1:1" x14ac:dyDescent="0.25">
      <c r="A2605" s="137" t="s">
        <v>2588</v>
      </c>
    </row>
    <row r="2606" spans="1:1" x14ac:dyDescent="0.25">
      <c r="A2606" s="137" t="s">
        <v>2589</v>
      </c>
    </row>
    <row r="2607" spans="1:1" x14ac:dyDescent="0.25">
      <c r="A2607" s="137" t="s">
        <v>2590</v>
      </c>
    </row>
    <row r="2608" spans="1:1" x14ac:dyDescent="0.25">
      <c r="A2608" s="99" t="s">
        <v>2591</v>
      </c>
    </row>
    <row r="2609" spans="1:1" x14ac:dyDescent="0.25">
      <c r="A2609" s="99" t="s">
        <v>2592</v>
      </c>
    </row>
    <row r="2610" spans="1:1" x14ac:dyDescent="0.25">
      <c r="A2610" s="137" t="s">
        <v>2593</v>
      </c>
    </row>
    <row r="2611" spans="1:1" x14ac:dyDescent="0.25">
      <c r="A2611" s="137" t="s">
        <v>2594</v>
      </c>
    </row>
    <row r="2612" spans="1:1" x14ac:dyDescent="0.25">
      <c r="A2612" s="137" t="s">
        <v>2595</v>
      </c>
    </row>
    <row r="2613" spans="1:1" x14ac:dyDescent="0.25">
      <c r="A2613" s="137" t="s">
        <v>2596</v>
      </c>
    </row>
    <row r="2614" spans="1:1" x14ac:dyDescent="0.25">
      <c r="A2614" s="137" t="s">
        <v>2597</v>
      </c>
    </row>
    <row r="2615" spans="1:1" x14ac:dyDescent="0.25">
      <c r="A2615" s="137" t="s">
        <v>2598</v>
      </c>
    </row>
    <row r="2616" spans="1:1" x14ac:dyDescent="0.25">
      <c r="A2616" s="99" t="s">
        <v>2599</v>
      </c>
    </row>
    <row r="2617" spans="1:1" x14ac:dyDescent="0.25">
      <c r="A2617" s="99" t="s">
        <v>2600</v>
      </c>
    </row>
    <row r="2618" spans="1:1" x14ac:dyDescent="0.25">
      <c r="A2618" s="137" t="s">
        <v>2601</v>
      </c>
    </row>
    <row r="2619" spans="1:1" x14ac:dyDescent="0.25">
      <c r="A2619" s="137" t="s">
        <v>2602</v>
      </c>
    </row>
    <row r="2620" spans="1:1" x14ac:dyDescent="0.25">
      <c r="A2620" s="137" t="s">
        <v>2603</v>
      </c>
    </row>
    <row r="2621" spans="1:1" x14ac:dyDescent="0.25">
      <c r="A2621" s="137" t="s">
        <v>2604</v>
      </c>
    </row>
    <row r="2622" spans="1:1" x14ac:dyDescent="0.25">
      <c r="A2622" s="137" t="s">
        <v>2605</v>
      </c>
    </row>
    <row r="2623" spans="1:1" x14ac:dyDescent="0.25">
      <c r="A2623" s="137" t="s">
        <v>2606</v>
      </c>
    </row>
    <row r="2624" spans="1:1" x14ac:dyDescent="0.25">
      <c r="A2624" s="99" t="s">
        <v>2607</v>
      </c>
    </row>
    <row r="2625" spans="1:1" x14ac:dyDescent="0.25">
      <c r="A2625" s="99" t="s">
        <v>2608</v>
      </c>
    </row>
    <row r="2626" spans="1:1" x14ac:dyDescent="0.25">
      <c r="A2626" s="137" t="s">
        <v>2609</v>
      </c>
    </row>
    <row r="2627" spans="1:1" x14ac:dyDescent="0.25">
      <c r="A2627" s="137" t="s">
        <v>2610</v>
      </c>
    </row>
    <row r="2628" spans="1:1" x14ac:dyDescent="0.25">
      <c r="A2628" s="137" t="s">
        <v>2611</v>
      </c>
    </row>
    <row r="2629" spans="1:1" x14ac:dyDescent="0.25">
      <c r="A2629" s="137" t="s">
        <v>2612</v>
      </c>
    </row>
    <row r="2630" spans="1:1" x14ac:dyDescent="0.25">
      <c r="A2630" s="137" t="s">
        <v>2613</v>
      </c>
    </row>
    <row r="2631" spans="1:1" x14ac:dyDescent="0.25">
      <c r="A2631" s="137" t="s">
        <v>2614</v>
      </c>
    </row>
    <row r="2632" spans="1:1" x14ac:dyDescent="0.25">
      <c r="A2632" s="99" t="s">
        <v>2615</v>
      </c>
    </row>
    <row r="2633" spans="1:1" x14ac:dyDescent="0.25">
      <c r="A2633" s="99" t="s">
        <v>2616</v>
      </c>
    </row>
    <row r="2634" spans="1:1" x14ac:dyDescent="0.25">
      <c r="A2634" s="137" t="s">
        <v>2617</v>
      </c>
    </row>
    <row r="2635" spans="1:1" x14ac:dyDescent="0.25">
      <c r="A2635" s="137" t="s">
        <v>2618</v>
      </c>
    </row>
    <row r="2636" spans="1:1" x14ac:dyDescent="0.25">
      <c r="A2636" s="137" t="s">
        <v>2619</v>
      </c>
    </row>
    <row r="2637" spans="1:1" x14ac:dyDescent="0.25">
      <c r="A2637" s="137" t="s">
        <v>2620</v>
      </c>
    </row>
    <row r="2638" spans="1:1" x14ac:dyDescent="0.25">
      <c r="A2638" s="137" t="s">
        <v>2621</v>
      </c>
    </row>
    <row r="2639" spans="1:1" x14ac:dyDescent="0.25">
      <c r="A2639" s="137" t="s">
        <v>2622</v>
      </c>
    </row>
    <row r="2640" spans="1:1" x14ac:dyDescent="0.25">
      <c r="A2640" s="99" t="s">
        <v>2623</v>
      </c>
    </row>
    <row r="2641" spans="1:1" x14ac:dyDescent="0.25">
      <c r="A2641" s="99" t="s">
        <v>2624</v>
      </c>
    </row>
    <row r="2642" spans="1:1" x14ac:dyDescent="0.25">
      <c r="A2642" s="137" t="s">
        <v>2625</v>
      </c>
    </row>
    <row r="2643" spans="1:1" x14ac:dyDescent="0.25">
      <c r="A2643" s="137" t="s">
        <v>2626</v>
      </c>
    </row>
    <row r="2644" spans="1:1" x14ac:dyDescent="0.25">
      <c r="A2644" s="137" t="s">
        <v>2627</v>
      </c>
    </row>
    <row r="2645" spans="1:1" x14ac:dyDescent="0.25">
      <c r="A2645" s="27" t="s">
        <v>2628</v>
      </c>
    </row>
    <row r="2646" spans="1:1" x14ac:dyDescent="0.25">
      <c r="A2646" s="99" t="s">
        <v>2629</v>
      </c>
    </row>
    <row r="2647" spans="1:1" x14ac:dyDescent="0.25">
      <c r="A2647" s="137" t="s">
        <v>2630</v>
      </c>
    </row>
    <row r="2648" spans="1:1" x14ac:dyDescent="0.25">
      <c r="A2648" s="137" t="s">
        <v>2631</v>
      </c>
    </row>
    <row r="2649" spans="1:1" x14ac:dyDescent="0.25">
      <c r="A2649" s="137" t="s">
        <v>2632</v>
      </c>
    </row>
    <row r="2650" spans="1:1" x14ac:dyDescent="0.25">
      <c r="A2650" s="99" t="s">
        <v>2633</v>
      </c>
    </row>
    <row r="2651" spans="1:1" x14ac:dyDescent="0.25">
      <c r="A2651" s="99" t="s">
        <v>2634</v>
      </c>
    </row>
    <row r="2652" spans="1:1" x14ac:dyDescent="0.25">
      <c r="A2652" s="99" t="s">
        <v>2635</v>
      </c>
    </row>
    <row r="2653" spans="1:1" x14ac:dyDescent="0.25">
      <c r="A2653" t="s">
        <v>2638</v>
      </c>
    </row>
    <row r="2654" spans="1:1" x14ac:dyDescent="0.25">
      <c r="A2654" t="s">
        <v>2639</v>
      </c>
    </row>
    <row r="2655" spans="1:1" x14ac:dyDescent="0.25">
      <c r="A2655" s="99" t="s">
        <v>2640</v>
      </c>
    </row>
    <row r="2656" spans="1:1" x14ac:dyDescent="0.25">
      <c r="A2656" s="99" t="s">
        <v>2641</v>
      </c>
    </row>
    <row r="2657" spans="1:1" x14ac:dyDescent="0.25">
      <c r="A2657" s="99" t="s">
        <v>2642</v>
      </c>
    </row>
    <row r="2658" spans="1:1" x14ac:dyDescent="0.25">
      <c r="A2658" s="137" t="s">
        <v>2643</v>
      </c>
    </row>
    <row r="2659" spans="1:1" x14ac:dyDescent="0.25">
      <c r="A2659" s="99" t="s">
        <v>2644</v>
      </c>
    </row>
    <row r="2660" spans="1:1" x14ac:dyDescent="0.25">
      <c r="A2660" s="27" t="s">
        <v>2645</v>
      </c>
    </row>
    <row r="2661" spans="1:1" x14ac:dyDescent="0.25">
      <c r="A2661" s="137" t="s">
        <v>2646</v>
      </c>
    </row>
    <row r="2662" spans="1:1" x14ac:dyDescent="0.25">
      <c r="A2662" s="137" t="s">
        <v>2647</v>
      </c>
    </row>
    <row r="2663" spans="1:1" x14ac:dyDescent="0.25">
      <c r="A2663" s="99" t="s">
        <v>2648</v>
      </c>
    </row>
    <row r="2664" spans="1:1" x14ac:dyDescent="0.25">
      <c r="A2664" s="137" t="s">
        <v>2649</v>
      </c>
    </row>
    <row r="2665" spans="1:1" x14ac:dyDescent="0.25">
      <c r="A2665" s="99" t="s">
        <v>2650</v>
      </c>
    </row>
    <row r="2666" spans="1:1" x14ac:dyDescent="0.25">
      <c r="A2666" s="27" t="s">
        <v>2651</v>
      </c>
    </row>
    <row r="2667" spans="1:1" x14ac:dyDescent="0.25">
      <c r="A2667" s="137" t="s">
        <v>2652</v>
      </c>
    </row>
    <row r="2668" spans="1:1" x14ac:dyDescent="0.25">
      <c r="A2668" s="137" t="s">
        <v>2653</v>
      </c>
    </row>
    <row r="2669" spans="1:1" x14ac:dyDescent="0.25">
      <c r="A2669" s="99" t="s">
        <v>2654</v>
      </c>
    </row>
    <row r="2670" spans="1:1" x14ac:dyDescent="0.25">
      <c r="A2670" s="137" t="s">
        <v>2655</v>
      </c>
    </row>
    <row r="2671" spans="1:1" x14ac:dyDescent="0.25">
      <c r="A2671" s="99" t="s">
        <v>2656</v>
      </c>
    </row>
    <row r="2672" spans="1:1" x14ac:dyDescent="0.25">
      <c r="A2672" s="27" t="s">
        <v>2657</v>
      </c>
    </row>
    <row r="2673" spans="1:1" x14ac:dyDescent="0.25">
      <c r="A2673" s="137" t="s">
        <v>2658</v>
      </c>
    </row>
    <row r="2674" spans="1:1" x14ac:dyDescent="0.25">
      <c r="A2674" s="137" t="s">
        <v>2659</v>
      </c>
    </row>
    <row r="2675" spans="1:1" x14ac:dyDescent="0.25">
      <c r="A2675" s="137" t="s">
        <v>2660</v>
      </c>
    </row>
    <row r="2676" spans="1:1" x14ac:dyDescent="0.25">
      <c r="A2676" s="137" t="s">
        <v>2661</v>
      </c>
    </row>
    <row r="2677" spans="1:1" x14ac:dyDescent="0.25">
      <c r="A2677" s="137" t="s">
        <v>2662</v>
      </c>
    </row>
    <row r="2678" spans="1:1" x14ac:dyDescent="0.25">
      <c r="A2678" s="99" t="s">
        <v>2663</v>
      </c>
    </row>
    <row r="2679" spans="1:1" x14ac:dyDescent="0.25">
      <c r="A2679" s="99" t="s">
        <v>2664</v>
      </c>
    </row>
    <row r="2680" spans="1:1" x14ac:dyDescent="0.25">
      <c r="A2680" s="137" t="s">
        <v>2665</v>
      </c>
    </row>
    <row r="2681" spans="1:1" x14ac:dyDescent="0.25">
      <c r="A2681" s="137" t="s">
        <v>2666</v>
      </c>
    </row>
    <row r="2682" spans="1:1" x14ac:dyDescent="0.25">
      <c r="A2682" s="137" t="s">
        <v>2667</v>
      </c>
    </row>
    <row r="2683" spans="1:1" x14ac:dyDescent="0.25">
      <c r="A2683" s="137" t="s">
        <v>2668</v>
      </c>
    </row>
    <row r="2684" spans="1:1" x14ac:dyDescent="0.25">
      <c r="A2684" s="99" t="s">
        <v>2669</v>
      </c>
    </row>
    <row r="2685" spans="1:1" x14ac:dyDescent="0.25">
      <c r="A2685" s="99" t="s">
        <v>2670</v>
      </c>
    </row>
    <row r="2686" spans="1:1" x14ac:dyDescent="0.25">
      <c r="A2686" s="137" t="s">
        <v>2671</v>
      </c>
    </row>
    <row r="2687" spans="1:1" x14ac:dyDescent="0.25">
      <c r="A2687" s="137" t="s">
        <v>2672</v>
      </c>
    </row>
    <row r="2688" spans="1:1" x14ac:dyDescent="0.25">
      <c r="A2688" s="137" t="s">
        <v>2673</v>
      </c>
    </row>
    <row r="2689" spans="1:1" x14ac:dyDescent="0.25">
      <c r="A2689" s="137" t="s">
        <v>2674</v>
      </c>
    </row>
    <row r="2690" spans="1:1" x14ac:dyDescent="0.25">
      <c r="A2690" s="99" t="s">
        <v>2675</v>
      </c>
    </row>
    <row r="2691" spans="1:1" x14ac:dyDescent="0.25">
      <c r="A2691" s="99" t="s">
        <v>2676</v>
      </c>
    </row>
    <row r="2692" spans="1:1" x14ac:dyDescent="0.25">
      <c r="A2692" s="137" t="s">
        <v>2677</v>
      </c>
    </row>
    <row r="2693" spans="1:1" x14ac:dyDescent="0.25">
      <c r="A2693" s="137" t="s">
        <v>2678</v>
      </c>
    </row>
    <row r="2694" spans="1:1" x14ac:dyDescent="0.25">
      <c r="A2694" s="137" t="s">
        <v>2679</v>
      </c>
    </row>
    <row r="2695" spans="1:1" x14ac:dyDescent="0.25">
      <c r="A2695" s="137" t="s">
        <v>2680</v>
      </c>
    </row>
    <row r="2696" spans="1:1" x14ac:dyDescent="0.25">
      <c r="A2696" s="99" t="s">
        <v>2681</v>
      </c>
    </row>
    <row r="2697" spans="1:1" x14ac:dyDescent="0.25">
      <c r="A2697" s="99" t="s">
        <v>2682</v>
      </c>
    </row>
    <row r="2698" spans="1:1" x14ac:dyDescent="0.25">
      <c r="A2698" s="137" t="s">
        <v>2683</v>
      </c>
    </row>
    <row r="2699" spans="1:1" x14ac:dyDescent="0.25">
      <c r="A2699" s="137" t="s">
        <v>2684</v>
      </c>
    </row>
    <row r="2700" spans="1:1" x14ac:dyDescent="0.25">
      <c r="A2700" s="137" t="s">
        <v>2685</v>
      </c>
    </row>
    <row r="2701" spans="1:1" x14ac:dyDescent="0.25">
      <c r="A2701" s="137" t="s">
        <v>2686</v>
      </c>
    </row>
    <row r="2702" spans="1:1" x14ac:dyDescent="0.25">
      <c r="A2702" s="99" t="s">
        <v>2687</v>
      </c>
    </row>
    <row r="2703" spans="1:1" x14ac:dyDescent="0.25">
      <c r="A2703" s="99" t="s">
        <v>2688</v>
      </c>
    </row>
    <row r="2704" spans="1:1" x14ac:dyDescent="0.25">
      <c r="A2704" s="137" t="s">
        <v>2689</v>
      </c>
    </row>
    <row r="2705" spans="1:1" x14ac:dyDescent="0.25">
      <c r="A2705" s="137" t="s">
        <v>2690</v>
      </c>
    </row>
    <row r="2706" spans="1:1" x14ac:dyDescent="0.25">
      <c r="A2706" s="137" t="s">
        <v>2691</v>
      </c>
    </row>
    <row r="2707" spans="1:1" x14ac:dyDescent="0.25">
      <c r="A2707" s="137" t="s">
        <v>2692</v>
      </c>
    </row>
    <row r="2708" spans="1:1" x14ac:dyDescent="0.25">
      <c r="A2708" s="99" t="s">
        <v>2693</v>
      </c>
    </row>
    <row r="2709" spans="1:1" x14ac:dyDescent="0.25">
      <c r="A2709" s="99" t="s">
        <v>2694</v>
      </c>
    </row>
    <row r="2710" spans="1:1" x14ac:dyDescent="0.25">
      <c r="A2710" s="137" t="s">
        <v>2695</v>
      </c>
    </row>
    <row r="2711" spans="1:1" x14ac:dyDescent="0.25">
      <c r="A2711" s="137" t="s">
        <v>2696</v>
      </c>
    </row>
    <row r="2712" spans="1:1" x14ac:dyDescent="0.25">
      <c r="A2712" s="137" t="s">
        <v>2697</v>
      </c>
    </row>
    <row r="2713" spans="1:1" x14ac:dyDescent="0.25">
      <c r="A2713" s="137" t="s">
        <v>2698</v>
      </c>
    </row>
    <row r="2714" spans="1:1" x14ac:dyDescent="0.25">
      <c r="A2714" s="99" t="s">
        <v>2699</v>
      </c>
    </row>
    <row r="2715" spans="1:1" x14ac:dyDescent="0.25">
      <c r="A2715" s="99" t="s">
        <v>2700</v>
      </c>
    </row>
    <row r="2716" spans="1:1" x14ac:dyDescent="0.25">
      <c r="A2716" s="137" t="s">
        <v>2701</v>
      </c>
    </row>
    <row r="2717" spans="1:1" x14ac:dyDescent="0.25">
      <c r="A2717" s="137" t="s">
        <v>2702</v>
      </c>
    </row>
    <row r="2718" spans="1:1" x14ac:dyDescent="0.25">
      <c r="A2718" s="137" t="s">
        <v>2703</v>
      </c>
    </row>
    <row r="2719" spans="1:1" x14ac:dyDescent="0.25">
      <c r="A2719" s="137" t="s">
        <v>2704</v>
      </c>
    </row>
    <row r="2720" spans="1:1" x14ac:dyDescent="0.25">
      <c r="A2720" s="99" t="s">
        <v>2705</v>
      </c>
    </row>
    <row r="2721" spans="1:1" x14ac:dyDescent="0.25">
      <c r="A2721" s="99" t="s">
        <v>2706</v>
      </c>
    </row>
    <row r="2722" spans="1:1" x14ac:dyDescent="0.25">
      <c r="A2722" s="137" t="s">
        <v>2707</v>
      </c>
    </row>
    <row r="2723" spans="1:1" x14ac:dyDescent="0.25">
      <c r="A2723" s="137" t="s">
        <v>2708</v>
      </c>
    </row>
    <row r="2724" spans="1:1" x14ac:dyDescent="0.25">
      <c r="A2724" s="137" t="s">
        <v>2709</v>
      </c>
    </row>
    <row r="2725" spans="1:1" x14ac:dyDescent="0.25">
      <c r="A2725" s="137" t="s">
        <v>2710</v>
      </c>
    </row>
    <row r="2726" spans="1:1" x14ac:dyDescent="0.25">
      <c r="A2726" s="99" t="s">
        <v>2711</v>
      </c>
    </row>
    <row r="2727" spans="1:1" x14ac:dyDescent="0.25">
      <c r="A2727" s="99" t="s">
        <v>2712</v>
      </c>
    </row>
    <row r="2728" spans="1:1" x14ac:dyDescent="0.25">
      <c r="A2728" s="137" t="s">
        <v>2713</v>
      </c>
    </row>
    <row r="2729" spans="1:1" x14ac:dyDescent="0.25">
      <c r="A2729" s="137" t="s">
        <v>2714</v>
      </c>
    </row>
    <row r="2730" spans="1:1" x14ac:dyDescent="0.25">
      <c r="A2730" s="137" t="s">
        <v>2715</v>
      </c>
    </row>
    <row r="2731" spans="1:1" x14ac:dyDescent="0.25">
      <c r="A2731" s="137" t="s">
        <v>2716</v>
      </c>
    </row>
    <row r="2732" spans="1:1" x14ac:dyDescent="0.25">
      <c r="A2732" s="99" t="s">
        <v>2717</v>
      </c>
    </row>
    <row r="2733" spans="1:1" x14ac:dyDescent="0.25">
      <c r="A2733" s="99" t="s">
        <v>2718</v>
      </c>
    </row>
    <row r="2734" spans="1:1" x14ac:dyDescent="0.25">
      <c r="A2734" s="137" t="s">
        <v>2719</v>
      </c>
    </row>
    <row r="2735" spans="1:1" x14ac:dyDescent="0.25">
      <c r="A2735" s="137" t="s">
        <v>2720</v>
      </c>
    </row>
    <row r="2736" spans="1:1" x14ac:dyDescent="0.25">
      <c r="A2736" s="137" t="s">
        <v>2721</v>
      </c>
    </row>
    <row r="2737" spans="1:1" x14ac:dyDescent="0.25">
      <c r="A2737" s="137" t="s">
        <v>2722</v>
      </c>
    </row>
    <row r="2738" spans="1:1" x14ac:dyDescent="0.25">
      <c r="A2738" s="99" t="s">
        <v>2723</v>
      </c>
    </row>
    <row r="2739" spans="1:1" x14ac:dyDescent="0.25">
      <c r="A2739" s="99" t="s">
        <v>2724</v>
      </c>
    </row>
    <row r="2740" spans="1:1" x14ac:dyDescent="0.25">
      <c r="A2740" s="137" t="s">
        <v>2725</v>
      </c>
    </row>
    <row r="2741" spans="1:1" x14ac:dyDescent="0.25">
      <c r="A2741" s="137" t="s">
        <v>2726</v>
      </c>
    </row>
    <row r="2742" spans="1:1" x14ac:dyDescent="0.25">
      <c r="A2742" s="137" t="s">
        <v>2727</v>
      </c>
    </row>
    <row r="2743" spans="1:1" x14ac:dyDescent="0.25">
      <c r="A2743" s="137" t="s">
        <v>2728</v>
      </c>
    </row>
    <row r="2744" spans="1:1" x14ac:dyDescent="0.25">
      <c r="A2744" s="99" t="s">
        <v>2729</v>
      </c>
    </row>
    <row r="2745" spans="1:1" x14ac:dyDescent="0.25">
      <c r="A2745" s="99" t="s">
        <v>2730</v>
      </c>
    </row>
    <row r="2746" spans="1:1" x14ac:dyDescent="0.25">
      <c r="A2746" s="137" t="s">
        <v>2731</v>
      </c>
    </row>
    <row r="2747" spans="1:1" x14ac:dyDescent="0.25">
      <c r="A2747" s="137" t="s">
        <v>2732</v>
      </c>
    </row>
    <row r="2748" spans="1:1" x14ac:dyDescent="0.25">
      <c r="A2748" s="137" t="s">
        <v>2733</v>
      </c>
    </row>
    <row r="2749" spans="1:1" x14ac:dyDescent="0.25">
      <c r="A2749" s="137" t="s">
        <v>2734</v>
      </c>
    </row>
    <row r="2750" spans="1:1" x14ac:dyDescent="0.25">
      <c r="A2750" s="99" t="s">
        <v>2735</v>
      </c>
    </row>
    <row r="2751" spans="1:1" x14ac:dyDescent="0.25">
      <c r="A2751" s="99" t="s">
        <v>2736</v>
      </c>
    </row>
    <row r="2752" spans="1:1" x14ac:dyDescent="0.25">
      <c r="A2752" s="137" t="s">
        <v>2737</v>
      </c>
    </row>
    <row r="2753" spans="1:1" x14ac:dyDescent="0.25">
      <c r="A2753" s="99" t="s">
        <v>2738</v>
      </c>
    </row>
    <row r="2754" spans="1:1" x14ac:dyDescent="0.25">
      <c r="A2754" s="99" t="s">
        <v>2739</v>
      </c>
    </row>
    <row r="2755" spans="1:1" x14ac:dyDescent="0.25">
      <c r="A2755" s="99" t="s">
        <v>2740</v>
      </c>
    </row>
    <row r="2756" spans="1:1" x14ac:dyDescent="0.25">
      <c r="A2756" s="137" t="s">
        <v>2741</v>
      </c>
    </row>
    <row r="2757" spans="1:1" x14ac:dyDescent="0.25">
      <c r="A2757" s="27" t="s">
        <v>2742</v>
      </c>
    </row>
    <row r="2758" spans="1:1" x14ac:dyDescent="0.25">
      <c r="A2758" s="99" t="s">
        <v>2743</v>
      </c>
    </row>
    <row r="2759" spans="1:1" x14ac:dyDescent="0.25">
      <c r="A2759" s="137" t="s">
        <v>2744</v>
      </c>
    </row>
    <row r="2760" spans="1:1" x14ac:dyDescent="0.25">
      <c r="A2760" s="99" t="s">
        <v>2745</v>
      </c>
    </row>
    <row r="2761" spans="1:1" x14ac:dyDescent="0.25">
      <c r="A2761" s="137" t="s">
        <v>2746</v>
      </c>
    </row>
    <row r="2762" spans="1:1" x14ac:dyDescent="0.25">
      <c r="A2762" s="137" t="s">
        <v>2747</v>
      </c>
    </row>
    <row r="2763" spans="1:1" x14ac:dyDescent="0.25">
      <c r="A2763" s="137" t="s">
        <v>2748</v>
      </c>
    </row>
    <row r="2764" spans="1:1" x14ac:dyDescent="0.25">
      <c r="A2764" s="137" t="s">
        <v>2749</v>
      </c>
    </row>
    <row r="2765" spans="1:1" x14ac:dyDescent="0.25">
      <c r="A2765" s="137" t="s">
        <v>2750</v>
      </c>
    </row>
    <row r="2766" spans="1:1" x14ac:dyDescent="0.25">
      <c r="A2766" s="137" t="s">
        <v>2751</v>
      </c>
    </row>
    <row r="2767" spans="1:1" x14ac:dyDescent="0.25">
      <c r="A2767" s="137" t="s">
        <v>2752</v>
      </c>
    </row>
    <row r="2768" spans="1:1" x14ac:dyDescent="0.25">
      <c r="A2768" s="137" t="s">
        <v>2753</v>
      </c>
    </row>
    <row r="2769" spans="1:1" x14ac:dyDescent="0.25">
      <c r="A2769" s="137" t="s">
        <v>2754</v>
      </c>
    </row>
    <row r="2770" spans="1:1" x14ac:dyDescent="0.25">
      <c r="A2770" s="137" t="s">
        <v>2755</v>
      </c>
    </row>
    <row r="2771" spans="1:1" x14ac:dyDescent="0.25">
      <c r="A2771" s="137" t="s">
        <v>2756</v>
      </c>
    </row>
    <row r="2772" spans="1:1" x14ac:dyDescent="0.25">
      <c r="A2772" s="137" t="s">
        <v>2757</v>
      </c>
    </row>
    <row r="2773" spans="1:1" x14ac:dyDescent="0.25">
      <c r="A2773" s="99" t="s">
        <v>2758</v>
      </c>
    </row>
    <row r="2774" spans="1:1" x14ac:dyDescent="0.25">
      <c r="A2774" s="137" t="s">
        <v>2759</v>
      </c>
    </row>
    <row r="2775" spans="1:1" x14ac:dyDescent="0.25">
      <c r="A2775" s="137" t="s">
        <v>2760</v>
      </c>
    </row>
    <row r="2776" spans="1:1" x14ac:dyDescent="0.25">
      <c r="A2776" s="137" t="s">
        <v>2761</v>
      </c>
    </row>
    <row r="2777" spans="1:1" x14ac:dyDescent="0.25">
      <c r="A2777" s="137" t="s">
        <v>2762</v>
      </c>
    </row>
    <row r="2778" spans="1:1" x14ac:dyDescent="0.25">
      <c r="A2778" s="99" t="s">
        <v>2763</v>
      </c>
    </row>
    <row r="2779" spans="1:1" x14ac:dyDescent="0.25">
      <c r="A2779" s="99" t="s">
        <v>2764</v>
      </c>
    </row>
    <row r="2780" spans="1:1" x14ac:dyDescent="0.25">
      <c r="A2780" s="137" t="s">
        <v>2765</v>
      </c>
    </row>
    <row r="2781" spans="1:1" x14ac:dyDescent="0.25">
      <c r="A2781" s="137" t="s">
        <v>2766</v>
      </c>
    </row>
    <row r="2782" spans="1:1" x14ac:dyDescent="0.25">
      <c r="A2782" s="137" t="s">
        <v>2767</v>
      </c>
    </row>
    <row r="2783" spans="1:1" x14ac:dyDescent="0.25">
      <c r="A2783" s="99" t="s">
        <v>2768</v>
      </c>
    </row>
    <row r="2784" spans="1:1" x14ac:dyDescent="0.25">
      <c r="A2784" s="137" t="s">
        <v>2769</v>
      </c>
    </row>
    <row r="2785" spans="1:1" x14ac:dyDescent="0.25">
      <c r="A2785" s="137" t="s">
        <v>2770</v>
      </c>
    </row>
    <row r="2786" spans="1:1" x14ac:dyDescent="0.25">
      <c r="A2786" s="27" t="s">
        <v>2771</v>
      </c>
    </row>
    <row r="2787" spans="1:1" x14ac:dyDescent="0.25">
      <c r="A2787" s="27" t="s">
        <v>2772</v>
      </c>
    </row>
    <row r="2788" spans="1:1" x14ac:dyDescent="0.25">
      <c r="A2788" s="27" t="s">
        <v>2773</v>
      </c>
    </row>
    <row r="2789" spans="1:1" x14ac:dyDescent="0.25">
      <c r="A2789" s="137" t="s">
        <v>2774</v>
      </c>
    </row>
    <row r="2790" spans="1:1" x14ac:dyDescent="0.25">
      <c r="A2790" s="99" t="s">
        <v>2775</v>
      </c>
    </row>
    <row r="2791" spans="1:1" x14ac:dyDescent="0.25">
      <c r="A2791" s="99" t="s">
        <v>2776</v>
      </c>
    </row>
    <row r="2792" spans="1:1" x14ac:dyDescent="0.25">
      <c r="A2792" s="99" t="s">
        <v>2777</v>
      </c>
    </row>
    <row r="2793" spans="1:1" x14ac:dyDescent="0.25">
      <c r="A2793" s="137" t="s">
        <v>2778</v>
      </c>
    </row>
    <row r="2794" spans="1:1" x14ac:dyDescent="0.25">
      <c r="A2794" s="137" t="s">
        <v>2779</v>
      </c>
    </row>
    <row r="2795" spans="1:1" x14ac:dyDescent="0.25">
      <c r="A2795" s="137" t="s">
        <v>2780</v>
      </c>
    </row>
    <row r="2796" spans="1:1" x14ac:dyDescent="0.25">
      <c r="A2796" s="27" t="s">
        <v>2781</v>
      </c>
    </row>
    <row r="2797" spans="1:1" x14ac:dyDescent="0.25">
      <c r="A2797" s="137" t="s">
        <v>2782</v>
      </c>
    </row>
    <row r="2798" spans="1:1" x14ac:dyDescent="0.25">
      <c r="A2798" s="137" t="s">
        <v>2783</v>
      </c>
    </row>
    <row r="2799" spans="1:1" x14ac:dyDescent="0.25">
      <c r="A2799" s="99" t="s">
        <v>2784</v>
      </c>
    </row>
    <row r="2800" spans="1:1" x14ac:dyDescent="0.25">
      <c r="A2800" s="137" t="s">
        <v>2785</v>
      </c>
    </row>
    <row r="2801" spans="1:1" x14ac:dyDescent="0.25">
      <c r="A2801" s="137" t="s">
        <v>2786</v>
      </c>
    </row>
    <row r="2802" spans="1:1" x14ac:dyDescent="0.25">
      <c r="A2802" s="137" t="s">
        <v>2787</v>
      </c>
    </row>
    <row r="2803" spans="1:1" x14ac:dyDescent="0.25">
      <c r="A2803" s="99" t="s">
        <v>2788</v>
      </c>
    </row>
    <row r="2804" spans="1:1" x14ac:dyDescent="0.25">
      <c r="A2804" s="99" t="s">
        <v>2789</v>
      </c>
    </row>
    <row r="2805" spans="1:1" x14ac:dyDescent="0.25">
      <c r="A2805" s="99" t="s">
        <v>2790</v>
      </c>
    </row>
    <row r="2806" spans="1:1" x14ac:dyDescent="0.25">
      <c r="A2806" s="99" t="s">
        <v>2791</v>
      </c>
    </row>
    <row r="2807" spans="1:1" x14ac:dyDescent="0.25">
      <c r="A2807" t="s">
        <v>2794</v>
      </c>
    </row>
    <row r="2808" spans="1:1" x14ac:dyDescent="0.25">
      <c r="A2808" t="s">
        <v>2795</v>
      </c>
    </row>
    <row r="2809" spans="1:1" x14ac:dyDescent="0.25">
      <c r="A2809" s="99" t="s">
        <v>2796</v>
      </c>
    </row>
    <row r="2810" spans="1:1" x14ac:dyDescent="0.25">
      <c r="A2810" s="99" t="s">
        <v>2797</v>
      </c>
    </row>
    <row r="2811" spans="1:1" x14ac:dyDescent="0.25">
      <c r="A2811" s="99" t="s">
        <v>2798</v>
      </c>
    </row>
    <row r="2812" spans="1:1" x14ac:dyDescent="0.25">
      <c r="A2812" s="137" t="s">
        <v>2799</v>
      </c>
    </row>
    <row r="2813" spans="1:1" x14ac:dyDescent="0.25">
      <c r="A2813" s="99" t="s">
        <v>2800</v>
      </c>
    </row>
    <row r="2814" spans="1:1" x14ac:dyDescent="0.25">
      <c r="A2814" s="137" t="s">
        <v>2801</v>
      </c>
    </row>
    <row r="2815" spans="1:1" x14ac:dyDescent="0.25">
      <c r="A2815" s="137" t="s">
        <v>2802</v>
      </c>
    </row>
    <row r="2816" spans="1:1" x14ac:dyDescent="0.25">
      <c r="A2816" s="99" t="s">
        <v>2803</v>
      </c>
    </row>
    <row r="2817" spans="1:1" x14ac:dyDescent="0.25">
      <c r="A2817" s="137" t="s">
        <v>2804</v>
      </c>
    </row>
    <row r="2818" spans="1:1" x14ac:dyDescent="0.25">
      <c r="A2818" s="99" t="s">
        <v>2805</v>
      </c>
    </row>
    <row r="2819" spans="1:1" x14ac:dyDescent="0.25">
      <c r="A2819" s="137" t="s">
        <v>2806</v>
      </c>
    </row>
    <row r="2820" spans="1:1" x14ac:dyDescent="0.25">
      <c r="A2820" s="137" t="s">
        <v>2807</v>
      </c>
    </row>
    <row r="2821" spans="1:1" x14ac:dyDescent="0.25">
      <c r="A2821" s="99" t="s">
        <v>2808</v>
      </c>
    </row>
    <row r="2822" spans="1:1" x14ac:dyDescent="0.25">
      <c r="A2822" s="137" t="s">
        <v>2809</v>
      </c>
    </row>
    <row r="2823" spans="1:1" x14ac:dyDescent="0.25">
      <c r="A2823" s="99" t="s">
        <v>2810</v>
      </c>
    </row>
    <row r="2824" spans="1:1" x14ac:dyDescent="0.25">
      <c r="A2824" s="137" t="s">
        <v>2811</v>
      </c>
    </row>
    <row r="2825" spans="1:1" x14ac:dyDescent="0.25">
      <c r="A2825" s="137" t="s">
        <v>2812</v>
      </c>
    </row>
    <row r="2826" spans="1:1" x14ac:dyDescent="0.25">
      <c r="A2826" s="99" t="s">
        <v>2813</v>
      </c>
    </row>
    <row r="2827" spans="1:1" x14ac:dyDescent="0.25">
      <c r="A2827" s="137" t="s">
        <v>2814</v>
      </c>
    </row>
    <row r="2828" spans="1:1" x14ac:dyDescent="0.25">
      <c r="A2828" s="137" t="s">
        <v>2815</v>
      </c>
    </row>
    <row r="2829" spans="1:1" x14ac:dyDescent="0.25">
      <c r="A2829" s="137" t="s">
        <v>2816</v>
      </c>
    </row>
    <row r="2830" spans="1:1" x14ac:dyDescent="0.25">
      <c r="A2830" s="137" t="s">
        <v>2817</v>
      </c>
    </row>
    <row r="2831" spans="1:1" x14ac:dyDescent="0.25">
      <c r="A2831" s="99" t="s">
        <v>2818</v>
      </c>
    </row>
    <row r="2832" spans="1:1" x14ac:dyDescent="0.25">
      <c r="A2832" s="99" t="s">
        <v>2819</v>
      </c>
    </row>
    <row r="2833" spans="1:1" x14ac:dyDescent="0.25">
      <c r="A2833" s="99" t="s">
        <v>2820</v>
      </c>
    </row>
    <row r="2834" spans="1:1" x14ac:dyDescent="0.25">
      <c r="A2834" s="137" t="s">
        <v>2821</v>
      </c>
    </row>
    <row r="2835" spans="1:1" x14ac:dyDescent="0.25">
      <c r="A2835" s="137" t="s">
        <v>2822</v>
      </c>
    </row>
    <row r="2836" spans="1:1" x14ac:dyDescent="0.25">
      <c r="A2836" s="99" t="s">
        <v>2823</v>
      </c>
    </row>
    <row r="2837" spans="1:1" x14ac:dyDescent="0.25">
      <c r="A2837" s="137" t="s">
        <v>2824</v>
      </c>
    </row>
    <row r="2838" spans="1:1" x14ac:dyDescent="0.25">
      <c r="A2838" s="137" t="s">
        <v>2825</v>
      </c>
    </row>
    <row r="2839" spans="1:1" x14ac:dyDescent="0.25">
      <c r="A2839" s="137" t="s">
        <v>2826</v>
      </c>
    </row>
    <row r="2840" spans="1:1" x14ac:dyDescent="0.25">
      <c r="A2840" s="99" t="s">
        <v>2827</v>
      </c>
    </row>
    <row r="2841" spans="1:1" x14ac:dyDescent="0.25">
      <c r="A2841" s="99" t="s">
        <v>2828</v>
      </c>
    </row>
    <row r="2842" spans="1:1" x14ac:dyDescent="0.25">
      <c r="A2842" s="99" t="s">
        <v>2829</v>
      </c>
    </row>
    <row r="2843" spans="1:1" x14ac:dyDescent="0.25">
      <c r="A2843" t="s">
        <v>2831</v>
      </c>
    </row>
    <row r="2844" spans="1:1" x14ac:dyDescent="0.25">
      <c r="A2844" t="s">
        <v>2832</v>
      </c>
    </row>
    <row r="2845" spans="1:1" x14ac:dyDescent="0.25">
      <c r="A2845" s="99" t="s">
        <v>2833</v>
      </c>
    </row>
    <row r="2846" spans="1:1" x14ac:dyDescent="0.25">
      <c r="A2846" s="99" t="s">
        <v>2834</v>
      </c>
    </row>
    <row r="2847" spans="1:1" x14ac:dyDescent="0.25">
      <c r="A2847" s="99" t="s">
        <v>2835</v>
      </c>
    </row>
    <row r="2848" spans="1:1" x14ac:dyDescent="0.25">
      <c r="A2848" s="137" t="s">
        <v>2836</v>
      </c>
    </row>
    <row r="2849" spans="1:1" x14ac:dyDescent="0.25">
      <c r="A2849" s="99" t="s">
        <v>2837</v>
      </c>
    </row>
    <row r="2850" spans="1:1" x14ac:dyDescent="0.25">
      <c r="A2850" s="137" t="s">
        <v>2839</v>
      </c>
    </row>
    <row r="2851" spans="1:1" x14ac:dyDescent="0.25">
      <c r="A2851" s="137" t="s">
        <v>2840</v>
      </c>
    </row>
    <row r="2852" spans="1:1" x14ac:dyDescent="0.25">
      <c r="A2852" s="99" t="s">
        <v>2841</v>
      </c>
    </row>
    <row r="2853" spans="1:1" x14ac:dyDescent="0.25">
      <c r="A2853" s="137" t="s">
        <v>2842</v>
      </c>
    </row>
    <row r="2854" spans="1:1" x14ac:dyDescent="0.25">
      <c r="A2854" s="99" t="s">
        <v>2843</v>
      </c>
    </row>
    <row r="2855" spans="1:1" x14ac:dyDescent="0.25">
      <c r="A2855" s="137" t="s">
        <v>2844</v>
      </c>
    </row>
    <row r="2856" spans="1:1" x14ac:dyDescent="0.25">
      <c r="A2856" s="137" t="s">
        <v>2845</v>
      </c>
    </row>
    <row r="2857" spans="1:1" x14ac:dyDescent="0.25">
      <c r="A2857" s="137" t="s">
        <v>2846</v>
      </c>
    </row>
    <row r="2858" spans="1:1" x14ac:dyDescent="0.25">
      <c r="A2858" s="137" t="s">
        <v>2847</v>
      </c>
    </row>
    <row r="2859" spans="1:1" x14ac:dyDescent="0.25">
      <c r="A2859" s="137" t="s">
        <v>2848</v>
      </c>
    </row>
    <row r="2860" spans="1:1" x14ac:dyDescent="0.25">
      <c r="A2860" s="99" t="s">
        <v>2849</v>
      </c>
    </row>
    <row r="2861" spans="1:1" x14ac:dyDescent="0.25">
      <c r="A2861" s="137" t="s">
        <v>2850</v>
      </c>
    </row>
    <row r="2862" spans="1:1" x14ac:dyDescent="0.25">
      <c r="A2862" s="137" t="s">
        <v>2851</v>
      </c>
    </row>
    <row r="2863" spans="1:1" x14ac:dyDescent="0.25">
      <c r="A2863" s="27" t="s">
        <v>2852</v>
      </c>
    </row>
    <row r="2864" spans="1:1" x14ac:dyDescent="0.25">
      <c r="A2864" s="27" t="s">
        <v>2853</v>
      </c>
    </row>
    <row r="2865" spans="1:1" x14ac:dyDescent="0.25">
      <c r="A2865" s="27" t="s">
        <v>2854</v>
      </c>
    </row>
    <row r="2866" spans="1:1" x14ac:dyDescent="0.25">
      <c r="A2866" s="137" t="s">
        <v>2855</v>
      </c>
    </row>
    <row r="2867" spans="1:1" x14ac:dyDescent="0.25">
      <c r="A2867" s="137" t="s">
        <v>2856</v>
      </c>
    </row>
    <row r="2868" spans="1:1" x14ac:dyDescent="0.25">
      <c r="A2868" s="137" t="s">
        <v>2857</v>
      </c>
    </row>
    <row r="2869" spans="1:1" x14ac:dyDescent="0.25">
      <c r="A2869" s="99" t="s">
        <v>2858</v>
      </c>
    </row>
    <row r="2870" spans="1:1" x14ac:dyDescent="0.25">
      <c r="A2870" s="99" t="s">
        <v>2859</v>
      </c>
    </row>
    <row r="2871" spans="1:1" x14ac:dyDescent="0.25">
      <c r="A2871" s="99" t="s">
        <v>2860</v>
      </c>
    </row>
    <row r="2872" spans="1:1" x14ac:dyDescent="0.25">
      <c r="A2872" s="137" t="s">
        <v>2861</v>
      </c>
    </row>
    <row r="2873" spans="1:1" x14ac:dyDescent="0.25">
      <c r="A2873" s="99" t="s">
        <v>2862</v>
      </c>
    </row>
    <row r="2874" spans="1:1" x14ac:dyDescent="0.25">
      <c r="A2874" s="137" t="s">
        <v>2863</v>
      </c>
    </row>
    <row r="2875" spans="1:1" x14ac:dyDescent="0.25">
      <c r="A2875" s="137" t="s">
        <v>2864</v>
      </c>
    </row>
    <row r="2876" spans="1:1" x14ac:dyDescent="0.25">
      <c r="A2876" s="137" t="s">
        <v>2865</v>
      </c>
    </row>
    <row r="2877" spans="1:1" x14ac:dyDescent="0.25">
      <c r="A2877" s="137" t="s">
        <v>2866</v>
      </c>
    </row>
    <row r="2878" spans="1:1" x14ac:dyDescent="0.25">
      <c r="A2878" s="137" t="s">
        <v>2867</v>
      </c>
    </row>
    <row r="2879" spans="1:1" x14ac:dyDescent="0.25">
      <c r="A2879" s="99" t="s">
        <v>2868</v>
      </c>
    </row>
    <row r="2880" spans="1:1" x14ac:dyDescent="0.25">
      <c r="A2880" s="99" t="s">
        <v>2869</v>
      </c>
    </row>
    <row r="2881" spans="1:1" x14ac:dyDescent="0.25">
      <c r="A2881" s="137" t="s">
        <v>2870</v>
      </c>
    </row>
    <row r="2882" spans="1:1" x14ac:dyDescent="0.25">
      <c r="A2882" s="99" t="s">
        <v>2871</v>
      </c>
    </row>
    <row r="2883" spans="1:1" x14ac:dyDescent="0.25">
      <c r="A2883" s="137" t="s">
        <v>2872</v>
      </c>
    </row>
    <row r="2884" spans="1:1" x14ac:dyDescent="0.25">
      <c r="A2884" s="137" t="s">
        <v>2873</v>
      </c>
    </row>
    <row r="2885" spans="1:1" x14ac:dyDescent="0.25">
      <c r="A2885" s="137" t="s">
        <v>2874</v>
      </c>
    </row>
    <row r="2886" spans="1:1" x14ac:dyDescent="0.25">
      <c r="A2886" s="137" t="s">
        <v>2875</v>
      </c>
    </row>
    <row r="2887" spans="1:1" x14ac:dyDescent="0.25">
      <c r="A2887" s="137" t="s">
        <v>2876</v>
      </c>
    </row>
    <row r="2888" spans="1:1" x14ac:dyDescent="0.25">
      <c r="A2888" s="99" t="s">
        <v>2877</v>
      </c>
    </row>
    <row r="2889" spans="1:1" x14ac:dyDescent="0.25">
      <c r="A2889" s="99" t="s">
        <v>2878</v>
      </c>
    </row>
    <row r="2890" spans="1:1" x14ac:dyDescent="0.25">
      <c r="A2890" s="137" t="s">
        <v>2879</v>
      </c>
    </row>
    <row r="2891" spans="1:1" x14ac:dyDescent="0.25">
      <c r="A2891" s="99" t="s">
        <v>2880</v>
      </c>
    </row>
    <row r="2892" spans="1:1" x14ac:dyDescent="0.25">
      <c r="A2892" s="137" t="s">
        <v>2881</v>
      </c>
    </row>
    <row r="2893" spans="1:1" x14ac:dyDescent="0.25">
      <c r="A2893" s="137" t="s">
        <v>2882</v>
      </c>
    </row>
    <row r="2894" spans="1:1" x14ac:dyDescent="0.25">
      <c r="A2894" s="137" t="s">
        <v>2883</v>
      </c>
    </row>
    <row r="2895" spans="1:1" x14ac:dyDescent="0.25">
      <c r="A2895" s="137" t="s">
        <v>2884</v>
      </c>
    </row>
    <row r="2896" spans="1:1" x14ac:dyDescent="0.25">
      <c r="A2896" s="137" t="s">
        <v>2885</v>
      </c>
    </row>
    <row r="2897" spans="1:1" x14ac:dyDescent="0.25">
      <c r="A2897" s="99" t="s">
        <v>2886</v>
      </c>
    </row>
    <row r="2898" spans="1:1" x14ac:dyDescent="0.25">
      <c r="A2898" s="99" t="s">
        <v>2887</v>
      </c>
    </row>
    <row r="2899" spans="1:1" x14ac:dyDescent="0.25">
      <c r="A2899" s="137" t="s">
        <v>2888</v>
      </c>
    </row>
    <row r="2900" spans="1:1" x14ac:dyDescent="0.25">
      <c r="A2900" s="99" t="s">
        <v>2889</v>
      </c>
    </row>
    <row r="2901" spans="1:1" x14ac:dyDescent="0.25">
      <c r="A2901" s="137" t="s">
        <v>2890</v>
      </c>
    </row>
    <row r="2902" spans="1:1" x14ac:dyDescent="0.25">
      <c r="A2902" s="137" t="s">
        <v>2891</v>
      </c>
    </row>
    <row r="2903" spans="1:1" x14ac:dyDescent="0.25">
      <c r="A2903" s="137" t="s">
        <v>2892</v>
      </c>
    </row>
    <row r="2904" spans="1:1" x14ac:dyDescent="0.25">
      <c r="A2904" s="137" t="s">
        <v>2893</v>
      </c>
    </row>
    <row r="2905" spans="1:1" x14ac:dyDescent="0.25">
      <c r="A2905" s="137" t="s">
        <v>2894</v>
      </c>
    </row>
    <row r="2906" spans="1:1" x14ac:dyDescent="0.25">
      <c r="A2906" s="99" t="s">
        <v>2895</v>
      </c>
    </row>
    <row r="2907" spans="1:1" x14ac:dyDescent="0.25">
      <c r="A2907" s="99" t="s">
        <v>2896</v>
      </c>
    </row>
    <row r="2908" spans="1:1" x14ac:dyDescent="0.25">
      <c r="A2908" s="137" t="s">
        <v>2897</v>
      </c>
    </row>
    <row r="2909" spans="1:1" x14ac:dyDescent="0.25">
      <c r="A2909" s="99" t="s">
        <v>2898</v>
      </c>
    </row>
    <row r="2910" spans="1:1" x14ac:dyDescent="0.25">
      <c r="A2910" s="137" t="s">
        <v>2899</v>
      </c>
    </row>
    <row r="2911" spans="1:1" x14ac:dyDescent="0.25">
      <c r="A2911" s="137" t="s">
        <v>2900</v>
      </c>
    </row>
    <row r="2912" spans="1:1" x14ac:dyDescent="0.25">
      <c r="A2912" s="137" t="s">
        <v>2901</v>
      </c>
    </row>
    <row r="2913" spans="1:1" x14ac:dyDescent="0.25">
      <c r="A2913" s="137" t="s">
        <v>2902</v>
      </c>
    </row>
    <row r="2914" spans="1:1" x14ac:dyDescent="0.25">
      <c r="A2914" s="137" t="s">
        <v>2903</v>
      </c>
    </row>
    <row r="2915" spans="1:1" x14ac:dyDescent="0.25">
      <c r="A2915" s="99" t="s">
        <v>2904</v>
      </c>
    </row>
    <row r="2916" spans="1:1" x14ac:dyDescent="0.25">
      <c r="A2916" s="99" t="s">
        <v>2905</v>
      </c>
    </row>
    <row r="2917" spans="1:1" x14ac:dyDescent="0.25">
      <c r="A2917" s="137" t="s">
        <v>2906</v>
      </c>
    </row>
    <row r="2918" spans="1:1" x14ac:dyDescent="0.25">
      <c r="A2918" s="99" t="s">
        <v>2907</v>
      </c>
    </row>
    <row r="2919" spans="1:1" x14ac:dyDescent="0.25">
      <c r="A2919" s="137" t="s">
        <v>2908</v>
      </c>
    </row>
    <row r="2920" spans="1:1" x14ac:dyDescent="0.25">
      <c r="A2920" s="137" t="s">
        <v>2909</v>
      </c>
    </row>
    <row r="2921" spans="1:1" x14ac:dyDescent="0.25">
      <c r="A2921" s="137" t="s">
        <v>2910</v>
      </c>
    </row>
    <row r="2922" spans="1:1" x14ac:dyDescent="0.25">
      <c r="A2922" s="137" t="s">
        <v>2911</v>
      </c>
    </row>
    <row r="2923" spans="1:1" x14ac:dyDescent="0.25">
      <c r="A2923" s="137" t="s">
        <v>2912</v>
      </c>
    </row>
    <row r="2924" spans="1:1" x14ac:dyDescent="0.25">
      <c r="A2924" s="99" t="s">
        <v>2913</v>
      </c>
    </row>
    <row r="2925" spans="1:1" x14ac:dyDescent="0.25">
      <c r="A2925" s="99" t="s">
        <v>2914</v>
      </c>
    </row>
    <row r="2926" spans="1:1" x14ac:dyDescent="0.25">
      <c r="A2926" s="137" t="s">
        <v>2915</v>
      </c>
    </row>
    <row r="2927" spans="1:1" x14ac:dyDescent="0.25">
      <c r="A2927" s="99" t="s">
        <v>2916</v>
      </c>
    </row>
    <row r="2928" spans="1:1" x14ac:dyDescent="0.25">
      <c r="A2928" s="137" t="s">
        <v>2917</v>
      </c>
    </row>
    <row r="2929" spans="1:1" x14ac:dyDescent="0.25">
      <c r="A2929" s="137" t="s">
        <v>2918</v>
      </c>
    </row>
    <row r="2930" spans="1:1" x14ac:dyDescent="0.25">
      <c r="A2930" s="137" t="s">
        <v>2919</v>
      </c>
    </row>
    <row r="2931" spans="1:1" x14ac:dyDescent="0.25">
      <c r="A2931" s="137" t="s">
        <v>2920</v>
      </c>
    </row>
    <row r="2932" spans="1:1" x14ac:dyDescent="0.25">
      <c r="A2932" s="137" t="s">
        <v>2921</v>
      </c>
    </row>
    <row r="2933" spans="1:1" x14ac:dyDescent="0.25">
      <c r="A2933" s="99" t="s">
        <v>2922</v>
      </c>
    </row>
    <row r="2934" spans="1:1" x14ac:dyDescent="0.25">
      <c r="A2934" s="99" t="s">
        <v>2923</v>
      </c>
    </row>
    <row r="2935" spans="1:1" x14ac:dyDescent="0.25">
      <c r="A2935" s="137" t="s">
        <v>2924</v>
      </c>
    </row>
    <row r="2936" spans="1:1" x14ac:dyDescent="0.25">
      <c r="A2936" s="99" t="s">
        <v>2925</v>
      </c>
    </row>
    <row r="2937" spans="1:1" x14ac:dyDescent="0.25">
      <c r="A2937" s="137" t="s">
        <v>2926</v>
      </c>
    </row>
    <row r="2938" spans="1:1" x14ac:dyDescent="0.25">
      <c r="A2938" s="137" t="s">
        <v>2927</v>
      </c>
    </row>
    <row r="2939" spans="1:1" x14ac:dyDescent="0.25">
      <c r="A2939" s="137" t="s">
        <v>2928</v>
      </c>
    </row>
    <row r="2940" spans="1:1" x14ac:dyDescent="0.25">
      <c r="A2940" s="137" t="s">
        <v>2929</v>
      </c>
    </row>
    <row r="2941" spans="1:1" x14ac:dyDescent="0.25">
      <c r="A2941" s="137" t="s">
        <v>2930</v>
      </c>
    </row>
    <row r="2942" spans="1:1" x14ac:dyDescent="0.25">
      <c r="A2942" s="99" t="s">
        <v>2931</v>
      </c>
    </row>
    <row r="2943" spans="1:1" x14ac:dyDescent="0.25">
      <c r="A2943" s="99" t="s">
        <v>2932</v>
      </c>
    </row>
    <row r="2944" spans="1:1" x14ac:dyDescent="0.25">
      <c r="A2944" s="137" t="s">
        <v>2933</v>
      </c>
    </row>
    <row r="2945" spans="1:1" x14ac:dyDescent="0.25">
      <c r="A2945" s="99" t="s">
        <v>2934</v>
      </c>
    </row>
    <row r="2946" spans="1:1" x14ac:dyDescent="0.25">
      <c r="A2946" s="137" t="s">
        <v>2935</v>
      </c>
    </row>
    <row r="2947" spans="1:1" x14ac:dyDescent="0.25">
      <c r="A2947" s="137" t="s">
        <v>2936</v>
      </c>
    </row>
    <row r="2948" spans="1:1" x14ac:dyDescent="0.25">
      <c r="A2948" s="137" t="s">
        <v>2937</v>
      </c>
    </row>
    <row r="2949" spans="1:1" x14ac:dyDescent="0.25">
      <c r="A2949" s="99" t="s">
        <v>2938</v>
      </c>
    </row>
    <row r="2950" spans="1:1" x14ac:dyDescent="0.25">
      <c r="A2950" s="137" t="s">
        <v>2939</v>
      </c>
    </row>
    <row r="2951" spans="1:1" x14ac:dyDescent="0.25">
      <c r="A2951" s="99" t="s">
        <v>2940</v>
      </c>
    </row>
    <row r="2952" spans="1:1" x14ac:dyDescent="0.25">
      <c r="A2952" s="99" t="s">
        <v>2941</v>
      </c>
    </row>
    <row r="2953" spans="1:1" x14ac:dyDescent="0.25">
      <c r="A2953" s="99" t="s">
        <v>2942</v>
      </c>
    </row>
    <row r="2954" spans="1:1" x14ac:dyDescent="0.25">
      <c r="A2954" s="27" t="s">
        <v>2943</v>
      </c>
    </row>
    <row r="2955" spans="1:1" x14ac:dyDescent="0.25">
      <c r="A2955" s="137" t="s">
        <v>2944</v>
      </c>
    </row>
    <row r="2956" spans="1:1" x14ac:dyDescent="0.25">
      <c r="A2956" s="99" t="s">
        <v>2945</v>
      </c>
    </row>
    <row r="2957" spans="1:1" x14ac:dyDescent="0.25">
      <c r="A2957" s="137" t="s">
        <v>2946</v>
      </c>
    </row>
    <row r="2958" spans="1:1" x14ac:dyDescent="0.25">
      <c r="A2958" s="137" t="s">
        <v>2947</v>
      </c>
    </row>
    <row r="2959" spans="1:1" x14ac:dyDescent="0.25">
      <c r="A2959" s="27" t="s">
        <v>2948</v>
      </c>
    </row>
    <row r="2960" spans="1:1" x14ac:dyDescent="0.25">
      <c r="A2960" s="27" t="s">
        <v>2949</v>
      </c>
    </row>
    <row r="2961" spans="1:1" x14ac:dyDescent="0.25">
      <c r="A2961" s="27" t="s">
        <v>2950</v>
      </c>
    </row>
    <row r="2962" spans="1:1" x14ac:dyDescent="0.25">
      <c r="A2962" s="99" t="s">
        <v>2951</v>
      </c>
    </row>
    <row r="2963" spans="1:1" x14ac:dyDescent="0.25">
      <c r="A2963" s="137" t="s">
        <v>2952</v>
      </c>
    </row>
    <row r="2964" spans="1:1" x14ac:dyDescent="0.25">
      <c r="A2964" s="99" t="s">
        <v>2953</v>
      </c>
    </row>
    <row r="2965" spans="1:1" x14ac:dyDescent="0.25">
      <c r="A2965" s="137" t="s">
        <v>2954</v>
      </c>
    </row>
    <row r="2966" spans="1:1" x14ac:dyDescent="0.25">
      <c r="A2966" s="137" t="s">
        <v>2955</v>
      </c>
    </row>
    <row r="2967" spans="1:1" x14ac:dyDescent="0.25">
      <c r="A2967" s="137" t="s">
        <v>2956</v>
      </c>
    </row>
    <row r="2968" spans="1:1" x14ac:dyDescent="0.25">
      <c r="A2968" s="99" t="s">
        <v>2957</v>
      </c>
    </row>
    <row r="2969" spans="1:1" x14ac:dyDescent="0.25">
      <c r="A2969" s="137" t="s">
        <v>2958</v>
      </c>
    </row>
    <row r="2970" spans="1:1" x14ac:dyDescent="0.25">
      <c r="A2970" s="137" t="s">
        <v>2959</v>
      </c>
    </row>
    <row r="2971" spans="1:1" x14ac:dyDescent="0.25">
      <c r="A2971" s="99" t="s">
        <v>2960</v>
      </c>
    </row>
    <row r="2972" spans="1:1" x14ac:dyDescent="0.25">
      <c r="A2972" s="137" t="s">
        <v>2961</v>
      </c>
    </row>
    <row r="2973" spans="1:1" x14ac:dyDescent="0.25">
      <c r="A2973" s="137" t="s">
        <v>2962</v>
      </c>
    </row>
    <row r="2974" spans="1:1" x14ac:dyDescent="0.25">
      <c r="A2974" s="99" t="s">
        <v>2963</v>
      </c>
    </row>
    <row r="2975" spans="1:1" x14ac:dyDescent="0.25">
      <c r="A2975" s="137" t="s">
        <v>2964</v>
      </c>
    </row>
    <row r="2976" spans="1:1" x14ac:dyDescent="0.25">
      <c r="A2976" s="137" t="s">
        <v>2965</v>
      </c>
    </row>
    <row r="2977" spans="1:1" x14ac:dyDescent="0.25">
      <c r="A2977" s="137" t="s">
        <v>2966</v>
      </c>
    </row>
    <row r="2978" spans="1:1" x14ac:dyDescent="0.25">
      <c r="A2978" s="137" t="s">
        <v>2967</v>
      </c>
    </row>
    <row r="2979" spans="1:1" x14ac:dyDescent="0.25">
      <c r="A2979" s="99" t="s">
        <v>2968</v>
      </c>
    </row>
    <row r="2980" spans="1:1" x14ac:dyDescent="0.25">
      <c r="A2980" s="99" t="s">
        <v>2969</v>
      </c>
    </row>
    <row r="2981" spans="1:1" x14ac:dyDescent="0.25">
      <c r="A2981" s="99" t="s">
        <v>2970</v>
      </c>
    </row>
    <row r="2982" spans="1:1" x14ac:dyDescent="0.25">
      <c r="A2982" s="137" t="s">
        <v>2971</v>
      </c>
    </row>
    <row r="2983" spans="1:1" x14ac:dyDescent="0.25">
      <c r="A2983" s="99" t="s">
        <v>2972</v>
      </c>
    </row>
    <row r="2984" spans="1:1" x14ac:dyDescent="0.25">
      <c r="A2984" s="99" t="s">
        <v>2973</v>
      </c>
    </row>
    <row r="2985" spans="1:1" x14ac:dyDescent="0.25">
      <c r="A2985" s="99" t="s">
        <v>2974</v>
      </c>
    </row>
    <row r="2986" spans="1:1" x14ac:dyDescent="0.25">
      <c r="A2986" s="137" t="s">
        <v>2975</v>
      </c>
    </row>
    <row r="2987" spans="1:1" x14ac:dyDescent="0.25">
      <c r="A2987" s="27" t="s">
        <v>2976</v>
      </c>
    </row>
    <row r="2988" spans="1:1" x14ac:dyDescent="0.25">
      <c r="A2988" s="27" t="s">
        <v>2977</v>
      </c>
    </row>
    <row r="2989" spans="1:1" x14ac:dyDescent="0.25">
      <c r="A2989" s="27" t="s">
        <v>2978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2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1" t="s">
        <v>57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3" t="s">
        <v>26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4"/>
      <c r="M2" s="135" t="s">
        <v>27</v>
      </c>
      <c r="N2" s="135"/>
      <c r="O2" s="135"/>
      <c r="P2" s="135"/>
      <c r="Q2" s="135"/>
      <c r="R2" s="135" t="s">
        <v>28</v>
      </c>
      <c r="S2" s="135"/>
      <c r="T2" s="135"/>
      <c r="U2" s="135"/>
      <c r="V2" s="135"/>
      <c r="W2" s="135"/>
      <c r="X2" s="135"/>
      <c r="Y2" s="116" t="s">
        <v>41</v>
      </c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36"/>
      <c r="AM2" s="136"/>
      <c r="AN2" s="136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 t="s">
        <v>222</v>
      </c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8956</v>
      </c>
      <c r="S4" s="2"/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 t="s">
        <v>222</v>
      </c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8956</v>
      </c>
      <c r="S5" s="2" t="s">
        <v>192</v>
      </c>
      <c r="T5" s="2">
        <v>0</v>
      </c>
      <c r="U5" s="2">
        <v>27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 t="s">
        <v>222</v>
      </c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8956</v>
      </c>
      <c r="S6" s="2" t="s">
        <v>223</v>
      </c>
      <c r="T6" s="2">
        <v>0</v>
      </c>
      <c r="U6" s="2">
        <v>27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 t="s">
        <v>222</v>
      </c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8956</v>
      </c>
      <c r="S7" s="2" t="s">
        <v>224</v>
      </c>
      <c r="T7" s="2">
        <v>0</v>
      </c>
      <c r="U7" s="2">
        <v>27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8962</v>
      </c>
      <c r="S8" s="2" t="s">
        <v>232</v>
      </c>
      <c r="T8" s="2">
        <v>0</v>
      </c>
      <c r="U8" s="2">
        <v>-5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8962</v>
      </c>
      <c r="S9" s="2" t="s">
        <v>232</v>
      </c>
      <c r="T9" s="2">
        <v>0</v>
      </c>
      <c r="U9" s="2">
        <v>-5</v>
      </c>
      <c r="V9" s="2">
        <v>0</v>
      </c>
      <c r="W9" s="2">
        <v>0</v>
      </c>
      <c r="X9" s="2">
        <v>0</v>
      </c>
      <c r="Y9" s="16">
        <v>8962</v>
      </c>
      <c r="Z9" s="20" t="s">
        <v>303</v>
      </c>
      <c r="AA9" s="16" t="s">
        <v>304</v>
      </c>
      <c r="AB9" s="21" t="s">
        <v>234</v>
      </c>
      <c r="AC9" s="16" t="s">
        <v>17</v>
      </c>
      <c r="AD9" s="16" t="s">
        <v>237</v>
      </c>
      <c r="AE9" s="16">
        <v>1</v>
      </c>
      <c r="AF9" s="16">
        <v>1</v>
      </c>
      <c r="AG9" s="16">
        <v>1.5244</v>
      </c>
      <c r="AH9" s="16">
        <v>1.5244</v>
      </c>
      <c r="AI9" s="16">
        <v>415885989</v>
      </c>
      <c r="AJ9" s="16">
        <v>0</v>
      </c>
      <c r="AK9" s="16">
        <v>7</v>
      </c>
      <c r="AL9" s="16"/>
      <c r="AM9" s="16"/>
      <c r="AN9" s="16">
        <v>0</v>
      </c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8962</v>
      </c>
      <c r="S10" s="2" t="s">
        <v>232</v>
      </c>
      <c r="T10" s="2">
        <v>0</v>
      </c>
      <c r="U10" s="2">
        <v>-5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8962</v>
      </c>
      <c r="S11" s="2" t="s">
        <v>236</v>
      </c>
      <c r="T11" s="2">
        <v>1</v>
      </c>
      <c r="U11" s="2">
        <v>4</v>
      </c>
      <c r="V11" s="2">
        <v>1.5244</v>
      </c>
      <c r="W11" s="2">
        <v>1.5244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8962</v>
      </c>
      <c r="S12" s="2" t="s">
        <v>236</v>
      </c>
      <c r="T12" s="2">
        <v>1</v>
      </c>
      <c r="U12" s="2">
        <v>4</v>
      </c>
      <c r="V12" s="2">
        <v>1.5244</v>
      </c>
      <c r="W12" s="2">
        <v>1.5244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8962</v>
      </c>
      <c r="S13" s="2" t="s">
        <v>233</v>
      </c>
      <c r="T13" s="2">
        <v>1</v>
      </c>
      <c r="U13" s="2">
        <v>4</v>
      </c>
      <c r="V13" s="2">
        <v>1.5244</v>
      </c>
      <c r="W13" s="2">
        <v>1.5244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8962</v>
      </c>
      <c r="S14" s="2" t="s">
        <v>233</v>
      </c>
      <c r="T14" s="2">
        <v>1</v>
      </c>
      <c r="U14" s="2">
        <v>4</v>
      </c>
      <c r="V14" s="2">
        <v>1.5244</v>
      </c>
      <c r="W14" s="2">
        <v>1.5244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8962</v>
      </c>
      <c r="S15" s="2" t="s">
        <v>233</v>
      </c>
      <c r="T15" s="2">
        <v>1</v>
      </c>
      <c r="U15" s="2">
        <v>4</v>
      </c>
      <c r="V15" s="2">
        <v>1.5244</v>
      </c>
      <c r="W15" s="2">
        <v>1.5244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8962</v>
      </c>
      <c r="S16" s="2" t="s">
        <v>233</v>
      </c>
      <c r="T16" s="2">
        <v>1</v>
      </c>
      <c r="U16" s="2">
        <v>4</v>
      </c>
      <c r="V16" s="2">
        <v>1.5244</v>
      </c>
      <c r="W16" s="2">
        <v>1.5244</v>
      </c>
      <c r="X16" s="2">
        <v>0</v>
      </c>
      <c r="Y16" s="16">
        <v>8962</v>
      </c>
      <c r="Z16" s="20" t="s">
        <v>333</v>
      </c>
      <c r="AA16" s="16" t="s">
        <v>334</v>
      </c>
      <c r="AB16" s="21" t="s">
        <v>234</v>
      </c>
      <c r="AC16" s="16" t="s">
        <v>17</v>
      </c>
      <c r="AD16" s="16" t="s">
        <v>237</v>
      </c>
      <c r="AE16" s="16">
        <v>4</v>
      </c>
      <c r="AF16" s="16">
        <v>5</v>
      </c>
      <c r="AG16" s="16">
        <v>1.5242</v>
      </c>
      <c r="AH16" s="16">
        <v>1.52424</v>
      </c>
      <c r="AI16" s="16">
        <v>415885989</v>
      </c>
      <c r="AJ16" s="16">
        <v>0</v>
      </c>
      <c r="AK16" s="16">
        <v>7</v>
      </c>
      <c r="AL16" s="16"/>
      <c r="AM16" s="16"/>
      <c r="AN16" s="16">
        <v>0</v>
      </c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8962</v>
      </c>
      <c r="S17" s="2" t="s">
        <v>233</v>
      </c>
      <c r="T17" s="2">
        <v>1</v>
      </c>
      <c r="U17" s="2">
        <v>4</v>
      </c>
      <c r="V17" s="2">
        <v>1.5244</v>
      </c>
      <c r="W17" s="2">
        <v>1.5244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8962</v>
      </c>
      <c r="S18" s="2" t="s">
        <v>37</v>
      </c>
      <c r="T18" s="2">
        <v>5</v>
      </c>
      <c r="U18" s="2">
        <v>0</v>
      </c>
      <c r="V18" s="2">
        <v>1.52424</v>
      </c>
      <c r="W18" s="2">
        <v>1.5242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8962</v>
      </c>
      <c r="S19" s="2" t="s">
        <v>37</v>
      </c>
      <c r="T19" s="2">
        <v>5</v>
      </c>
      <c r="U19" s="2">
        <v>0</v>
      </c>
      <c r="V19" s="2">
        <v>1.52424</v>
      </c>
      <c r="W19" s="2">
        <v>1.5242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8962</v>
      </c>
      <c r="S20" s="2" t="s">
        <v>37</v>
      </c>
      <c r="T20" s="2">
        <v>5</v>
      </c>
      <c r="U20" s="2">
        <v>0</v>
      </c>
      <c r="V20" s="2">
        <v>1.52424</v>
      </c>
      <c r="W20" s="2">
        <v>1.5242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8962</v>
      </c>
      <c r="S21" s="2" t="s">
        <v>37</v>
      </c>
      <c r="T21" s="2">
        <v>5</v>
      </c>
      <c r="U21" s="2">
        <v>0</v>
      </c>
      <c r="V21" s="2">
        <v>1.52424</v>
      </c>
      <c r="W21" s="2">
        <v>1.5242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180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8962</v>
      </c>
      <c r="S22" s="2" t="s">
        <v>37</v>
      </c>
      <c r="T22" s="2">
        <v>5</v>
      </c>
      <c r="U22" s="2">
        <v>0</v>
      </c>
      <c r="V22" s="2">
        <v>1.52424</v>
      </c>
      <c r="W22" s="2">
        <v>1.5242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180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8963</v>
      </c>
      <c r="S23" s="2" t="s">
        <v>232</v>
      </c>
      <c r="T23" s="2">
        <v>0</v>
      </c>
      <c r="U23" s="2">
        <v>-5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180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8963</v>
      </c>
      <c r="S24" s="2" t="s">
        <v>232</v>
      </c>
      <c r="T24" s="2">
        <v>0</v>
      </c>
      <c r="U24" s="2">
        <v>-5</v>
      </c>
      <c r="V24" s="2">
        <v>0</v>
      </c>
      <c r="W24" s="2">
        <v>0</v>
      </c>
      <c r="X24" s="2">
        <v>0</v>
      </c>
      <c r="Y24" s="16">
        <v>8963</v>
      </c>
      <c r="Z24" s="20" t="s">
        <v>434</v>
      </c>
      <c r="AA24" s="16" t="s">
        <v>435</v>
      </c>
      <c r="AB24" s="21" t="s">
        <v>234</v>
      </c>
      <c r="AC24" s="16" t="s">
        <v>17</v>
      </c>
      <c r="AD24" s="16" t="s">
        <v>237</v>
      </c>
      <c r="AE24" s="16">
        <v>5</v>
      </c>
      <c r="AF24" s="16">
        <v>5</v>
      </c>
      <c r="AG24" s="16">
        <v>1.5244</v>
      </c>
      <c r="AH24" s="16">
        <v>1.5244</v>
      </c>
      <c r="AI24" s="16">
        <v>415885990</v>
      </c>
      <c r="AJ24" s="16">
        <v>0</v>
      </c>
      <c r="AK24" s="16">
        <v>7</v>
      </c>
      <c r="AL24" s="16"/>
      <c r="AM24" s="16"/>
      <c r="AN24" s="16">
        <v>0</v>
      </c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180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8963</v>
      </c>
      <c r="S25" s="2" t="s">
        <v>232</v>
      </c>
      <c r="T25" s="2">
        <v>0</v>
      </c>
      <c r="U25" s="2">
        <v>-5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180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8963</v>
      </c>
      <c r="S26" s="2" t="s">
        <v>37</v>
      </c>
      <c r="T26" s="2">
        <v>5</v>
      </c>
      <c r="U26" s="2">
        <v>0</v>
      </c>
      <c r="V26" s="2">
        <v>1.5244</v>
      </c>
      <c r="W26" s="2">
        <v>1.5244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180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8963</v>
      </c>
      <c r="S27" s="2" t="s">
        <v>37</v>
      </c>
      <c r="T27" s="2">
        <v>5</v>
      </c>
      <c r="U27" s="2">
        <v>0</v>
      </c>
      <c r="V27" s="2">
        <v>1.5244</v>
      </c>
      <c r="W27" s="2">
        <v>1.5244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180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8963</v>
      </c>
      <c r="S28" s="2" t="s">
        <v>37</v>
      </c>
      <c r="T28" s="2">
        <v>5</v>
      </c>
      <c r="U28" s="2">
        <v>0</v>
      </c>
      <c r="V28" s="2">
        <v>1.5244</v>
      </c>
      <c r="W28" s="2">
        <v>1.5244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180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8963</v>
      </c>
      <c r="S29" s="2" t="s">
        <v>37</v>
      </c>
      <c r="T29" s="2">
        <v>5</v>
      </c>
      <c r="U29" s="2">
        <v>0</v>
      </c>
      <c r="V29" s="2">
        <v>1.5244</v>
      </c>
      <c r="W29" s="2">
        <v>1.5244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180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8963</v>
      </c>
      <c r="S30" s="2" t="s">
        <v>37</v>
      </c>
      <c r="T30" s="2">
        <v>5</v>
      </c>
      <c r="U30" s="2">
        <v>0</v>
      </c>
      <c r="V30" s="2">
        <v>1.5244</v>
      </c>
      <c r="W30" s="2">
        <v>1.5244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180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8963</v>
      </c>
      <c r="S31" s="2" t="s">
        <v>37</v>
      </c>
      <c r="T31" s="2">
        <v>5</v>
      </c>
      <c r="U31" s="2">
        <v>0</v>
      </c>
      <c r="V31" s="2">
        <v>1.5244</v>
      </c>
      <c r="W31" s="2">
        <v>1.5244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180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8963</v>
      </c>
      <c r="S32" s="2" t="s">
        <v>37</v>
      </c>
      <c r="T32" s="2">
        <v>5</v>
      </c>
      <c r="U32" s="2">
        <v>0</v>
      </c>
      <c r="V32" s="2">
        <v>1.5244</v>
      </c>
      <c r="W32" s="2">
        <v>1.5244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180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8963</v>
      </c>
      <c r="S33" s="2" t="s">
        <v>37</v>
      </c>
      <c r="T33" s="2">
        <v>5</v>
      </c>
      <c r="U33" s="2">
        <v>0</v>
      </c>
      <c r="V33" s="2">
        <v>1.5244</v>
      </c>
      <c r="W33" s="2">
        <v>1.5244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180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8964</v>
      </c>
      <c r="S34" s="2" t="s">
        <v>232</v>
      </c>
      <c r="T34" s="2">
        <v>0</v>
      </c>
      <c r="U34" s="2">
        <v>29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180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8964</v>
      </c>
      <c r="S35" s="2" t="s">
        <v>232</v>
      </c>
      <c r="T35" s="2">
        <v>0</v>
      </c>
      <c r="U35" s="2">
        <v>29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180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8964</v>
      </c>
      <c r="S36" s="2" t="s">
        <v>192</v>
      </c>
      <c r="T36" s="2">
        <v>0</v>
      </c>
      <c r="U36" s="2">
        <v>29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180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8965</v>
      </c>
      <c r="S37" s="2" t="s">
        <v>232</v>
      </c>
      <c r="T37" s="2">
        <v>0</v>
      </c>
      <c r="U37" s="2">
        <v>-29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180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8965</v>
      </c>
      <c r="S38" s="2" t="s">
        <v>232</v>
      </c>
      <c r="T38" s="2">
        <v>0</v>
      </c>
      <c r="U38" s="2">
        <v>-29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180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8965</v>
      </c>
      <c r="S39" s="2" t="s">
        <v>192</v>
      </c>
      <c r="T39" s="2">
        <v>0</v>
      </c>
      <c r="U39" s="2">
        <v>29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180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8966</v>
      </c>
      <c r="S40" s="2" t="s">
        <v>232</v>
      </c>
      <c r="T40" s="2">
        <v>0</v>
      </c>
      <c r="U40" s="2">
        <v>32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180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8964</v>
      </c>
      <c r="S41" s="2" t="s">
        <v>223</v>
      </c>
      <c r="T41" s="2">
        <v>0</v>
      </c>
      <c r="U41" s="2">
        <v>29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180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8964</v>
      </c>
      <c r="S42" s="2" t="s">
        <v>224</v>
      </c>
      <c r="T42" s="2">
        <v>0</v>
      </c>
      <c r="U42" s="2">
        <v>29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180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8965</v>
      </c>
      <c r="S43" s="2" t="s">
        <v>223</v>
      </c>
      <c r="T43" s="2">
        <v>0</v>
      </c>
      <c r="U43" s="2">
        <v>29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180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8965</v>
      </c>
      <c r="S44" s="2" t="s">
        <v>224</v>
      </c>
      <c r="T44" s="2">
        <v>0</v>
      </c>
      <c r="U44" s="2">
        <v>29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180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8966</v>
      </c>
      <c r="S45" s="2" t="s">
        <v>232</v>
      </c>
      <c r="T45" s="2">
        <v>0</v>
      </c>
      <c r="U45" s="2">
        <v>32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180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8966</v>
      </c>
      <c r="S46" s="2" t="s">
        <v>192</v>
      </c>
      <c r="T46" s="2">
        <v>0</v>
      </c>
      <c r="U46" s="2">
        <v>32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180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8967</v>
      </c>
      <c r="S47" s="2" t="s">
        <v>232</v>
      </c>
      <c r="T47" s="2">
        <v>0</v>
      </c>
      <c r="U47" s="2">
        <v>-32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180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8967</v>
      </c>
      <c r="S48" s="2" t="s">
        <v>232</v>
      </c>
      <c r="T48" s="2">
        <v>0</v>
      </c>
      <c r="U48" s="2">
        <v>-32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180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8967</v>
      </c>
      <c r="S49" s="2" t="s">
        <v>192</v>
      </c>
      <c r="T49" s="2">
        <v>0</v>
      </c>
      <c r="U49" s="2">
        <v>32</v>
      </c>
      <c r="V49" s="2">
        <v>0</v>
      </c>
      <c r="W49" s="2">
        <v>0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180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8968</v>
      </c>
      <c r="S50" s="2" t="s">
        <v>232</v>
      </c>
      <c r="T50" s="2">
        <v>0</v>
      </c>
      <c r="U50" s="2">
        <v>29</v>
      </c>
      <c r="V50" s="2">
        <v>0</v>
      </c>
      <c r="W50" s="2">
        <v>0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180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8966</v>
      </c>
      <c r="S51" s="2" t="s">
        <v>223</v>
      </c>
      <c r="T51" s="2">
        <v>0</v>
      </c>
      <c r="U51" s="2">
        <v>32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180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8966</v>
      </c>
      <c r="S52" s="2" t="s">
        <v>224</v>
      </c>
      <c r="T52" s="2">
        <v>0</v>
      </c>
      <c r="U52" s="2">
        <v>32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180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8967</v>
      </c>
      <c r="S53" s="2" t="s">
        <v>223</v>
      </c>
      <c r="T53" s="2">
        <v>0</v>
      </c>
      <c r="U53" s="2">
        <v>32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180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8967</v>
      </c>
      <c r="S54" s="2" t="s">
        <v>224</v>
      </c>
      <c r="T54" s="2">
        <v>0</v>
      </c>
      <c r="U54" s="2">
        <v>32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180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8968</v>
      </c>
      <c r="S55" s="2" t="s">
        <v>232</v>
      </c>
      <c r="T55" s="2">
        <v>0</v>
      </c>
      <c r="U55" s="2">
        <v>29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180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8968</v>
      </c>
      <c r="S56" s="2" t="s">
        <v>192</v>
      </c>
      <c r="T56" s="2">
        <v>0</v>
      </c>
      <c r="U56" s="2">
        <v>29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180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8969</v>
      </c>
      <c r="S57" s="2" t="s">
        <v>232</v>
      </c>
      <c r="T57" s="2">
        <v>0</v>
      </c>
      <c r="U57" s="2">
        <v>-29</v>
      </c>
      <c r="V57" s="2">
        <v>0</v>
      </c>
      <c r="W57" s="2">
        <v>0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180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8969</v>
      </c>
      <c r="S58" s="2" t="s">
        <v>232</v>
      </c>
      <c r="T58" s="2">
        <v>0</v>
      </c>
      <c r="U58" s="2">
        <v>-29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180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8969</v>
      </c>
      <c r="S59" s="2" t="s">
        <v>192</v>
      </c>
      <c r="T59" s="2">
        <v>0</v>
      </c>
      <c r="U59" s="2">
        <v>29</v>
      </c>
      <c r="V59" s="2">
        <v>0</v>
      </c>
      <c r="W59" s="2">
        <v>0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180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8970</v>
      </c>
      <c r="S60" s="2" t="s">
        <v>232</v>
      </c>
      <c r="T60" s="2">
        <v>0</v>
      </c>
      <c r="U60" s="2">
        <v>32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180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8968</v>
      </c>
      <c r="S61" s="2" t="s">
        <v>223</v>
      </c>
      <c r="T61" s="2">
        <v>0</v>
      </c>
      <c r="U61" s="2">
        <v>29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180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8968</v>
      </c>
      <c r="S62" s="2" t="s">
        <v>224</v>
      </c>
      <c r="T62" s="2">
        <v>0</v>
      </c>
      <c r="U62" s="2">
        <v>29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180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8969</v>
      </c>
      <c r="S63" s="2" t="s">
        <v>223</v>
      </c>
      <c r="T63" s="2">
        <v>0</v>
      </c>
      <c r="U63" s="2">
        <v>29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180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8969</v>
      </c>
      <c r="S64" s="2" t="s">
        <v>224</v>
      </c>
      <c r="T64" s="2">
        <v>0</v>
      </c>
      <c r="U64" s="2">
        <v>29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180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8970</v>
      </c>
      <c r="S65" s="2" t="s">
        <v>232</v>
      </c>
      <c r="T65" s="2">
        <v>0</v>
      </c>
      <c r="U65" s="2">
        <v>32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180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8970</v>
      </c>
      <c r="S66" s="2" t="s">
        <v>192</v>
      </c>
      <c r="T66" s="2">
        <v>0</v>
      </c>
      <c r="U66" s="2">
        <v>32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180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8971</v>
      </c>
      <c r="S67" s="2" t="s">
        <v>232</v>
      </c>
      <c r="T67" s="2">
        <v>0</v>
      </c>
      <c r="U67" s="2">
        <v>-31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180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8971</v>
      </c>
      <c r="S68" s="2" t="s">
        <v>232</v>
      </c>
      <c r="T68" s="2">
        <v>0</v>
      </c>
      <c r="U68" s="2">
        <v>-31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180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8971</v>
      </c>
      <c r="S69" s="2" t="s">
        <v>192</v>
      </c>
      <c r="T69" s="2">
        <v>0</v>
      </c>
      <c r="U69" s="2">
        <v>31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180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8972</v>
      </c>
      <c r="S70" s="2" t="s">
        <v>232</v>
      </c>
      <c r="T70" s="2">
        <v>0</v>
      </c>
      <c r="U70" s="2">
        <v>29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180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8970</v>
      </c>
      <c r="S71" s="2" t="s">
        <v>223</v>
      </c>
      <c r="T71" s="2">
        <v>0</v>
      </c>
      <c r="U71" s="2">
        <v>32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180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8970</v>
      </c>
      <c r="S72" s="2" t="s">
        <v>224</v>
      </c>
      <c r="T72" s="2">
        <v>0</v>
      </c>
      <c r="U72" s="2">
        <v>32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180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8972</v>
      </c>
      <c r="S73" s="2" t="s">
        <v>232</v>
      </c>
      <c r="T73" s="2">
        <v>0</v>
      </c>
      <c r="U73" s="2">
        <v>29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180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8972</v>
      </c>
      <c r="S74" s="2" t="s">
        <v>192</v>
      </c>
      <c r="T74" s="2">
        <v>0</v>
      </c>
      <c r="U74" s="2">
        <v>29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180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8973</v>
      </c>
      <c r="S75" s="2" t="s">
        <v>232</v>
      </c>
      <c r="T75" s="2">
        <v>0</v>
      </c>
      <c r="U75" s="2">
        <v>32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180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8972</v>
      </c>
      <c r="S76" s="2" t="s">
        <v>223</v>
      </c>
      <c r="T76" s="2">
        <v>0</v>
      </c>
      <c r="U76" s="2">
        <v>29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180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8972</v>
      </c>
      <c r="S77" s="2" t="s">
        <v>224</v>
      </c>
      <c r="T77" s="2">
        <v>0</v>
      </c>
      <c r="U77" s="2">
        <v>29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180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8973</v>
      </c>
      <c r="S78" s="2" t="s">
        <v>232</v>
      </c>
      <c r="T78" s="2">
        <v>0</v>
      </c>
      <c r="U78" s="2">
        <v>32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180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8973</v>
      </c>
      <c r="S79" s="2" t="s">
        <v>192</v>
      </c>
      <c r="T79" s="2">
        <v>0</v>
      </c>
      <c r="U79" s="2">
        <v>32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180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8974</v>
      </c>
      <c r="S80" s="2" t="s">
        <v>232</v>
      </c>
      <c r="T80" s="2">
        <v>0</v>
      </c>
      <c r="U80" s="2">
        <v>29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180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8973</v>
      </c>
      <c r="S81" s="2" t="s">
        <v>223</v>
      </c>
      <c r="T81" s="2">
        <v>0</v>
      </c>
      <c r="U81" s="2">
        <v>32</v>
      </c>
      <c r="V81" s="2">
        <v>0</v>
      </c>
      <c r="W81" s="2">
        <v>0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180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8973</v>
      </c>
      <c r="S82" s="2" t="s">
        <v>224</v>
      </c>
      <c r="T82" s="2">
        <v>0</v>
      </c>
      <c r="U82" s="2">
        <v>32</v>
      </c>
      <c r="V82" s="2">
        <v>0</v>
      </c>
      <c r="W82" s="2">
        <v>0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180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8974</v>
      </c>
      <c r="S83" s="2" t="s">
        <v>232</v>
      </c>
      <c r="T83" s="2">
        <v>0</v>
      </c>
      <c r="U83" s="2">
        <v>29</v>
      </c>
      <c r="V83" s="2">
        <v>0</v>
      </c>
      <c r="W83" s="2">
        <v>0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180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8974</v>
      </c>
      <c r="S84" s="2" t="s">
        <v>192</v>
      </c>
      <c r="T84" s="2">
        <v>0</v>
      </c>
      <c r="U84" s="2">
        <v>29</v>
      </c>
      <c r="V84" s="2">
        <v>0</v>
      </c>
      <c r="W84" s="2">
        <v>0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180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8975</v>
      </c>
      <c r="S85" s="2" t="s">
        <v>232</v>
      </c>
      <c r="T85" s="2">
        <v>0</v>
      </c>
      <c r="U85" s="2">
        <v>-28</v>
      </c>
      <c r="V85" s="2">
        <v>0</v>
      </c>
      <c r="W85" s="2">
        <v>0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180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8971</v>
      </c>
      <c r="S86" s="2" t="s">
        <v>223</v>
      </c>
      <c r="T86" s="2">
        <v>0</v>
      </c>
      <c r="U86" s="2">
        <v>31</v>
      </c>
      <c r="V86" s="2">
        <v>0</v>
      </c>
      <c r="W86" s="2">
        <v>0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180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8971</v>
      </c>
      <c r="S87" s="2" t="s">
        <v>224</v>
      </c>
      <c r="T87" s="2">
        <v>0</v>
      </c>
      <c r="U87" s="2">
        <v>31</v>
      </c>
      <c r="V87" s="2">
        <v>0</v>
      </c>
      <c r="W87" s="2">
        <v>0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180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8975</v>
      </c>
      <c r="S88" s="2" t="s">
        <v>232</v>
      </c>
      <c r="T88" s="2">
        <v>0</v>
      </c>
      <c r="U88" s="2">
        <v>-28</v>
      </c>
      <c r="V88" s="2">
        <v>0</v>
      </c>
      <c r="W88" s="2">
        <v>0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180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8975</v>
      </c>
      <c r="S89" s="2" t="s">
        <v>192</v>
      </c>
      <c r="T89" s="2">
        <v>0</v>
      </c>
      <c r="U89" s="2">
        <v>28</v>
      </c>
      <c r="V89" s="2">
        <v>0</v>
      </c>
      <c r="W89" s="2">
        <v>0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180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8976</v>
      </c>
      <c r="S90" s="2" t="s">
        <v>232</v>
      </c>
      <c r="T90" s="2">
        <v>0</v>
      </c>
      <c r="U90" s="2">
        <v>5</v>
      </c>
      <c r="V90" s="2">
        <v>0</v>
      </c>
      <c r="W90" s="2">
        <v>0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180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8976</v>
      </c>
      <c r="S91" s="2" t="s">
        <v>232</v>
      </c>
      <c r="T91" s="2">
        <v>0</v>
      </c>
      <c r="U91" s="2">
        <v>5</v>
      </c>
      <c r="V91" s="2">
        <v>0</v>
      </c>
      <c r="W91" s="2">
        <v>0</v>
      </c>
      <c r="X91" s="2">
        <v>0</v>
      </c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180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8976</v>
      </c>
      <c r="S92" s="2" t="s">
        <v>233</v>
      </c>
      <c r="T92" s="2">
        <v>0</v>
      </c>
      <c r="U92" s="2">
        <v>5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180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8976</v>
      </c>
      <c r="S93" s="2" t="s">
        <v>233</v>
      </c>
      <c r="T93" s="2">
        <v>0</v>
      </c>
      <c r="U93" s="2">
        <v>-3</v>
      </c>
      <c r="V93" s="2">
        <v>0</v>
      </c>
      <c r="W93" s="2">
        <v>0</v>
      </c>
      <c r="X93" s="2">
        <v>0</v>
      </c>
      <c r="Y93" s="16">
        <v>8976</v>
      </c>
      <c r="Z93" s="20" t="s">
        <v>1411</v>
      </c>
      <c r="AA93" s="16" t="s">
        <v>1412</v>
      </c>
      <c r="AB93" s="21" t="s">
        <v>234</v>
      </c>
      <c r="AC93" s="16" t="s">
        <v>17</v>
      </c>
      <c r="AD93" s="16" t="s">
        <v>235</v>
      </c>
      <c r="AE93" s="16">
        <v>4</v>
      </c>
      <c r="AF93" s="16">
        <v>4</v>
      </c>
      <c r="AG93" s="16">
        <v>1.5248999999999999</v>
      </c>
      <c r="AH93" s="16">
        <v>1.5248999999999999</v>
      </c>
      <c r="AI93" s="16">
        <v>415886003</v>
      </c>
      <c r="AJ93" s="16">
        <v>0</v>
      </c>
      <c r="AK93" s="16">
        <v>7</v>
      </c>
      <c r="AL93" s="16"/>
      <c r="AM93" s="16"/>
      <c r="AN93" s="16">
        <v>0</v>
      </c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180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8976</v>
      </c>
      <c r="S94" s="2" t="s">
        <v>233</v>
      </c>
      <c r="T94" s="2">
        <v>0</v>
      </c>
      <c r="U94" s="2">
        <v>-3</v>
      </c>
      <c r="V94" s="2">
        <v>0</v>
      </c>
      <c r="W94" s="2">
        <v>0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180</v>
      </c>
      <c r="K95" t="s">
        <v>25</v>
      </c>
      <c r="L95">
        <v>132757294</v>
      </c>
      <c r="R95">
        <v>8976</v>
      </c>
      <c r="S95" t="s">
        <v>233</v>
      </c>
      <c r="T95">
        <v>4</v>
      </c>
      <c r="U95">
        <v>1</v>
      </c>
      <c r="V95">
        <v>1.5248999999999999</v>
      </c>
      <c r="W95">
        <v>1.5248999999999999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180</v>
      </c>
      <c r="K96" t="s">
        <v>25</v>
      </c>
      <c r="L96">
        <v>132757294</v>
      </c>
      <c r="R96">
        <v>8976</v>
      </c>
      <c r="S96" t="s">
        <v>233</v>
      </c>
      <c r="T96">
        <v>4</v>
      </c>
      <c r="U96">
        <v>1</v>
      </c>
      <c r="V96">
        <v>1.5248999999999999</v>
      </c>
      <c r="W96">
        <v>1.5248999999999999</v>
      </c>
      <c r="X96">
        <v>0</v>
      </c>
    </row>
    <row r="97" spans="1:40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180</v>
      </c>
      <c r="K97" t="s">
        <v>25</v>
      </c>
      <c r="L97">
        <v>132757294</v>
      </c>
      <c r="R97">
        <v>8976</v>
      </c>
      <c r="S97" t="s">
        <v>233</v>
      </c>
      <c r="T97">
        <v>4</v>
      </c>
      <c r="U97">
        <v>1</v>
      </c>
      <c r="V97">
        <v>1.5248999999999999</v>
      </c>
      <c r="W97">
        <v>1.5248999999999999</v>
      </c>
      <c r="X97">
        <v>0</v>
      </c>
    </row>
    <row r="98" spans="1:40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180</v>
      </c>
      <c r="K98" t="s">
        <v>25</v>
      </c>
      <c r="L98">
        <v>132757294</v>
      </c>
      <c r="R98">
        <v>8976</v>
      </c>
      <c r="S98" t="s">
        <v>233</v>
      </c>
      <c r="T98">
        <v>4</v>
      </c>
      <c r="U98">
        <v>-1</v>
      </c>
      <c r="V98">
        <v>1.5248999999999999</v>
      </c>
      <c r="W98">
        <v>1.5248999999999999</v>
      </c>
      <c r="X98">
        <v>0</v>
      </c>
      <c r="Y98">
        <v>8976</v>
      </c>
      <c r="Z98" t="s">
        <v>1439</v>
      </c>
      <c r="AA98" t="s">
        <v>1412</v>
      </c>
      <c r="AB98" t="s">
        <v>234</v>
      </c>
      <c r="AC98" t="s">
        <v>17</v>
      </c>
      <c r="AD98" t="s">
        <v>235</v>
      </c>
      <c r="AE98">
        <v>1</v>
      </c>
      <c r="AF98">
        <v>5</v>
      </c>
      <c r="AG98">
        <v>1.5248999999999999</v>
      </c>
      <c r="AH98">
        <v>1.5248999999999999</v>
      </c>
      <c r="AI98">
        <v>415886003</v>
      </c>
      <c r="AJ98">
        <v>0</v>
      </c>
      <c r="AK98">
        <v>7</v>
      </c>
      <c r="AN98">
        <v>0</v>
      </c>
    </row>
    <row r="99" spans="1:40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180</v>
      </c>
      <c r="K99" t="s">
        <v>25</v>
      </c>
      <c r="L99">
        <v>132757294</v>
      </c>
      <c r="R99">
        <v>8976</v>
      </c>
      <c r="S99" t="s">
        <v>233</v>
      </c>
      <c r="T99">
        <v>4</v>
      </c>
      <c r="U99">
        <v>-1</v>
      </c>
      <c r="V99">
        <v>1.5248999999999999</v>
      </c>
      <c r="W99">
        <v>1.5248999999999999</v>
      </c>
      <c r="X99">
        <v>0</v>
      </c>
    </row>
    <row r="100" spans="1:40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180</v>
      </c>
      <c r="K100" t="s">
        <v>25</v>
      </c>
      <c r="L100">
        <v>132757294</v>
      </c>
      <c r="R100">
        <v>8976</v>
      </c>
      <c r="S100" t="s">
        <v>37</v>
      </c>
      <c r="T100">
        <v>5</v>
      </c>
      <c r="U100">
        <v>0</v>
      </c>
      <c r="V100">
        <v>1.5248999999999999</v>
      </c>
      <c r="W100">
        <v>1.5248999999999999</v>
      </c>
      <c r="X100">
        <v>0</v>
      </c>
    </row>
    <row r="101" spans="1:40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180</v>
      </c>
      <c r="K101" t="s">
        <v>25</v>
      </c>
      <c r="L101">
        <v>132757294</v>
      </c>
      <c r="R101">
        <v>8976</v>
      </c>
      <c r="S101" t="s">
        <v>37</v>
      </c>
      <c r="T101">
        <v>5</v>
      </c>
      <c r="U101">
        <v>0</v>
      </c>
      <c r="V101">
        <v>1.5248999999999999</v>
      </c>
      <c r="W101">
        <v>1.5248999999999999</v>
      </c>
      <c r="X101">
        <v>0</v>
      </c>
    </row>
    <row r="102" spans="1:40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180</v>
      </c>
      <c r="K102" t="s">
        <v>25</v>
      </c>
      <c r="L102">
        <v>132757294</v>
      </c>
      <c r="R102">
        <v>8976</v>
      </c>
      <c r="S102" t="s">
        <v>37</v>
      </c>
      <c r="T102">
        <v>5</v>
      </c>
      <c r="U102">
        <v>0</v>
      </c>
      <c r="V102">
        <v>1.5248999999999999</v>
      </c>
      <c r="W102">
        <v>1.5248999999999999</v>
      </c>
      <c r="X102">
        <v>0</v>
      </c>
    </row>
    <row r="103" spans="1:40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180</v>
      </c>
      <c r="K103" t="s">
        <v>25</v>
      </c>
      <c r="L103">
        <v>132757294</v>
      </c>
      <c r="R103">
        <v>8976</v>
      </c>
      <c r="S103" t="s">
        <v>37</v>
      </c>
      <c r="T103">
        <v>5</v>
      </c>
      <c r="U103">
        <v>0</v>
      </c>
      <c r="V103">
        <v>1.5248999999999999</v>
      </c>
      <c r="W103">
        <v>1.5248999999999999</v>
      </c>
      <c r="X103">
        <v>0</v>
      </c>
    </row>
    <row r="104" spans="1:40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180</v>
      </c>
      <c r="K104" t="s">
        <v>25</v>
      </c>
      <c r="L104">
        <v>132757294</v>
      </c>
      <c r="R104">
        <v>8976</v>
      </c>
      <c r="S104" t="s">
        <v>37</v>
      </c>
      <c r="T104">
        <v>5</v>
      </c>
      <c r="U104">
        <v>0</v>
      </c>
      <c r="V104">
        <v>1.5248999999999999</v>
      </c>
      <c r="W104">
        <v>1.5248999999999999</v>
      </c>
      <c r="X104">
        <v>0</v>
      </c>
    </row>
    <row r="105" spans="1:40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180</v>
      </c>
      <c r="K105" t="s">
        <v>25</v>
      </c>
      <c r="L105">
        <v>132757294</v>
      </c>
      <c r="R105">
        <v>8977</v>
      </c>
      <c r="S105" t="s">
        <v>232</v>
      </c>
      <c r="T105">
        <v>0</v>
      </c>
      <c r="U105">
        <v>32</v>
      </c>
      <c r="V105">
        <v>0</v>
      </c>
      <c r="W105">
        <v>0</v>
      </c>
      <c r="X105">
        <v>0</v>
      </c>
    </row>
    <row r="106" spans="1:40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180</v>
      </c>
      <c r="K106" t="s">
        <v>25</v>
      </c>
      <c r="L106">
        <v>132757294</v>
      </c>
      <c r="R106">
        <v>8974</v>
      </c>
      <c r="S106" t="s">
        <v>223</v>
      </c>
      <c r="T106">
        <v>0</v>
      </c>
      <c r="U106">
        <v>29</v>
      </c>
      <c r="V106">
        <v>0</v>
      </c>
      <c r="W106">
        <v>0</v>
      </c>
      <c r="X106">
        <v>0</v>
      </c>
    </row>
    <row r="107" spans="1:40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180</v>
      </c>
      <c r="K107" t="s">
        <v>25</v>
      </c>
      <c r="L107">
        <v>132757294</v>
      </c>
      <c r="R107">
        <v>8974</v>
      </c>
      <c r="S107" t="s">
        <v>224</v>
      </c>
      <c r="T107">
        <v>0</v>
      </c>
      <c r="U107">
        <v>29</v>
      </c>
      <c r="V107">
        <v>0</v>
      </c>
      <c r="W107">
        <v>0</v>
      </c>
      <c r="X107">
        <v>0</v>
      </c>
    </row>
    <row r="108" spans="1:40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180</v>
      </c>
      <c r="K108" t="s">
        <v>25</v>
      </c>
      <c r="L108">
        <v>132757294</v>
      </c>
      <c r="R108">
        <v>8975</v>
      </c>
      <c r="S108" t="s">
        <v>223</v>
      </c>
      <c r="T108">
        <v>0</v>
      </c>
      <c r="U108">
        <v>28</v>
      </c>
      <c r="V108">
        <v>0</v>
      </c>
      <c r="W108">
        <v>0</v>
      </c>
      <c r="X108">
        <v>0</v>
      </c>
    </row>
    <row r="109" spans="1:40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180</v>
      </c>
      <c r="K109" t="s">
        <v>25</v>
      </c>
      <c r="L109">
        <v>132757294</v>
      </c>
      <c r="R109">
        <v>8975</v>
      </c>
      <c r="S109" t="s">
        <v>224</v>
      </c>
      <c r="T109">
        <v>0</v>
      </c>
      <c r="U109">
        <v>28</v>
      </c>
      <c r="V109">
        <v>0</v>
      </c>
      <c r="W109">
        <v>0</v>
      </c>
      <c r="X109">
        <v>0</v>
      </c>
    </row>
    <row r="110" spans="1:40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180</v>
      </c>
      <c r="K110" t="s">
        <v>25</v>
      </c>
      <c r="L110">
        <v>132757294</v>
      </c>
      <c r="R110">
        <v>8977</v>
      </c>
      <c r="S110" t="s">
        <v>232</v>
      </c>
      <c r="T110">
        <v>0</v>
      </c>
      <c r="U110">
        <v>32</v>
      </c>
      <c r="V110">
        <v>0</v>
      </c>
      <c r="W110">
        <v>0</v>
      </c>
      <c r="X110">
        <v>0</v>
      </c>
    </row>
    <row r="111" spans="1:40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180</v>
      </c>
      <c r="K111" t="s">
        <v>25</v>
      </c>
      <c r="L111">
        <v>132757294</v>
      </c>
      <c r="R111">
        <v>8977</v>
      </c>
      <c r="S111" t="s">
        <v>192</v>
      </c>
      <c r="T111">
        <v>0</v>
      </c>
      <c r="U111">
        <v>32</v>
      </c>
      <c r="V111">
        <v>0</v>
      </c>
      <c r="W111">
        <v>0</v>
      </c>
      <c r="X111">
        <v>0</v>
      </c>
    </row>
    <row r="112" spans="1:40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180</v>
      </c>
      <c r="K112" t="s">
        <v>25</v>
      </c>
      <c r="L112">
        <v>132757294</v>
      </c>
      <c r="R112">
        <v>8978</v>
      </c>
      <c r="S112" t="s">
        <v>232</v>
      </c>
      <c r="T112">
        <v>0</v>
      </c>
      <c r="U112">
        <v>5</v>
      </c>
      <c r="V112">
        <v>0</v>
      </c>
      <c r="W112">
        <v>0</v>
      </c>
      <c r="X112">
        <v>0</v>
      </c>
    </row>
    <row r="113" spans="1:40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180</v>
      </c>
      <c r="K113" t="s">
        <v>25</v>
      </c>
      <c r="L113">
        <v>132757294</v>
      </c>
      <c r="R113">
        <v>8978</v>
      </c>
      <c r="S113" t="s">
        <v>232</v>
      </c>
      <c r="T113">
        <v>0</v>
      </c>
      <c r="U113">
        <v>-5</v>
      </c>
      <c r="V113">
        <v>0</v>
      </c>
      <c r="W113">
        <v>0</v>
      </c>
      <c r="X113">
        <v>0</v>
      </c>
      <c r="Y113">
        <v>8978</v>
      </c>
      <c r="Z113" t="s">
        <v>1598</v>
      </c>
      <c r="AA113" t="s">
        <v>1599</v>
      </c>
      <c r="AB113" t="s">
        <v>234</v>
      </c>
      <c r="AC113" t="s">
        <v>17</v>
      </c>
      <c r="AD113" t="s">
        <v>235</v>
      </c>
      <c r="AE113">
        <v>5</v>
      </c>
      <c r="AF113">
        <v>5</v>
      </c>
      <c r="AG113">
        <v>1.5248999999999999</v>
      </c>
      <c r="AH113">
        <v>1.5248999999999999</v>
      </c>
      <c r="AI113">
        <v>415886005</v>
      </c>
      <c r="AJ113">
        <v>0</v>
      </c>
      <c r="AK113">
        <v>7</v>
      </c>
      <c r="AN113">
        <v>0</v>
      </c>
    </row>
    <row r="114" spans="1:40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180</v>
      </c>
      <c r="K114" t="s">
        <v>25</v>
      </c>
      <c r="L114">
        <v>132757294</v>
      </c>
      <c r="R114">
        <v>8978</v>
      </c>
      <c r="S114" t="s">
        <v>232</v>
      </c>
      <c r="T114">
        <v>0</v>
      </c>
      <c r="U114">
        <v>-5</v>
      </c>
      <c r="V114">
        <v>0</v>
      </c>
      <c r="W114">
        <v>0</v>
      </c>
      <c r="X114">
        <v>0</v>
      </c>
    </row>
    <row r="115" spans="1:40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180</v>
      </c>
      <c r="K115" t="s">
        <v>25</v>
      </c>
      <c r="L115">
        <v>132757294</v>
      </c>
      <c r="R115">
        <v>8978</v>
      </c>
      <c r="S115" t="s">
        <v>37</v>
      </c>
      <c r="T115">
        <v>5</v>
      </c>
      <c r="U115">
        <v>0</v>
      </c>
      <c r="V115">
        <v>1.5248999999999999</v>
      </c>
      <c r="W115">
        <v>1.5248999999999999</v>
      </c>
      <c r="X115">
        <v>0</v>
      </c>
    </row>
    <row r="116" spans="1:40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180</v>
      </c>
      <c r="K116" t="s">
        <v>25</v>
      </c>
      <c r="L116">
        <v>132757294</v>
      </c>
      <c r="R116">
        <v>8978</v>
      </c>
      <c r="S116" t="s">
        <v>37</v>
      </c>
      <c r="T116">
        <v>5</v>
      </c>
      <c r="U116">
        <v>0</v>
      </c>
      <c r="V116">
        <v>1.5248999999999999</v>
      </c>
      <c r="W116">
        <v>1.5248999999999999</v>
      </c>
      <c r="X116">
        <v>0</v>
      </c>
    </row>
    <row r="117" spans="1:40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180</v>
      </c>
      <c r="K117" t="s">
        <v>25</v>
      </c>
      <c r="L117">
        <v>132757294</v>
      </c>
      <c r="R117">
        <v>8978</v>
      </c>
      <c r="S117" t="s">
        <v>37</v>
      </c>
      <c r="T117">
        <v>5</v>
      </c>
      <c r="U117">
        <v>0</v>
      </c>
      <c r="V117">
        <v>1.5248999999999999</v>
      </c>
      <c r="W117">
        <v>1.5248999999999999</v>
      </c>
      <c r="X117">
        <v>0</v>
      </c>
    </row>
    <row r="118" spans="1:40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180</v>
      </c>
      <c r="K118" t="s">
        <v>25</v>
      </c>
      <c r="L118">
        <v>132757294</v>
      </c>
      <c r="R118">
        <v>8978</v>
      </c>
      <c r="S118" t="s">
        <v>37</v>
      </c>
      <c r="T118">
        <v>5</v>
      </c>
      <c r="U118">
        <v>0</v>
      </c>
      <c r="V118">
        <v>1.5248999999999999</v>
      </c>
      <c r="W118">
        <v>1.5248999999999999</v>
      </c>
      <c r="X118">
        <v>0</v>
      </c>
    </row>
    <row r="119" spans="1:40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180</v>
      </c>
      <c r="K119" t="s">
        <v>25</v>
      </c>
      <c r="L119">
        <v>132757294</v>
      </c>
      <c r="R119">
        <v>8978</v>
      </c>
      <c r="S119" t="s">
        <v>37</v>
      </c>
      <c r="T119">
        <v>5</v>
      </c>
      <c r="U119">
        <v>0</v>
      </c>
      <c r="V119">
        <v>1.5248999999999999</v>
      </c>
      <c r="W119">
        <v>1.5248999999999999</v>
      </c>
      <c r="X119">
        <v>0</v>
      </c>
    </row>
    <row r="120" spans="1:40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180</v>
      </c>
      <c r="K120" t="s">
        <v>25</v>
      </c>
      <c r="L120">
        <v>132757294</v>
      </c>
      <c r="R120">
        <v>8978</v>
      </c>
      <c r="S120" t="s">
        <v>37</v>
      </c>
      <c r="T120">
        <v>5</v>
      </c>
      <c r="U120">
        <v>0</v>
      </c>
      <c r="V120">
        <v>1.5248999999999999</v>
      </c>
      <c r="W120">
        <v>1.5248999999999999</v>
      </c>
      <c r="X120">
        <v>0</v>
      </c>
    </row>
    <row r="121" spans="1:40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180</v>
      </c>
      <c r="K121" t="s">
        <v>25</v>
      </c>
      <c r="L121">
        <v>132757294</v>
      </c>
      <c r="R121">
        <v>8978</v>
      </c>
      <c r="S121" t="s">
        <v>37</v>
      </c>
      <c r="T121">
        <v>5</v>
      </c>
      <c r="U121">
        <v>0</v>
      </c>
      <c r="V121">
        <v>1.5248999999999999</v>
      </c>
      <c r="W121">
        <v>1.5248999999999999</v>
      </c>
      <c r="X121">
        <v>0</v>
      </c>
    </row>
    <row r="122" spans="1:40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180</v>
      </c>
      <c r="K122" t="s">
        <v>25</v>
      </c>
      <c r="L122">
        <v>132757294</v>
      </c>
      <c r="R122">
        <v>8978</v>
      </c>
      <c r="S122" t="s">
        <v>37</v>
      </c>
      <c r="T122">
        <v>5</v>
      </c>
      <c r="U122">
        <v>0</v>
      </c>
      <c r="V122">
        <v>1.5248999999999999</v>
      </c>
      <c r="W122">
        <v>1.5248999999999999</v>
      </c>
      <c r="X122">
        <v>0</v>
      </c>
    </row>
    <row r="123" spans="1:40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180</v>
      </c>
      <c r="K123" t="s">
        <v>25</v>
      </c>
      <c r="L123">
        <v>132757294</v>
      </c>
      <c r="R123">
        <v>8979</v>
      </c>
      <c r="S123" t="s">
        <v>232</v>
      </c>
      <c r="T123">
        <v>0</v>
      </c>
      <c r="U123">
        <v>37</v>
      </c>
      <c r="V123">
        <v>0</v>
      </c>
      <c r="W123">
        <v>0</v>
      </c>
      <c r="X123">
        <v>0</v>
      </c>
    </row>
    <row r="124" spans="1:40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180</v>
      </c>
      <c r="K124" t="s">
        <v>25</v>
      </c>
      <c r="L124">
        <v>132757294</v>
      </c>
      <c r="R124">
        <v>8977</v>
      </c>
      <c r="S124" t="s">
        <v>223</v>
      </c>
      <c r="T124">
        <v>0</v>
      </c>
      <c r="U124">
        <v>32</v>
      </c>
      <c r="V124">
        <v>0</v>
      </c>
      <c r="W124">
        <v>0</v>
      </c>
      <c r="X124">
        <v>0</v>
      </c>
    </row>
    <row r="125" spans="1:40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180</v>
      </c>
      <c r="K125" t="s">
        <v>25</v>
      </c>
      <c r="L125">
        <v>132757294</v>
      </c>
      <c r="R125">
        <v>8977</v>
      </c>
      <c r="S125" t="s">
        <v>224</v>
      </c>
      <c r="T125">
        <v>0</v>
      </c>
      <c r="U125">
        <v>32</v>
      </c>
      <c r="V125">
        <v>0</v>
      </c>
      <c r="W125">
        <v>0</v>
      </c>
      <c r="X125">
        <v>0</v>
      </c>
    </row>
    <row r="126" spans="1:40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180</v>
      </c>
      <c r="K126" t="s">
        <v>25</v>
      </c>
      <c r="L126">
        <v>132757294</v>
      </c>
      <c r="R126">
        <v>8980</v>
      </c>
      <c r="S126" t="s">
        <v>232</v>
      </c>
      <c r="T126">
        <v>0</v>
      </c>
      <c r="U126">
        <v>-37</v>
      </c>
      <c r="V126">
        <v>0</v>
      </c>
      <c r="W126">
        <v>0</v>
      </c>
      <c r="X126">
        <v>0</v>
      </c>
    </row>
    <row r="127" spans="1:40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180</v>
      </c>
      <c r="K127" t="s">
        <v>25</v>
      </c>
      <c r="L127">
        <v>132757294</v>
      </c>
      <c r="R127">
        <v>8979</v>
      </c>
      <c r="S127" t="s">
        <v>232</v>
      </c>
      <c r="T127">
        <v>0</v>
      </c>
      <c r="U127">
        <v>37</v>
      </c>
      <c r="V127">
        <v>0</v>
      </c>
      <c r="W127">
        <v>0</v>
      </c>
      <c r="X127">
        <v>0</v>
      </c>
    </row>
    <row r="128" spans="1:40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180</v>
      </c>
      <c r="K128" t="s">
        <v>25</v>
      </c>
      <c r="L128">
        <v>132757294</v>
      </c>
      <c r="R128">
        <v>8979</v>
      </c>
      <c r="S128" t="s">
        <v>192</v>
      </c>
      <c r="T128">
        <v>0</v>
      </c>
      <c r="U128">
        <v>37</v>
      </c>
      <c r="V128">
        <v>0</v>
      </c>
      <c r="W128">
        <v>0</v>
      </c>
      <c r="X128">
        <v>0</v>
      </c>
    </row>
    <row r="129" spans="1:40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180</v>
      </c>
      <c r="K129" t="s">
        <v>25</v>
      </c>
      <c r="L129">
        <v>132757294</v>
      </c>
      <c r="R129">
        <v>8980</v>
      </c>
      <c r="S129" t="s">
        <v>232</v>
      </c>
      <c r="T129">
        <v>0</v>
      </c>
      <c r="U129">
        <v>-37</v>
      </c>
      <c r="V129">
        <v>0</v>
      </c>
      <c r="W129">
        <v>0</v>
      </c>
      <c r="X129">
        <v>0</v>
      </c>
    </row>
    <row r="130" spans="1:40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180</v>
      </c>
      <c r="K130" t="s">
        <v>25</v>
      </c>
      <c r="L130">
        <v>132757294</v>
      </c>
      <c r="R130">
        <v>8980</v>
      </c>
      <c r="S130" t="s">
        <v>192</v>
      </c>
      <c r="T130">
        <v>0</v>
      </c>
      <c r="U130">
        <v>37</v>
      </c>
      <c r="V130">
        <v>0</v>
      </c>
      <c r="W130">
        <v>0</v>
      </c>
      <c r="X130">
        <v>0</v>
      </c>
    </row>
    <row r="131" spans="1:40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180</v>
      </c>
      <c r="K131" t="s">
        <v>25</v>
      </c>
      <c r="L131">
        <v>132757294</v>
      </c>
      <c r="R131">
        <v>8981</v>
      </c>
      <c r="S131" t="s">
        <v>232</v>
      </c>
      <c r="T131">
        <v>0</v>
      </c>
      <c r="U131">
        <v>-5</v>
      </c>
      <c r="V131">
        <v>0</v>
      </c>
      <c r="W131">
        <v>0</v>
      </c>
      <c r="X131">
        <v>0</v>
      </c>
    </row>
    <row r="132" spans="1:40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180</v>
      </c>
      <c r="K132" t="s">
        <v>25</v>
      </c>
      <c r="L132">
        <v>132757294</v>
      </c>
      <c r="R132">
        <v>8981</v>
      </c>
      <c r="S132" t="s">
        <v>232</v>
      </c>
      <c r="T132">
        <v>0</v>
      </c>
      <c r="U132">
        <v>-5</v>
      </c>
      <c r="V132">
        <v>0</v>
      </c>
      <c r="W132">
        <v>0</v>
      </c>
      <c r="X132">
        <v>0</v>
      </c>
      <c r="Y132">
        <v>8981</v>
      </c>
      <c r="Z132" t="s">
        <v>1736</v>
      </c>
      <c r="AA132" t="s">
        <v>1737</v>
      </c>
      <c r="AB132" t="s">
        <v>234</v>
      </c>
      <c r="AC132" t="s">
        <v>17</v>
      </c>
      <c r="AD132" t="s">
        <v>237</v>
      </c>
      <c r="AE132">
        <v>5</v>
      </c>
      <c r="AF132">
        <v>5</v>
      </c>
      <c r="AG132">
        <v>1.5246999999999999</v>
      </c>
      <c r="AH132">
        <v>1.5246999999999999</v>
      </c>
      <c r="AI132">
        <v>415886008</v>
      </c>
      <c r="AJ132">
        <v>0</v>
      </c>
      <c r="AK132">
        <v>7</v>
      </c>
      <c r="AN132">
        <v>0</v>
      </c>
    </row>
    <row r="133" spans="1:40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180</v>
      </c>
      <c r="K133" t="s">
        <v>25</v>
      </c>
      <c r="L133">
        <v>132757294</v>
      </c>
      <c r="R133">
        <v>8981</v>
      </c>
      <c r="S133" t="s">
        <v>232</v>
      </c>
      <c r="T133">
        <v>0</v>
      </c>
      <c r="U133">
        <v>-5</v>
      </c>
      <c r="V133">
        <v>0</v>
      </c>
      <c r="W133">
        <v>0</v>
      </c>
      <c r="X133">
        <v>0</v>
      </c>
    </row>
    <row r="134" spans="1:40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180</v>
      </c>
      <c r="K134" t="s">
        <v>25</v>
      </c>
      <c r="L134">
        <v>132757294</v>
      </c>
      <c r="R134">
        <v>8981</v>
      </c>
      <c r="S134" t="s">
        <v>37</v>
      </c>
      <c r="T134">
        <v>5</v>
      </c>
      <c r="U134">
        <v>0</v>
      </c>
      <c r="V134">
        <v>1.5246999999999999</v>
      </c>
      <c r="W134">
        <v>1.5246999999999999</v>
      </c>
      <c r="X134">
        <v>0</v>
      </c>
    </row>
    <row r="135" spans="1:40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180</v>
      </c>
      <c r="K135" t="s">
        <v>25</v>
      </c>
      <c r="L135">
        <v>132757294</v>
      </c>
      <c r="R135">
        <v>8981</v>
      </c>
      <c r="S135" t="s">
        <v>37</v>
      </c>
      <c r="T135">
        <v>5</v>
      </c>
      <c r="U135">
        <v>0</v>
      </c>
      <c r="V135">
        <v>1.5246999999999999</v>
      </c>
      <c r="W135">
        <v>1.5246999999999999</v>
      </c>
      <c r="X135">
        <v>0</v>
      </c>
    </row>
    <row r="136" spans="1:40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180</v>
      </c>
      <c r="K136" t="s">
        <v>25</v>
      </c>
      <c r="L136">
        <v>132757294</v>
      </c>
      <c r="R136">
        <v>8981</v>
      </c>
      <c r="S136" t="s">
        <v>37</v>
      </c>
      <c r="T136">
        <v>5</v>
      </c>
      <c r="U136">
        <v>0</v>
      </c>
      <c r="V136">
        <v>1.5246999999999999</v>
      </c>
      <c r="W136">
        <v>1.5246999999999999</v>
      </c>
      <c r="X136">
        <v>0</v>
      </c>
    </row>
    <row r="137" spans="1:40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180</v>
      </c>
      <c r="K137" t="s">
        <v>25</v>
      </c>
      <c r="L137">
        <v>132757294</v>
      </c>
      <c r="R137">
        <v>8981</v>
      </c>
      <c r="S137" t="s">
        <v>37</v>
      </c>
      <c r="T137">
        <v>5</v>
      </c>
      <c r="U137">
        <v>0</v>
      </c>
      <c r="V137">
        <v>1.5246999999999999</v>
      </c>
      <c r="W137">
        <v>1.5246999999999999</v>
      </c>
      <c r="X137">
        <v>0</v>
      </c>
    </row>
    <row r="138" spans="1:40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180</v>
      </c>
      <c r="K138" t="s">
        <v>25</v>
      </c>
      <c r="L138">
        <v>132757294</v>
      </c>
      <c r="R138">
        <v>8981</v>
      </c>
      <c r="S138" t="s">
        <v>37</v>
      </c>
      <c r="T138">
        <v>5</v>
      </c>
      <c r="U138">
        <v>0</v>
      </c>
      <c r="V138">
        <v>1.5246999999999999</v>
      </c>
      <c r="W138">
        <v>1.5246999999999999</v>
      </c>
      <c r="X138">
        <v>0</v>
      </c>
    </row>
    <row r="139" spans="1:40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180</v>
      </c>
      <c r="K139" t="s">
        <v>25</v>
      </c>
      <c r="L139">
        <v>132757294</v>
      </c>
      <c r="R139">
        <v>8981</v>
      </c>
      <c r="S139" t="s">
        <v>37</v>
      </c>
      <c r="T139">
        <v>5</v>
      </c>
      <c r="U139">
        <v>0</v>
      </c>
      <c r="V139">
        <v>1.5246999999999999</v>
      </c>
      <c r="W139">
        <v>1.5246999999999999</v>
      </c>
      <c r="X139">
        <v>0</v>
      </c>
    </row>
    <row r="140" spans="1:40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180</v>
      </c>
      <c r="K140" t="s">
        <v>25</v>
      </c>
      <c r="L140">
        <v>132757294</v>
      </c>
      <c r="R140">
        <v>8981</v>
      </c>
      <c r="S140" t="s">
        <v>37</v>
      </c>
      <c r="T140">
        <v>5</v>
      </c>
      <c r="U140">
        <v>0</v>
      </c>
      <c r="V140">
        <v>1.5246999999999999</v>
      </c>
      <c r="W140">
        <v>1.5246999999999999</v>
      </c>
      <c r="X140">
        <v>0</v>
      </c>
    </row>
    <row r="141" spans="1:40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180</v>
      </c>
      <c r="K141" t="s">
        <v>25</v>
      </c>
      <c r="L141">
        <v>132757294</v>
      </c>
      <c r="R141">
        <v>8981</v>
      </c>
      <c r="S141" t="s">
        <v>37</v>
      </c>
      <c r="T141">
        <v>5</v>
      </c>
      <c r="U141">
        <v>0</v>
      </c>
      <c r="V141">
        <v>1.5246999999999999</v>
      </c>
      <c r="W141">
        <v>1.5246999999999999</v>
      </c>
      <c r="X141">
        <v>0</v>
      </c>
    </row>
    <row r="142" spans="1:40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180</v>
      </c>
      <c r="K142" t="s">
        <v>25</v>
      </c>
      <c r="L142">
        <v>132757294</v>
      </c>
      <c r="R142">
        <v>8982</v>
      </c>
      <c r="S142" t="s">
        <v>232</v>
      </c>
      <c r="T142">
        <v>0</v>
      </c>
      <c r="U142">
        <v>-5</v>
      </c>
      <c r="V142">
        <v>0</v>
      </c>
      <c r="W142">
        <v>0</v>
      </c>
      <c r="X142">
        <v>0</v>
      </c>
    </row>
    <row r="143" spans="1:40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180</v>
      </c>
      <c r="K143" t="s">
        <v>25</v>
      </c>
      <c r="L143">
        <v>132757294</v>
      </c>
      <c r="R143">
        <v>8982</v>
      </c>
      <c r="S143" t="s">
        <v>232</v>
      </c>
      <c r="T143">
        <v>0</v>
      </c>
      <c r="U143">
        <v>-5</v>
      </c>
      <c r="V143">
        <v>0</v>
      </c>
      <c r="W143">
        <v>0</v>
      </c>
      <c r="X143">
        <v>0</v>
      </c>
      <c r="Y143">
        <v>8982</v>
      </c>
      <c r="Z143" t="s">
        <v>1801</v>
      </c>
      <c r="AA143" t="s">
        <v>1802</v>
      </c>
      <c r="AB143" t="s">
        <v>234</v>
      </c>
      <c r="AC143" t="s">
        <v>17</v>
      </c>
      <c r="AD143" t="s">
        <v>237</v>
      </c>
      <c r="AE143">
        <v>5</v>
      </c>
      <c r="AF143">
        <v>5</v>
      </c>
      <c r="AG143">
        <v>1.5246999999999999</v>
      </c>
      <c r="AH143">
        <v>1.5246999999999999</v>
      </c>
      <c r="AI143">
        <v>415886009</v>
      </c>
      <c r="AJ143">
        <v>0</v>
      </c>
      <c r="AK143">
        <v>7</v>
      </c>
      <c r="AN143">
        <v>0</v>
      </c>
    </row>
    <row r="144" spans="1:40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180</v>
      </c>
      <c r="K144" t="s">
        <v>25</v>
      </c>
      <c r="L144">
        <v>132757294</v>
      </c>
      <c r="R144">
        <v>8982</v>
      </c>
      <c r="S144" t="s">
        <v>232</v>
      </c>
      <c r="T144">
        <v>0</v>
      </c>
      <c r="U144">
        <v>-5</v>
      </c>
      <c r="V144">
        <v>0</v>
      </c>
      <c r="W144">
        <v>0</v>
      </c>
      <c r="X144">
        <v>0</v>
      </c>
    </row>
    <row r="145" spans="1:24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180</v>
      </c>
      <c r="K145" t="s">
        <v>25</v>
      </c>
      <c r="L145">
        <v>132757294</v>
      </c>
      <c r="R145">
        <v>8982</v>
      </c>
      <c r="S145" t="s">
        <v>37</v>
      </c>
      <c r="T145">
        <v>5</v>
      </c>
      <c r="U145">
        <v>0</v>
      </c>
      <c r="V145">
        <v>1.5246999999999999</v>
      </c>
      <c r="W145">
        <v>1.5246999999999999</v>
      </c>
      <c r="X145">
        <v>0</v>
      </c>
    </row>
    <row r="146" spans="1:24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180</v>
      </c>
      <c r="K146" t="s">
        <v>25</v>
      </c>
      <c r="L146">
        <v>132757294</v>
      </c>
      <c r="R146">
        <v>8982</v>
      </c>
      <c r="S146" t="s">
        <v>37</v>
      </c>
      <c r="T146">
        <v>5</v>
      </c>
      <c r="U146">
        <v>0</v>
      </c>
      <c r="V146">
        <v>1.5246999999999999</v>
      </c>
      <c r="W146">
        <v>1.5246999999999999</v>
      </c>
      <c r="X146">
        <v>0</v>
      </c>
    </row>
    <row r="147" spans="1:24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180</v>
      </c>
      <c r="K147" t="s">
        <v>25</v>
      </c>
      <c r="L147">
        <v>132757294</v>
      </c>
      <c r="R147">
        <v>8982</v>
      </c>
      <c r="S147" t="s">
        <v>37</v>
      </c>
      <c r="T147">
        <v>5</v>
      </c>
      <c r="U147">
        <v>0</v>
      </c>
      <c r="V147">
        <v>1.5246999999999999</v>
      </c>
      <c r="W147">
        <v>1.5246999999999999</v>
      </c>
      <c r="X147">
        <v>0</v>
      </c>
    </row>
    <row r="148" spans="1:24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180</v>
      </c>
      <c r="K148" t="s">
        <v>25</v>
      </c>
      <c r="L148">
        <v>132757294</v>
      </c>
      <c r="R148">
        <v>8982</v>
      </c>
      <c r="S148" t="s">
        <v>37</v>
      </c>
      <c r="T148">
        <v>5</v>
      </c>
      <c r="U148">
        <v>0</v>
      </c>
      <c r="V148">
        <v>1.5246999999999999</v>
      </c>
      <c r="W148">
        <v>1.5246999999999999</v>
      </c>
      <c r="X148">
        <v>0</v>
      </c>
    </row>
    <row r="149" spans="1:24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180</v>
      </c>
      <c r="K149" t="s">
        <v>25</v>
      </c>
      <c r="L149">
        <v>132757294</v>
      </c>
      <c r="R149">
        <v>8982</v>
      </c>
      <c r="S149" t="s">
        <v>37</v>
      </c>
      <c r="T149">
        <v>5</v>
      </c>
      <c r="U149">
        <v>0</v>
      </c>
      <c r="V149">
        <v>1.5246999999999999</v>
      </c>
      <c r="W149">
        <v>1.5246999999999999</v>
      </c>
      <c r="X149">
        <v>0</v>
      </c>
    </row>
    <row r="150" spans="1:24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180</v>
      </c>
      <c r="K150" t="s">
        <v>25</v>
      </c>
      <c r="L150">
        <v>132757294</v>
      </c>
      <c r="R150">
        <v>8982</v>
      </c>
      <c r="S150" t="s">
        <v>37</v>
      </c>
      <c r="T150">
        <v>5</v>
      </c>
      <c r="U150">
        <v>0</v>
      </c>
      <c r="V150">
        <v>1.5246999999999999</v>
      </c>
      <c r="W150">
        <v>1.5246999999999999</v>
      </c>
      <c r="X150">
        <v>0</v>
      </c>
    </row>
    <row r="151" spans="1:24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180</v>
      </c>
      <c r="K151" t="s">
        <v>25</v>
      </c>
      <c r="L151">
        <v>132757294</v>
      </c>
      <c r="R151">
        <v>8982</v>
      </c>
      <c r="S151" t="s">
        <v>37</v>
      </c>
      <c r="T151">
        <v>5</v>
      </c>
      <c r="U151">
        <v>0</v>
      </c>
      <c r="V151">
        <v>1.5246999999999999</v>
      </c>
      <c r="W151">
        <v>1.5246999999999999</v>
      </c>
      <c r="X151">
        <v>0</v>
      </c>
    </row>
    <row r="152" spans="1:24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180</v>
      </c>
      <c r="K152" t="s">
        <v>25</v>
      </c>
      <c r="L152">
        <v>132757294</v>
      </c>
      <c r="R152">
        <v>8982</v>
      </c>
      <c r="S152" t="s">
        <v>37</v>
      </c>
      <c r="T152">
        <v>5</v>
      </c>
      <c r="U152">
        <v>0</v>
      </c>
      <c r="V152">
        <v>1.5246999999999999</v>
      </c>
      <c r="W152">
        <v>1.5246999999999999</v>
      </c>
      <c r="X152">
        <v>0</v>
      </c>
    </row>
    <row r="153" spans="1:24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180</v>
      </c>
      <c r="K153" t="s">
        <v>25</v>
      </c>
      <c r="L153">
        <v>132757294</v>
      </c>
      <c r="R153">
        <v>8979</v>
      </c>
      <c r="S153" t="s">
        <v>223</v>
      </c>
      <c r="T153">
        <v>0</v>
      </c>
      <c r="U153">
        <v>37</v>
      </c>
      <c r="V153">
        <v>0</v>
      </c>
      <c r="W153">
        <v>0</v>
      </c>
      <c r="X153">
        <v>0</v>
      </c>
    </row>
    <row r="154" spans="1:24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180</v>
      </c>
      <c r="K154" t="s">
        <v>25</v>
      </c>
      <c r="L154">
        <v>132757294</v>
      </c>
      <c r="R154">
        <v>8979</v>
      </c>
      <c r="S154" t="s">
        <v>224</v>
      </c>
      <c r="T154">
        <v>0</v>
      </c>
      <c r="U154">
        <v>37</v>
      </c>
      <c r="V154">
        <v>0</v>
      </c>
      <c r="W154">
        <v>0</v>
      </c>
      <c r="X154">
        <v>0</v>
      </c>
    </row>
    <row r="155" spans="1:24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180</v>
      </c>
      <c r="K155" t="s">
        <v>25</v>
      </c>
      <c r="L155">
        <v>132757294</v>
      </c>
      <c r="R155">
        <v>8980</v>
      </c>
      <c r="S155" t="s">
        <v>223</v>
      </c>
      <c r="T155">
        <v>0</v>
      </c>
      <c r="U155">
        <v>37</v>
      </c>
      <c r="V155">
        <v>0</v>
      </c>
      <c r="W155">
        <v>0</v>
      </c>
      <c r="X155">
        <v>0</v>
      </c>
    </row>
    <row r="156" spans="1:24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180</v>
      </c>
      <c r="K156" t="s">
        <v>25</v>
      </c>
      <c r="L156">
        <v>132757294</v>
      </c>
      <c r="R156">
        <v>8980</v>
      </c>
      <c r="S156" t="s">
        <v>224</v>
      </c>
      <c r="T156">
        <v>0</v>
      </c>
      <c r="U156">
        <v>37</v>
      </c>
      <c r="V156">
        <v>0</v>
      </c>
      <c r="W156">
        <v>0</v>
      </c>
      <c r="X156">
        <v>0</v>
      </c>
    </row>
    <row r="157" spans="1:24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180</v>
      </c>
      <c r="K157" t="s">
        <v>25</v>
      </c>
      <c r="L157">
        <v>132757294</v>
      </c>
      <c r="R157">
        <v>8983</v>
      </c>
      <c r="S157" t="s">
        <v>232</v>
      </c>
      <c r="T157">
        <v>0</v>
      </c>
      <c r="U157">
        <v>28</v>
      </c>
      <c r="V157">
        <v>0</v>
      </c>
      <c r="W157">
        <v>0</v>
      </c>
      <c r="X157">
        <v>0</v>
      </c>
    </row>
    <row r="158" spans="1:24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180</v>
      </c>
      <c r="K158" t="s">
        <v>25</v>
      </c>
      <c r="L158">
        <v>132757294</v>
      </c>
      <c r="R158">
        <v>8983</v>
      </c>
      <c r="S158" t="s">
        <v>232</v>
      </c>
      <c r="T158">
        <v>0</v>
      </c>
      <c r="U158">
        <v>28</v>
      </c>
      <c r="V158">
        <v>0</v>
      </c>
      <c r="W158">
        <v>0</v>
      </c>
      <c r="X158">
        <v>0</v>
      </c>
    </row>
    <row r="159" spans="1:24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180</v>
      </c>
      <c r="K159" t="s">
        <v>25</v>
      </c>
      <c r="L159">
        <v>132757294</v>
      </c>
      <c r="R159">
        <v>8983</v>
      </c>
      <c r="S159" t="s">
        <v>192</v>
      </c>
      <c r="T159">
        <v>0</v>
      </c>
      <c r="U159">
        <v>28</v>
      </c>
      <c r="V159">
        <v>0</v>
      </c>
      <c r="W159">
        <v>0</v>
      </c>
      <c r="X159">
        <v>0</v>
      </c>
    </row>
    <row r="160" spans="1:24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180</v>
      </c>
      <c r="K160" t="s">
        <v>25</v>
      </c>
      <c r="L160">
        <v>132757294</v>
      </c>
      <c r="R160">
        <v>8984</v>
      </c>
      <c r="S160" t="s">
        <v>232</v>
      </c>
      <c r="T160">
        <v>0</v>
      </c>
      <c r="U160">
        <v>-28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180</v>
      </c>
      <c r="K161" t="s">
        <v>25</v>
      </c>
      <c r="L161">
        <v>132757294</v>
      </c>
      <c r="R161">
        <v>8984</v>
      </c>
      <c r="S161" t="s">
        <v>232</v>
      </c>
      <c r="T161">
        <v>0</v>
      </c>
      <c r="U161">
        <v>-28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180</v>
      </c>
      <c r="K162" t="s">
        <v>25</v>
      </c>
      <c r="L162">
        <v>132757294</v>
      </c>
      <c r="R162">
        <v>8984</v>
      </c>
      <c r="S162" t="s">
        <v>192</v>
      </c>
      <c r="T162">
        <v>0</v>
      </c>
      <c r="U162">
        <v>28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180</v>
      </c>
      <c r="K163" t="s">
        <v>25</v>
      </c>
      <c r="L163">
        <v>132757294</v>
      </c>
      <c r="R163">
        <v>8985</v>
      </c>
      <c r="S163" t="s">
        <v>232</v>
      </c>
      <c r="T163">
        <v>0</v>
      </c>
      <c r="U163">
        <v>31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180</v>
      </c>
      <c r="K164" t="s">
        <v>25</v>
      </c>
      <c r="L164">
        <v>132757294</v>
      </c>
      <c r="R164">
        <v>8983</v>
      </c>
      <c r="S164" t="s">
        <v>223</v>
      </c>
      <c r="T164">
        <v>0</v>
      </c>
      <c r="U164">
        <v>28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180</v>
      </c>
      <c r="K165" t="s">
        <v>25</v>
      </c>
      <c r="L165">
        <v>132757294</v>
      </c>
      <c r="R165">
        <v>8983</v>
      </c>
      <c r="S165" t="s">
        <v>224</v>
      </c>
      <c r="T165">
        <v>0</v>
      </c>
      <c r="U165">
        <v>28</v>
      </c>
      <c r="V165">
        <v>0</v>
      </c>
      <c r="W165">
        <v>0</v>
      </c>
      <c r="X165">
        <v>0</v>
      </c>
    </row>
    <row r="166" spans="1:24" x14ac:dyDescent="0.25">
      <c r="A166" t="s">
        <v>15</v>
      </c>
      <c r="B166" t="s">
        <v>24</v>
      </c>
      <c r="C166">
        <v>20150316</v>
      </c>
      <c r="D166">
        <v>0</v>
      </c>
      <c r="F166">
        <v>62500</v>
      </c>
      <c r="G166" t="s">
        <v>17</v>
      </c>
      <c r="I166" t="s">
        <v>16</v>
      </c>
      <c r="J166" t="s">
        <v>180</v>
      </c>
      <c r="K166" t="s">
        <v>25</v>
      </c>
      <c r="L166">
        <v>132757294</v>
      </c>
      <c r="R166">
        <v>8984</v>
      </c>
      <c r="S166" t="s">
        <v>223</v>
      </c>
      <c r="T166">
        <v>0</v>
      </c>
      <c r="U166">
        <v>28</v>
      </c>
      <c r="V166">
        <v>0</v>
      </c>
      <c r="W166">
        <v>0</v>
      </c>
      <c r="X166">
        <v>0</v>
      </c>
    </row>
    <row r="167" spans="1:24" x14ac:dyDescent="0.25">
      <c r="A167" t="s">
        <v>15</v>
      </c>
      <c r="B167" t="s">
        <v>24</v>
      </c>
      <c r="C167">
        <v>20150316</v>
      </c>
      <c r="D167">
        <v>0</v>
      </c>
      <c r="F167">
        <v>62500</v>
      </c>
      <c r="G167" t="s">
        <v>17</v>
      </c>
      <c r="I167" t="s">
        <v>16</v>
      </c>
      <c r="J167" t="s">
        <v>180</v>
      </c>
      <c r="K167" t="s">
        <v>25</v>
      </c>
      <c r="L167">
        <v>132757294</v>
      </c>
      <c r="R167">
        <v>8984</v>
      </c>
      <c r="S167" t="s">
        <v>224</v>
      </c>
      <c r="T167">
        <v>0</v>
      </c>
      <c r="U167">
        <v>28</v>
      </c>
      <c r="V167">
        <v>0</v>
      </c>
      <c r="W167">
        <v>0</v>
      </c>
      <c r="X167">
        <v>0</v>
      </c>
    </row>
    <row r="168" spans="1:24" x14ac:dyDescent="0.25">
      <c r="A168" t="s">
        <v>15</v>
      </c>
      <c r="B168" t="s">
        <v>24</v>
      </c>
      <c r="C168">
        <v>20150316</v>
      </c>
      <c r="D168">
        <v>0</v>
      </c>
      <c r="F168">
        <v>62500</v>
      </c>
      <c r="G168" t="s">
        <v>17</v>
      </c>
      <c r="I168" t="s">
        <v>16</v>
      </c>
      <c r="J168" t="s">
        <v>180</v>
      </c>
      <c r="K168" t="s">
        <v>25</v>
      </c>
      <c r="L168">
        <v>132757294</v>
      </c>
      <c r="R168">
        <v>8985</v>
      </c>
      <c r="S168" t="s">
        <v>232</v>
      </c>
      <c r="T168">
        <v>0</v>
      </c>
      <c r="U168">
        <v>31</v>
      </c>
      <c r="V168">
        <v>0</v>
      </c>
      <c r="W168">
        <v>0</v>
      </c>
      <c r="X168">
        <v>0</v>
      </c>
    </row>
    <row r="169" spans="1:24" x14ac:dyDescent="0.25">
      <c r="A169" t="s">
        <v>15</v>
      </c>
      <c r="B169" t="s">
        <v>24</v>
      </c>
      <c r="C169">
        <v>20150316</v>
      </c>
      <c r="D169">
        <v>0</v>
      </c>
      <c r="F169">
        <v>62500</v>
      </c>
      <c r="G169" t="s">
        <v>17</v>
      </c>
      <c r="I169" t="s">
        <v>16</v>
      </c>
      <c r="J169" t="s">
        <v>180</v>
      </c>
      <c r="K169" t="s">
        <v>25</v>
      </c>
      <c r="L169">
        <v>132757294</v>
      </c>
      <c r="R169">
        <v>8985</v>
      </c>
      <c r="S169" t="s">
        <v>192</v>
      </c>
      <c r="T169">
        <v>0</v>
      </c>
      <c r="U169">
        <v>31</v>
      </c>
      <c r="V169">
        <v>0</v>
      </c>
      <c r="W169">
        <v>0</v>
      </c>
      <c r="X169">
        <v>0</v>
      </c>
    </row>
    <row r="170" spans="1:24" x14ac:dyDescent="0.25">
      <c r="A170" t="s">
        <v>15</v>
      </c>
      <c r="B170" t="s">
        <v>24</v>
      </c>
      <c r="C170">
        <v>20150316</v>
      </c>
      <c r="D170">
        <v>0</v>
      </c>
      <c r="F170">
        <v>62500</v>
      </c>
      <c r="G170" t="s">
        <v>17</v>
      </c>
      <c r="I170" t="s">
        <v>16</v>
      </c>
      <c r="J170" t="s">
        <v>180</v>
      </c>
      <c r="K170" t="s">
        <v>25</v>
      </c>
      <c r="L170">
        <v>132757294</v>
      </c>
      <c r="R170">
        <v>8986</v>
      </c>
      <c r="S170" t="s">
        <v>232</v>
      </c>
      <c r="T170">
        <v>0</v>
      </c>
      <c r="U170">
        <v>-31</v>
      </c>
      <c r="V170">
        <v>0</v>
      </c>
      <c r="W170">
        <v>0</v>
      </c>
      <c r="X170">
        <v>0</v>
      </c>
    </row>
    <row r="171" spans="1:24" x14ac:dyDescent="0.25">
      <c r="A171" t="s">
        <v>15</v>
      </c>
      <c r="B171" t="s">
        <v>24</v>
      </c>
      <c r="C171">
        <v>20150316</v>
      </c>
      <c r="D171">
        <v>0</v>
      </c>
      <c r="F171">
        <v>62500</v>
      </c>
      <c r="G171" t="s">
        <v>17</v>
      </c>
      <c r="I171" t="s">
        <v>16</v>
      </c>
      <c r="J171" t="s">
        <v>180</v>
      </c>
      <c r="K171" t="s">
        <v>25</v>
      </c>
      <c r="L171">
        <v>132757294</v>
      </c>
      <c r="R171">
        <v>8986</v>
      </c>
      <c r="S171" t="s">
        <v>232</v>
      </c>
      <c r="T171">
        <v>0</v>
      </c>
      <c r="U171">
        <v>-31</v>
      </c>
      <c r="V171">
        <v>0</v>
      </c>
      <c r="W171">
        <v>0</v>
      </c>
      <c r="X171">
        <v>0</v>
      </c>
    </row>
    <row r="172" spans="1:24" x14ac:dyDescent="0.25">
      <c r="A172" t="s">
        <v>15</v>
      </c>
      <c r="B172" t="s">
        <v>24</v>
      </c>
      <c r="C172">
        <v>20150316</v>
      </c>
      <c r="D172">
        <v>0</v>
      </c>
      <c r="F172">
        <v>62500</v>
      </c>
      <c r="G172" t="s">
        <v>17</v>
      </c>
      <c r="I172" t="s">
        <v>16</v>
      </c>
      <c r="J172" t="s">
        <v>180</v>
      </c>
      <c r="K172" t="s">
        <v>25</v>
      </c>
      <c r="L172">
        <v>132757294</v>
      </c>
      <c r="R172">
        <v>8986</v>
      </c>
      <c r="S172" t="s">
        <v>192</v>
      </c>
      <c r="T172">
        <v>0</v>
      </c>
      <c r="U172">
        <v>31</v>
      </c>
      <c r="V172">
        <v>0</v>
      </c>
      <c r="W172">
        <v>0</v>
      </c>
      <c r="X172">
        <v>0</v>
      </c>
    </row>
    <row r="173" spans="1:24" x14ac:dyDescent="0.25">
      <c r="A173" t="s">
        <v>15</v>
      </c>
      <c r="B173" t="s">
        <v>24</v>
      </c>
      <c r="C173">
        <v>20150316</v>
      </c>
      <c r="D173">
        <v>0</v>
      </c>
      <c r="F173">
        <v>62500</v>
      </c>
      <c r="G173" t="s">
        <v>17</v>
      </c>
      <c r="I173" t="s">
        <v>16</v>
      </c>
      <c r="J173" t="s">
        <v>180</v>
      </c>
      <c r="K173" t="s">
        <v>25</v>
      </c>
      <c r="L173">
        <v>132757294</v>
      </c>
      <c r="R173">
        <v>8987</v>
      </c>
      <c r="S173" t="s">
        <v>232</v>
      </c>
      <c r="T173">
        <v>0</v>
      </c>
      <c r="U173">
        <v>34</v>
      </c>
      <c r="V173">
        <v>0</v>
      </c>
      <c r="W173">
        <v>0</v>
      </c>
      <c r="X173">
        <v>0</v>
      </c>
    </row>
    <row r="174" spans="1:24" x14ac:dyDescent="0.25">
      <c r="A174" t="s">
        <v>15</v>
      </c>
      <c r="B174" t="s">
        <v>24</v>
      </c>
      <c r="C174">
        <v>20150316</v>
      </c>
      <c r="D174">
        <v>0</v>
      </c>
      <c r="F174">
        <v>62500</v>
      </c>
      <c r="G174" t="s">
        <v>17</v>
      </c>
      <c r="I174" t="s">
        <v>16</v>
      </c>
      <c r="J174" t="s">
        <v>180</v>
      </c>
      <c r="K174" t="s">
        <v>25</v>
      </c>
      <c r="L174">
        <v>132757294</v>
      </c>
      <c r="R174">
        <v>8985</v>
      </c>
      <c r="S174" t="s">
        <v>223</v>
      </c>
      <c r="T174">
        <v>0</v>
      </c>
      <c r="U174">
        <v>31</v>
      </c>
      <c r="V174">
        <v>0</v>
      </c>
      <c r="W174">
        <v>0</v>
      </c>
      <c r="X174">
        <v>0</v>
      </c>
    </row>
    <row r="175" spans="1:24" x14ac:dyDescent="0.25">
      <c r="A175" t="s">
        <v>15</v>
      </c>
      <c r="B175" t="s">
        <v>24</v>
      </c>
      <c r="C175">
        <v>20150316</v>
      </c>
      <c r="D175">
        <v>0</v>
      </c>
      <c r="F175">
        <v>62500</v>
      </c>
      <c r="G175" t="s">
        <v>17</v>
      </c>
      <c r="I175" t="s">
        <v>16</v>
      </c>
      <c r="J175" t="s">
        <v>180</v>
      </c>
      <c r="K175" t="s">
        <v>25</v>
      </c>
      <c r="L175">
        <v>132757294</v>
      </c>
      <c r="R175">
        <v>8985</v>
      </c>
      <c r="S175" t="s">
        <v>224</v>
      </c>
      <c r="T175">
        <v>0</v>
      </c>
      <c r="U175">
        <v>31</v>
      </c>
      <c r="V175">
        <v>0</v>
      </c>
      <c r="W175">
        <v>0</v>
      </c>
      <c r="X175">
        <v>0</v>
      </c>
    </row>
    <row r="176" spans="1:24" x14ac:dyDescent="0.25">
      <c r="A176" t="s">
        <v>15</v>
      </c>
      <c r="B176" t="s">
        <v>24</v>
      </c>
      <c r="C176">
        <v>20150316</v>
      </c>
      <c r="D176">
        <v>0</v>
      </c>
      <c r="F176">
        <v>62500</v>
      </c>
      <c r="G176" t="s">
        <v>17</v>
      </c>
      <c r="I176" t="s">
        <v>16</v>
      </c>
      <c r="J176" t="s">
        <v>180</v>
      </c>
      <c r="K176" t="s">
        <v>25</v>
      </c>
      <c r="L176">
        <v>132757294</v>
      </c>
      <c r="R176">
        <v>8986</v>
      </c>
      <c r="S176" t="s">
        <v>223</v>
      </c>
      <c r="T176">
        <v>0</v>
      </c>
      <c r="U176">
        <v>31</v>
      </c>
      <c r="V176">
        <v>0</v>
      </c>
      <c r="W176">
        <v>0</v>
      </c>
      <c r="X176">
        <v>0</v>
      </c>
    </row>
    <row r="177" spans="1:24" x14ac:dyDescent="0.25">
      <c r="A177" t="s">
        <v>15</v>
      </c>
      <c r="B177" t="s">
        <v>24</v>
      </c>
      <c r="C177">
        <v>20150316</v>
      </c>
      <c r="D177">
        <v>0</v>
      </c>
      <c r="F177">
        <v>62500</v>
      </c>
      <c r="G177" t="s">
        <v>17</v>
      </c>
      <c r="I177" t="s">
        <v>16</v>
      </c>
      <c r="J177" t="s">
        <v>180</v>
      </c>
      <c r="K177" t="s">
        <v>25</v>
      </c>
      <c r="L177">
        <v>132757294</v>
      </c>
      <c r="R177">
        <v>8986</v>
      </c>
      <c r="S177" t="s">
        <v>224</v>
      </c>
      <c r="T177">
        <v>0</v>
      </c>
      <c r="U177">
        <v>31</v>
      </c>
      <c r="V177">
        <v>0</v>
      </c>
      <c r="W177">
        <v>0</v>
      </c>
      <c r="X177">
        <v>0</v>
      </c>
    </row>
    <row r="178" spans="1:24" x14ac:dyDescent="0.25">
      <c r="A178" t="s">
        <v>15</v>
      </c>
      <c r="B178" t="s">
        <v>24</v>
      </c>
      <c r="C178">
        <v>20150316</v>
      </c>
      <c r="D178">
        <v>0</v>
      </c>
      <c r="F178">
        <v>62500</v>
      </c>
      <c r="G178" t="s">
        <v>17</v>
      </c>
      <c r="I178" t="s">
        <v>16</v>
      </c>
      <c r="J178" t="s">
        <v>180</v>
      </c>
      <c r="K178" t="s">
        <v>25</v>
      </c>
      <c r="L178">
        <v>132757294</v>
      </c>
      <c r="R178">
        <v>8987</v>
      </c>
      <c r="S178" t="s">
        <v>232</v>
      </c>
      <c r="T178">
        <v>0</v>
      </c>
      <c r="U178">
        <v>34</v>
      </c>
      <c r="V178">
        <v>0</v>
      </c>
      <c r="W178">
        <v>0</v>
      </c>
      <c r="X178">
        <v>0</v>
      </c>
    </row>
    <row r="179" spans="1:24" x14ac:dyDescent="0.25">
      <c r="A179" t="s">
        <v>15</v>
      </c>
      <c r="B179" t="s">
        <v>24</v>
      </c>
      <c r="C179">
        <v>20150316</v>
      </c>
      <c r="D179">
        <v>0</v>
      </c>
      <c r="F179">
        <v>62500</v>
      </c>
      <c r="G179" t="s">
        <v>17</v>
      </c>
      <c r="I179" t="s">
        <v>16</v>
      </c>
      <c r="J179" t="s">
        <v>180</v>
      </c>
      <c r="K179" t="s">
        <v>25</v>
      </c>
      <c r="L179">
        <v>132757294</v>
      </c>
      <c r="R179">
        <v>8987</v>
      </c>
      <c r="S179" t="s">
        <v>192</v>
      </c>
      <c r="T179">
        <v>0</v>
      </c>
      <c r="U179">
        <v>34</v>
      </c>
      <c r="V179">
        <v>0</v>
      </c>
      <c r="W179">
        <v>0</v>
      </c>
      <c r="X179">
        <v>0</v>
      </c>
    </row>
    <row r="180" spans="1:24" x14ac:dyDescent="0.25">
      <c r="A180" t="s">
        <v>15</v>
      </c>
      <c r="B180" t="s">
        <v>24</v>
      </c>
      <c r="C180">
        <v>20150316</v>
      </c>
      <c r="D180">
        <v>0</v>
      </c>
      <c r="F180">
        <v>62500</v>
      </c>
      <c r="G180" t="s">
        <v>17</v>
      </c>
      <c r="I180" t="s">
        <v>16</v>
      </c>
      <c r="J180" t="s">
        <v>180</v>
      </c>
      <c r="K180" t="s">
        <v>25</v>
      </c>
      <c r="L180">
        <v>132757294</v>
      </c>
      <c r="R180">
        <v>8988</v>
      </c>
      <c r="S180" t="s">
        <v>232</v>
      </c>
      <c r="T180">
        <v>0</v>
      </c>
      <c r="U180">
        <v>-33</v>
      </c>
      <c r="V180">
        <v>0</v>
      </c>
      <c r="W180">
        <v>0</v>
      </c>
      <c r="X180">
        <v>0</v>
      </c>
    </row>
    <row r="181" spans="1:24" x14ac:dyDescent="0.25">
      <c r="A181" t="s">
        <v>15</v>
      </c>
      <c r="B181" t="s">
        <v>24</v>
      </c>
      <c r="C181">
        <v>20150316</v>
      </c>
      <c r="D181">
        <v>0</v>
      </c>
      <c r="F181">
        <v>62500</v>
      </c>
      <c r="G181" t="s">
        <v>17</v>
      </c>
      <c r="I181" t="s">
        <v>16</v>
      </c>
      <c r="J181" t="s">
        <v>180</v>
      </c>
      <c r="K181" t="s">
        <v>25</v>
      </c>
      <c r="L181">
        <v>132757294</v>
      </c>
      <c r="R181">
        <v>8988</v>
      </c>
      <c r="S181" t="s">
        <v>232</v>
      </c>
      <c r="T181">
        <v>0</v>
      </c>
      <c r="U181">
        <v>-33</v>
      </c>
      <c r="V181">
        <v>0</v>
      </c>
      <c r="W181">
        <v>0</v>
      </c>
      <c r="X181">
        <v>0</v>
      </c>
    </row>
    <row r="182" spans="1:24" x14ac:dyDescent="0.25">
      <c r="A182" t="s">
        <v>15</v>
      </c>
      <c r="B182" t="s">
        <v>24</v>
      </c>
      <c r="C182">
        <v>20150316</v>
      </c>
      <c r="D182">
        <v>0</v>
      </c>
      <c r="F182">
        <v>62500</v>
      </c>
      <c r="G182" t="s">
        <v>17</v>
      </c>
      <c r="I182" t="s">
        <v>16</v>
      </c>
      <c r="J182" t="s">
        <v>180</v>
      </c>
      <c r="K182" t="s">
        <v>25</v>
      </c>
      <c r="L182">
        <v>132757294</v>
      </c>
      <c r="R182">
        <v>8988</v>
      </c>
      <c r="S182" t="s">
        <v>192</v>
      </c>
      <c r="T182">
        <v>0</v>
      </c>
      <c r="U182">
        <v>33</v>
      </c>
      <c r="V182">
        <v>0</v>
      </c>
      <c r="W182">
        <v>0</v>
      </c>
      <c r="X182">
        <v>0</v>
      </c>
    </row>
    <row r="183" spans="1:24" x14ac:dyDescent="0.25">
      <c r="A183" t="s">
        <v>15</v>
      </c>
      <c r="B183" t="s">
        <v>24</v>
      </c>
      <c r="C183">
        <v>20150316</v>
      </c>
      <c r="D183">
        <v>0</v>
      </c>
      <c r="F183">
        <v>62500</v>
      </c>
      <c r="G183" t="s">
        <v>17</v>
      </c>
      <c r="I183" t="s">
        <v>16</v>
      </c>
      <c r="J183" t="s">
        <v>180</v>
      </c>
      <c r="K183" t="s">
        <v>25</v>
      </c>
      <c r="L183">
        <v>132757294</v>
      </c>
      <c r="R183">
        <v>8989</v>
      </c>
      <c r="S183" t="s">
        <v>232</v>
      </c>
      <c r="T183">
        <v>0</v>
      </c>
      <c r="U183">
        <v>31</v>
      </c>
      <c r="V183">
        <v>0</v>
      </c>
      <c r="W183">
        <v>0</v>
      </c>
      <c r="X183">
        <v>0</v>
      </c>
    </row>
    <row r="184" spans="1:24" x14ac:dyDescent="0.25">
      <c r="A184" t="s">
        <v>15</v>
      </c>
      <c r="B184" t="s">
        <v>24</v>
      </c>
      <c r="C184">
        <v>20150316</v>
      </c>
      <c r="D184">
        <v>0</v>
      </c>
      <c r="F184">
        <v>62500</v>
      </c>
      <c r="G184" t="s">
        <v>17</v>
      </c>
      <c r="I184" t="s">
        <v>16</v>
      </c>
      <c r="J184" t="s">
        <v>180</v>
      </c>
      <c r="K184" t="s">
        <v>25</v>
      </c>
      <c r="L184">
        <v>132757294</v>
      </c>
      <c r="R184">
        <v>8987</v>
      </c>
      <c r="S184" t="s">
        <v>223</v>
      </c>
      <c r="T184">
        <v>0</v>
      </c>
      <c r="U184">
        <v>34</v>
      </c>
      <c r="V184">
        <v>0</v>
      </c>
      <c r="W184">
        <v>0</v>
      </c>
      <c r="X184">
        <v>0</v>
      </c>
    </row>
    <row r="185" spans="1:24" x14ac:dyDescent="0.25">
      <c r="A185" t="s">
        <v>15</v>
      </c>
      <c r="B185" t="s">
        <v>24</v>
      </c>
      <c r="C185">
        <v>20150316</v>
      </c>
      <c r="D185">
        <v>0</v>
      </c>
      <c r="F185">
        <v>62500</v>
      </c>
      <c r="G185" t="s">
        <v>17</v>
      </c>
      <c r="I185" t="s">
        <v>16</v>
      </c>
      <c r="J185" t="s">
        <v>180</v>
      </c>
      <c r="K185" t="s">
        <v>25</v>
      </c>
      <c r="L185">
        <v>132757294</v>
      </c>
      <c r="R185">
        <v>8987</v>
      </c>
      <c r="S185" t="s">
        <v>224</v>
      </c>
      <c r="T185">
        <v>0</v>
      </c>
      <c r="U185">
        <v>34</v>
      </c>
      <c r="V185">
        <v>0</v>
      </c>
      <c r="W185">
        <v>0</v>
      </c>
      <c r="X185">
        <v>0</v>
      </c>
    </row>
    <row r="186" spans="1:24" x14ac:dyDescent="0.25">
      <c r="A186" t="s">
        <v>15</v>
      </c>
      <c r="B186" t="s">
        <v>24</v>
      </c>
      <c r="C186">
        <v>20150316</v>
      </c>
      <c r="D186">
        <v>0</v>
      </c>
      <c r="F186">
        <v>62500</v>
      </c>
      <c r="G186" t="s">
        <v>17</v>
      </c>
      <c r="I186" t="s">
        <v>16</v>
      </c>
      <c r="J186" t="s">
        <v>180</v>
      </c>
      <c r="K186" t="s">
        <v>25</v>
      </c>
      <c r="L186">
        <v>132757294</v>
      </c>
      <c r="R186">
        <v>8989</v>
      </c>
      <c r="S186" t="s">
        <v>232</v>
      </c>
      <c r="T186">
        <v>0</v>
      </c>
      <c r="U186">
        <v>31</v>
      </c>
      <c r="V186">
        <v>0</v>
      </c>
      <c r="W186">
        <v>0</v>
      </c>
      <c r="X186">
        <v>0</v>
      </c>
    </row>
    <row r="187" spans="1:24" x14ac:dyDescent="0.25">
      <c r="A187" t="s">
        <v>15</v>
      </c>
      <c r="B187" t="s">
        <v>24</v>
      </c>
      <c r="C187">
        <v>20150316</v>
      </c>
      <c r="D187">
        <v>0</v>
      </c>
      <c r="F187">
        <v>62500</v>
      </c>
      <c r="G187" t="s">
        <v>17</v>
      </c>
      <c r="I187" t="s">
        <v>16</v>
      </c>
      <c r="J187" t="s">
        <v>180</v>
      </c>
      <c r="K187" t="s">
        <v>25</v>
      </c>
      <c r="L187">
        <v>132757294</v>
      </c>
      <c r="R187">
        <v>8989</v>
      </c>
      <c r="S187" t="s">
        <v>192</v>
      </c>
      <c r="T187">
        <v>0</v>
      </c>
      <c r="U187">
        <v>31</v>
      </c>
      <c r="V187">
        <v>0</v>
      </c>
      <c r="W187">
        <v>0</v>
      </c>
      <c r="X187">
        <v>0</v>
      </c>
    </row>
    <row r="188" spans="1:24" x14ac:dyDescent="0.25">
      <c r="A188" t="s">
        <v>15</v>
      </c>
      <c r="B188" t="s">
        <v>24</v>
      </c>
      <c r="C188">
        <v>20150316</v>
      </c>
      <c r="D188">
        <v>0</v>
      </c>
      <c r="F188">
        <v>62500</v>
      </c>
      <c r="G188" t="s">
        <v>17</v>
      </c>
      <c r="I188" t="s">
        <v>16</v>
      </c>
      <c r="J188" t="s">
        <v>180</v>
      </c>
      <c r="K188" t="s">
        <v>25</v>
      </c>
      <c r="L188">
        <v>132757294</v>
      </c>
      <c r="R188">
        <v>8990</v>
      </c>
      <c r="S188" t="s">
        <v>232</v>
      </c>
      <c r="T188">
        <v>0</v>
      </c>
      <c r="U188">
        <v>-30</v>
      </c>
      <c r="V188">
        <v>0</v>
      </c>
      <c r="W188">
        <v>0</v>
      </c>
      <c r="X188">
        <v>0</v>
      </c>
    </row>
    <row r="189" spans="1:24" x14ac:dyDescent="0.25">
      <c r="A189" t="s">
        <v>15</v>
      </c>
      <c r="B189" t="s">
        <v>24</v>
      </c>
      <c r="C189">
        <v>20150316</v>
      </c>
      <c r="D189">
        <v>0</v>
      </c>
      <c r="F189">
        <v>62500</v>
      </c>
      <c r="G189" t="s">
        <v>17</v>
      </c>
      <c r="I189" t="s">
        <v>16</v>
      </c>
      <c r="J189" t="s">
        <v>180</v>
      </c>
      <c r="K189" t="s">
        <v>25</v>
      </c>
      <c r="L189">
        <v>132757294</v>
      </c>
      <c r="R189">
        <v>8988</v>
      </c>
      <c r="S189" t="s">
        <v>223</v>
      </c>
      <c r="T189">
        <v>0</v>
      </c>
      <c r="U189">
        <v>33</v>
      </c>
      <c r="V189">
        <v>0</v>
      </c>
      <c r="W189">
        <v>0</v>
      </c>
      <c r="X189">
        <v>0</v>
      </c>
    </row>
    <row r="190" spans="1:24" x14ac:dyDescent="0.25">
      <c r="A190" t="s">
        <v>15</v>
      </c>
      <c r="B190" t="s">
        <v>24</v>
      </c>
      <c r="C190">
        <v>20150316</v>
      </c>
      <c r="D190">
        <v>0</v>
      </c>
      <c r="F190">
        <v>62500</v>
      </c>
      <c r="G190" t="s">
        <v>17</v>
      </c>
      <c r="I190" t="s">
        <v>16</v>
      </c>
      <c r="J190" t="s">
        <v>180</v>
      </c>
      <c r="K190" t="s">
        <v>25</v>
      </c>
      <c r="L190">
        <v>132757294</v>
      </c>
      <c r="R190">
        <v>8988</v>
      </c>
      <c r="S190" t="s">
        <v>224</v>
      </c>
      <c r="T190">
        <v>0</v>
      </c>
      <c r="U190">
        <v>33</v>
      </c>
      <c r="V190">
        <v>0</v>
      </c>
      <c r="W190">
        <v>0</v>
      </c>
      <c r="X190">
        <v>0</v>
      </c>
    </row>
    <row r="191" spans="1:24" x14ac:dyDescent="0.25">
      <c r="A191" t="s">
        <v>15</v>
      </c>
      <c r="B191" t="s">
        <v>24</v>
      </c>
      <c r="C191">
        <v>20150316</v>
      </c>
      <c r="D191">
        <v>0</v>
      </c>
      <c r="F191">
        <v>62500</v>
      </c>
      <c r="G191" t="s">
        <v>17</v>
      </c>
      <c r="I191" t="s">
        <v>16</v>
      </c>
      <c r="J191" t="s">
        <v>180</v>
      </c>
      <c r="K191" t="s">
        <v>25</v>
      </c>
      <c r="L191">
        <v>132757294</v>
      </c>
      <c r="R191">
        <v>8990</v>
      </c>
      <c r="S191" t="s">
        <v>232</v>
      </c>
      <c r="T191">
        <v>0</v>
      </c>
      <c r="U191">
        <v>-30</v>
      </c>
      <c r="V191">
        <v>0</v>
      </c>
      <c r="W191">
        <v>0</v>
      </c>
      <c r="X191">
        <v>0</v>
      </c>
    </row>
    <row r="192" spans="1:24" x14ac:dyDescent="0.25">
      <c r="A192" t="s">
        <v>15</v>
      </c>
      <c r="B192" t="s">
        <v>24</v>
      </c>
      <c r="C192">
        <v>20150316</v>
      </c>
      <c r="D192">
        <v>0</v>
      </c>
      <c r="F192">
        <v>62500</v>
      </c>
      <c r="G192" t="s">
        <v>17</v>
      </c>
      <c r="I192" t="s">
        <v>16</v>
      </c>
      <c r="J192" t="s">
        <v>180</v>
      </c>
      <c r="K192" t="s">
        <v>25</v>
      </c>
      <c r="L192">
        <v>132757294</v>
      </c>
      <c r="R192">
        <v>8990</v>
      </c>
      <c r="S192" t="s">
        <v>192</v>
      </c>
      <c r="T192">
        <v>0</v>
      </c>
      <c r="U192">
        <v>30</v>
      </c>
      <c r="V192">
        <v>0</v>
      </c>
      <c r="W192">
        <v>0</v>
      </c>
      <c r="X192">
        <v>0</v>
      </c>
    </row>
    <row r="193" spans="1:24" x14ac:dyDescent="0.25">
      <c r="A193" t="s">
        <v>15</v>
      </c>
      <c r="B193" t="s">
        <v>24</v>
      </c>
      <c r="C193">
        <v>20150316</v>
      </c>
      <c r="D193">
        <v>0</v>
      </c>
      <c r="F193">
        <v>62500</v>
      </c>
      <c r="G193" t="s">
        <v>17</v>
      </c>
      <c r="I193" t="s">
        <v>16</v>
      </c>
      <c r="J193" t="s">
        <v>180</v>
      </c>
      <c r="K193" t="s">
        <v>25</v>
      </c>
      <c r="L193">
        <v>132757294</v>
      </c>
      <c r="R193">
        <v>8991</v>
      </c>
      <c r="S193" t="s">
        <v>232</v>
      </c>
      <c r="T193">
        <v>0</v>
      </c>
      <c r="U193">
        <v>29</v>
      </c>
      <c r="V193">
        <v>0</v>
      </c>
      <c r="W193">
        <v>0</v>
      </c>
      <c r="X193">
        <v>0</v>
      </c>
    </row>
    <row r="194" spans="1:24" x14ac:dyDescent="0.25">
      <c r="A194" t="s">
        <v>15</v>
      </c>
      <c r="B194" t="s">
        <v>24</v>
      </c>
      <c r="C194">
        <v>20150316</v>
      </c>
      <c r="D194">
        <v>0</v>
      </c>
      <c r="F194">
        <v>62500</v>
      </c>
      <c r="G194" t="s">
        <v>17</v>
      </c>
      <c r="I194" t="s">
        <v>16</v>
      </c>
      <c r="J194" t="s">
        <v>180</v>
      </c>
      <c r="K194" t="s">
        <v>25</v>
      </c>
      <c r="L194">
        <v>132757294</v>
      </c>
      <c r="R194">
        <v>8989</v>
      </c>
      <c r="S194" t="s">
        <v>223</v>
      </c>
      <c r="T194">
        <v>0</v>
      </c>
      <c r="U194">
        <v>31</v>
      </c>
      <c r="V194">
        <v>0</v>
      </c>
      <c r="W194">
        <v>0</v>
      </c>
      <c r="X194">
        <v>0</v>
      </c>
    </row>
    <row r="195" spans="1:24" x14ac:dyDescent="0.25">
      <c r="A195" t="s">
        <v>15</v>
      </c>
      <c r="B195" t="s">
        <v>24</v>
      </c>
      <c r="C195">
        <v>20150316</v>
      </c>
      <c r="D195">
        <v>0</v>
      </c>
      <c r="F195">
        <v>62500</v>
      </c>
      <c r="G195" t="s">
        <v>17</v>
      </c>
      <c r="I195" t="s">
        <v>16</v>
      </c>
      <c r="J195" t="s">
        <v>180</v>
      </c>
      <c r="K195" t="s">
        <v>25</v>
      </c>
      <c r="L195">
        <v>132757294</v>
      </c>
      <c r="R195">
        <v>8989</v>
      </c>
      <c r="S195" t="s">
        <v>224</v>
      </c>
      <c r="T195">
        <v>0</v>
      </c>
      <c r="U195">
        <v>31</v>
      </c>
      <c r="V195">
        <v>0</v>
      </c>
      <c r="W195">
        <v>0</v>
      </c>
      <c r="X195">
        <v>0</v>
      </c>
    </row>
    <row r="196" spans="1:24" x14ac:dyDescent="0.25">
      <c r="A196" t="s">
        <v>15</v>
      </c>
      <c r="B196" t="s">
        <v>24</v>
      </c>
      <c r="C196">
        <v>20150316</v>
      </c>
      <c r="D196">
        <v>0</v>
      </c>
      <c r="F196">
        <v>62500</v>
      </c>
      <c r="G196" t="s">
        <v>17</v>
      </c>
      <c r="I196" t="s">
        <v>16</v>
      </c>
      <c r="J196" t="s">
        <v>180</v>
      </c>
      <c r="K196" t="s">
        <v>25</v>
      </c>
      <c r="L196">
        <v>132757294</v>
      </c>
      <c r="R196">
        <v>8991</v>
      </c>
      <c r="S196" t="s">
        <v>232</v>
      </c>
      <c r="T196">
        <v>0</v>
      </c>
      <c r="U196">
        <v>29</v>
      </c>
      <c r="V196">
        <v>0</v>
      </c>
      <c r="W196">
        <v>0</v>
      </c>
      <c r="X196">
        <v>0</v>
      </c>
    </row>
    <row r="197" spans="1:24" x14ac:dyDescent="0.25">
      <c r="A197" t="s">
        <v>15</v>
      </c>
      <c r="B197" t="s">
        <v>24</v>
      </c>
      <c r="C197">
        <v>20150316</v>
      </c>
      <c r="D197">
        <v>0</v>
      </c>
      <c r="F197">
        <v>62500</v>
      </c>
      <c r="G197" t="s">
        <v>17</v>
      </c>
      <c r="I197" t="s">
        <v>16</v>
      </c>
      <c r="J197" t="s">
        <v>180</v>
      </c>
      <c r="K197" t="s">
        <v>25</v>
      </c>
      <c r="L197">
        <v>132757294</v>
      </c>
      <c r="R197">
        <v>8991</v>
      </c>
      <c r="S197" t="s">
        <v>192</v>
      </c>
      <c r="T197">
        <v>0</v>
      </c>
      <c r="U197">
        <v>29</v>
      </c>
      <c r="V197">
        <v>0</v>
      </c>
      <c r="W197">
        <v>0</v>
      </c>
      <c r="X197">
        <v>0</v>
      </c>
    </row>
    <row r="198" spans="1:24" x14ac:dyDescent="0.25">
      <c r="A198" t="s">
        <v>15</v>
      </c>
      <c r="B198" t="s">
        <v>24</v>
      </c>
      <c r="C198">
        <v>20150316</v>
      </c>
      <c r="D198">
        <v>0</v>
      </c>
      <c r="F198">
        <v>62500</v>
      </c>
      <c r="G198" t="s">
        <v>17</v>
      </c>
      <c r="I198" t="s">
        <v>16</v>
      </c>
      <c r="J198" t="s">
        <v>180</v>
      </c>
      <c r="K198" t="s">
        <v>25</v>
      </c>
      <c r="L198">
        <v>132757294</v>
      </c>
      <c r="R198">
        <v>8992</v>
      </c>
      <c r="S198" t="s">
        <v>232</v>
      </c>
      <c r="T198">
        <v>0</v>
      </c>
      <c r="U198">
        <v>31</v>
      </c>
      <c r="V198">
        <v>0</v>
      </c>
      <c r="W198">
        <v>0</v>
      </c>
      <c r="X198">
        <v>0</v>
      </c>
    </row>
    <row r="199" spans="1:24" x14ac:dyDescent="0.25">
      <c r="A199" t="s">
        <v>15</v>
      </c>
      <c r="B199" t="s">
        <v>24</v>
      </c>
      <c r="C199">
        <v>20150316</v>
      </c>
      <c r="D199">
        <v>0</v>
      </c>
      <c r="F199">
        <v>62500</v>
      </c>
      <c r="G199" t="s">
        <v>17</v>
      </c>
      <c r="I199" t="s">
        <v>16</v>
      </c>
      <c r="J199" t="s">
        <v>180</v>
      </c>
      <c r="K199" t="s">
        <v>25</v>
      </c>
      <c r="L199">
        <v>132757294</v>
      </c>
      <c r="R199">
        <v>8991</v>
      </c>
      <c r="S199" t="s">
        <v>223</v>
      </c>
      <c r="T199">
        <v>0</v>
      </c>
      <c r="U199">
        <v>29</v>
      </c>
      <c r="V199">
        <v>0</v>
      </c>
      <c r="W199">
        <v>0</v>
      </c>
      <c r="X199">
        <v>0</v>
      </c>
    </row>
    <row r="200" spans="1:24" x14ac:dyDescent="0.25">
      <c r="A200" t="s">
        <v>15</v>
      </c>
      <c r="B200" t="s">
        <v>24</v>
      </c>
      <c r="C200">
        <v>20150316</v>
      </c>
      <c r="D200">
        <v>0</v>
      </c>
      <c r="F200">
        <v>62500</v>
      </c>
      <c r="G200" t="s">
        <v>17</v>
      </c>
      <c r="I200" t="s">
        <v>16</v>
      </c>
      <c r="J200" t="s">
        <v>180</v>
      </c>
      <c r="K200" t="s">
        <v>25</v>
      </c>
      <c r="L200">
        <v>132757294</v>
      </c>
      <c r="R200">
        <v>8991</v>
      </c>
      <c r="S200" t="s">
        <v>224</v>
      </c>
      <c r="T200">
        <v>0</v>
      </c>
      <c r="U200">
        <v>29</v>
      </c>
      <c r="V200">
        <v>0</v>
      </c>
      <c r="W200">
        <v>0</v>
      </c>
      <c r="X200">
        <v>0</v>
      </c>
    </row>
    <row r="201" spans="1:24" x14ac:dyDescent="0.25">
      <c r="A201" t="s">
        <v>15</v>
      </c>
      <c r="B201" t="s">
        <v>24</v>
      </c>
      <c r="C201">
        <v>20150316</v>
      </c>
      <c r="D201">
        <v>0</v>
      </c>
      <c r="F201">
        <v>62500</v>
      </c>
      <c r="G201" t="s">
        <v>17</v>
      </c>
      <c r="I201" t="s">
        <v>16</v>
      </c>
      <c r="J201" t="s">
        <v>180</v>
      </c>
      <c r="K201" t="s">
        <v>25</v>
      </c>
      <c r="L201">
        <v>132757294</v>
      </c>
      <c r="R201">
        <v>8992</v>
      </c>
      <c r="S201" t="s">
        <v>232</v>
      </c>
      <c r="T201">
        <v>0</v>
      </c>
      <c r="U201">
        <v>31</v>
      </c>
      <c r="V201">
        <v>0</v>
      </c>
      <c r="W201">
        <v>0</v>
      </c>
      <c r="X201">
        <v>0</v>
      </c>
    </row>
    <row r="202" spans="1:24" x14ac:dyDescent="0.25">
      <c r="A202" t="s">
        <v>15</v>
      </c>
      <c r="B202" t="s">
        <v>24</v>
      </c>
      <c r="C202">
        <v>20150316</v>
      </c>
      <c r="D202">
        <v>0</v>
      </c>
      <c r="F202">
        <v>62500</v>
      </c>
      <c r="G202" t="s">
        <v>17</v>
      </c>
      <c r="I202" t="s">
        <v>16</v>
      </c>
      <c r="J202" t="s">
        <v>180</v>
      </c>
      <c r="K202" t="s">
        <v>25</v>
      </c>
      <c r="L202">
        <v>132757294</v>
      </c>
      <c r="R202">
        <v>8992</v>
      </c>
      <c r="S202" t="s">
        <v>192</v>
      </c>
      <c r="T202">
        <v>0</v>
      </c>
      <c r="U202">
        <v>31</v>
      </c>
      <c r="V202">
        <v>0</v>
      </c>
      <c r="W202">
        <v>0</v>
      </c>
      <c r="X202">
        <v>0</v>
      </c>
    </row>
    <row r="203" spans="1:24" x14ac:dyDescent="0.25">
      <c r="A203" t="s">
        <v>15</v>
      </c>
      <c r="B203" t="s">
        <v>24</v>
      </c>
      <c r="C203">
        <v>20150316</v>
      </c>
      <c r="D203">
        <v>0</v>
      </c>
      <c r="F203">
        <v>62500</v>
      </c>
      <c r="G203" t="s">
        <v>17</v>
      </c>
      <c r="I203" t="s">
        <v>16</v>
      </c>
      <c r="J203" t="s">
        <v>180</v>
      </c>
      <c r="K203" t="s">
        <v>25</v>
      </c>
      <c r="L203">
        <v>132757294</v>
      </c>
      <c r="R203">
        <v>8993</v>
      </c>
      <c r="S203" t="s">
        <v>232</v>
      </c>
      <c r="T203">
        <v>0</v>
      </c>
      <c r="U203">
        <v>-33</v>
      </c>
      <c r="V203">
        <v>0</v>
      </c>
      <c r="W203">
        <v>0</v>
      </c>
      <c r="X203">
        <v>0</v>
      </c>
    </row>
    <row r="204" spans="1:24" x14ac:dyDescent="0.25">
      <c r="A204" t="s">
        <v>15</v>
      </c>
      <c r="B204" t="s">
        <v>24</v>
      </c>
      <c r="C204">
        <v>20150316</v>
      </c>
      <c r="D204">
        <v>0</v>
      </c>
      <c r="F204">
        <v>62500</v>
      </c>
      <c r="G204" t="s">
        <v>17</v>
      </c>
      <c r="I204" t="s">
        <v>16</v>
      </c>
      <c r="J204" t="s">
        <v>180</v>
      </c>
      <c r="K204" t="s">
        <v>25</v>
      </c>
      <c r="L204">
        <v>132757294</v>
      </c>
      <c r="R204">
        <v>8990</v>
      </c>
      <c r="S204" t="s">
        <v>223</v>
      </c>
      <c r="T204">
        <v>0</v>
      </c>
      <c r="U204">
        <v>30</v>
      </c>
      <c r="V204">
        <v>0</v>
      </c>
      <c r="W204">
        <v>0</v>
      </c>
      <c r="X204">
        <v>0</v>
      </c>
    </row>
    <row r="205" spans="1:24" x14ac:dyDescent="0.25">
      <c r="A205" t="s">
        <v>15</v>
      </c>
      <c r="B205" t="s">
        <v>24</v>
      </c>
      <c r="C205">
        <v>20150316</v>
      </c>
      <c r="D205">
        <v>0</v>
      </c>
      <c r="F205">
        <v>62500</v>
      </c>
      <c r="G205" t="s">
        <v>17</v>
      </c>
      <c r="I205" t="s">
        <v>16</v>
      </c>
      <c r="J205" t="s">
        <v>180</v>
      </c>
      <c r="K205" t="s">
        <v>25</v>
      </c>
      <c r="L205">
        <v>132757294</v>
      </c>
      <c r="R205">
        <v>8990</v>
      </c>
      <c r="S205" t="s">
        <v>224</v>
      </c>
      <c r="T205">
        <v>0</v>
      </c>
      <c r="U205">
        <v>30</v>
      </c>
      <c r="V205">
        <v>0</v>
      </c>
      <c r="W205">
        <v>0</v>
      </c>
      <c r="X205">
        <v>0</v>
      </c>
    </row>
    <row r="206" spans="1:24" x14ac:dyDescent="0.25">
      <c r="A206" t="s">
        <v>15</v>
      </c>
      <c r="B206" t="s">
        <v>24</v>
      </c>
      <c r="C206">
        <v>20150316</v>
      </c>
      <c r="D206">
        <v>0</v>
      </c>
      <c r="F206">
        <v>62500</v>
      </c>
      <c r="G206" t="s">
        <v>17</v>
      </c>
      <c r="I206" t="s">
        <v>16</v>
      </c>
      <c r="J206" t="s">
        <v>180</v>
      </c>
      <c r="K206" t="s">
        <v>25</v>
      </c>
      <c r="L206">
        <v>132757294</v>
      </c>
      <c r="R206">
        <v>8993</v>
      </c>
      <c r="S206" t="s">
        <v>232</v>
      </c>
      <c r="T206">
        <v>0</v>
      </c>
      <c r="U206">
        <v>-33</v>
      </c>
      <c r="V206">
        <v>0</v>
      </c>
      <c r="W206">
        <v>0</v>
      </c>
      <c r="X206">
        <v>0</v>
      </c>
    </row>
    <row r="207" spans="1:24" x14ac:dyDescent="0.25">
      <c r="A207" t="s">
        <v>15</v>
      </c>
      <c r="B207" t="s">
        <v>24</v>
      </c>
      <c r="C207">
        <v>20150316</v>
      </c>
      <c r="D207">
        <v>0</v>
      </c>
      <c r="F207">
        <v>62500</v>
      </c>
      <c r="G207" t="s">
        <v>17</v>
      </c>
      <c r="I207" t="s">
        <v>16</v>
      </c>
      <c r="J207" t="s">
        <v>180</v>
      </c>
      <c r="K207" t="s">
        <v>25</v>
      </c>
      <c r="L207">
        <v>132757294</v>
      </c>
      <c r="R207">
        <v>8993</v>
      </c>
      <c r="S207" t="s">
        <v>192</v>
      </c>
      <c r="T207">
        <v>0</v>
      </c>
      <c r="U207">
        <v>33</v>
      </c>
      <c r="V207">
        <v>0</v>
      </c>
      <c r="W207">
        <v>0</v>
      </c>
      <c r="X207">
        <v>0</v>
      </c>
    </row>
    <row r="208" spans="1:24" x14ac:dyDescent="0.25">
      <c r="A208" t="s">
        <v>15</v>
      </c>
      <c r="B208" t="s">
        <v>24</v>
      </c>
      <c r="C208">
        <v>20150316</v>
      </c>
      <c r="D208">
        <v>0</v>
      </c>
      <c r="F208">
        <v>62500</v>
      </c>
      <c r="G208" t="s">
        <v>17</v>
      </c>
      <c r="I208" t="s">
        <v>16</v>
      </c>
      <c r="J208" t="s">
        <v>180</v>
      </c>
      <c r="K208" t="s">
        <v>25</v>
      </c>
      <c r="L208">
        <v>132757294</v>
      </c>
      <c r="R208">
        <v>8994</v>
      </c>
      <c r="S208" t="s">
        <v>232</v>
      </c>
      <c r="T208">
        <v>0</v>
      </c>
      <c r="U208">
        <v>34</v>
      </c>
      <c r="V208">
        <v>0</v>
      </c>
      <c r="W208">
        <v>0</v>
      </c>
      <c r="X208">
        <v>0</v>
      </c>
    </row>
    <row r="209" spans="1:24" x14ac:dyDescent="0.25">
      <c r="A209" t="s">
        <v>15</v>
      </c>
      <c r="B209" t="s">
        <v>24</v>
      </c>
      <c r="C209">
        <v>20150316</v>
      </c>
      <c r="D209">
        <v>0</v>
      </c>
      <c r="F209">
        <v>62500</v>
      </c>
      <c r="G209" t="s">
        <v>17</v>
      </c>
      <c r="I209" t="s">
        <v>16</v>
      </c>
      <c r="J209" t="s">
        <v>180</v>
      </c>
      <c r="K209" t="s">
        <v>25</v>
      </c>
      <c r="L209">
        <v>132757294</v>
      </c>
      <c r="R209">
        <v>8992</v>
      </c>
      <c r="S209" t="s">
        <v>223</v>
      </c>
      <c r="T209">
        <v>0</v>
      </c>
      <c r="U209">
        <v>31</v>
      </c>
      <c r="V209">
        <v>0</v>
      </c>
      <c r="W209">
        <v>0</v>
      </c>
      <c r="X209">
        <v>0</v>
      </c>
    </row>
    <row r="210" spans="1:24" x14ac:dyDescent="0.25">
      <c r="A210" t="s">
        <v>15</v>
      </c>
      <c r="B210" t="s">
        <v>24</v>
      </c>
      <c r="C210">
        <v>20150316</v>
      </c>
      <c r="D210">
        <v>0</v>
      </c>
      <c r="F210">
        <v>62500</v>
      </c>
      <c r="G210" t="s">
        <v>17</v>
      </c>
      <c r="I210" t="s">
        <v>16</v>
      </c>
      <c r="J210" t="s">
        <v>180</v>
      </c>
      <c r="K210" t="s">
        <v>25</v>
      </c>
      <c r="L210">
        <v>132757294</v>
      </c>
      <c r="R210">
        <v>8992</v>
      </c>
      <c r="S210" t="s">
        <v>224</v>
      </c>
      <c r="T210">
        <v>0</v>
      </c>
      <c r="U210">
        <v>31</v>
      </c>
      <c r="V210">
        <v>0</v>
      </c>
      <c r="W210">
        <v>0</v>
      </c>
      <c r="X210">
        <v>0</v>
      </c>
    </row>
    <row r="211" spans="1:24" x14ac:dyDescent="0.25">
      <c r="A211" t="s">
        <v>15</v>
      </c>
      <c r="B211" t="s">
        <v>24</v>
      </c>
      <c r="C211">
        <v>20150316</v>
      </c>
      <c r="D211">
        <v>0</v>
      </c>
      <c r="F211">
        <v>62500</v>
      </c>
      <c r="G211" t="s">
        <v>17</v>
      </c>
      <c r="I211" t="s">
        <v>16</v>
      </c>
      <c r="J211" t="s">
        <v>180</v>
      </c>
      <c r="K211" t="s">
        <v>25</v>
      </c>
      <c r="L211">
        <v>132757294</v>
      </c>
      <c r="R211">
        <v>8994</v>
      </c>
      <c r="S211" t="s">
        <v>232</v>
      </c>
      <c r="T211">
        <v>0</v>
      </c>
      <c r="U211">
        <v>34</v>
      </c>
      <c r="V211">
        <v>0</v>
      </c>
      <c r="W211">
        <v>0</v>
      </c>
      <c r="X211">
        <v>0</v>
      </c>
    </row>
    <row r="212" spans="1:24" x14ac:dyDescent="0.25">
      <c r="A212" t="s">
        <v>15</v>
      </c>
      <c r="B212" t="s">
        <v>24</v>
      </c>
      <c r="C212">
        <v>20150316</v>
      </c>
      <c r="D212">
        <v>0</v>
      </c>
      <c r="F212">
        <v>62500</v>
      </c>
      <c r="G212" t="s">
        <v>17</v>
      </c>
      <c r="I212" t="s">
        <v>16</v>
      </c>
      <c r="J212" t="s">
        <v>180</v>
      </c>
      <c r="K212" t="s">
        <v>25</v>
      </c>
      <c r="L212">
        <v>132757294</v>
      </c>
      <c r="R212">
        <v>8994</v>
      </c>
      <c r="S212" t="s">
        <v>192</v>
      </c>
      <c r="T212">
        <v>0</v>
      </c>
      <c r="U212">
        <v>34</v>
      </c>
      <c r="V212">
        <v>0</v>
      </c>
      <c r="W212">
        <v>0</v>
      </c>
      <c r="X212">
        <v>0</v>
      </c>
    </row>
    <row r="213" spans="1:24" x14ac:dyDescent="0.25">
      <c r="A213" t="s">
        <v>15</v>
      </c>
      <c r="B213" t="s">
        <v>24</v>
      </c>
      <c r="C213">
        <v>20150316</v>
      </c>
      <c r="D213">
        <v>0</v>
      </c>
      <c r="F213">
        <v>62500</v>
      </c>
      <c r="G213" t="s">
        <v>17</v>
      </c>
      <c r="I213" t="s">
        <v>16</v>
      </c>
      <c r="J213" t="s">
        <v>180</v>
      </c>
      <c r="K213" t="s">
        <v>25</v>
      </c>
      <c r="L213">
        <v>132757294</v>
      </c>
      <c r="R213">
        <v>8995</v>
      </c>
      <c r="S213" t="s">
        <v>232</v>
      </c>
      <c r="T213">
        <v>0</v>
      </c>
      <c r="U213">
        <v>31</v>
      </c>
      <c r="V213">
        <v>0</v>
      </c>
      <c r="W213">
        <v>0</v>
      </c>
      <c r="X213">
        <v>0</v>
      </c>
    </row>
    <row r="214" spans="1:24" x14ac:dyDescent="0.25">
      <c r="A214" t="s">
        <v>15</v>
      </c>
      <c r="B214" t="s">
        <v>24</v>
      </c>
      <c r="C214">
        <v>20150316</v>
      </c>
      <c r="D214">
        <v>0</v>
      </c>
      <c r="F214">
        <v>62500</v>
      </c>
      <c r="G214" t="s">
        <v>17</v>
      </c>
      <c r="I214" t="s">
        <v>16</v>
      </c>
      <c r="J214" t="s">
        <v>180</v>
      </c>
      <c r="K214" t="s">
        <v>25</v>
      </c>
      <c r="L214">
        <v>132757294</v>
      </c>
      <c r="R214">
        <v>8994</v>
      </c>
      <c r="S214" t="s">
        <v>223</v>
      </c>
      <c r="T214">
        <v>0</v>
      </c>
      <c r="U214">
        <v>34</v>
      </c>
      <c r="V214">
        <v>0</v>
      </c>
      <c r="W214">
        <v>0</v>
      </c>
      <c r="X214">
        <v>0</v>
      </c>
    </row>
    <row r="215" spans="1:24" x14ac:dyDescent="0.25">
      <c r="A215" t="s">
        <v>15</v>
      </c>
      <c r="B215" t="s">
        <v>24</v>
      </c>
      <c r="C215">
        <v>20150316</v>
      </c>
      <c r="D215">
        <v>0</v>
      </c>
      <c r="F215">
        <v>62500</v>
      </c>
      <c r="G215" t="s">
        <v>17</v>
      </c>
      <c r="I215" t="s">
        <v>16</v>
      </c>
      <c r="J215" t="s">
        <v>180</v>
      </c>
      <c r="K215" t="s">
        <v>25</v>
      </c>
      <c r="L215">
        <v>132757294</v>
      </c>
      <c r="R215">
        <v>8994</v>
      </c>
      <c r="S215" t="s">
        <v>224</v>
      </c>
      <c r="T215">
        <v>0</v>
      </c>
      <c r="U215">
        <v>34</v>
      </c>
      <c r="V215">
        <v>0</v>
      </c>
      <c r="W215">
        <v>0</v>
      </c>
      <c r="X215">
        <v>0</v>
      </c>
    </row>
    <row r="216" spans="1:24" x14ac:dyDescent="0.25">
      <c r="A216" t="s">
        <v>15</v>
      </c>
      <c r="B216" t="s">
        <v>24</v>
      </c>
      <c r="C216">
        <v>20150316</v>
      </c>
      <c r="D216">
        <v>0</v>
      </c>
      <c r="F216">
        <v>62500</v>
      </c>
      <c r="G216" t="s">
        <v>17</v>
      </c>
      <c r="I216" t="s">
        <v>16</v>
      </c>
      <c r="J216" t="s">
        <v>180</v>
      </c>
      <c r="K216" t="s">
        <v>25</v>
      </c>
      <c r="L216">
        <v>132757294</v>
      </c>
      <c r="R216">
        <v>8995</v>
      </c>
      <c r="S216" t="s">
        <v>232</v>
      </c>
      <c r="T216">
        <v>0</v>
      </c>
      <c r="U216">
        <v>31</v>
      </c>
      <c r="V216">
        <v>0</v>
      </c>
      <c r="W216">
        <v>0</v>
      </c>
      <c r="X216">
        <v>0</v>
      </c>
    </row>
    <row r="217" spans="1:24" x14ac:dyDescent="0.25">
      <c r="A217" t="s">
        <v>15</v>
      </c>
      <c r="B217" t="s">
        <v>24</v>
      </c>
      <c r="C217">
        <v>20150316</v>
      </c>
      <c r="D217">
        <v>0</v>
      </c>
      <c r="F217">
        <v>62500</v>
      </c>
      <c r="G217" t="s">
        <v>17</v>
      </c>
      <c r="I217" t="s">
        <v>16</v>
      </c>
      <c r="J217" t="s">
        <v>180</v>
      </c>
      <c r="K217" t="s">
        <v>25</v>
      </c>
      <c r="L217">
        <v>132757294</v>
      </c>
      <c r="R217">
        <v>8995</v>
      </c>
      <c r="S217" t="s">
        <v>192</v>
      </c>
      <c r="T217">
        <v>0</v>
      </c>
      <c r="U217">
        <v>31</v>
      </c>
      <c r="V217">
        <v>0</v>
      </c>
      <c r="W217">
        <v>0</v>
      </c>
      <c r="X217">
        <v>0</v>
      </c>
    </row>
    <row r="218" spans="1:24" x14ac:dyDescent="0.25">
      <c r="A218" t="s">
        <v>15</v>
      </c>
      <c r="B218" t="s">
        <v>24</v>
      </c>
      <c r="C218">
        <v>20150316</v>
      </c>
      <c r="D218">
        <v>0</v>
      </c>
      <c r="F218">
        <v>62500</v>
      </c>
      <c r="G218" t="s">
        <v>17</v>
      </c>
      <c r="I218" t="s">
        <v>16</v>
      </c>
      <c r="J218" t="s">
        <v>180</v>
      </c>
      <c r="K218" t="s">
        <v>25</v>
      </c>
      <c r="L218">
        <v>132757294</v>
      </c>
      <c r="R218">
        <v>8996</v>
      </c>
      <c r="S218" t="s">
        <v>232</v>
      </c>
      <c r="T218">
        <v>0</v>
      </c>
      <c r="U218">
        <v>-30</v>
      </c>
      <c r="V218">
        <v>0</v>
      </c>
      <c r="W218">
        <v>0</v>
      </c>
      <c r="X218">
        <v>0</v>
      </c>
    </row>
    <row r="219" spans="1:24" x14ac:dyDescent="0.25">
      <c r="A219" t="s">
        <v>15</v>
      </c>
      <c r="B219" t="s">
        <v>24</v>
      </c>
      <c r="C219">
        <v>20150316</v>
      </c>
      <c r="D219">
        <v>0</v>
      </c>
      <c r="F219">
        <v>62500</v>
      </c>
      <c r="G219" t="s">
        <v>17</v>
      </c>
      <c r="I219" t="s">
        <v>16</v>
      </c>
      <c r="J219" t="s">
        <v>180</v>
      </c>
      <c r="K219" t="s">
        <v>25</v>
      </c>
      <c r="L219">
        <v>132757294</v>
      </c>
      <c r="R219">
        <v>8993</v>
      </c>
      <c r="S219" t="s">
        <v>223</v>
      </c>
      <c r="T219">
        <v>0</v>
      </c>
      <c r="U219">
        <v>33</v>
      </c>
      <c r="V219">
        <v>0</v>
      </c>
      <c r="W219">
        <v>0</v>
      </c>
      <c r="X219">
        <v>0</v>
      </c>
    </row>
    <row r="220" spans="1:24" x14ac:dyDescent="0.25">
      <c r="A220" t="s">
        <v>15</v>
      </c>
      <c r="B220" t="s">
        <v>24</v>
      </c>
      <c r="C220">
        <v>20150316</v>
      </c>
      <c r="D220">
        <v>0</v>
      </c>
      <c r="F220">
        <v>62500</v>
      </c>
      <c r="G220" t="s">
        <v>17</v>
      </c>
      <c r="I220" t="s">
        <v>16</v>
      </c>
      <c r="J220" t="s">
        <v>180</v>
      </c>
      <c r="K220" t="s">
        <v>25</v>
      </c>
      <c r="L220">
        <v>132757294</v>
      </c>
      <c r="R220">
        <v>8993</v>
      </c>
      <c r="S220" t="s">
        <v>224</v>
      </c>
      <c r="T220">
        <v>0</v>
      </c>
      <c r="U220">
        <v>33</v>
      </c>
      <c r="V220">
        <v>0</v>
      </c>
      <c r="W220">
        <v>0</v>
      </c>
      <c r="X220">
        <v>0</v>
      </c>
    </row>
    <row r="221" spans="1:24" x14ac:dyDescent="0.25">
      <c r="A221" t="s">
        <v>15</v>
      </c>
      <c r="B221" t="s">
        <v>24</v>
      </c>
      <c r="C221">
        <v>20150316</v>
      </c>
      <c r="D221">
        <v>0</v>
      </c>
      <c r="F221">
        <v>62500</v>
      </c>
      <c r="G221" t="s">
        <v>17</v>
      </c>
      <c r="I221" t="s">
        <v>16</v>
      </c>
      <c r="J221" t="s">
        <v>180</v>
      </c>
      <c r="K221" t="s">
        <v>25</v>
      </c>
      <c r="L221">
        <v>132757294</v>
      </c>
      <c r="R221">
        <v>8996</v>
      </c>
      <c r="S221" t="s">
        <v>232</v>
      </c>
      <c r="T221">
        <v>0</v>
      </c>
      <c r="U221">
        <v>-30</v>
      </c>
      <c r="V221">
        <v>0</v>
      </c>
      <c r="W221">
        <v>0</v>
      </c>
      <c r="X221">
        <v>0</v>
      </c>
    </row>
    <row r="222" spans="1:24" x14ac:dyDescent="0.25">
      <c r="A222" t="s">
        <v>15</v>
      </c>
      <c r="B222" t="s">
        <v>24</v>
      </c>
      <c r="C222">
        <v>20150316</v>
      </c>
      <c r="D222">
        <v>0</v>
      </c>
      <c r="F222">
        <v>62500</v>
      </c>
      <c r="G222" t="s">
        <v>17</v>
      </c>
      <c r="I222" t="s">
        <v>16</v>
      </c>
      <c r="J222" t="s">
        <v>180</v>
      </c>
      <c r="K222" t="s">
        <v>25</v>
      </c>
      <c r="L222">
        <v>132757294</v>
      </c>
      <c r="R222">
        <v>8996</v>
      </c>
      <c r="S222" t="s">
        <v>192</v>
      </c>
      <c r="T222">
        <v>0</v>
      </c>
      <c r="U222">
        <v>30</v>
      </c>
      <c r="V222">
        <v>0</v>
      </c>
      <c r="W222">
        <v>0</v>
      </c>
      <c r="X222">
        <v>0</v>
      </c>
    </row>
    <row r="223" spans="1:24" x14ac:dyDescent="0.25">
      <c r="A223" t="s">
        <v>15</v>
      </c>
      <c r="B223" t="s">
        <v>24</v>
      </c>
      <c r="C223">
        <v>20150316</v>
      </c>
      <c r="D223">
        <v>0</v>
      </c>
      <c r="F223">
        <v>62500</v>
      </c>
      <c r="G223" t="s">
        <v>17</v>
      </c>
      <c r="I223" t="s">
        <v>16</v>
      </c>
      <c r="J223" t="s">
        <v>180</v>
      </c>
      <c r="K223" t="s">
        <v>25</v>
      </c>
      <c r="L223">
        <v>132757294</v>
      </c>
      <c r="R223">
        <v>8997</v>
      </c>
      <c r="S223" t="s">
        <v>232</v>
      </c>
      <c r="T223">
        <v>0</v>
      </c>
      <c r="U223">
        <v>-33</v>
      </c>
      <c r="V223">
        <v>0</v>
      </c>
      <c r="W223">
        <v>0</v>
      </c>
      <c r="X223">
        <v>0</v>
      </c>
    </row>
    <row r="224" spans="1:24" x14ac:dyDescent="0.25">
      <c r="A224" t="s">
        <v>15</v>
      </c>
      <c r="B224" t="s">
        <v>24</v>
      </c>
      <c r="C224">
        <v>20150316</v>
      </c>
      <c r="D224">
        <v>0</v>
      </c>
      <c r="F224">
        <v>62500</v>
      </c>
      <c r="G224" t="s">
        <v>17</v>
      </c>
      <c r="I224" t="s">
        <v>16</v>
      </c>
      <c r="J224" t="s">
        <v>180</v>
      </c>
      <c r="K224" t="s">
        <v>25</v>
      </c>
      <c r="L224">
        <v>132757294</v>
      </c>
      <c r="R224">
        <v>8996</v>
      </c>
      <c r="S224" t="s">
        <v>223</v>
      </c>
      <c r="T224">
        <v>0</v>
      </c>
      <c r="U224">
        <v>30</v>
      </c>
      <c r="V224">
        <v>0</v>
      </c>
      <c r="W224">
        <v>0</v>
      </c>
      <c r="X224">
        <v>0</v>
      </c>
    </row>
    <row r="225" spans="1:24" x14ac:dyDescent="0.25">
      <c r="A225" t="s">
        <v>15</v>
      </c>
      <c r="B225" t="s">
        <v>24</v>
      </c>
      <c r="C225">
        <v>20150316</v>
      </c>
      <c r="D225">
        <v>0</v>
      </c>
      <c r="F225">
        <v>62500</v>
      </c>
      <c r="G225" t="s">
        <v>17</v>
      </c>
      <c r="I225" t="s">
        <v>16</v>
      </c>
      <c r="J225" t="s">
        <v>180</v>
      </c>
      <c r="K225" t="s">
        <v>25</v>
      </c>
      <c r="L225">
        <v>132757294</v>
      </c>
      <c r="R225">
        <v>8996</v>
      </c>
      <c r="S225" t="s">
        <v>224</v>
      </c>
      <c r="T225">
        <v>0</v>
      </c>
      <c r="U225">
        <v>30</v>
      </c>
      <c r="V225">
        <v>0</v>
      </c>
      <c r="W225">
        <v>0</v>
      </c>
      <c r="X225">
        <v>0</v>
      </c>
    </row>
    <row r="226" spans="1:24" x14ac:dyDescent="0.25">
      <c r="A226" t="s">
        <v>15</v>
      </c>
      <c r="B226" t="s">
        <v>24</v>
      </c>
      <c r="C226">
        <v>20150316</v>
      </c>
      <c r="D226">
        <v>0</v>
      </c>
      <c r="F226">
        <v>62500</v>
      </c>
      <c r="G226" t="s">
        <v>17</v>
      </c>
      <c r="I226" t="s">
        <v>16</v>
      </c>
      <c r="J226" t="s">
        <v>180</v>
      </c>
      <c r="K226" t="s">
        <v>25</v>
      </c>
      <c r="L226">
        <v>132757294</v>
      </c>
      <c r="R226">
        <v>8997</v>
      </c>
      <c r="S226" t="s">
        <v>232</v>
      </c>
      <c r="T226">
        <v>0</v>
      </c>
      <c r="U226">
        <v>-33</v>
      </c>
      <c r="V226">
        <v>0</v>
      </c>
      <c r="W226">
        <v>0</v>
      </c>
      <c r="X226">
        <v>0</v>
      </c>
    </row>
    <row r="227" spans="1:24" x14ac:dyDescent="0.25">
      <c r="A227" t="s">
        <v>15</v>
      </c>
      <c r="B227" t="s">
        <v>24</v>
      </c>
      <c r="C227">
        <v>20150316</v>
      </c>
      <c r="D227">
        <v>0</v>
      </c>
      <c r="F227">
        <v>62500</v>
      </c>
      <c r="G227" t="s">
        <v>17</v>
      </c>
      <c r="I227" t="s">
        <v>16</v>
      </c>
      <c r="J227" t="s">
        <v>180</v>
      </c>
      <c r="K227" t="s">
        <v>25</v>
      </c>
      <c r="L227">
        <v>132757294</v>
      </c>
      <c r="R227">
        <v>8997</v>
      </c>
      <c r="S227" t="s">
        <v>192</v>
      </c>
      <c r="T227">
        <v>0</v>
      </c>
      <c r="U227">
        <v>33</v>
      </c>
      <c r="V227">
        <v>0</v>
      </c>
      <c r="W227">
        <v>0</v>
      </c>
      <c r="X227">
        <v>0</v>
      </c>
    </row>
    <row r="228" spans="1:24" x14ac:dyDescent="0.25">
      <c r="A228" t="s">
        <v>15</v>
      </c>
      <c r="B228" t="s">
        <v>24</v>
      </c>
      <c r="C228">
        <v>20150316</v>
      </c>
      <c r="D228">
        <v>0</v>
      </c>
      <c r="F228">
        <v>62500</v>
      </c>
      <c r="G228" t="s">
        <v>17</v>
      </c>
      <c r="I228" t="s">
        <v>16</v>
      </c>
      <c r="J228" t="s">
        <v>180</v>
      </c>
      <c r="K228" t="s">
        <v>25</v>
      </c>
      <c r="L228">
        <v>132757294</v>
      </c>
      <c r="R228">
        <v>8998</v>
      </c>
      <c r="S228" t="s">
        <v>232</v>
      </c>
      <c r="T228">
        <v>0</v>
      </c>
      <c r="U228">
        <v>-30</v>
      </c>
      <c r="V228">
        <v>0</v>
      </c>
      <c r="W228">
        <v>0</v>
      </c>
      <c r="X228">
        <v>0</v>
      </c>
    </row>
    <row r="229" spans="1:24" x14ac:dyDescent="0.25">
      <c r="A229" t="s">
        <v>15</v>
      </c>
      <c r="B229" t="s">
        <v>24</v>
      </c>
      <c r="C229">
        <v>20150316</v>
      </c>
      <c r="D229">
        <v>0</v>
      </c>
      <c r="F229">
        <v>62500</v>
      </c>
      <c r="G229" t="s">
        <v>17</v>
      </c>
      <c r="I229" t="s">
        <v>16</v>
      </c>
      <c r="J229" t="s">
        <v>180</v>
      </c>
      <c r="K229" t="s">
        <v>25</v>
      </c>
      <c r="L229">
        <v>132757294</v>
      </c>
      <c r="R229">
        <v>8997</v>
      </c>
      <c r="S229" t="s">
        <v>223</v>
      </c>
      <c r="T229">
        <v>0</v>
      </c>
      <c r="U229">
        <v>33</v>
      </c>
      <c r="V229">
        <v>0</v>
      </c>
      <c r="W229">
        <v>0</v>
      </c>
      <c r="X229">
        <v>0</v>
      </c>
    </row>
    <row r="230" spans="1:24" x14ac:dyDescent="0.25">
      <c r="A230" t="s">
        <v>15</v>
      </c>
      <c r="B230" t="s">
        <v>24</v>
      </c>
      <c r="C230">
        <v>20150316</v>
      </c>
      <c r="D230">
        <v>0</v>
      </c>
      <c r="F230">
        <v>62500</v>
      </c>
      <c r="G230" t="s">
        <v>17</v>
      </c>
      <c r="I230" t="s">
        <v>16</v>
      </c>
      <c r="J230" t="s">
        <v>180</v>
      </c>
      <c r="K230" t="s">
        <v>25</v>
      </c>
      <c r="L230">
        <v>132757294</v>
      </c>
      <c r="R230">
        <v>8997</v>
      </c>
      <c r="S230" t="s">
        <v>224</v>
      </c>
      <c r="T230">
        <v>0</v>
      </c>
      <c r="U230">
        <v>33</v>
      </c>
      <c r="V230">
        <v>0</v>
      </c>
      <c r="W230">
        <v>0</v>
      </c>
      <c r="X230">
        <v>0</v>
      </c>
    </row>
    <row r="231" spans="1:24" x14ac:dyDescent="0.25">
      <c r="A231" t="s">
        <v>15</v>
      </c>
      <c r="B231" t="s">
        <v>24</v>
      </c>
      <c r="C231">
        <v>20150316</v>
      </c>
      <c r="D231">
        <v>0</v>
      </c>
      <c r="F231">
        <v>62500</v>
      </c>
      <c r="G231" t="s">
        <v>17</v>
      </c>
      <c r="I231" t="s">
        <v>16</v>
      </c>
      <c r="J231" t="s">
        <v>180</v>
      </c>
      <c r="K231" t="s">
        <v>25</v>
      </c>
      <c r="L231">
        <v>132757294</v>
      </c>
      <c r="R231">
        <v>8998</v>
      </c>
      <c r="S231" t="s">
        <v>232</v>
      </c>
      <c r="T231">
        <v>0</v>
      </c>
      <c r="U231">
        <v>-30</v>
      </c>
      <c r="V231">
        <v>0</v>
      </c>
      <c r="W231">
        <v>0</v>
      </c>
      <c r="X231">
        <v>0</v>
      </c>
    </row>
    <row r="232" spans="1:24" x14ac:dyDescent="0.25">
      <c r="A232" t="s">
        <v>15</v>
      </c>
      <c r="B232" t="s">
        <v>24</v>
      </c>
      <c r="C232">
        <v>20150316</v>
      </c>
      <c r="D232">
        <v>0</v>
      </c>
      <c r="F232">
        <v>62500</v>
      </c>
      <c r="G232" t="s">
        <v>17</v>
      </c>
      <c r="I232" t="s">
        <v>16</v>
      </c>
      <c r="J232" t="s">
        <v>180</v>
      </c>
      <c r="K232" t="s">
        <v>25</v>
      </c>
      <c r="L232">
        <v>132757294</v>
      </c>
      <c r="R232">
        <v>8998</v>
      </c>
      <c r="S232" t="s">
        <v>192</v>
      </c>
      <c r="T232">
        <v>0</v>
      </c>
      <c r="U232">
        <v>30</v>
      </c>
      <c r="V232">
        <v>0</v>
      </c>
      <c r="W232">
        <v>0</v>
      </c>
      <c r="X232">
        <v>0</v>
      </c>
    </row>
    <row r="233" spans="1:24" x14ac:dyDescent="0.25">
      <c r="A233" t="s">
        <v>15</v>
      </c>
      <c r="B233" t="s">
        <v>24</v>
      </c>
      <c r="C233">
        <v>20150316</v>
      </c>
      <c r="D233">
        <v>0</v>
      </c>
      <c r="F233">
        <v>62500</v>
      </c>
      <c r="G233" t="s">
        <v>17</v>
      </c>
      <c r="I233" t="s">
        <v>16</v>
      </c>
      <c r="J233" t="s">
        <v>180</v>
      </c>
      <c r="K233" t="s">
        <v>25</v>
      </c>
      <c r="L233">
        <v>132757294</v>
      </c>
      <c r="R233">
        <v>8999</v>
      </c>
      <c r="S233" t="s">
        <v>232</v>
      </c>
      <c r="T233">
        <v>0</v>
      </c>
      <c r="U233">
        <v>28</v>
      </c>
      <c r="V233">
        <v>0</v>
      </c>
      <c r="W233">
        <v>0</v>
      </c>
      <c r="X233">
        <v>0</v>
      </c>
    </row>
    <row r="234" spans="1:24" x14ac:dyDescent="0.25">
      <c r="A234" t="s">
        <v>15</v>
      </c>
      <c r="B234" t="s">
        <v>24</v>
      </c>
      <c r="C234">
        <v>20150316</v>
      </c>
      <c r="D234">
        <v>0</v>
      </c>
      <c r="F234">
        <v>62500</v>
      </c>
      <c r="G234" t="s">
        <v>17</v>
      </c>
      <c r="I234" t="s">
        <v>16</v>
      </c>
      <c r="J234" t="s">
        <v>180</v>
      </c>
      <c r="K234" t="s">
        <v>25</v>
      </c>
      <c r="L234">
        <v>132757294</v>
      </c>
      <c r="R234">
        <v>8995</v>
      </c>
      <c r="S234" t="s">
        <v>223</v>
      </c>
      <c r="T234">
        <v>0</v>
      </c>
      <c r="U234">
        <v>31</v>
      </c>
      <c r="V234">
        <v>0</v>
      </c>
      <c r="W234">
        <v>0</v>
      </c>
      <c r="X234">
        <v>0</v>
      </c>
    </row>
    <row r="235" spans="1:24" x14ac:dyDescent="0.25">
      <c r="A235" t="s">
        <v>15</v>
      </c>
      <c r="B235" t="s">
        <v>24</v>
      </c>
      <c r="C235">
        <v>20150316</v>
      </c>
      <c r="D235">
        <v>0</v>
      </c>
      <c r="F235">
        <v>62500</v>
      </c>
      <c r="G235" t="s">
        <v>17</v>
      </c>
      <c r="I235" t="s">
        <v>16</v>
      </c>
      <c r="J235" t="s">
        <v>180</v>
      </c>
      <c r="K235" t="s">
        <v>25</v>
      </c>
      <c r="L235">
        <v>132757294</v>
      </c>
      <c r="R235">
        <v>8995</v>
      </c>
      <c r="S235" t="s">
        <v>224</v>
      </c>
      <c r="T235">
        <v>0</v>
      </c>
      <c r="U235">
        <v>31</v>
      </c>
      <c r="V235">
        <v>0</v>
      </c>
      <c r="W235">
        <v>0</v>
      </c>
      <c r="X235">
        <v>0</v>
      </c>
    </row>
    <row r="236" spans="1:24" x14ac:dyDescent="0.25">
      <c r="A236" t="s">
        <v>15</v>
      </c>
      <c r="B236" t="s">
        <v>24</v>
      </c>
      <c r="C236">
        <v>20150316</v>
      </c>
      <c r="D236">
        <v>0</v>
      </c>
      <c r="F236">
        <v>62500</v>
      </c>
      <c r="G236" t="s">
        <v>17</v>
      </c>
      <c r="I236" t="s">
        <v>16</v>
      </c>
      <c r="J236" t="s">
        <v>180</v>
      </c>
      <c r="K236" t="s">
        <v>25</v>
      </c>
      <c r="L236">
        <v>132757294</v>
      </c>
      <c r="R236">
        <v>8999</v>
      </c>
      <c r="S236" t="s">
        <v>232</v>
      </c>
      <c r="T236">
        <v>0</v>
      </c>
      <c r="U236">
        <v>28</v>
      </c>
      <c r="V236">
        <v>0</v>
      </c>
      <c r="W236">
        <v>0</v>
      </c>
      <c r="X236">
        <v>0</v>
      </c>
    </row>
    <row r="237" spans="1:24" x14ac:dyDescent="0.25">
      <c r="A237" t="s">
        <v>15</v>
      </c>
      <c r="B237" t="s">
        <v>24</v>
      </c>
      <c r="C237">
        <v>20150316</v>
      </c>
      <c r="D237">
        <v>0</v>
      </c>
      <c r="F237">
        <v>62500</v>
      </c>
      <c r="G237" t="s">
        <v>17</v>
      </c>
      <c r="I237" t="s">
        <v>16</v>
      </c>
      <c r="J237" t="s">
        <v>180</v>
      </c>
      <c r="K237" t="s">
        <v>25</v>
      </c>
      <c r="L237">
        <v>132757294</v>
      </c>
      <c r="R237">
        <v>8999</v>
      </c>
      <c r="S237" t="s">
        <v>192</v>
      </c>
      <c r="T237">
        <v>0</v>
      </c>
      <c r="U237">
        <v>28</v>
      </c>
      <c r="V237">
        <v>0</v>
      </c>
      <c r="W237">
        <v>0</v>
      </c>
      <c r="X237">
        <v>0</v>
      </c>
    </row>
    <row r="238" spans="1:24" x14ac:dyDescent="0.25">
      <c r="A238" t="s">
        <v>15</v>
      </c>
      <c r="B238" t="s">
        <v>24</v>
      </c>
      <c r="C238">
        <v>20150316</v>
      </c>
      <c r="D238">
        <v>0</v>
      </c>
      <c r="F238">
        <v>62500</v>
      </c>
      <c r="G238" t="s">
        <v>17</v>
      </c>
      <c r="I238" t="s">
        <v>16</v>
      </c>
      <c r="J238" t="s">
        <v>180</v>
      </c>
      <c r="K238" t="s">
        <v>25</v>
      </c>
      <c r="L238">
        <v>132757294</v>
      </c>
      <c r="R238">
        <v>9000</v>
      </c>
      <c r="S238" t="s">
        <v>232</v>
      </c>
      <c r="T238">
        <v>0</v>
      </c>
      <c r="U238">
        <v>5</v>
      </c>
      <c r="V238">
        <v>0</v>
      </c>
      <c r="W238">
        <v>0</v>
      </c>
      <c r="X238">
        <v>0</v>
      </c>
    </row>
    <row r="239" spans="1:24" x14ac:dyDescent="0.25">
      <c r="A239" t="s">
        <v>15</v>
      </c>
      <c r="B239" t="s">
        <v>24</v>
      </c>
      <c r="C239">
        <v>20150316</v>
      </c>
      <c r="D239">
        <v>0</v>
      </c>
      <c r="F239">
        <v>62500</v>
      </c>
      <c r="G239" t="s">
        <v>17</v>
      </c>
      <c r="I239" t="s">
        <v>16</v>
      </c>
      <c r="J239" t="s">
        <v>180</v>
      </c>
      <c r="K239" t="s">
        <v>25</v>
      </c>
      <c r="L239">
        <v>132757294</v>
      </c>
      <c r="R239">
        <v>9000</v>
      </c>
      <c r="S239" t="s">
        <v>232</v>
      </c>
      <c r="T239">
        <v>0</v>
      </c>
      <c r="U239">
        <v>5</v>
      </c>
      <c r="V239">
        <v>0</v>
      </c>
      <c r="W239">
        <v>0</v>
      </c>
      <c r="X239">
        <v>0</v>
      </c>
    </row>
    <row r="240" spans="1:24" x14ac:dyDescent="0.25">
      <c r="A240" t="s">
        <v>15</v>
      </c>
      <c r="B240" t="s">
        <v>24</v>
      </c>
      <c r="C240">
        <v>20150316</v>
      </c>
      <c r="D240">
        <v>0</v>
      </c>
      <c r="F240">
        <v>62500</v>
      </c>
      <c r="G240" t="s">
        <v>17</v>
      </c>
      <c r="I240" t="s">
        <v>16</v>
      </c>
      <c r="J240" t="s">
        <v>180</v>
      </c>
      <c r="K240" t="s">
        <v>25</v>
      </c>
      <c r="L240">
        <v>132757294</v>
      </c>
      <c r="R240">
        <v>9000</v>
      </c>
      <c r="S240" t="s">
        <v>233</v>
      </c>
      <c r="T240">
        <v>0</v>
      </c>
      <c r="U240">
        <v>5</v>
      </c>
      <c r="V240">
        <v>0</v>
      </c>
      <c r="W240">
        <v>0</v>
      </c>
      <c r="X240">
        <v>0</v>
      </c>
    </row>
    <row r="241" spans="1:40" x14ac:dyDescent="0.25">
      <c r="A241" t="s">
        <v>15</v>
      </c>
      <c r="B241" t="s">
        <v>24</v>
      </c>
      <c r="C241">
        <v>20150316</v>
      </c>
      <c r="D241">
        <v>0</v>
      </c>
      <c r="F241">
        <v>62500</v>
      </c>
      <c r="G241" t="s">
        <v>17</v>
      </c>
      <c r="I241" t="s">
        <v>16</v>
      </c>
      <c r="J241" t="s">
        <v>180</v>
      </c>
      <c r="K241" t="s">
        <v>25</v>
      </c>
      <c r="L241">
        <v>132757294</v>
      </c>
      <c r="R241">
        <v>9000</v>
      </c>
      <c r="S241" t="s">
        <v>233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9000</v>
      </c>
      <c r="Z241" t="s">
        <v>2487</v>
      </c>
      <c r="AA241" t="s">
        <v>2488</v>
      </c>
      <c r="AB241" t="s">
        <v>234</v>
      </c>
      <c r="AC241" t="s">
        <v>17</v>
      </c>
      <c r="AD241" t="s">
        <v>235</v>
      </c>
      <c r="AE241">
        <v>2</v>
      </c>
      <c r="AF241">
        <v>2</v>
      </c>
      <c r="AG241">
        <v>1.5246999999999999</v>
      </c>
      <c r="AH241">
        <v>1.5246999999999999</v>
      </c>
      <c r="AI241">
        <v>415886027</v>
      </c>
      <c r="AJ241">
        <v>0</v>
      </c>
      <c r="AK241">
        <v>7</v>
      </c>
      <c r="AN241">
        <v>0</v>
      </c>
    </row>
    <row r="242" spans="1:40" x14ac:dyDescent="0.25">
      <c r="A242" t="s">
        <v>15</v>
      </c>
      <c r="B242" t="s">
        <v>24</v>
      </c>
      <c r="C242">
        <v>20150316</v>
      </c>
      <c r="D242">
        <v>0</v>
      </c>
      <c r="F242">
        <v>62500</v>
      </c>
      <c r="G242" t="s">
        <v>17</v>
      </c>
      <c r="I242" t="s">
        <v>16</v>
      </c>
      <c r="J242" t="s">
        <v>180</v>
      </c>
      <c r="K242" t="s">
        <v>25</v>
      </c>
      <c r="L242">
        <v>132757294</v>
      </c>
      <c r="R242">
        <v>9000</v>
      </c>
      <c r="S242" t="s">
        <v>233</v>
      </c>
      <c r="T242">
        <v>0</v>
      </c>
      <c r="U242">
        <v>1</v>
      </c>
      <c r="V242">
        <v>0</v>
      </c>
      <c r="W242">
        <v>0</v>
      </c>
      <c r="X242">
        <v>0</v>
      </c>
    </row>
    <row r="243" spans="1:40" x14ac:dyDescent="0.25">
      <c r="A243" t="s">
        <v>15</v>
      </c>
      <c r="B243" t="s">
        <v>24</v>
      </c>
      <c r="C243">
        <v>20150316</v>
      </c>
      <c r="D243">
        <v>0</v>
      </c>
      <c r="F243">
        <v>62500</v>
      </c>
      <c r="G243" t="s">
        <v>17</v>
      </c>
      <c r="I243" t="s">
        <v>16</v>
      </c>
      <c r="J243" t="s">
        <v>180</v>
      </c>
      <c r="K243" t="s">
        <v>25</v>
      </c>
      <c r="L243">
        <v>132757294</v>
      </c>
      <c r="R243">
        <v>9000</v>
      </c>
      <c r="S243" t="s">
        <v>233</v>
      </c>
      <c r="T243">
        <v>2</v>
      </c>
      <c r="U243">
        <v>3</v>
      </c>
      <c r="V243">
        <v>1.5246999999999999</v>
      </c>
      <c r="W243">
        <v>1.5246999999999999</v>
      </c>
      <c r="X243">
        <v>0</v>
      </c>
    </row>
    <row r="244" spans="1:40" x14ac:dyDescent="0.25">
      <c r="A244" t="s">
        <v>15</v>
      </c>
      <c r="B244" t="s">
        <v>24</v>
      </c>
      <c r="C244">
        <v>20150316</v>
      </c>
      <c r="D244">
        <v>0</v>
      </c>
      <c r="F244">
        <v>62500</v>
      </c>
      <c r="G244" t="s">
        <v>17</v>
      </c>
      <c r="I244" t="s">
        <v>16</v>
      </c>
      <c r="J244" t="s">
        <v>180</v>
      </c>
      <c r="K244" t="s">
        <v>25</v>
      </c>
      <c r="L244">
        <v>132757294</v>
      </c>
      <c r="R244">
        <v>9001</v>
      </c>
      <c r="S244" t="s">
        <v>232</v>
      </c>
      <c r="T244">
        <v>0</v>
      </c>
      <c r="U244">
        <v>-27</v>
      </c>
      <c r="V244">
        <v>0</v>
      </c>
      <c r="W244">
        <v>0</v>
      </c>
      <c r="X244">
        <v>0</v>
      </c>
    </row>
    <row r="245" spans="1:40" x14ac:dyDescent="0.25">
      <c r="A245" t="s">
        <v>15</v>
      </c>
      <c r="B245" t="s">
        <v>24</v>
      </c>
      <c r="C245">
        <v>20150316</v>
      </c>
      <c r="D245">
        <v>0</v>
      </c>
      <c r="F245">
        <v>62500</v>
      </c>
      <c r="G245" t="s">
        <v>17</v>
      </c>
      <c r="I245" t="s">
        <v>16</v>
      </c>
      <c r="J245" t="s">
        <v>180</v>
      </c>
      <c r="K245" t="s">
        <v>25</v>
      </c>
      <c r="L245">
        <v>132757294</v>
      </c>
      <c r="R245">
        <v>9000</v>
      </c>
      <c r="S245" t="s">
        <v>233</v>
      </c>
      <c r="T245">
        <v>2</v>
      </c>
      <c r="U245">
        <v>3</v>
      </c>
      <c r="V245">
        <v>1.5246999999999999</v>
      </c>
      <c r="W245">
        <v>1.5246999999999999</v>
      </c>
      <c r="X245">
        <v>0</v>
      </c>
    </row>
    <row r="246" spans="1:40" x14ac:dyDescent="0.25">
      <c r="A246" t="s">
        <v>15</v>
      </c>
      <c r="B246" t="s">
        <v>24</v>
      </c>
      <c r="C246">
        <v>20150316</v>
      </c>
      <c r="D246">
        <v>0</v>
      </c>
      <c r="F246">
        <v>62500</v>
      </c>
      <c r="G246" t="s">
        <v>17</v>
      </c>
      <c r="I246" t="s">
        <v>16</v>
      </c>
      <c r="J246" t="s">
        <v>180</v>
      </c>
      <c r="K246" t="s">
        <v>25</v>
      </c>
      <c r="L246">
        <v>132757294</v>
      </c>
      <c r="R246">
        <v>9000</v>
      </c>
      <c r="S246" t="s">
        <v>233</v>
      </c>
      <c r="T246">
        <v>2</v>
      </c>
      <c r="U246">
        <v>3</v>
      </c>
      <c r="V246">
        <v>1.5246999999999999</v>
      </c>
      <c r="W246">
        <v>1.5246999999999999</v>
      </c>
      <c r="X246">
        <v>0</v>
      </c>
    </row>
    <row r="247" spans="1:40" x14ac:dyDescent="0.25">
      <c r="A247" t="s">
        <v>15</v>
      </c>
      <c r="B247" t="s">
        <v>24</v>
      </c>
      <c r="C247">
        <v>20150316</v>
      </c>
      <c r="D247">
        <v>0</v>
      </c>
      <c r="F247">
        <v>62500</v>
      </c>
      <c r="G247" t="s">
        <v>17</v>
      </c>
      <c r="I247" t="s">
        <v>16</v>
      </c>
      <c r="J247" t="s">
        <v>180</v>
      </c>
      <c r="K247" t="s">
        <v>25</v>
      </c>
      <c r="L247">
        <v>132757294</v>
      </c>
      <c r="R247">
        <v>9000</v>
      </c>
      <c r="S247" t="s">
        <v>233</v>
      </c>
      <c r="T247">
        <v>2</v>
      </c>
      <c r="U247">
        <v>-3</v>
      </c>
      <c r="V247">
        <v>1.5246999999999999</v>
      </c>
      <c r="W247">
        <v>1.5246999999999999</v>
      </c>
      <c r="X247">
        <v>0</v>
      </c>
      <c r="Y247">
        <v>9000</v>
      </c>
      <c r="Z247" t="s">
        <v>2521</v>
      </c>
      <c r="AA247" t="s">
        <v>2488</v>
      </c>
      <c r="AB247" t="s">
        <v>234</v>
      </c>
      <c r="AC247" t="s">
        <v>17</v>
      </c>
      <c r="AD247" t="s">
        <v>235</v>
      </c>
      <c r="AE247">
        <v>3</v>
      </c>
      <c r="AF247">
        <v>5</v>
      </c>
      <c r="AG247">
        <v>1.5246999999999999</v>
      </c>
      <c r="AH247">
        <v>1.5246999999999999</v>
      </c>
      <c r="AI247">
        <v>415886027</v>
      </c>
      <c r="AJ247">
        <v>0</v>
      </c>
      <c r="AK247">
        <v>7</v>
      </c>
      <c r="AN247">
        <v>0</v>
      </c>
    </row>
    <row r="248" spans="1:40" x14ac:dyDescent="0.25">
      <c r="A248" t="s">
        <v>15</v>
      </c>
      <c r="B248" t="s">
        <v>24</v>
      </c>
      <c r="C248">
        <v>20150316</v>
      </c>
      <c r="D248">
        <v>0</v>
      </c>
      <c r="F248">
        <v>62500</v>
      </c>
      <c r="G248" t="s">
        <v>17</v>
      </c>
      <c r="I248" t="s">
        <v>16</v>
      </c>
      <c r="J248" t="s">
        <v>180</v>
      </c>
      <c r="K248" t="s">
        <v>25</v>
      </c>
      <c r="L248">
        <v>132757294</v>
      </c>
      <c r="R248">
        <v>9000</v>
      </c>
      <c r="S248" t="s">
        <v>233</v>
      </c>
      <c r="T248">
        <v>2</v>
      </c>
      <c r="U248">
        <v>-3</v>
      </c>
      <c r="V248">
        <v>1.5246999999999999</v>
      </c>
      <c r="W248">
        <v>1.5246999999999999</v>
      </c>
      <c r="X248">
        <v>0</v>
      </c>
    </row>
    <row r="249" spans="1:40" x14ac:dyDescent="0.25">
      <c r="A249" t="s">
        <v>15</v>
      </c>
      <c r="B249" t="s">
        <v>24</v>
      </c>
      <c r="C249">
        <v>20150316</v>
      </c>
      <c r="D249">
        <v>0</v>
      </c>
      <c r="F249">
        <v>62500</v>
      </c>
      <c r="G249" t="s">
        <v>17</v>
      </c>
      <c r="I249" t="s">
        <v>16</v>
      </c>
      <c r="J249" t="s">
        <v>180</v>
      </c>
      <c r="K249" t="s">
        <v>25</v>
      </c>
      <c r="L249">
        <v>132757294</v>
      </c>
      <c r="R249">
        <v>9000</v>
      </c>
      <c r="S249" t="s">
        <v>37</v>
      </c>
      <c r="T249">
        <v>5</v>
      </c>
      <c r="U249">
        <v>0</v>
      </c>
      <c r="V249">
        <v>1.5246999999999999</v>
      </c>
      <c r="W249">
        <v>1.5246999999999999</v>
      </c>
      <c r="X249">
        <v>0</v>
      </c>
    </row>
    <row r="250" spans="1:40" x14ac:dyDescent="0.25">
      <c r="A250" t="s">
        <v>15</v>
      </c>
      <c r="B250" t="s">
        <v>24</v>
      </c>
      <c r="C250">
        <v>20150316</v>
      </c>
      <c r="D250">
        <v>0</v>
      </c>
      <c r="F250">
        <v>62500</v>
      </c>
      <c r="G250" t="s">
        <v>17</v>
      </c>
      <c r="I250" t="s">
        <v>16</v>
      </c>
      <c r="J250" t="s">
        <v>180</v>
      </c>
      <c r="K250" t="s">
        <v>25</v>
      </c>
      <c r="L250">
        <v>132757294</v>
      </c>
      <c r="R250">
        <v>9000</v>
      </c>
      <c r="S250" t="s">
        <v>37</v>
      </c>
      <c r="T250">
        <v>5</v>
      </c>
      <c r="U250">
        <v>0</v>
      </c>
      <c r="V250">
        <v>1.5246999999999999</v>
      </c>
      <c r="W250">
        <v>1.5246999999999999</v>
      </c>
      <c r="X250">
        <v>0</v>
      </c>
    </row>
    <row r="251" spans="1:40" x14ac:dyDescent="0.25">
      <c r="A251" t="s">
        <v>15</v>
      </c>
      <c r="B251" t="s">
        <v>24</v>
      </c>
      <c r="C251">
        <v>20150316</v>
      </c>
      <c r="D251">
        <v>0</v>
      </c>
      <c r="F251">
        <v>62500</v>
      </c>
      <c r="G251" t="s">
        <v>17</v>
      </c>
      <c r="I251" t="s">
        <v>16</v>
      </c>
      <c r="J251" t="s">
        <v>180</v>
      </c>
      <c r="K251" t="s">
        <v>25</v>
      </c>
      <c r="L251">
        <v>132757294</v>
      </c>
      <c r="R251">
        <v>9000</v>
      </c>
      <c r="S251" t="s">
        <v>37</v>
      </c>
      <c r="T251">
        <v>5</v>
      </c>
      <c r="U251">
        <v>0</v>
      </c>
      <c r="V251">
        <v>1.5246999999999999</v>
      </c>
      <c r="W251">
        <v>1.5246999999999999</v>
      </c>
      <c r="X251">
        <v>0</v>
      </c>
    </row>
    <row r="252" spans="1:40" x14ac:dyDescent="0.25">
      <c r="A252" t="s">
        <v>15</v>
      </c>
      <c r="B252" t="s">
        <v>24</v>
      </c>
      <c r="C252">
        <v>20150316</v>
      </c>
      <c r="D252">
        <v>0</v>
      </c>
      <c r="F252">
        <v>62500</v>
      </c>
      <c r="G252" t="s">
        <v>17</v>
      </c>
      <c r="I252" t="s">
        <v>16</v>
      </c>
      <c r="J252" t="s">
        <v>180</v>
      </c>
      <c r="K252" t="s">
        <v>25</v>
      </c>
      <c r="L252">
        <v>132757294</v>
      </c>
      <c r="R252">
        <v>9000</v>
      </c>
      <c r="S252" t="s">
        <v>37</v>
      </c>
      <c r="T252">
        <v>5</v>
      </c>
      <c r="U252">
        <v>0</v>
      </c>
      <c r="V252">
        <v>1.5246999999999999</v>
      </c>
      <c r="W252">
        <v>1.5246999999999999</v>
      </c>
      <c r="X252">
        <v>0</v>
      </c>
    </row>
    <row r="253" spans="1:40" x14ac:dyDescent="0.25">
      <c r="A253" t="s">
        <v>15</v>
      </c>
      <c r="B253" t="s">
        <v>24</v>
      </c>
      <c r="C253">
        <v>20150316</v>
      </c>
      <c r="D253">
        <v>0</v>
      </c>
      <c r="F253">
        <v>62500</v>
      </c>
      <c r="G253" t="s">
        <v>17</v>
      </c>
      <c r="I253" t="s">
        <v>16</v>
      </c>
      <c r="J253" t="s">
        <v>180</v>
      </c>
      <c r="K253" t="s">
        <v>25</v>
      </c>
      <c r="L253">
        <v>132757294</v>
      </c>
      <c r="R253">
        <v>9000</v>
      </c>
      <c r="S253" t="s">
        <v>37</v>
      </c>
      <c r="T253">
        <v>5</v>
      </c>
      <c r="U253">
        <v>0</v>
      </c>
      <c r="V253">
        <v>1.5246999999999999</v>
      </c>
      <c r="W253">
        <v>1.5246999999999999</v>
      </c>
      <c r="X253">
        <v>0</v>
      </c>
    </row>
    <row r="254" spans="1:40" x14ac:dyDescent="0.25">
      <c r="A254" t="s">
        <v>15</v>
      </c>
      <c r="B254" t="s">
        <v>24</v>
      </c>
      <c r="C254">
        <v>20150316</v>
      </c>
      <c r="D254">
        <v>0</v>
      </c>
      <c r="F254">
        <v>62500</v>
      </c>
      <c r="G254" t="s">
        <v>17</v>
      </c>
      <c r="I254" t="s">
        <v>16</v>
      </c>
      <c r="J254" t="s">
        <v>180</v>
      </c>
      <c r="K254" t="s">
        <v>25</v>
      </c>
      <c r="L254">
        <v>132757294</v>
      </c>
      <c r="R254">
        <v>8998</v>
      </c>
      <c r="S254" t="s">
        <v>223</v>
      </c>
      <c r="T254">
        <v>0</v>
      </c>
      <c r="U254">
        <v>30</v>
      </c>
      <c r="V254">
        <v>0</v>
      </c>
      <c r="W254">
        <v>0</v>
      </c>
      <c r="X254">
        <v>0</v>
      </c>
    </row>
    <row r="255" spans="1:40" x14ac:dyDescent="0.25">
      <c r="A255" t="s">
        <v>15</v>
      </c>
      <c r="B255" t="s">
        <v>24</v>
      </c>
      <c r="C255">
        <v>20150316</v>
      </c>
      <c r="D255">
        <v>0</v>
      </c>
      <c r="F255">
        <v>62500</v>
      </c>
      <c r="G255" t="s">
        <v>17</v>
      </c>
      <c r="I255" t="s">
        <v>16</v>
      </c>
      <c r="J255" t="s">
        <v>180</v>
      </c>
      <c r="K255" t="s">
        <v>25</v>
      </c>
      <c r="L255">
        <v>132757294</v>
      </c>
      <c r="R255">
        <v>8998</v>
      </c>
      <c r="S255" t="s">
        <v>224</v>
      </c>
      <c r="T255">
        <v>0</v>
      </c>
      <c r="U255">
        <v>30</v>
      </c>
      <c r="V255">
        <v>0</v>
      </c>
      <c r="W255">
        <v>0</v>
      </c>
      <c r="X255">
        <v>0</v>
      </c>
    </row>
    <row r="256" spans="1:40" x14ac:dyDescent="0.25">
      <c r="A256" t="s">
        <v>15</v>
      </c>
      <c r="B256" t="s">
        <v>24</v>
      </c>
      <c r="C256">
        <v>20150316</v>
      </c>
      <c r="D256">
        <v>0</v>
      </c>
      <c r="F256">
        <v>62500</v>
      </c>
      <c r="G256" t="s">
        <v>17</v>
      </c>
      <c r="I256" t="s">
        <v>16</v>
      </c>
      <c r="J256" t="s">
        <v>180</v>
      </c>
      <c r="K256" t="s">
        <v>25</v>
      </c>
      <c r="L256">
        <v>132757294</v>
      </c>
      <c r="R256">
        <v>9001</v>
      </c>
      <c r="S256" t="s">
        <v>232</v>
      </c>
      <c r="T256">
        <v>0</v>
      </c>
      <c r="U256">
        <v>-27</v>
      </c>
      <c r="V256">
        <v>0</v>
      </c>
      <c r="W256">
        <v>0</v>
      </c>
      <c r="X256">
        <v>0</v>
      </c>
    </row>
    <row r="257" spans="1:40" x14ac:dyDescent="0.25">
      <c r="A257" t="s">
        <v>15</v>
      </c>
      <c r="B257" t="s">
        <v>24</v>
      </c>
      <c r="C257">
        <v>20150316</v>
      </c>
      <c r="D257">
        <v>0</v>
      </c>
      <c r="F257">
        <v>62500</v>
      </c>
      <c r="G257" t="s">
        <v>17</v>
      </c>
      <c r="I257" t="s">
        <v>16</v>
      </c>
      <c r="J257" t="s">
        <v>180</v>
      </c>
      <c r="K257" t="s">
        <v>25</v>
      </c>
      <c r="L257">
        <v>132757294</v>
      </c>
      <c r="R257">
        <v>9001</v>
      </c>
      <c r="S257" t="s">
        <v>192</v>
      </c>
      <c r="T257">
        <v>0</v>
      </c>
      <c r="U257">
        <v>27</v>
      </c>
      <c r="V257">
        <v>0</v>
      </c>
      <c r="W257">
        <v>0</v>
      </c>
      <c r="X257">
        <v>0</v>
      </c>
    </row>
    <row r="258" spans="1:40" x14ac:dyDescent="0.25">
      <c r="A258" t="s">
        <v>15</v>
      </c>
      <c r="B258" t="s">
        <v>24</v>
      </c>
      <c r="C258">
        <v>20150316</v>
      </c>
      <c r="D258">
        <v>0</v>
      </c>
      <c r="F258">
        <v>62500</v>
      </c>
      <c r="G258" t="s">
        <v>17</v>
      </c>
      <c r="I258" t="s">
        <v>16</v>
      </c>
      <c r="J258" t="s">
        <v>180</v>
      </c>
      <c r="K258" t="s">
        <v>25</v>
      </c>
      <c r="L258">
        <v>132757294</v>
      </c>
      <c r="R258">
        <v>9002</v>
      </c>
      <c r="S258" t="s">
        <v>232</v>
      </c>
      <c r="T258">
        <v>0</v>
      </c>
      <c r="U258">
        <v>-5</v>
      </c>
      <c r="V258">
        <v>0</v>
      </c>
      <c r="W258">
        <v>0</v>
      </c>
      <c r="X258">
        <v>0</v>
      </c>
    </row>
    <row r="259" spans="1:40" x14ac:dyDescent="0.25">
      <c r="A259" t="s">
        <v>15</v>
      </c>
      <c r="B259" t="s">
        <v>24</v>
      </c>
      <c r="C259">
        <v>20150316</v>
      </c>
      <c r="D259">
        <v>0</v>
      </c>
      <c r="F259">
        <v>62500</v>
      </c>
      <c r="G259" t="s">
        <v>17</v>
      </c>
      <c r="I259" t="s">
        <v>16</v>
      </c>
      <c r="J259" t="s">
        <v>180</v>
      </c>
      <c r="K259" t="s">
        <v>25</v>
      </c>
      <c r="L259">
        <v>132757294</v>
      </c>
      <c r="R259">
        <v>9002</v>
      </c>
      <c r="S259" t="s">
        <v>232</v>
      </c>
      <c r="T259">
        <v>0</v>
      </c>
      <c r="U259">
        <v>-5</v>
      </c>
      <c r="V259">
        <v>0</v>
      </c>
      <c r="W259">
        <v>0</v>
      </c>
      <c r="X259">
        <v>0</v>
      </c>
      <c r="Y259">
        <v>9002</v>
      </c>
      <c r="Z259" t="s">
        <v>2636</v>
      </c>
      <c r="AA259" t="s">
        <v>2637</v>
      </c>
      <c r="AB259" t="s">
        <v>234</v>
      </c>
      <c r="AC259" t="s">
        <v>17</v>
      </c>
      <c r="AD259" t="s">
        <v>237</v>
      </c>
      <c r="AE259">
        <v>5</v>
      </c>
      <c r="AF259">
        <v>5</v>
      </c>
      <c r="AG259">
        <v>1.5246</v>
      </c>
      <c r="AH259">
        <v>1.5246</v>
      </c>
      <c r="AI259">
        <v>415886029</v>
      </c>
      <c r="AJ259">
        <v>0</v>
      </c>
      <c r="AK259">
        <v>7</v>
      </c>
      <c r="AN259">
        <v>0</v>
      </c>
    </row>
    <row r="260" spans="1:40" x14ac:dyDescent="0.25">
      <c r="A260" t="s">
        <v>15</v>
      </c>
      <c r="B260" t="s">
        <v>24</v>
      </c>
      <c r="C260">
        <v>20150316</v>
      </c>
      <c r="D260">
        <v>0</v>
      </c>
      <c r="F260">
        <v>62500</v>
      </c>
      <c r="G260" t="s">
        <v>17</v>
      </c>
      <c r="I260" t="s">
        <v>16</v>
      </c>
      <c r="J260" t="s">
        <v>180</v>
      </c>
      <c r="K260" t="s">
        <v>25</v>
      </c>
      <c r="L260">
        <v>132757294</v>
      </c>
      <c r="R260">
        <v>9002</v>
      </c>
      <c r="S260" t="s">
        <v>232</v>
      </c>
      <c r="T260">
        <v>0</v>
      </c>
      <c r="U260">
        <v>-5</v>
      </c>
      <c r="V260">
        <v>0</v>
      </c>
      <c r="W260">
        <v>0</v>
      </c>
      <c r="X260">
        <v>0</v>
      </c>
    </row>
    <row r="261" spans="1:40" x14ac:dyDescent="0.25">
      <c r="A261" t="s">
        <v>15</v>
      </c>
      <c r="B261" t="s">
        <v>24</v>
      </c>
      <c r="C261">
        <v>20150316</v>
      </c>
      <c r="D261">
        <v>0</v>
      </c>
      <c r="F261">
        <v>62500</v>
      </c>
      <c r="G261" t="s">
        <v>17</v>
      </c>
      <c r="I261" t="s">
        <v>16</v>
      </c>
      <c r="J261" t="s">
        <v>180</v>
      </c>
      <c r="K261" t="s">
        <v>25</v>
      </c>
      <c r="L261">
        <v>132757294</v>
      </c>
      <c r="R261">
        <v>9002</v>
      </c>
      <c r="S261" t="s">
        <v>37</v>
      </c>
      <c r="T261">
        <v>5</v>
      </c>
      <c r="U261">
        <v>0</v>
      </c>
      <c r="V261">
        <v>1.5246</v>
      </c>
      <c r="W261">
        <v>1.5246</v>
      </c>
      <c r="X261">
        <v>0</v>
      </c>
    </row>
    <row r="262" spans="1:40" x14ac:dyDescent="0.25">
      <c r="A262" t="s">
        <v>15</v>
      </c>
      <c r="B262" t="s">
        <v>24</v>
      </c>
      <c r="C262">
        <v>20150316</v>
      </c>
      <c r="D262">
        <v>0</v>
      </c>
      <c r="F262">
        <v>62500</v>
      </c>
      <c r="G262" t="s">
        <v>17</v>
      </c>
      <c r="I262" t="s">
        <v>16</v>
      </c>
      <c r="J262" t="s">
        <v>180</v>
      </c>
      <c r="K262" t="s">
        <v>25</v>
      </c>
      <c r="L262">
        <v>132757294</v>
      </c>
      <c r="R262">
        <v>9002</v>
      </c>
      <c r="S262" t="s">
        <v>37</v>
      </c>
      <c r="T262">
        <v>5</v>
      </c>
      <c r="U262">
        <v>0</v>
      </c>
      <c r="V262">
        <v>1.5246</v>
      </c>
      <c r="W262">
        <v>1.5246</v>
      </c>
      <c r="X262">
        <v>0</v>
      </c>
    </row>
    <row r="263" spans="1:40" x14ac:dyDescent="0.25">
      <c r="A263" t="s">
        <v>15</v>
      </c>
      <c r="B263" t="s">
        <v>24</v>
      </c>
      <c r="C263">
        <v>20150316</v>
      </c>
      <c r="D263">
        <v>0</v>
      </c>
      <c r="F263">
        <v>62500</v>
      </c>
      <c r="G263" t="s">
        <v>17</v>
      </c>
      <c r="I263" t="s">
        <v>16</v>
      </c>
      <c r="J263" t="s">
        <v>180</v>
      </c>
      <c r="K263" t="s">
        <v>25</v>
      </c>
      <c r="L263">
        <v>132757294</v>
      </c>
      <c r="R263">
        <v>9002</v>
      </c>
      <c r="S263" t="s">
        <v>37</v>
      </c>
      <c r="T263">
        <v>5</v>
      </c>
      <c r="U263">
        <v>0</v>
      </c>
      <c r="V263">
        <v>1.5246</v>
      </c>
      <c r="W263">
        <v>1.5246</v>
      </c>
      <c r="X263">
        <v>0</v>
      </c>
    </row>
    <row r="264" spans="1:40" x14ac:dyDescent="0.25">
      <c r="A264" t="s">
        <v>15</v>
      </c>
      <c r="B264" t="s">
        <v>24</v>
      </c>
      <c r="C264">
        <v>20150316</v>
      </c>
      <c r="D264">
        <v>0</v>
      </c>
      <c r="F264">
        <v>62500</v>
      </c>
      <c r="G264" t="s">
        <v>17</v>
      </c>
      <c r="I264" t="s">
        <v>16</v>
      </c>
      <c r="J264" t="s">
        <v>180</v>
      </c>
      <c r="K264" t="s">
        <v>25</v>
      </c>
      <c r="L264">
        <v>132757294</v>
      </c>
      <c r="R264">
        <v>9002</v>
      </c>
      <c r="S264" t="s">
        <v>37</v>
      </c>
      <c r="T264">
        <v>5</v>
      </c>
      <c r="U264">
        <v>0</v>
      </c>
      <c r="V264">
        <v>1.5246</v>
      </c>
      <c r="W264">
        <v>1.5246</v>
      </c>
      <c r="X264">
        <v>0</v>
      </c>
    </row>
    <row r="265" spans="1:40" x14ac:dyDescent="0.25">
      <c r="A265" t="s">
        <v>15</v>
      </c>
      <c r="B265" t="s">
        <v>24</v>
      </c>
      <c r="C265">
        <v>20150316</v>
      </c>
      <c r="D265">
        <v>0</v>
      </c>
      <c r="F265">
        <v>62500</v>
      </c>
      <c r="G265" t="s">
        <v>17</v>
      </c>
      <c r="I265" t="s">
        <v>16</v>
      </c>
      <c r="J265" t="s">
        <v>180</v>
      </c>
      <c r="K265" t="s">
        <v>25</v>
      </c>
      <c r="L265">
        <v>132757294</v>
      </c>
      <c r="R265">
        <v>9002</v>
      </c>
      <c r="S265" t="s">
        <v>37</v>
      </c>
      <c r="T265">
        <v>5</v>
      </c>
      <c r="U265">
        <v>0</v>
      </c>
      <c r="V265">
        <v>1.5246</v>
      </c>
      <c r="W265">
        <v>1.5246</v>
      </c>
      <c r="X265">
        <v>0</v>
      </c>
    </row>
    <row r="266" spans="1:40" x14ac:dyDescent="0.25">
      <c r="A266" t="s">
        <v>15</v>
      </c>
      <c r="B266" t="s">
        <v>24</v>
      </c>
      <c r="C266">
        <v>20150316</v>
      </c>
      <c r="D266">
        <v>0</v>
      </c>
      <c r="F266">
        <v>62500</v>
      </c>
      <c r="G266" t="s">
        <v>17</v>
      </c>
      <c r="I266" t="s">
        <v>16</v>
      </c>
      <c r="J266" t="s">
        <v>180</v>
      </c>
      <c r="K266" t="s">
        <v>25</v>
      </c>
      <c r="L266">
        <v>132757294</v>
      </c>
      <c r="R266">
        <v>9002</v>
      </c>
      <c r="S266" t="s">
        <v>37</v>
      </c>
      <c r="T266">
        <v>5</v>
      </c>
      <c r="U266">
        <v>0</v>
      </c>
      <c r="V266">
        <v>1.5246</v>
      </c>
      <c r="W266">
        <v>1.5246</v>
      </c>
      <c r="X266">
        <v>0</v>
      </c>
    </row>
    <row r="267" spans="1:40" x14ac:dyDescent="0.25">
      <c r="A267" t="s">
        <v>15</v>
      </c>
      <c r="B267" t="s">
        <v>24</v>
      </c>
      <c r="C267">
        <v>20150316</v>
      </c>
      <c r="D267">
        <v>0</v>
      </c>
      <c r="F267">
        <v>62500</v>
      </c>
      <c r="G267" t="s">
        <v>17</v>
      </c>
      <c r="I267" t="s">
        <v>16</v>
      </c>
      <c r="J267" t="s">
        <v>180</v>
      </c>
      <c r="K267" t="s">
        <v>25</v>
      </c>
      <c r="L267">
        <v>132757294</v>
      </c>
      <c r="R267">
        <v>9002</v>
      </c>
      <c r="S267" t="s">
        <v>37</v>
      </c>
      <c r="T267">
        <v>5</v>
      </c>
      <c r="U267">
        <v>0</v>
      </c>
      <c r="V267">
        <v>1.5246</v>
      </c>
      <c r="W267">
        <v>1.5246</v>
      </c>
      <c r="X267">
        <v>0</v>
      </c>
    </row>
    <row r="268" spans="1:40" x14ac:dyDescent="0.25">
      <c r="A268" t="s">
        <v>15</v>
      </c>
      <c r="B268" t="s">
        <v>24</v>
      </c>
      <c r="C268">
        <v>20150316</v>
      </c>
      <c r="D268">
        <v>0</v>
      </c>
      <c r="F268">
        <v>62500</v>
      </c>
      <c r="G268" t="s">
        <v>17</v>
      </c>
      <c r="I268" t="s">
        <v>16</v>
      </c>
      <c r="J268" t="s">
        <v>180</v>
      </c>
      <c r="K268" t="s">
        <v>25</v>
      </c>
      <c r="L268">
        <v>132757294</v>
      </c>
      <c r="R268">
        <v>9002</v>
      </c>
      <c r="S268" t="s">
        <v>37</v>
      </c>
      <c r="T268">
        <v>5</v>
      </c>
      <c r="U268">
        <v>0</v>
      </c>
      <c r="V268">
        <v>1.5246</v>
      </c>
      <c r="W268">
        <v>1.5246</v>
      </c>
      <c r="X268">
        <v>0</v>
      </c>
    </row>
    <row r="269" spans="1:40" x14ac:dyDescent="0.25">
      <c r="A269" t="s">
        <v>15</v>
      </c>
      <c r="B269" t="s">
        <v>24</v>
      </c>
      <c r="C269">
        <v>20150316</v>
      </c>
      <c r="D269">
        <v>0</v>
      </c>
      <c r="F269">
        <v>62500</v>
      </c>
      <c r="G269" t="s">
        <v>17</v>
      </c>
      <c r="I269" t="s">
        <v>16</v>
      </c>
      <c r="J269" t="s">
        <v>180</v>
      </c>
      <c r="K269" t="s">
        <v>25</v>
      </c>
      <c r="L269">
        <v>132757294</v>
      </c>
      <c r="R269">
        <v>9003</v>
      </c>
      <c r="S269" t="s">
        <v>232</v>
      </c>
      <c r="T269">
        <v>0</v>
      </c>
      <c r="U269">
        <v>5</v>
      </c>
      <c r="V269">
        <v>0</v>
      </c>
      <c r="W269">
        <v>0</v>
      </c>
      <c r="X269">
        <v>0</v>
      </c>
    </row>
    <row r="270" spans="1:40" x14ac:dyDescent="0.25">
      <c r="A270" t="s">
        <v>15</v>
      </c>
      <c r="B270" t="s">
        <v>24</v>
      </c>
      <c r="C270">
        <v>20150316</v>
      </c>
      <c r="D270">
        <v>0</v>
      </c>
      <c r="F270">
        <v>62500</v>
      </c>
      <c r="G270" t="s">
        <v>17</v>
      </c>
      <c r="I270" t="s">
        <v>16</v>
      </c>
      <c r="J270" t="s">
        <v>180</v>
      </c>
      <c r="K270" t="s">
        <v>25</v>
      </c>
      <c r="L270">
        <v>132757294</v>
      </c>
      <c r="R270">
        <v>9003</v>
      </c>
      <c r="S270" t="s">
        <v>232</v>
      </c>
      <c r="T270">
        <v>0</v>
      </c>
      <c r="U270">
        <v>5</v>
      </c>
      <c r="V270">
        <v>0</v>
      </c>
      <c r="W270">
        <v>0</v>
      </c>
      <c r="X270">
        <v>0</v>
      </c>
    </row>
    <row r="271" spans="1:40" x14ac:dyDescent="0.25">
      <c r="A271" t="s">
        <v>15</v>
      </c>
      <c r="B271" t="s">
        <v>24</v>
      </c>
      <c r="C271">
        <v>20150316</v>
      </c>
      <c r="D271">
        <v>0</v>
      </c>
      <c r="F271">
        <v>62500</v>
      </c>
      <c r="G271" t="s">
        <v>17</v>
      </c>
      <c r="I271" t="s">
        <v>16</v>
      </c>
      <c r="J271" t="s">
        <v>180</v>
      </c>
      <c r="K271" t="s">
        <v>25</v>
      </c>
      <c r="L271">
        <v>132757294</v>
      </c>
      <c r="R271">
        <v>9003</v>
      </c>
      <c r="S271" t="s">
        <v>233</v>
      </c>
      <c r="T271">
        <v>0</v>
      </c>
      <c r="U271">
        <v>5</v>
      </c>
      <c r="V271">
        <v>0</v>
      </c>
      <c r="W271">
        <v>0</v>
      </c>
      <c r="X271">
        <v>0</v>
      </c>
    </row>
    <row r="272" spans="1:40" x14ac:dyDescent="0.25">
      <c r="A272" t="s">
        <v>15</v>
      </c>
      <c r="B272" t="s">
        <v>24</v>
      </c>
      <c r="C272">
        <v>20150316</v>
      </c>
      <c r="D272">
        <v>0</v>
      </c>
      <c r="F272">
        <v>62500</v>
      </c>
      <c r="G272" t="s">
        <v>17</v>
      </c>
      <c r="I272" t="s">
        <v>16</v>
      </c>
      <c r="J272" t="s">
        <v>180</v>
      </c>
      <c r="K272" t="s">
        <v>25</v>
      </c>
      <c r="L272">
        <v>132757294</v>
      </c>
      <c r="R272">
        <v>9003</v>
      </c>
      <c r="S272" t="s">
        <v>223</v>
      </c>
      <c r="T272">
        <v>0</v>
      </c>
      <c r="U272">
        <v>5</v>
      </c>
      <c r="V272">
        <v>0</v>
      </c>
      <c r="W272">
        <v>0</v>
      </c>
      <c r="X272">
        <v>0</v>
      </c>
    </row>
    <row r="273" spans="1:40" x14ac:dyDescent="0.25">
      <c r="A273" t="s">
        <v>15</v>
      </c>
      <c r="B273" t="s">
        <v>24</v>
      </c>
      <c r="C273">
        <v>20150316</v>
      </c>
      <c r="D273">
        <v>0</v>
      </c>
      <c r="F273">
        <v>62500</v>
      </c>
      <c r="G273" t="s">
        <v>17</v>
      </c>
      <c r="I273" t="s">
        <v>16</v>
      </c>
      <c r="J273" t="s">
        <v>180</v>
      </c>
      <c r="K273" t="s">
        <v>25</v>
      </c>
      <c r="L273">
        <v>132757294</v>
      </c>
      <c r="R273">
        <v>9003</v>
      </c>
      <c r="S273" t="s">
        <v>224</v>
      </c>
      <c r="T273">
        <v>0</v>
      </c>
      <c r="U273">
        <v>5</v>
      </c>
      <c r="V273">
        <v>0</v>
      </c>
      <c r="W273">
        <v>0</v>
      </c>
      <c r="X273">
        <v>0</v>
      </c>
    </row>
    <row r="274" spans="1:40" x14ac:dyDescent="0.25">
      <c r="A274" t="s">
        <v>15</v>
      </c>
      <c r="B274" t="s">
        <v>24</v>
      </c>
      <c r="C274">
        <v>20150316</v>
      </c>
      <c r="D274">
        <v>0</v>
      </c>
      <c r="F274">
        <v>62500</v>
      </c>
      <c r="G274" t="s">
        <v>17</v>
      </c>
      <c r="I274" t="s">
        <v>16</v>
      </c>
      <c r="J274" t="s">
        <v>180</v>
      </c>
      <c r="K274" t="s">
        <v>25</v>
      </c>
      <c r="L274">
        <v>132757294</v>
      </c>
      <c r="R274">
        <v>9004</v>
      </c>
      <c r="S274" t="s">
        <v>232</v>
      </c>
      <c r="T274">
        <v>0</v>
      </c>
      <c r="U274">
        <v>5</v>
      </c>
      <c r="V274">
        <v>0</v>
      </c>
      <c r="W274">
        <v>0</v>
      </c>
      <c r="X274">
        <v>0</v>
      </c>
    </row>
    <row r="275" spans="1:40" x14ac:dyDescent="0.25">
      <c r="A275" t="s">
        <v>15</v>
      </c>
      <c r="B275" t="s">
        <v>24</v>
      </c>
      <c r="C275">
        <v>20150316</v>
      </c>
      <c r="D275">
        <v>0</v>
      </c>
      <c r="F275">
        <v>62500</v>
      </c>
      <c r="G275" t="s">
        <v>17</v>
      </c>
      <c r="I275" t="s">
        <v>16</v>
      </c>
      <c r="J275" t="s">
        <v>180</v>
      </c>
      <c r="K275" t="s">
        <v>25</v>
      </c>
      <c r="L275">
        <v>132757294</v>
      </c>
      <c r="R275">
        <v>9004</v>
      </c>
      <c r="S275" t="s">
        <v>232</v>
      </c>
      <c r="T275">
        <v>0</v>
      </c>
      <c r="U275">
        <v>3</v>
      </c>
      <c r="V275">
        <v>0</v>
      </c>
      <c r="W275">
        <v>0</v>
      </c>
      <c r="X275">
        <v>0</v>
      </c>
      <c r="Y275">
        <v>9004</v>
      </c>
      <c r="Z275" t="s">
        <v>2792</v>
      </c>
      <c r="AA275" t="s">
        <v>2793</v>
      </c>
      <c r="AB275" t="s">
        <v>234</v>
      </c>
      <c r="AC275" t="s">
        <v>17</v>
      </c>
      <c r="AD275" t="s">
        <v>235</v>
      </c>
      <c r="AE275">
        <v>1</v>
      </c>
      <c r="AF275">
        <v>1</v>
      </c>
      <c r="AG275">
        <v>1.5248999999999999</v>
      </c>
      <c r="AH275">
        <v>1.5248999999999999</v>
      </c>
      <c r="AI275">
        <v>415886031</v>
      </c>
      <c r="AJ275">
        <v>0</v>
      </c>
      <c r="AK275">
        <v>7</v>
      </c>
      <c r="AN275">
        <v>0</v>
      </c>
    </row>
    <row r="276" spans="1:40" x14ac:dyDescent="0.25">
      <c r="A276" t="s">
        <v>15</v>
      </c>
      <c r="B276" t="s">
        <v>24</v>
      </c>
      <c r="C276">
        <v>20150316</v>
      </c>
      <c r="D276">
        <v>0</v>
      </c>
      <c r="F276">
        <v>62500</v>
      </c>
      <c r="G276" t="s">
        <v>17</v>
      </c>
      <c r="I276" t="s">
        <v>16</v>
      </c>
      <c r="J276" t="s">
        <v>180</v>
      </c>
      <c r="K276" t="s">
        <v>25</v>
      </c>
      <c r="L276">
        <v>132757294</v>
      </c>
      <c r="R276">
        <v>9004</v>
      </c>
      <c r="S276" t="s">
        <v>232</v>
      </c>
      <c r="T276">
        <v>0</v>
      </c>
      <c r="U276">
        <v>3</v>
      </c>
      <c r="V276">
        <v>0</v>
      </c>
      <c r="W276">
        <v>0</v>
      </c>
      <c r="X276">
        <v>0</v>
      </c>
    </row>
    <row r="277" spans="1:40" x14ac:dyDescent="0.25">
      <c r="A277" t="s">
        <v>15</v>
      </c>
      <c r="B277" t="s">
        <v>24</v>
      </c>
      <c r="C277">
        <v>20150316</v>
      </c>
      <c r="D277">
        <v>0</v>
      </c>
      <c r="F277">
        <v>62500</v>
      </c>
      <c r="G277" t="s">
        <v>17</v>
      </c>
      <c r="I277" t="s">
        <v>16</v>
      </c>
      <c r="J277" t="s">
        <v>180</v>
      </c>
      <c r="K277" t="s">
        <v>25</v>
      </c>
      <c r="L277">
        <v>132757294</v>
      </c>
      <c r="R277">
        <v>9004</v>
      </c>
      <c r="S277" t="s">
        <v>236</v>
      </c>
      <c r="T277">
        <v>1</v>
      </c>
      <c r="U277">
        <v>4</v>
      </c>
      <c r="V277">
        <v>1.5248999999999999</v>
      </c>
      <c r="W277">
        <v>1.5248999999999999</v>
      </c>
      <c r="X277">
        <v>0</v>
      </c>
    </row>
    <row r="278" spans="1:40" x14ac:dyDescent="0.25">
      <c r="A278" t="s">
        <v>15</v>
      </c>
      <c r="B278" t="s">
        <v>24</v>
      </c>
      <c r="C278">
        <v>20150316</v>
      </c>
      <c r="D278">
        <v>0</v>
      </c>
      <c r="F278">
        <v>62500</v>
      </c>
      <c r="G278" t="s">
        <v>17</v>
      </c>
      <c r="I278" t="s">
        <v>16</v>
      </c>
      <c r="J278" t="s">
        <v>180</v>
      </c>
      <c r="K278" t="s">
        <v>25</v>
      </c>
      <c r="L278">
        <v>132757294</v>
      </c>
      <c r="R278">
        <v>9004</v>
      </c>
      <c r="S278" t="s">
        <v>236</v>
      </c>
      <c r="T278">
        <v>1</v>
      </c>
      <c r="U278">
        <v>4</v>
      </c>
      <c r="V278">
        <v>1.5248999999999999</v>
      </c>
      <c r="W278">
        <v>1.5248999999999999</v>
      </c>
      <c r="X278">
        <v>0</v>
      </c>
    </row>
    <row r="279" spans="1:40" x14ac:dyDescent="0.25">
      <c r="A279" t="s">
        <v>15</v>
      </c>
      <c r="B279" t="s">
        <v>24</v>
      </c>
      <c r="C279">
        <v>20150316</v>
      </c>
      <c r="D279">
        <v>0</v>
      </c>
      <c r="F279">
        <v>62500</v>
      </c>
      <c r="G279" t="s">
        <v>17</v>
      </c>
      <c r="I279" t="s">
        <v>16</v>
      </c>
      <c r="J279" t="s">
        <v>180</v>
      </c>
      <c r="K279" t="s">
        <v>25</v>
      </c>
      <c r="L279">
        <v>132757294</v>
      </c>
      <c r="R279">
        <v>9004</v>
      </c>
      <c r="S279" t="s">
        <v>233</v>
      </c>
      <c r="T279">
        <v>1</v>
      </c>
      <c r="U279">
        <v>4</v>
      </c>
      <c r="V279">
        <v>1.5248999999999999</v>
      </c>
      <c r="W279">
        <v>1.5248999999999999</v>
      </c>
      <c r="X279">
        <v>0</v>
      </c>
    </row>
    <row r="280" spans="1:40" x14ac:dyDescent="0.25">
      <c r="A280" t="s">
        <v>15</v>
      </c>
      <c r="B280" t="s">
        <v>24</v>
      </c>
      <c r="C280">
        <v>20150316</v>
      </c>
      <c r="D280">
        <v>0</v>
      </c>
      <c r="F280">
        <v>62500</v>
      </c>
      <c r="G280" t="s">
        <v>17</v>
      </c>
      <c r="I280" t="s">
        <v>16</v>
      </c>
      <c r="J280" t="s">
        <v>180</v>
      </c>
      <c r="K280" t="s">
        <v>25</v>
      </c>
      <c r="L280">
        <v>132757294</v>
      </c>
      <c r="R280">
        <v>9004</v>
      </c>
      <c r="S280" t="s">
        <v>233</v>
      </c>
      <c r="T280">
        <v>1</v>
      </c>
      <c r="U280">
        <v>4</v>
      </c>
      <c r="V280">
        <v>1.5248999999999999</v>
      </c>
      <c r="W280">
        <v>1.5248999999999999</v>
      </c>
      <c r="X280">
        <v>0</v>
      </c>
    </row>
    <row r="281" spans="1:40" x14ac:dyDescent="0.25">
      <c r="A281" t="s">
        <v>15</v>
      </c>
      <c r="B281" t="s">
        <v>24</v>
      </c>
      <c r="C281">
        <v>20150316</v>
      </c>
      <c r="D281">
        <v>0</v>
      </c>
      <c r="F281">
        <v>62500</v>
      </c>
      <c r="G281" t="s">
        <v>17</v>
      </c>
      <c r="I281" t="s">
        <v>16</v>
      </c>
      <c r="J281" t="s">
        <v>180</v>
      </c>
      <c r="K281" t="s">
        <v>25</v>
      </c>
      <c r="L281">
        <v>132757294</v>
      </c>
      <c r="R281">
        <v>9004</v>
      </c>
      <c r="S281" t="s">
        <v>233</v>
      </c>
      <c r="T281">
        <v>1</v>
      </c>
      <c r="U281">
        <v>4</v>
      </c>
      <c r="V281">
        <v>1.5248999999999999</v>
      </c>
      <c r="W281">
        <v>1.5248999999999999</v>
      </c>
      <c r="X281">
        <v>0</v>
      </c>
    </row>
    <row r="282" spans="1:40" x14ac:dyDescent="0.25">
      <c r="A282" t="s">
        <v>15</v>
      </c>
      <c r="B282" t="s">
        <v>24</v>
      </c>
      <c r="C282">
        <v>20150316</v>
      </c>
      <c r="D282">
        <v>0</v>
      </c>
      <c r="F282">
        <v>62500</v>
      </c>
      <c r="G282" t="s">
        <v>17</v>
      </c>
      <c r="I282" t="s">
        <v>16</v>
      </c>
      <c r="J282" t="s">
        <v>180</v>
      </c>
      <c r="K282" t="s">
        <v>25</v>
      </c>
      <c r="L282">
        <v>132757294</v>
      </c>
      <c r="R282">
        <v>9004</v>
      </c>
      <c r="S282" t="s">
        <v>233</v>
      </c>
      <c r="T282">
        <v>1</v>
      </c>
      <c r="U282">
        <v>2</v>
      </c>
      <c r="V282">
        <v>1.5248999999999999</v>
      </c>
      <c r="W282">
        <v>1.5248999999999999</v>
      </c>
      <c r="X282">
        <v>0</v>
      </c>
      <c r="Y282">
        <v>9004</v>
      </c>
      <c r="Z282" t="s">
        <v>2830</v>
      </c>
      <c r="AA282" t="s">
        <v>2793</v>
      </c>
      <c r="AB282" t="s">
        <v>234</v>
      </c>
      <c r="AC282" t="s">
        <v>17</v>
      </c>
      <c r="AD282" t="s">
        <v>235</v>
      </c>
      <c r="AE282">
        <v>1</v>
      </c>
      <c r="AF282">
        <v>2</v>
      </c>
      <c r="AG282">
        <v>1.5248999999999999</v>
      </c>
      <c r="AH282">
        <v>1.5248999999999999</v>
      </c>
      <c r="AI282">
        <v>415886031</v>
      </c>
      <c r="AJ282">
        <v>0</v>
      </c>
      <c r="AK282">
        <v>7</v>
      </c>
      <c r="AN282">
        <v>0</v>
      </c>
    </row>
    <row r="283" spans="1:40" x14ac:dyDescent="0.25">
      <c r="A283" t="s">
        <v>15</v>
      </c>
      <c r="B283" t="s">
        <v>24</v>
      </c>
      <c r="C283">
        <v>20150316</v>
      </c>
      <c r="D283">
        <v>0</v>
      </c>
      <c r="F283">
        <v>62500</v>
      </c>
      <c r="G283" t="s">
        <v>17</v>
      </c>
      <c r="I283" t="s">
        <v>16</v>
      </c>
      <c r="J283" t="s">
        <v>180</v>
      </c>
      <c r="K283" t="s">
        <v>25</v>
      </c>
      <c r="L283">
        <v>132757294</v>
      </c>
      <c r="R283">
        <v>9004</v>
      </c>
      <c r="S283" t="s">
        <v>233</v>
      </c>
      <c r="T283">
        <v>1</v>
      </c>
      <c r="U283">
        <v>2</v>
      </c>
      <c r="V283">
        <v>1.5248999999999999</v>
      </c>
      <c r="W283">
        <v>1.5248999999999999</v>
      </c>
      <c r="X283">
        <v>0</v>
      </c>
    </row>
    <row r="284" spans="1:40" x14ac:dyDescent="0.25">
      <c r="A284" t="s">
        <v>15</v>
      </c>
      <c r="B284" t="s">
        <v>24</v>
      </c>
      <c r="C284">
        <v>20150316</v>
      </c>
      <c r="D284">
        <v>0</v>
      </c>
      <c r="F284">
        <v>62500</v>
      </c>
      <c r="G284" t="s">
        <v>17</v>
      </c>
      <c r="I284" t="s">
        <v>16</v>
      </c>
      <c r="J284" t="s">
        <v>180</v>
      </c>
      <c r="K284" t="s">
        <v>25</v>
      </c>
      <c r="L284">
        <v>132757294</v>
      </c>
      <c r="R284">
        <v>9004</v>
      </c>
      <c r="S284" t="s">
        <v>2838</v>
      </c>
      <c r="T284">
        <v>2</v>
      </c>
      <c r="U284">
        <v>3</v>
      </c>
      <c r="V284">
        <v>1.5248999999999999</v>
      </c>
      <c r="W284">
        <v>1.5248999999999999</v>
      </c>
      <c r="X284">
        <v>0</v>
      </c>
    </row>
    <row r="285" spans="1:40" x14ac:dyDescent="0.25">
      <c r="A285" t="s">
        <v>15</v>
      </c>
      <c r="B285" t="s">
        <v>24</v>
      </c>
      <c r="C285">
        <v>20150316</v>
      </c>
      <c r="D285">
        <v>0</v>
      </c>
      <c r="F285">
        <v>62500</v>
      </c>
      <c r="G285" t="s">
        <v>17</v>
      </c>
      <c r="I285" t="s">
        <v>16</v>
      </c>
      <c r="J285" t="s">
        <v>180</v>
      </c>
      <c r="K285" t="s">
        <v>25</v>
      </c>
      <c r="L285">
        <v>132757294</v>
      </c>
      <c r="R285">
        <v>9004</v>
      </c>
      <c r="S285" t="s">
        <v>2838</v>
      </c>
      <c r="T285">
        <v>2</v>
      </c>
      <c r="U285">
        <v>3</v>
      </c>
      <c r="V285">
        <v>1.5248999999999999</v>
      </c>
      <c r="W285">
        <v>1.5248999999999999</v>
      </c>
      <c r="X285">
        <v>0</v>
      </c>
    </row>
    <row r="286" spans="1:40" x14ac:dyDescent="0.25">
      <c r="A286" t="s">
        <v>15</v>
      </c>
      <c r="B286" t="s">
        <v>24</v>
      </c>
      <c r="C286">
        <v>20150316</v>
      </c>
      <c r="D286">
        <v>0</v>
      </c>
      <c r="F286">
        <v>62500</v>
      </c>
      <c r="G286" t="s">
        <v>17</v>
      </c>
      <c r="I286" t="s">
        <v>16</v>
      </c>
      <c r="J286" t="s">
        <v>180</v>
      </c>
      <c r="K286" t="s">
        <v>25</v>
      </c>
      <c r="L286">
        <v>132757294</v>
      </c>
      <c r="R286">
        <v>9004</v>
      </c>
      <c r="S286" t="s">
        <v>2838</v>
      </c>
      <c r="T286">
        <v>2</v>
      </c>
      <c r="U286">
        <v>3</v>
      </c>
      <c r="V286">
        <v>1.5248999999999999</v>
      </c>
      <c r="W286">
        <v>1.5248999999999999</v>
      </c>
      <c r="X286">
        <v>0</v>
      </c>
    </row>
    <row r="287" spans="1:40" x14ac:dyDescent="0.25">
      <c r="A287" t="s">
        <v>15</v>
      </c>
      <c r="B287" t="s">
        <v>24</v>
      </c>
      <c r="C287">
        <v>20150316</v>
      </c>
      <c r="D287">
        <v>0</v>
      </c>
      <c r="F287">
        <v>62500</v>
      </c>
      <c r="G287" t="s">
        <v>17</v>
      </c>
      <c r="I287" t="s">
        <v>16</v>
      </c>
      <c r="J287" t="s">
        <v>180</v>
      </c>
      <c r="K287" t="s">
        <v>25</v>
      </c>
      <c r="L287">
        <v>132757294</v>
      </c>
      <c r="R287">
        <v>9004</v>
      </c>
      <c r="S287" t="s">
        <v>223</v>
      </c>
      <c r="T287">
        <v>2</v>
      </c>
      <c r="U287">
        <v>3</v>
      </c>
      <c r="V287">
        <v>1.5248999999999999</v>
      </c>
      <c r="W287">
        <v>1.5248999999999999</v>
      </c>
      <c r="X287">
        <v>0</v>
      </c>
    </row>
    <row r="288" spans="1:40" x14ac:dyDescent="0.25">
      <c r="A288" t="s">
        <v>15</v>
      </c>
      <c r="B288" t="s">
        <v>24</v>
      </c>
      <c r="C288">
        <v>20150316</v>
      </c>
      <c r="D288">
        <v>0</v>
      </c>
      <c r="F288">
        <v>62500</v>
      </c>
      <c r="G288" t="s">
        <v>17</v>
      </c>
      <c r="I288" t="s">
        <v>16</v>
      </c>
      <c r="J288" t="s">
        <v>180</v>
      </c>
      <c r="K288" t="s">
        <v>25</v>
      </c>
      <c r="L288">
        <v>132757294</v>
      </c>
      <c r="R288">
        <v>9004</v>
      </c>
      <c r="S288" t="s">
        <v>224</v>
      </c>
      <c r="T288">
        <v>2</v>
      </c>
      <c r="U288">
        <v>3</v>
      </c>
      <c r="V288">
        <v>1.5248999999999999</v>
      </c>
      <c r="W288">
        <v>1.5248999999999999</v>
      </c>
      <c r="X288">
        <v>0</v>
      </c>
    </row>
    <row r="289" spans="1:24" x14ac:dyDescent="0.25">
      <c r="A289" t="s">
        <v>15</v>
      </c>
      <c r="B289" t="s">
        <v>24</v>
      </c>
      <c r="C289">
        <v>20150316</v>
      </c>
      <c r="D289">
        <v>0</v>
      </c>
      <c r="F289">
        <v>62500</v>
      </c>
      <c r="G289" t="s">
        <v>17</v>
      </c>
      <c r="I289" t="s">
        <v>16</v>
      </c>
      <c r="J289" t="s">
        <v>180</v>
      </c>
      <c r="K289" t="s">
        <v>25</v>
      </c>
      <c r="L289">
        <v>132757294</v>
      </c>
      <c r="R289">
        <v>9005</v>
      </c>
      <c r="S289" t="s">
        <v>232</v>
      </c>
      <c r="T289">
        <v>0</v>
      </c>
      <c r="U289">
        <v>-30</v>
      </c>
      <c r="V289">
        <v>0</v>
      </c>
      <c r="W289">
        <v>0</v>
      </c>
      <c r="X289">
        <v>0</v>
      </c>
    </row>
    <row r="290" spans="1:24" x14ac:dyDescent="0.25">
      <c r="A290" t="s">
        <v>15</v>
      </c>
      <c r="B290" t="s">
        <v>24</v>
      </c>
      <c r="C290">
        <v>20150316</v>
      </c>
      <c r="D290">
        <v>0</v>
      </c>
      <c r="F290">
        <v>62500</v>
      </c>
      <c r="G290" t="s">
        <v>17</v>
      </c>
      <c r="I290" t="s">
        <v>16</v>
      </c>
      <c r="J290" t="s">
        <v>180</v>
      </c>
      <c r="K290" t="s">
        <v>25</v>
      </c>
      <c r="L290">
        <v>132757294</v>
      </c>
      <c r="R290">
        <v>9001</v>
      </c>
      <c r="S290" t="s">
        <v>223</v>
      </c>
      <c r="T290">
        <v>0</v>
      </c>
      <c r="U290">
        <v>27</v>
      </c>
      <c r="V290">
        <v>0</v>
      </c>
      <c r="W290">
        <v>0</v>
      </c>
      <c r="X290">
        <v>0</v>
      </c>
    </row>
    <row r="291" spans="1:24" x14ac:dyDescent="0.25">
      <c r="A291" t="s">
        <v>15</v>
      </c>
      <c r="B291" t="s">
        <v>24</v>
      </c>
      <c r="C291">
        <v>20150316</v>
      </c>
      <c r="D291">
        <v>0</v>
      </c>
      <c r="F291">
        <v>62500</v>
      </c>
      <c r="G291" t="s">
        <v>17</v>
      </c>
      <c r="I291" t="s">
        <v>16</v>
      </c>
      <c r="J291" t="s">
        <v>180</v>
      </c>
      <c r="K291" t="s">
        <v>25</v>
      </c>
      <c r="L291">
        <v>132757294</v>
      </c>
      <c r="R291">
        <v>9001</v>
      </c>
      <c r="S291" t="s">
        <v>224</v>
      </c>
      <c r="T291">
        <v>0</v>
      </c>
      <c r="U291">
        <v>27</v>
      </c>
      <c r="V291">
        <v>0</v>
      </c>
      <c r="W291">
        <v>0</v>
      </c>
      <c r="X291">
        <v>0</v>
      </c>
    </row>
    <row r="292" spans="1:24" x14ac:dyDescent="0.25">
      <c r="A292" t="s">
        <v>15</v>
      </c>
      <c r="B292" t="s">
        <v>24</v>
      </c>
      <c r="C292">
        <v>20150316</v>
      </c>
      <c r="D292">
        <v>0</v>
      </c>
      <c r="F292">
        <v>62500</v>
      </c>
      <c r="G292" t="s">
        <v>17</v>
      </c>
      <c r="I292" t="s">
        <v>16</v>
      </c>
      <c r="J292" t="s">
        <v>180</v>
      </c>
      <c r="K292" t="s">
        <v>25</v>
      </c>
      <c r="L292">
        <v>132757294</v>
      </c>
      <c r="R292">
        <v>9005</v>
      </c>
      <c r="S292" t="s">
        <v>232</v>
      </c>
      <c r="T292">
        <v>0</v>
      </c>
      <c r="U292">
        <v>-30</v>
      </c>
      <c r="V292">
        <v>0</v>
      </c>
      <c r="W292">
        <v>0</v>
      </c>
      <c r="X292">
        <v>0</v>
      </c>
    </row>
    <row r="293" spans="1:24" x14ac:dyDescent="0.25">
      <c r="A293" t="s">
        <v>15</v>
      </c>
      <c r="B293" t="s">
        <v>24</v>
      </c>
      <c r="C293">
        <v>20150316</v>
      </c>
      <c r="D293">
        <v>0</v>
      </c>
      <c r="F293">
        <v>62500</v>
      </c>
      <c r="G293" t="s">
        <v>17</v>
      </c>
      <c r="I293" t="s">
        <v>16</v>
      </c>
      <c r="J293" t="s">
        <v>180</v>
      </c>
      <c r="K293" t="s">
        <v>25</v>
      </c>
      <c r="L293">
        <v>132757294</v>
      </c>
      <c r="R293">
        <v>9005</v>
      </c>
      <c r="S293" t="s">
        <v>192</v>
      </c>
      <c r="T293">
        <v>0</v>
      </c>
      <c r="U293">
        <v>30</v>
      </c>
      <c r="V293">
        <v>0</v>
      </c>
      <c r="W293">
        <v>0</v>
      </c>
      <c r="X293">
        <v>0</v>
      </c>
    </row>
    <row r="294" spans="1:24" x14ac:dyDescent="0.25">
      <c r="A294" t="s">
        <v>15</v>
      </c>
      <c r="B294" t="s">
        <v>24</v>
      </c>
      <c r="C294">
        <v>20150316</v>
      </c>
      <c r="D294">
        <v>0</v>
      </c>
      <c r="F294">
        <v>62500</v>
      </c>
      <c r="G294" t="s">
        <v>17</v>
      </c>
      <c r="I294" t="s">
        <v>16</v>
      </c>
      <c r="J294" t="s">
        <v>180</v>
      </c>
      <c r="K294" t="s">
        <v>25</v>
      </c>
      <c r="L294">
        <v>132757294</v>
      </c>
      <c r="R294">
        <v>9006</v>
      </c>
      <c r="S294" t="s">
        <v>232</v>
      </c>
      <c r="T294">
        <v>0</v>
      </c>
      <c r="U294">
        <v>5</v>
      </c>
      <c r="V294">
        <v>0</v>
      </c>
      <c r="W294">
        <v>0</v>
      </c>
      <c r="X294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2015-02-10T17:00:04Z</dcterms:modified>
</cp:coreProperties>
</file>