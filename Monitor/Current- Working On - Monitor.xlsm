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91" i="15"/>
  <c r="Y91" i="15" s="1"/>
  <c r="W91" i="15"/>
  <c r="U91" i="15"/>
  <c r="X90" i="15"/>
  <c r="Y90" i="15" s="1"/>
  <c r="W90" i="15"/>
  <c r="U90" i="15"/>
  <c r="X89" i="15"/>
  <c r="Y89" i="15" s="1"/>
  <c r="W89" i="15"/>
  <c r="U89" i="15"/>
  <c r="X88" i="15"/>
  <c r="Y88" i="15" s="1"/>
  <c r="W88" i="15"/>
  <c r="U88" i="15"/>
  <c r="X87" i="15"/>
  <c r="Y87" i="15" s="1"/>
  <c r="W87" i="15"/>
  <c r="U87" i="15"/>
  <c r="X86" i="15"/>
  <c r="Y86" i="15" s="1"/>
  <c r="W86" i="15"/>
  <c r="U86" i="15"/>
  <c r="X85" i="15"/>
  <c r="Y85" i="15" s="1"/>
  <c r="W85" i="15"/>
  <c r="U85" i="15"/>
  <c r="X84" i="15"/>
  <c r="Y84" i="15" s="1"/>
  <c r="W84" i="15"/>
  <c r="U84" i="15"/>
  <c r="X83" i="15"/>
  <c r="Y83" i="15" s="1"/>
  <c r="W83" i="15"/>
  <c r="U83" i="15"/>
  <c r="X82" i="15"/>
  <c r="Y82" i="15" s="1"/>
  <c r="W82" i="15"/>
  <c r="U82" i="15"/>
  <c r="X81" i="15"/>
  <c r="W81" i="15"/>
  <c r="U81" i="15"/>
  <c r="X80" i="15"/>
  <c r="W80" i="15"/>
  <c r="U80" i="15"/>
  <c r="X79" i="15"/>
  <c r="W79" i="15"/>
  <c r="U79" i="15"/>
  <c r="X78" i="15"/>
  <c r="W78" i="15"/>
  <c r="U78" i="15"/>
  <c r="X77" i="15"/>
  <c r="W77" i="15"/>
  <c r="U77" i="15"/>
  <c r="X76" i="15"/>
  <c r="W76" i="15"/>
  <c r="U76" i="15"/>
  <c r="X75" i="15"/>
  <c r="W75" i="15"/>
  <c r="U75" i="15"/>
  <c r="X74" i="15"/>
  <c r="W74" i="15"/>
  <c r="U74" i="15"/>
  <c r="X73" i="15"/>
  <c r="W73" i="15"/>
  <c r="U73" i="15"/>
  <c r="X72" i="15"/>
  <c r="W72" i="15"/>
  <c r="U72" i="15"/>
  <c r="X71" i="15"/>
  <c r="W71" i="15"/>
  <c r="U71" i="15"/>
  <c r="AE122" i="13"/>
  <c r="AE37" i="13"/>
  <c r="AE121" i="13"/>
  <c r="AE31" i="13"/>
  <c r="AE84" i="13"/>
  <c r="AE33" i="13"/>
  <c r="AE62" i="13"/>
  <c r="AE67" i="13"/>
  <c r="AE114" i="13"/>
  <c r="AE25" i="13"/>
  <c r="AE86" i="13"/>
  <c r="AE38" i="13"/>
  <c r="AE56" i="13"/>
  <c r="AE119" i="13"/>
  <c r="AE13" i="13"/>
  <c r="AE58" i="13"/>
  <c r="AE76" i="13"/>
  <c r="AE70" i="13"/>
  <c r="AE57" i="13"/>
  <c r="AE43" i="13"/>
  <c r="AE21" i="13"/>
  <c r="AE68" i="13"/>
  <c r="AE110" i="13"/>
  <c r="AE85" i="13"/>
  <c r="AE66" i="13"/>
  <c r="AE101" i="13"/>
  <c r="AE89" i="13"/>
  <c r="AE103" i="13"/>
  <c r="AE60" i="13"/>
  <c r="AE105" i="13"/>
  <c r="AE64" i="13"/>
  <c r="AE79" i="13"/>
  <c r="AE49" i="13"/>
  <c r="AE123" i="13"/>
  <c r="AE102" i="13"/>
  <c r="AE65" i="13"/>
  <c r="AE72" i="13"/>
  <c r="AE91" i="13"/>
  <c r="AE87" i="13"/>
  <c r="AE48" i="13"/>
  <c r="AE90" i="13"/>
  <c r="AE40" i="13"/>
  <c r="AE124" i="13"/>
  <c r="AE73" i="13"/>
  <c r="AE11" i="13"/>
  <c r="AE98" i="13"/>
  <c r="AE30" i="13"/>
  <c r="AE41" i="13"/>
  <c r="AE36" i="13"/>
  <c r="AE20" i="13"/>
  <c r="AE82" i="13"/>
  <c r="AE50" i="13"/>
  <c r="AE17" i="13"/>
  <c r="AE104" i="13"/>
  <c r="AE117" i="13"/>
  <c r="AE74" i="13"/>
  <c r="AE96" i="13"/>
  <c r="AE107" i="13"/>
  <c r="AE54" i="13"/>
  <c r="AE97" i="13"/>
  <c r="AE109" i="13"/>
  <c r="AE92" i="13"/>
  <c r="AE10" i="13"/>
  <c r="AE45" i="13"/>
  <c r="AE26" i="13"/>
  <c r="AE111" i="13"/>
  <c r="AE42" i="13"/>
  <c r="AE80" i="13"/>
  <c r="AE29" i="13"/>
  <c r="AE116" i="13"/>
  <c r="AE100" i="13"/>
  <c r="AE32" i="13"/>
  <c r="AE71" i="13"/>
  <c r="AE23" i="13"/>
  <c r="AE15" i="13"/>
  <c r="AE47" i="13"/>
  <c r="AE52" i="13"/>
  <c r="AE35" i="13"/>
  <c r="AE18" i="13"/>
  <c r="AE8" i="13"/>
  <c r="AE81" i="13"/>
  <c r="AE46" i="13"/>
  <c r="AE93" i="13"/>
  <c r="AE34" i="13"/>
  <c r="AE106" i="13"/>
  <c r="AE14" i="13"/>
  <c r="AE77" i="13"/>
  <c r="AE83" i="13"/>
  <c r="AE19" i="13"/>
  <c r="AE51" i="13"/>
  <c r="AE94" i="13"/>
  <c r="AE44" i="13"/>
  <c r="AE53" i="13"/>
  <c r="AE22" i="13"/>
  <c r="AE125" i="13"/>
  <c r="AE61" i="13"/>
  <c r="AE115" i="13"/>
  <c r="AE28" i="13"/>
  <c r="AE120" i="13"/>
  <c r="AE88" i="13"/>
  <c r="AE12" i="13"/>
  <c r="AE63" i="13"/>
  <c r="AE7" i="13"/>
  <c r="AE9" i="13"/>
  <c r="AE6" i="13"/>
  <c r="AE24" i="13"/>
  <c r="AE69" i="13"/>
  <c r="AE113" i="13"/>
  <c r="AE112" i="13"/>
  <c r="AE78" i="13"/>
  <c r="AE108" i="13"/>
  <c r="AE16" i="13"/>
  <c r="AE95" i="13"/>
  <c r="AE118" i="13"/>
  <c r="AE75" i="13"/>
  <c r="AE27" i="13"/>
  <c r="AE59" i="13"/>
  <c r="AE99" i="13"/>
  <c r="AE39" i="13"/>
  <c r="AE55" i="13"/>
  <c r="B64" i="15"/>
  <c r="H64" i="15"/>
  <c r="F64" i="15"/>
  <c r="D64" i="15"/>
  <c r="AA80" i="15"/>
  <c r="AA71" i="15"/>
  <c r="AA81" i="15"/>
  <c r="AA90" i="15"/>
  <c r="AA88" i="15"/>
  <c r="AA87" i="15"/>
  <c r="AA86" i="15"/>
  <c r="AA75" i="15"/>
  <c r="AA85" i="15"/>
  <c r="AA83" i="15"/>
  <c r="AA73" i="15"/>
  <c r="AA77" i="15"/>
  <c r="AA89" i="15"/>
  <c r="AA72" i="15"/>
  <c r="AA74" i="15"/>
  <c r="AA79" i="15"/>
  <c r="AA91" i="15"/>
  <c r="AA78" i="15"/>
  <c r="AA76" i="15"/>
  <c r="AA82" i="15"/>
  <c r="AA84" i="15"/>
  <c r="AC7" i="13" l="1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73" i="15"/>
  <c r="Y80" i="15"/>
  <c r="Y71" i="15"/>
  <c r="Y77" i="15"/>
  <c r="Y72" i="15"/>
  <c r="Y75" i="15"/>
  <c r="Y81" i="15"/>
  <c r="Y79" i="15"/>
  <c r="Y76" i="15"/>
  <c r="Y74" i="15"/>
  <c r="Y78" i="15"/>
  <c r="S37" i="15"/>
  <c r="T37" i="15" s="1"/>
  <c r="Q37" i="15"/>
  <c r="R37" i="15"/>
  <c r="Z80" i="15"/>
  <c r="Z87" i="15"/>
  <c r="Z75" i="15"/>
  <c r="Z82" i="15"/>
  <c r="Z72" i="15"/>
  <c r="Z86" i="15"/>
  <c r="Z71" i="15"/>
  <c r="Z89" i="15"/>
  <c r="Z79" i="15"/>
  <c r="Z91" i="15"/>
  <c r="Z77" i="15"/>
  <c r="Z84" i="15"/>
  <c r="Z90" i="15"/>
  <c r="Z73" i="15"/>
  <c r="Z76" i="15"/>
  <c r="Z81" i="15"/>
  <c r="Z85" i="15"/>
  <c r="Z78" i="15"/>
  <c r="Z83" i="15"/>
  <c r="Z88" i="15"/>
  <c r="Z74" i="15"/>
  <c r="AB82" i="15" l="1"/>
  <c r="AC82" i="15" s="1"/>
  <c r="AD82" i="15" s="1"/>
  <c r="AB91" i="15"/>
  <c r="AC91" i="15" s="1"/>
  <c r="AD91" i="15" s="1"/>
  <c r="AB87" i="15"/>
  <c r="AC87" i="15" s="1"/>
  <c r="AD87" i="15" s="1"/>
  <c r="AB81" i="15"/>
  <c r="AC81" i="15" s="1"/>
  <c r="AD81" i="15" s="1"/>
  <c r="AB76" i="15"/>
  <c r="AC76" i="15" s="1"/>
  <c r="AD76" i="15" s="1"/>
  <c r="AB90" i="15"/>
  <c r="AC90" i="15" s="1"/>
  <c r="AD90" i="15" s="1"/>
  <c r="AB88" i="15"/>
  <c r="AC88" i="15" s="1"/>
  <c r="AD88" i="15" s="1"/>
  <c r="AB71" i="15"/>
  <c r="AC71" i="15" s="1"/>
  <c r="AD71" i="15" s="1"/>
  <c r="AB83" i="15"/>
  <c r="AC83" i="15" s="1"/>
  <c r="AD83" i="15" s="1"/>
  <c r="AB89" i="15"/>
  <c r="AC89" i="15" s="1"/>
  <c r="AD89" i="15" s="1"/>
  <c r="AB74" i="15"/>
  <c r="AC74" i="15" s="1"/>
  <c r="AD74" i="15" s="1"/>
  <c r="AB72" i="15"/>
  <c r="AC72" i="15" s="1"/>
  <c r="AD72" i="15" s="1"/>
  <c r="AB86" i="15"/>
  <c r="AC86" i="15" s="1"/>
  <c r="AD86" i="15" s="1"/>
  <c r="AB85" i="15"/>
  <c r="AC85" i="15" s="1"/>
  <c r="AD85" i="15" s="1"/>
  <c r="AB84" i="15"/>
  <c r="AC84" i="15" s="1"/>
  <c r="AD84" i="15" s="1"/>
  <c r="AB77" i="15"/>
  <c r="AC77" i="15" s="1"/>
  <c r="AD77" i="15" s="1"/>
  <c r="AB75" i="15"/>
  <c r="AC75" i="15" s="1"/>
  <c r="AD75" i="15" s="1"/>
  <c r="AB80" i="15"/>
  <c r="AC80" i="15" s="1"/>
  <c r="AD80" i="15" s="1"/>
  <c r="AB78" i="15"/>
  <c r="AC78" i="15" s="1"/>
  <c r="AD78" i="15" s="1"/>
  <c r="AB79" i="15"/>
  <c r="AC79" i="15" s="1"/>
  <c r="AD79" i="15" s="1"/>
  <c r="AB73" i="15"/>
  <c r="AC73" i="15" s="1"/>
  <c r="AD73" i="15" s="1"/>
  <c r="AF4" i="13"/>
  <c r="AG69" i="15" l="1"/>
  <c r="W37" i="15" s="1"/>
  <c r="V37" i="15" s="1"/>
  <c r="R38" i="15"/>
  <c r="S38" i="15"/>
  <c r="R39" i="15" l="1"/>
  <c r="S41" i="15" s="1"/>
  <c r="S39" i="15"/>
  <c r="S42" i="15" s="1"/>
  <c r="R42" i="15"/>
  <c r="R41" i="15"/>
</calcChain>
</file>

<file path=xl/sharedStrings.xml><?xml version="1.0" encoding="utf-8"?>
<sst xmlns="http://schemas.openxmlformats.org/spreadsheetml/2006/main" count="1351" uniqueCount="341">
  <si>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</si>
  <si>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</si>
  <si>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</si>
  <si>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</si>
  <si>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</si>
  <si>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</si>
  <si>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</si>
  <si>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</si>
  <si>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</si>
  <si>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</si>
  <si>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</si>
  <si>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</si>
  <si>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</si>
  <si>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</si>
  <si>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</si>
  <si>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</si>
  <si>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</si>
  <si>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</si>
  <si>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</si>
  <si>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</si>
  <si>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</si>
  <si>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</si>
  <si>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</si>
  <si>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</si>
  <si>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</si>
  <si>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</si>
  <si>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</si>
  <si>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</si>
  <si>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</si>
  <si>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</si>
  <si>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</si>
  <si>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</si>
  <si>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</si>
  <si>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</si>
  <si>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</si>
  <si>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</si>
  <si>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</si>
  <si>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</si>
  <si>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</si>
  <si>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</si>
  <si>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</si>
  <si>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</si>
  <si>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</si>
  <si>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</si>
  <si>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</si>
  <si>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</si>
  <si>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</si>
  <si>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</si>
  <si>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</si>
  <si>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</si>
  <si>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</si>
  <si>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</si>
  <si>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</si>
  <si>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</si>
  <si>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</si>
  <si>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</si>
  <si>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</si>
  <si>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</si>
  <si>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</si>
  <si>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</si>
  <si>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</si>
  <si>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</si>
  <si>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</si>
  <si>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</si>
  <si>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</si>
  <si>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</si>
  <si>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</si>
  <si>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</si>
  <si>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</si>
  <si>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</si>
  <si>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</si>
  <si>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</si>
  <si>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</si>
  <si>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</si>
  <si>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</si>
  <si>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</si>
  <si>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</si>
  <si>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</si>
  <si>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</si>
  <si>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</si>
  <si>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</si>
  <si>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</si>
  <si>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</si>
  <si>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</si>
  <si>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</si>
  <si>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</si>
  <si>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</si>
  <si>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</si>
  <si>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</si>
  <si>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</si>
  <si>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</si>
  <si>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</si>
  <si>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</si>
  <si>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</si>
  <si>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</si>
  <si>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</si>
  <si>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</si>
  <si>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</si>
  <si>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</si>
  <si>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</si>
  <si>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</si>
  <si>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</si>
  <si>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</si>
  <si>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</si>
  <si>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</si>
  <si>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</si>
  <si>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</si>
  <si>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</si>
  <si>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</si>
  <si>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</si>
  <si>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</si>
  <si>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</si>
  <si>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</si>
  <si>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</si>
  <si>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</si>
  <si>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</si>
  <si>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</si>
  <si>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</si>
  <si>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</si>
  <si>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</si>
  <si>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</si>
  <si>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</si>
  <si>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</si>
  <si>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</si>
  <si>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</si>
  <si>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</si>
  <si>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</si>
  <si>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</si>
  <si>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</si>
  <si>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</si>
  <si>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</si>
  <si>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</si>
  <si>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</si>
  <si>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</si>
  <si>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</si>
  <si>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</si>
  <si>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</si>
  <si>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</si>
  <si>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</si>
  <si>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</si>
  <si>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</si>
  <si>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</si>
  <si>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</si>
  <si>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</si>
  <si>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</si>
  <si>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</si>
  <si>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</si>
  <si>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</si>
  <si>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</si>
  <si>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</si>
  <si>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</si>
  <si>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</si>
  <si>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</si>
  <si>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</si>
  <si>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</si>
  <si>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</si>
  <si>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</si>
  <si>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</si>
  <si>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</si>
  <si>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</si>
  <si>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</si>
  <si>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</si>
  <si>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</si>
  <si>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</si>
  <si>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</si>
  <si>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</si>
  <si>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</si>
  <si>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</si>
  <si>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</si>
  <si>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</si>
  <si>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</si>
  <si>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</si>
  <si>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</si>
  <si>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</si>
  <si>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</si>
  <si>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</si>
  <si>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</si>
  <si>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</si>
  <si>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</si>
  <si>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</si>
  <si>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</si>
  <si>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</si>
  <si>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</si>
  <si>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</si>
  <si>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</si>
  <si>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</si>
  <si>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</si>
  <si>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</si>
  <si>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</si>
  <si>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</si>
  <si>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AUTOSTOP_FIRST_ROW</t>
  </si>
  <si>
    <t>AUTOSTOP_FIRST_COL</t>
  </si>
  <si>
    <t>PreSubmitted</t>
  </si>
  <si>
    <t>SELL</t>
  </si>
  <si>
    <t>Cancelled</t>
  </si>
  <si>
    <t>Current Position</t>
  </si>
  <si>
    <t>Hedge Shortfall</t>
  </si>
  <si>
    <t>ID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</si>
  <si>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</si>
  <si>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</si>
  <si>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</si>
  <si>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</si>
  <si>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</si>
  <si>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</si>
  <si>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</si>
  <si>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 xml:space="preserve"> </t>
  </si>
  <si>
    <t>AutoShaper</t>
  </si>
  <si>
    <t>Calls</t>
  </si>
  <si>
    <t>Puts</t>
  </si>
  <si>
    <t>Sequence Number</t>
  </si>
  <si>
    <t>Target Position</t>
  </si>
  <si>
    <t>Acutal Position</t>
  </si>
  <si>
    <t>Actual Position</t>
  </si>
  <si>
    <t>Position Code</t>
  </si>
  <si>
    <t>Target Margin %</t>
  </si>
  <si>
    <t>ROW_HEDGE_INSTRUMENT</t>
  </si>
  <si>
    <t>ROW_ACCOUNT_INFO</t>
  </si>
  <si>
    <t>Not Subscribed</t>
  </si>
  <si>
    <t>TWS Connected OK</t>
  </si>
  <si>
    <t>6B2G5 P1510</t>
  </si>
  <si>
    <t>6B2G5 P1515</t>
  </si>
  <si>
    <t>6B2G5 C1520</t>
  </si>
  <si>
    <t>6B2G5 C1525</t>
  </si>
  <si>
    <t>6B2G5 P1520</t>
  </si>
  <si>
    <t>6B2G5 C1530</t>
  </si>
  <si>
    <t>6B2G5 C1535</t>
  </si>
  <si>
    <t>In-Flight</t>
  </si>
  <si>
    <t>2015-2-10 12:57:23.737: Main - Initialize - initializing...</t>
  </si>
  <si>
    <t>2015-2-10 12:57:30.508: RTWSControl - nextValidId - entering nextValidId id is 8823</t>
  </si>
  <si>
    <t>2015-2-10 12:57:30.601: WatchlistView - initialize - an error occurredSelect method of Range class failed</t>
  </si>
  <si>
    <t>2015-2-10 12:57:30.632: RTWSControl - errMsg - got error message 2104:Market data farm connection is OK:usfuturewith id -1</t>
  </si>
  <si>
    <t>2015-2-10 12:57:30.664: RTWSControl - errMsg - got error message 2104:Market data farm connection is OK:usfuture.uswith id -1</t>
  </si>
  <si>
    <t>2015-2-10 12:57:30.664: RTWSControl - errMsg - got error message 2104:Market data farm connection is OK:cashfarmwith id -1</t>
  </si>
  <si>
    <t>2015-2-10 12:57:30.679: RTWSControl - errMsg - got error message 2104:Market data farm connection is OK:usfarmwith id -1</t>
  </si>
  <si>
    <t>2015-2-10 12:57:30.710: RTWSControl - errMsg - got error message 2106:HMDS data farm connection is OK:ilhmdswith id -1</t>
  </si>
  <si>
    <t>2015-2-10 12:57:30.710: RTWSControl - contractDetailsEx - got contractDetails id 0 British pound 6BH5</t>
  </si>
  <si>
    <t>2015-2-10 12:57:30.726: RTWSControl - contractDetailsEnd - Got contract details end event</t>
  </si>
  <si>
    <t>2015-2-10 12:57:57.172: Algorithm - updatePortfolio - haveAllDetails is False</t>
  </si>
  <si>
    <t>2015-2-10 12:57:57.187: Algorithm - updatePortfolio - haveAllDetails is False</t>
  </si>
  <si>
    <t>2015-2-10 12:57:57.218: Algorithm - updatePortfolio - haveAllDetails is False</t>
  </si>
  <si>
    <t>2015-2-10 12:57:57.250: Algorithm - updatePortfolio - haveAllDetails is False</t>
  </si>
  <si>
    <t>2015-2-10 12:57:57.265: Algorithm - updatePortfolio - haveAllDetails is False</t>
  </si>
  <si>
    <t>2015-2-10 12:57:57.296: Algorithm - updatePortfolio - haveAllDetails is False</t>
  </si>
  <si>
    <t>2015-2-10 12:57:57.343: Algorithm - updatePortfolio - haveAllDetails is False</t>
  </si>
  <si>
    <t>2015-2-10 12:57:57.374: Algorithm - updatePortfolio - haveAllDetails is False</t>
  </si>
  <si>
    <t>2015-2-10 12:57:57.406: Algorithm - updatePortfolio - haveAllDetails is False</t>
  </si>
  <si>
    <t>2015-2-10 12:57:57.452: RTWSControl - contractDetailsEx - got contractDetails id 0 British pound 6B2G5 P1510</t>
  </si>
  <si>
    <t>2015-2-10 12:57:57.452: RTWSControl - contractDetailsEnd - Got contract details end event</t>
  </si>
  <si>
    <t>2015-2-10 12:57:57.468: RTWSControl - contractDetailsEx - got contractDetails id 0 British pound 6B2G5 P1515</t>
  </si>
  <si>
    <t>2015-2-10 12:57:57.484: RTWSControl - contractDetailsEnd - Got contract details end event</t>
  </si>
  <si>
    <t>2015-2-10 12:57:57.484: RTWSControl - contractDetailsEx - got contractDetails id 0 British pound 6B2G5 C1520</t>
  </si>
  <si>
    <t>2015-2-10 12:57:57.499: RTWSControl - contractDetailsEnd - Got contract details end event</t>
  </si>
  <si>
    <t>2015-2-10 12:57:57.546: RTWSControl - contractDetailsEx - got contractDetails id 0 British pound 6B2G5 C1525</t>
  </si>
  <si>
    <t>2015-2-10 12:57:57.546: RTWSControl - contractDetailsEnd - Got contract details end event</t>
  </si>
  <si>
    <t>2015-2-10 12:57:57.577: RTWSControl - contractDetailsEx - got contractDetails id 0 British pound 6B2G5 P1520</t>
  </si>
  <si>
    <t>2015-2-10 12:57:57.577: RTWSControl - contractDetailsEnd - Got contract details end event</t>
  </si>
  <si>
    <t>2015-2-10 12:57:57.593: RTWSControl - contractDetailsEx - got contractDetails id 0 British pound 6B2G5 C1530</t>
  </si>
  <si>
    <t>2015-2-10 12:57:57.624: RTWSControl - contractDetailsEnd - Got contract details end event</t>
  </si>
  <si>
    <t>2015-2-10 12:57:57.624: RTWSControl - contractDetailsEx - got contractDetails id 0 British pound 6B2G5 C1535</t>
  </si>
  <si>
    <t>2015-2-10 12:57:57.640: RTWSControl - contractDetailsEnd - Got contract details end event</t>
  </si>
  <si>
    <t>2015-2-10 13:0:20.763: Algorithm - FindNextStrikes - price is 1.52215005 nextStrikeUp/Down 1.525/1.52</t>
  </si>
  <si>
    <t>2015-2-10 13:0:20.763: Algorithm - getPortfolioForwardDelta - required deltas is 90 currentHedgePosition is 90</t>
  </si>
  <si>
    <t>2015-2-10 13:0:20.763: Algorithm - getHedgeShortfall - required deltas is 90 price is 1.52215005 currentHedgePositionDeltas is 90</t>
  </si>
  <si>
    <t>2015-2-10 13:0:20.763: Algorithm - processTransitionPoint - nextUpper/LowerStrikes are 1.525/1.52 requiredDeltas/currentPosition/currentHedgeShortfall/direction/transitionPrice are 90/90/0/0/1.52215005</t>
  </si>
  <si>
    <t>2015-2-10 13:0:20.763: TransitionLogger - processTransitionpoint - checking transition - currentHedgeShortfall is 0</t>
  </si>
  <si>
    <t>2015-2-10 13:0:20.763: Algorithm - updatePortfolio - haveAllDetails is True</t>
  </si>
  <si>
    <t>2015-2-10 13:0:20.779: Algorithm - processTransitionPoint - nextUpper/LowerStrikes are 1.525/1.52 requiredDeltas/currentPosition/currentHedgeShortfall/direction/transitionPrice are 90/90/0/0/1.52215005</t>
  </si>
  <si>
    <t>2015-2-10 13:0:20.779: TransitionLogger - processTransitionpoint - checking transition - currentHedgeShortfall is 0</t>
  </si>
  <si>
    <t>2015-2-10 13:0:20.779: Algorithm - updatePortfolio - haveAllDetails is True</t>
  </si>
  <si>
    <t>2015-2-10 13:0:20.857: Algorithm - FindNextStrikes - price is 1.52205 nextStrikeUp/Down 1.525/1.52</t>
  </si>
  <si>
    <t>2015-2-10 13:0:20.857: Algorithm - getPortfolioForwardDelta - required deltas is 90 currentHedgePosition is 90</t>
  </si>
  <si>
    <t>2015-2-10 13:0:20.857: Algorithm - getHedgeShortfall - required deltas is 90 price is 1.52205 currentHedgePositionDeltas is 90</t>
  </si>
  <si>
    <t>2015-2-10 13:0:20.872: Algorithm - processTransitionPoint - nextUpper/LowerStrikes are 1.525/1.52 requiredDeltas/currentPosition/currentHedgeShortfall/direction/transitionPrice are 90/90/0/0/1.52205</t>
  </si>
  <si>
    <t>2015-2-10 13:0:20.872: TransitionLogger - processTransitionpoint - checking transition - currentHedgeShortfall is 0</t>
  </si>
  <si>
    <t>2015-2-10 13:0:20.872: Algorithm - updatePortfolio - haveAllDetails is True</t>
  </si>
  <si>
    <t>2015-2-10 13:0:20.919: Algorithm - FindNextStrikes - price is 1.52205 nextStrikeUp/Down 1.525/1.52</t>
  </si>
  <si>
    <t>2015-2-10 13:0:20.919: Algorithm - getPortfolioForwardDelta - required deltas is 90 currentHedgePosition is 90</t>
  </si>
  <si>
    <t>2015-2-10 13:0:20.919: Algorithm - getHedgeShortfall - required deltas is 90 price is 1.52205 currentHedgePositionDeltas is 90</t>
  </si>
  <si>
    <t>2015-2-10 13:0:20.919: Algorithm - processTransitionPoint - nextUpper/LowerStrikes are 1.525/1.52 requiredDeltas/currentPosition/currentHedgeShortfall/direction/transitionPrice are 90/90/0/0/1.52205</t>
  </si>
  <si>
    <t>2015-2-10 13:0:20.919: TransitionLogger - processTransitionpoint - checking transition - currentHedgeShortfall is 0</t>
  </si>
  <si>
    <t>2015-2-10 13:0:20.935: Algorithm - updatePortfolio - haveAllDetails is True</t>
  </si>
  <si>
    <t>2015-2-10 13:0:20.966: Algorithm - FindNextStrikes - price is 1.52205 nextStrikeUp/Down 1.525/1.52</t>
  </si>
  <si>
    <t>2015-2-10 13:0:20.966: Algorithm - getPortfolioForwardDelta - required deltas is 90 currentHedgePosition is 90</t>
  </si>
  <si>
    <t>2015-2-10 13:0:20.982: Algorithm - getHedgeShortfall - required deltas is 90 price is 1.52205 currentHedgePositionDeltas is 90</t>
  </si>
  <si>
    <t>2015-2-10 13:0:20.982: Algorithm - processTransitionPoint - nextUpper/LowerStrikes are 1.525/1.52 requiredDeltas/currentPosition/currentHedgeShortfall/direction/transitionPrice are 90/90/0/0/1.52205</t>
  </si>
  <si>
    <t>2015-2-10 13:0:20.982: TransitionLogger - processTransitionpoint - checking transition - currentHedgeShortfall is 0</t>
  </si>
  <si>
    <t>2015-2-10 13:0:20.982: Algorithm - updatePortfolio - haveAllDetails is True</t>
  </si>
  <si>
    <t>2015-2-10 13:0:20.997: Algorithm - FindNextStrikes - price is 1.52205 nextStrikeUp/Down 1.525/1.52</t>
  </si>
  <si>
    <t>2015-2-10 13:0:21.13: Algorithm - getPortfolioForwardDelta - required deltas is 90 currentHedgePosition is 90</t>
  </si>
  <si>
    <t>2015-2-10 13:0:21.13: Algorithm - getHedgeShortfall - required deltas is 90 price is 1.52205 currentHedgePositionDeltas is 90</t>
  </si>
  <si>
    <t>2015-2-10 13:0:21.13: Algorithm - processTransitionPoint - nextUpper/LowerStrikes are 1.525/1.52 requiredDeltas/currentPosition/currentHedgeShortfall/direction/transitionPrice are 90/90/0/0/1.52205</t>
  </si>
  <si>
    <t>2015-2-10 13:0:21.13: TransitionLogger - processTransitionpoint - checking transition - currentHedgeShortfall is 0</t>
  </si>
  <si>
    <t>2015-2-10 13:0:21.13: Algorithm - updatePortfolio - haveAllDetails is True</t>
  </si>
  <si>
    <t>2015-2-10 13:0:21.44: Algorithm - FindNextStrikes - price is 1.52205 nextStrikeUp/Down 1.525/1.52</t>
  </si>
  <si>
    <t>2015-2-10 13:0:21.44: Algorithm - getPortfolioForwardDelta - required deltas is 90 currentHedgePosition is 90</t>
  </si>
  <si>
    <t>2015-2-10 13:0:21.60: Algorithm - getHedgeShortfall - required deltas is 90 price is 1.52205 currentHedgePositionDeltas is 90</t>
  </si>
  <si>
    <t>2015-2-10 13:0:21.60: Algorithm - processTransitionPoint - nextUpper/LowerStrikes are 1.525/1.52 requiredDeltas/currentPosition/currentHedgeShortfall/direction/transitionPrice are 90/90/0/0/1.52205</t>
  </si>
  <si>
    <t>2015-2-10 13:0:21.60: TransitionLogger - processTransitionpoint - checking transition - currentHedgeShortfall is 0</t>
  </si>
  <si>
    <t>2015-2-10 13:0:21.60: Algorithm - updatePortfolio - haveAllDetails is True</t>
  </si>
  <si>
    <t>2015-2-10 13:0:21.122: Algorithm - FindNextStrikes - price is 1.52205 nextStrikeUp/Down 1.525/1.52</t>
  </si>
  <si>
    <t>2015-2-10 13:0:21.122: Algorithm - getPortfolioForwardDelta - required deltas is 90 currentHedgePosition is 90</t>
  </si>
  <si>
    <t>2015-2-10 13:0:21.122: Algorithm - getHedgeShortfall - required deltas is 90 price is 1.52205 currentHedgePositionDeltas is 90</t>
  </si>
  <si>
    <t>2015-2-10 13:0:21.122: Algorithm - processTransitionPoint - nextUpper/LowerStrikes are 1.525/1.52 requiredDeltas/currentPosition/currentHedgeShortfall/direction/transitionPrice are 90/90/0/0/1.52205</t>
  </si>
  <si>
    <t>2015-2-10 13:0:21.122: TransitionLogger - processTransitionpoint - checking transition - currentHedgeShortfall is 0</t>
  </si>
  <si>
    <t>2015-2-10 13:0:21.122: Algorithm - updatePortfolio - haveAllDetails is True</t>
  </si>
  <si>
    <t>2015-2-10 13:0:21.169: Algorithm - FindNextStrikes - price is 1.52205 nextStrikeUp/Down 1.525/1.52</t>
  </si>
  <si>
    <t>2015-2-10 13:0:21.169: Algorithm - getPortfolioForwardDelta - required deltas is 90 currentHedgePosition is 90</t>
  </si>
  <si>
    <t>2015-2-10 13:0:21.169: Algorithm - getHedgeShortfall - required deltas is 90 price is 1.52205 currentHedgePositionDeltas is 90</t>
  </si>
  <si>
    <t>2015-2-10 13:0:21.169: Algorithm - processTransitionPoint - nextUpper/LowerStrikes are 1.525/1.52 requiredDeltas/currentPosition/currentHedgeShortfall/direction/transitionPrice are 90/90/0/0/1.52205</t>
  </si>
  <si>
    <t>2015-2-10 13:0:21.169: TransitionLogger - processTransitionpoint - checking transition - currentHedgeShortfall is 0</t>
  </si>
  <si>
    <t>2015-2-10 13:0:21.169: Algorithm - updatePortfolio - haveAllDetails is True</t>
  </si>
  <si>
    <t>2015-2-10 13:0:21.231: Algorithm - FindNextStrikes - price is 1.52205 nextStrikeUp/Down 1.525/1.52</t>
  </si>
  <si>
    <t>2015-2-10 13:0:21.231: Algorithm - getPortfolioForwardDelta - required deltas is 90 currentHedgePosition is 90</t>
  </si>
  <si>
    <t>2015-2-10 13:0:21.231: Algorithm - getHedgeShortfall - required deltas is 90 price is 1.52205 currentHedgePositionDeltas is 90</t>
  </si>
  <si>
    <t>2015-2-10 13:0:21.231: Algorithm - processTransitionPoint - nextUpper/LowerStrikes are 1.525/1.52 requiredDeltas/currentPosition/currentHedgeShortfall/direction/transitionPrice are 90/90/0/0/1.52205</t>
  </si>
  <si>
    <t>2015-2-10 13:0:21.231: TransitionLogger - processTransitionpoint - checking transition - currentHedgeShortfall is 0</t>
  </si>
  <si>
    <t>2015-2-10 13:0:21.231: Algorithm - updatePortfolio - haveAllDetails is True</t>
  </si>
  <si>
    <t>2015-2-10 13:0:26.925: OrderManager - PlaceOrder - id 8823 workingQty 0</t>
  </si>
  <si>
    <t>STP LMT</t>
  </si>
  <si>
    <t>2015-2-10 13:0:26.941: OrderManager - sendOrder - exiting place order id 8823 BUY 0 0.001  - workingQty 0 currentPosition is 90 workingOrderCount is 1</t>
  </si>
  <si>
    <t>2015-2-10 13:0:26.941: OrderManager - createOrder - exiting without creating order - did not have validID</t>
  </si>
  <si>
    <t>2015-2-10 13:0:27.424: RTWSControl - errMsg - got error message 321:Error validating request:-'qd' : cause - The size value cannot be zero:with id 8823</t>
  </si>
  <si>
    <t>2015-2-10 13:0:27.424: OrderManager - invalidOrder - cleaning up after invalid order 8823</t>
  </si>
  <si>
    <t>2015-2-10 13:0:27.424: OrderManager - terminateOrder - cleaning up after Invalid 8823  order was supposed to BUY 0 0.001 STP LMT workingQty/OrderCount now 0/0</t>
  </si>
  <si>
    <t>Invalid</t>
  </si>
  <si>
    <t>2015-2-10 13:0:27.456: RTWSControl - nextValidId - entering nextValidId id is 8823</t>
  </si>
  <si>
    <t>2015-2-10 13:0:28.672: OrderManager - PlaceOrder - id 8823 workingQty 0</t>
  </si>
  <si>
    <t>2015-2-10 13:0:28.672: OrderManager - PlaceOrder - An Error Occurred This key is already associated with an element of this collection</t>
  </si>
  <si>
    <t>2015-2-10 13:0:28.688: OrderManager - sendOrder - exiting place order id 8823 BUY 0 0.001  - workingQty 0 currentPosition is 90 workingOrderCount is 1</t>
  </si>
  <si>
    <t>2015-2-10 13:0:28.688: OrderManager - createOrder - exiting without creating order - did not have validID</t>
  </si>
  <si>
    <t>2015-2-10 13:0:28.922: RTWSControl - errMsg - got error message 321:Error validating request:-'qd' : cause - The size value cannot be zero:with id 8823</t>
  </si>
  <si>
    <t>2015-2-10 13:0:28.938: OrderManager - invalidOrder - cleaning up after invalid order 8823</t>
  </si>
  <si>
    <t>2015-2-10 13:0:28.938: OrderManager - terminateOrder - cleaning up after Invalid 8823  order was supposed to BUY 0 0.001 STP LMT workingQty/OrderCount now 0/0</t>
  </si>
  <si>
    <t>2015-2-10 13:0:28.953: RTWSControl - nextValidId - entering nextValidId id is 8823</t>
  </si>
  <si>
    <t>2015-2-10 13:0:32.666: OrderManager - PlaceOrder - id 8823 workingQty 0</t>
  </si>
  <si>
    <t>2015-2-10 13:0:32.666: OrderManager - PlaceOrder - An Error Occurred This key is already associated with an element of this collection</t>
  </si>
  <si>
    <t>2015-2-10 13:0:32.666: OrderManager - sendOrder - exiting place order id 8823 BUY 0 0.001  - workingQty 0 currentPosition is 90 workingOrderCount is 1</t>
  </si>
  <si>
    <t>2015-2-10 13:0:32.666: OrderManager - createOrder - exiting without creating order - did not have validID</t>
  </si>
  <si>
    <t>2015-2-10 13:0:32.931: OrderManager - createOrder - exiting without creating order - did not have validID</t>
  </si>
  <si>
    <t>2015-2-10 13:0:33.25: RTWSControl - errMsg - got error message 508:Bad messagewith id -1</t>
  </si>
  <si>
    <t>2015-2-10 13:0:33.25: RTWSControl - errMsg - Got Error_x000D_id: -1_x000D_errorCode: 508_x000D_errorMsg: Bad 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</si>
</sst>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8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4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0" fontId="18" fillId="6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 wrapText="1"/>
    </xf>
    <xf numFmtId="9" fontId="17" fillId="10" borderId="0" xfId="3" applyFont="1" applyFill="1"/>
    <xf numFmtId="0" fontId="7" fillId="2" borderId="0" xfId="0" applyFont="1" applyFill="1" applyBorder="1" applyAlignment="1">
      <alignment horizontal="left" wrapText="1"/>
    </xf>
    <xf numFmtId="0" fontId="18" fillId="6" borderId="16" xfId="0" applyFont="1" applyFill="1" applyBorder="1" applyAlignment="1">
      <alignment horizontal="center"/>
    </xf>
    <xf numFmtId="0" fontId="19" fillId="0" borderId="0" xfId="0" applyFont="1"/>
    <xf numFmtId="0" fontId="20" fillId="0" borderId="0" xfId="0" applyFont="1"/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3" xfId="0" applyFont="1" applyFill="1" applyBorder="1" applyAlignment="1" applyProtection="1">
      <alignment horizontal="center" wrapText="1"/>
      <protection locked="0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5" fillId="5" borderId="2" xfId="0" applyFont="1" applyFill="1" applyBorder="1" applyAlignment="1" applyProtection="1">
      <alignment horizontal="center"/>
      <protection locked="0"/>
    </xf>
    <xf numFmtId="0" fontId="5" fillId="5" borderId="3" xfId="0" applyFont="1" applyFill="1" applyBorder="1" applyAlignment="1" applyProtection="1">
      <alignment horizontal="center"/>
      <protection locked="0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2" fillId="6" borderId="10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18" fillId="6" borderId="0" xfId="0" applyFont="1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57150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381000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1190625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13</xdr:row>
          <xdr:rowOff>19050</xdr:rowOff>
        </xdr:from>
        <xdr:to>
          <xdr:col>3</xdr:col>
          <xdr:colOff>257175</xdr:colOff>
          <xdr:row>14</xdr:row>
          <xdr:rowOff>47625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33"/>
  <sheetViews>
    <sheetView tabSelected="1" topLeftCell="A19" zoomScale="65" zoomScaleNormal="65" workbookViewId="0">
      <selection activeCell="K38" sqref="K38"/>
    </sheetView>
  </sheetViews>
  <sheetFormatPr defaultRowHeight="15" x14ac:dyDescent="0.25"/>
  <cols>
    <col min="1" max="1" width="19.28515625" customWidth="1"/>
    <col min="2" max="2" width="9.7109375" customWidth="1"/>
    <col min="3" max="3" width="23.710937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6" x14ac:dyDescent="0.25">
      <c r="B1" t="s">
        <v>184</v>
      </c>
      <c r="C1">
        <v>3</v>
      </c>
      <c r="D1" t="s">
        <v>185</v>
      </c>
    </row>
    <row r="5" spans="1:36" x14ac:dyDescent="0.25">
      <c r="A5" s="60" t="s">
        <v>14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AF5" s="36"/>
    </row>
    <row r="6" spans="1:36" x14ac:dyDescent="0.25">
      <c r="A6" s="121" t="s">
        <v>124</v>
      </c>
      <c r="B6" s="121"/>
      <c r="C6" s="121"/>
      <c r="D6" s="121"/>
      <c r="E6" s="121" t="s">
        <v>125</v>
      </c>
      <c r="F6" s="121"/>
      <c r="G6" s="121" t="s">
        <v>126</v>
      </c>
      <c r="H6" s="121"/>
      <c r="I6" s="121" t="s">
        <v>127</v>
      </c>
      <c r="J6" s="121"/>
      <c r="K6" s="121" t="s">
        <v>128</v>
      </c>
      <c r="L6" s="121"/>
      <c r="M6" s="121" t="s">
        <v>129</v>
      </c>
      <c r="N6" s="121"/>
      <c r="O6" s="121"/>
      <c r="P6" s="121"/>
      <c r="Q6" s="121"/>
      <c r="R6" s="121"/>
      <c r="S6" s="121"/>
      <c r="T6" s="121"/>
      <c r="U6" s="61"/>
      <c r="V6" s="61"/>
      <c r="W6" s="61"/>
      <c r="AF6" s="36"/>
    </row>
    <row r="7" spans="1:36" x14ac:dyDescent="0.25">
      <c r="A7" s="122" t="s">
        <v>130</v>
      </c>
      <c r="B7" s="122"/>
      <c r="C7" s="122">
        <v>7497</v>
      </c>
      <c r="D7" s="122"/>
      <c r="E7" s="122">
        <v>7</v>
      </c>
      <c r="F7" s="122"/>
      <c r="G7" s="122">
        <v>5</v>
      </c>
      <c r="H7" s="122"/>
      <c r="I7" s="123">
        <v>0.96388888888888891</v>
      </c>
      <c r="J7" s="124"/>
      <c r="K7" s="119" t="s">
        <v>218</v>
      </c>
      <c r="L7" s="120"/>
      <c r="M7" s="125"/>
      <c r="N7" s="126"/>
      <c r="O7" s="125"/>
      <c r="P7" s="126"/>
      <c r="Q7" s="125"/>
      <c r="R7" s="126"/>
      <c r="S7" s="125"/>
      <c r="T7" s="126"/>
      <c r="U7" s="62"/>
      <c r="V7" s="63"/>
      <c r="W7" s="63"/>
      <c r="AF7" s="36"/>
    </row>
    <row r="11" spans="1:36" ht="23.25" x14ac:dyDescent="0.35">
      <c r="A11" s="17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9"/>
    </row>
    <row r="12" spans="1:36" ht="23.25" x14ac:dyDescent="0.35">
      <c r="A12" s="131" t="s">
        <v>135</v>
      </c>
      <c r="B12" s="131"/>
      <c r="C12" s="131" t="s">
        <v>136</v>
      </c>
      <c r="D12" s="131"/>
      <c r="E12" s="65" t="s">
        <v>137</v>
      </c>
      <c r="F12" s="65"/>
      <c r="G12" s="131" t="s">
        <v>138</v>
      </c>
      <c r="H12" s="131"/>
      <c r="I12" s="131" t="s">
        <v>139</v>
      </c>
      <c r="J12" s="131"/>
      <c r="K12" s="121" t="s">
        <v>140</v>
      </c>
      <c r="L12" s="121"/>
      <c r="M12" s="121" t="s">
        <v>141</v>
      </c>
      <c r="N12" s="121"/>
      <c r="O12" s="61" t="s">
        <v>142</v>
      </c>
      <c r="P12" s="61"/>
      <c r="Q12" s="61" t="s">
        <v>143</v>
      </c>
      <c r="R12" s="61"/>
      <c r="S12" s="61"/>
      <c r="T12" s="61"/>
      <c r="U12" s="61"/>
      <c r="V12" s="61"/>
      <c r="W12" s="61"/>
      <c r="AB12" s="39"/>
    </row>
    <row r="13" spans="1:36" ht="23.25" x14ac:dyDescent="0.35">
      <c r="A13" s="5">
        <v>1039682.16</v>
      </c>
      <c r="B13" s="3"/>
      <c r="C13" s="5">
        <v>553999.31999999995</v>
      </c>
      <c r="D13" s="3"/>
      <c r="E13" s="5"/>
      <c r="F13" s="5"/>
      <c r="G13" s="5"/>
      <c r="H13" s="5"/>
      <c r="I13" s="5"/>
      <c r="J13" s="5"/>
      <c r="K13" s="6"/>
      <c r="L13" s="4"/>
      <c r="M13" s="62" t="s">
        <v>217</v>
      </c>
      <c r="N13" s="63"/>
      <c r="O13" s="62" t="b">
        <v>1</v>
      </c>
      <c r="P13" s="63"/>
      <c r="Q13" s="66"/>
      <c r="R13" s="67"/>
      <c r="S13" s="62"/>
      <c r="T13" s="63"/>
      <c r="U13" s="62"/>
      <c r="V13" s="63"/>
      <c r="W13" s="63"/>
      <c r="Y13" s="39"/>
      <c r="Z13" s="39"/>
      <c r="AA13" s="39"/>
      <c r="AB13" s="39"/>
    </row>
    <row r="14" spans="1:36" ht="16.5" customHeight="1" x14ac:dyDescent="0.3">
      <c r="A14" s="17" t="s">
        <v>154</v>
      </c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Y14" s="37"/>
      <c r="Z14" s="44"/>
      <c r="AA14" s="37"/>
      <c r="AB14" s="37"/>
    </row>
    <row r="15" spans="1:36" s="11" customFormat="1" ht="30.75" x14ac:dyDescent="0.3">
      <c r="A15" s="10" t="s">
        <v>0</v>
      </c>
      <c r="B15" s="10" t="s">
        <v>1</v>
      </c>
      <c r="C15" s="10"/>
      <c r="D15" s="10" t="s">
        <v>5</v>
      </c>
      <c r="E15" s="10"/>
      <c r="F15" s="10" t="s">
        <v>7</v>
      </c>
      <c r="G15" s="10" t="s">
        <v>8</v>
      </c>
      <c r="H15" s="10" t="s">
        <v>9</v>
      </c>
      <c r="I15" s="10" t="s">
        <v>10</v>
      </c>
      <c r="J15" s="10" t="s">
        <v>11</v>
      </c>
      <c r="K15" s="10" t="s">
        <v>19</v>
      </c>
      <c r="L15" s="10" t="s">
        <v>21</v>
      </c>
      <c r="M15" s="10" t="s">
        <v>22</v>
      </c>
      <c r="N15" s="10" t="s">
        <v>18</v>
      </c>
      <c r="O15" s="10" t="s">
        <v>20</v>
      </c>
      <c r="P15" s="10" t="s">
        <v>155</v>
      </c>
      <c r="Q15" s="10"/>
      <c r="R15" s="10" t="s">
        <v>156</v>
      </c>
      <c r="S15" s="10" t="s">
        <v>157</v>
      </c>
      <c r="T15" s="10" t="s">
        <v>158</v>
      </c>
      <c r="U15" s="10" t="s">
        <v>159</v>
      </c>
      <c r="V15" s="10" t="s">
        <v>160</v>
      </c>
      <c r="W15" s="10"/>
      <c r="Y15" s="38"/>
      <c r="Z15" s="38"/>
      <c r="AA15" s="38"/>
      <c r="AB15" s="38"/>
      <c r="AC15"/>
      <c r="AD15"/>
      <c r="AE15"/>
      <c r="AF15"/>
      <c r="AG15"/>
      <c r="AH15"/>
      <c r="AI15"/>
      <c r="AJ15"/>
    </row>
    <row r="16" spans="1:36" ht="18.75" x14ac:dyDescent="0.3">
      <c r="A16" s="64" t="s">
        <v>15</v>
      </c>
      <c r="B16" s="64" t="s">
        <v>24</v>
      </c>
      <c r="C16" s="64">
        <v>20150316</v>
      </c>
      <c r="D16" s="64">
        <v>62500</v>
      </c>
      <c r="E16" s="64"/>
      <c r="F16" s="64" t="s">
        <v>17</v>
      </c>
      <c r="G16" s="64" t="s">
        <v>16</v>
      </c>
      <c r="H16" s="64" t="s">
        <v>180</v>
      </c>
      <c r="I16" s="64" t="s">
        <v>25</v>
      </c>
      <c r="J16" s="64">
        <v>90</v>
      </c>
      <c r="K16" s="64">
        <v>1.5222</v>
      </c>
      <c r="L16" s="64"/>
      <c r="M16" s="64">
        <v>7</v>
      </c>
      <c r="N16" s="64">
        <v>1.5223</v>
      </c>
      <c r="O16" s="64">
        <v>1.5224</v>
      </c>
      <c r="P16" s="64">
        <v>10</v>
      </c>
      <c r="Q16" s="64"/>
      <c r="R16" s="64">
        <v>1.5220499999999999</v>
      </c>
      <c r="S16" s="64">
        <v>8561531.3800000008</v>
      </c>
      <c r="T16" s="64">
        <v>95307.637028900004</v>
      </c>
      <c r="U16" s="64">
        <v>-16155.95</v>
      </c>
      <c r="V16" s="64">
        <v>0</v>
      </c>
      <c r="W16" s="64"/>
      <c r="Y16" s="37"/>
      <c r="Z16" s="37"/>
      <c r="AA16" s="37"/>
      <c r="AB16" s="37"/>
    </row>
    <row r="17" spans="1:37" ht="23.25" x14ac:dyDescent="0.35">
      <c r="Y17" s="39"/>
      <c r="Z17" s="39"/>
      <c r="AA17" s="39"/>
      <c r="AB17" s="39"/>
    </row>
    <row r="18" spans="1:37" ht="23.25" x14ac:dyDescent="0.35">
      <c r="Y18" s="39"/>
      <c r="Z18" s="39"/>
      <c r="AA18" s="39"/>
      <c r="AB18" s="39"/>
    </row>
    <row r="19" spans="1:37" ht="23.25" x14ac:dyDescent="0.35">
      <c r="A19" s="127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Y19" s="39"/>
      <c r="Z19" s="39"/>
      <c r="AA19" s="39"/>
      <c r="AB19" s="39"/>
    </row>
    <row r="20" spans="1:37" s="11" customFormat="1" ht="46.5" x14ac:dyDescent="0.35">
      <c r="A20" s="10" t="s">
        <v>145</v>
      </c>
      <c r="B20" s="10" t="s">
        <v>146</v>
      </c>
      <c r="C20" s="10"/>
      <c r="D20" s="10"/>
      <c r="E20" s="10" t="s">
        <v>147</v>
      </c>
      <c r="F20" s="10"/>
      <c r="G20" s="10" t="s">
        <v>148</v>
      </c>
      <c r="H20" s="10" t="s">
        <v>149</v>
      </c>
      <c r="I20" s="10" t="s">
        <v>150</v>
      </c>
      <c r="J20" s="10"/>
      <c r="K20" s="10" t="s">
        <v>151</v>
      </c>
      <c r="L20" s="10"/>
      <c r="M20" s="10" t="s">
        <v>152</v>
      </c>
      <c r="N20" s="10" t="s">
        <v>153</v>
      </c>
      <c r="Y20" s="39"/>
      <c r="Z20" s="39"/>
      <c r="AA20" s="39"/>
      <c r="AB20" s="40"/>
      <c r="AC20"/>
      <c r="AD20"/>
      <c r="AE20"/>
      <c r="AF20"/>
      <c r="AG20"/>
      <c r="AH20"/>
      <c r="AI20"/>
      <c r="AJ20"/>
    </row>
    <row r="21" spans="1:37" ht="21" x14ac:dyDescent="0.35">
      <c r="A21" s="78">
        <v>1</v>
      </c>
      <c r="B21" s="78">
        <v>1</v>
      </c>
      <c r="C21" s="79"/>
      <c r="D21" s="80"/>
      <c r="E21" s="128">
        <v>5</v>
      </c>
      <c r="F21" s="128"/>
      <c r="G21" s="81">
        <v>5</v>
      </c>
      <c r="H21" s="81">
        <v>10</v>
      </c>
      <c r="I21" s="81">
        <v>0.2</v>
      </c>
      <c r="J21" s="81"/>
      <c r="K21" s="129">
        <v>8</v>
      </c>
      <c r="L21" s="130"/>
      <c r="M21" s="82">
        <v>1</v>
      </c>
      <c r="N21" s="83" t="s">
        <v>100</v>
      </c>
    </row>
    <row r="23" spans="1:37" ht="18.75" x14ac:dyDescent="0.3">
      <c r="Y23" s="37"/>
      <c r="Z23" s="37"/>
      <c r="AA23" s="37"/>
      <c r="AB23" s="37"/>
    </row>
    <row r="24" spans="1:37" ht="18.75" x14ac:dyDescent="0.3">
      <c r="Y24" s="37"/>
      <c r="Z24" s="37"/>
      <c r="AA24" s="37"/>
      <c r="AB24" s="37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7"/>
      <c r="Z28" s="37"/>
      <c r="AA28" s="37"/>
      <c r="AB28" s="37"/>
      <c r="AC28" s="37"/>
      <c r="AD28" s="37"/>
      <c r="AE28" s="37"/>
    </row>
    <row r="29" spans="1:37" ht="18.75" x14ac:dyDescent="0.3">
      <c r="C29" s="117" t="s">
        <v>161</v>
      </c>
      <c r="D29" s="118"/>
      <c r="E29" s="12">
        <v>1.52</v>
      </c>
      <c r="F29" s="12"/>
      <c r="G29" s="118" t="s">
        <v>162</v>
      </c>
      <c r="H29" s="118"/>
      <c r="I29" s="12">
        <v>1.5249999999999999</v>
      </c>
      <c r="J29" s="12"/>
      <c r="K29" s="118" t="s">
        <v>163</v>
      </c>
      <c r="L29" s="118"/>
      <c r="M29" s="12">
        <v>90</v>
      </c>
      <c r="N29" s="13"/>
      <c r="O29" s="118" t="s">
        <v>164</v>
      </c>
      <c r="P29" s="118"/>
      <c r="Q29" s="30">
        <v>1.5222745504039017</v>
      </c>
      <c r="R29" s="13"/>
      <c r="S29" s="12"/>
      <c r="T29" s="13"/>
      <c r="U29" s="12"/>
      <c r="V29" s="13"/>
      <c r="W29" s="13"/>
      <c r="Y29" s="37"/>
      <c r="Z29" s="37"/>
      <c r="AA29" s="37"/>
      <c r="AB29" s="37"/>
      <c r="AC29" s="37"/>
      <c r="AD29" s="37"/>
      <c r="AE29" s="37"/>
    </row>
    <row r="30" spans="1:37" ht="18.75" x14ac:dyDescent="0.3">
      <c r="C30" s="117"/>
      <c r="D30" s="118"/>
      <c r="E30" s="12">
        <v>23</v>
      </c>
      <c r="F30" s="12"/>
      <c r="G30" s="118" t="s">
        <v>194</v>
      </c>
      <c r="H30" s="118"/>
      <c r="I30" s="12">
        <v>27</v>
      </c>
      <c r="J30" s="12"/>
      <c r="K30" s="118" t="s">
        <v>195</v>
      </c>
      <c r="L30" s="118"/>
      <c r="M30" s="12">
        <v>90</v>
      </c>
      <c r="N30" s="13"/>
      <c r="O30" s="118" t="s">
        <v>165</v>
      </c>
      <c r="P30" s="118"/>
      <c r="Q30" s="30">
        <v>1.5222332038843664</v>
      </c>
      <c r="R30" s="13"/>
      <c r="S30" s="12"/>
      <c r="T30" s="13"/>
      <c r="U30" s="12"/>
      <c r="V30" s="13"/>
      <c r="W30" s="13"/>
      <c r="Y30" s="37"/>
      <c r="Z30" s="37"/>
      <c r="AA30" s="37"/>
      <c r="AB30" s="37"/>
      <c r="AC30" s="37"/>
      <c r="AD30" s="37"/>
      <c r="AE30" s="37"/>
      <c r="AI30" s="42"/>
      <c r="AK30" s="42"/>
    </row>
    <row r="31" spans="1:37" ht="18.75" x14ac:dyDescent="0.3">
      <c r="C31" s="117"/>
      <c r="D31" s="118"/>
      <c r="E31" s="12">
        <v>22</v>
      </c>
      <c r="F31" s="12"/>
      <c r="G31" s="118" t="s">
        <v>192</v>
      </c>
      <c r="H31" s="118"/>
      <c r="I31" s="12">
        <v>26</v>
      </c>
      <c r="J31" s="12"/>
      <c r="K31" s="118" t="s">
        <v>196</v>
      </c>
      <c r="L31" s="118"/>
      <c r="M31" s="12">
        <v>0</v>
      </c>
      <c r="N31" s="13"/>
      <c r="O31" s="118" t="s">
        <v>99</v>
      </c>
      <c r="P31" s="118"/>
      <c r="Q31" s="12">
        <v>1</v>
      </c>
      <c r="R31" s="13"/>
      <c r="S31" s="12"/>
      <c r="T31" s="13"/>
      <c r="U31" s="12"/>
      <c r="V31" s="13"/>
      <c r="W31" s="13"/>
      <c r="Y31" s="37"/>
      <c r="Z31" s="37"/>
      <c r="AA31" s="37"/>
      <c r="AB31" s="37"/>
      <c r="AC31" s="37"/>
      <c r="AD31" s="37"/>
      <c r="AE31" s="37"/>
      <c r="AI31" s="41"/>
    </row>
    <row r="32" spans="1:37" ht="2.25" customHeight="1" x14ac:dyDescent="0.3">
      <c r="A32" t="s">
        <v>180</v>
      </c>
      <c r="B32" t="s">
        <v>193</v>
      </c>
      <c r="C32" s="112">
        <v>73</v>
      </c>
      <c r="D32" s="101"/>
      <c r="E32" s="101">
        <v>1.5037</v>
      </c>
      <c r="F32" s="101"/>
      <c r="G32" s="101" t="s">
        <v>192</v>
      </c>
      <c r="H32" s="101"/>
      <c r="I32" s="101">
        <v>73</v>
      </c>
      <c r="J32" s="101"/>
      <c r="K32" s="101">
        <v>0</v>
      </c>
      <c r="L32" s="101"/>
      <c r="M32" s="101"/>
      <c r="N32" s="102"/>
      <c r="O32" s="101"/>
      <c r="P32" s="101"/>
      <c r="Q32" s="101"/>
      <c r="R32" s="102"/>
      <c r="S32" s="101"/>
      <c r="T32" s="102"/>
      <c r="U32" s="101"/>
      <c r="V32" s="102"/>
      <c r="W32" s="26"/>
      <c r="Y32" s="37"/>
      <c r="Z32" s="37"/>
      <c r="AA32" s="37"/>
      <c r="AB32" s="37"/>
      <c r="AC32" s="37"/>
      <c r="AD32" s="37"/>
      <c r="AE32" s="37"/>
      <c r="AI32" s="43"/>
    </row>
    <row r="33" spans="1:31" ht="18.75" x14ac:dyDescent="0.3">
      <c r="Y33" s="37"/>
      <c r="Z33" s="37"/>
      <c r="AA33" s="37"/>
      <c r="AB33" s="37"/>
      <c r="AC33" s="37"/>
      <c r="AD33" s="37"/>
      <c r="AE33" s="37"/>
    </row>
    <row r="34" spans="1:31" ht="18.75" customHeight="1" x14ac:dyDescent="0.3">
      <c r="A34" s="116" t="s">
        <v>206</v>
      </c>
      <c r="B34" s="116"/>
      <c r="C34" s="116"/>
      <c r="D34" s="116"/>
      <c r="E34" s="116"/>
      <c r="F34" s="116"/>
      <c r="G34" s="116"/>
      <c r="H34" s="116"/>
      <c r="I34" s="116"/>
      <c r="Q34" s="103" t="s">
        <v>186</v>
      </c>
      <c r="R34" s="103"/>
      <c r="S34" s="103"/>
      <c r="T34" s="103"/>
      <c r="U34" s="103"/>
      <c r="V34" s="103"/>
      <c r="W34" s="103"/>
    </row>
    <row r="35" spans="1:31" s="11" customFormat="1" ht="27.75" customHeight="1" thickBot="1" x14ac:dyDescent="0.35">
      <c r="A35" s="98" t="s">
        <v>207</v>
      </c>
      <c r="B35" s="98"/>
      <c r="C35" s="98"/>
      <c r="D35" s="98"/>
      <c r="E35" s="98"/>
      <c r="F35" s="98" t="s">
        <v>208</v>
      </c>
      <c r="G35" s="98"/>
      <c r="H35" s="98"/>
      <c r="I35" s="98"/>
      <c r="Q35" s="71" t="s">
        <v>103</v>
      </c>
      <c r="R35" s="71" t="s">
        <v>104</v>
      </c>
      <c r="S35" s="71" t="s">
        <v>105</v>
      </c>
      <c r="T35" s="71" t="s">
        <v>109</v>
      </c>
      <c r="U35" s="71" t="s">
        <v>110</v>
      </c>
      <c r="V35" s="71" t="s">
        <v>111</v>
      </c>
      <c r="W35" s="71" t="s">
        <v>120</v>
      </c>
      <c r="X35" s="38"/>
      <c r="Y35" s="38"/>
      <c r="AC35" s="38"/>
    </row>
    <row r="36" spans="1:31" s="11" customFormat="1" ht="27.75" customHeight="1" thickTop="1" x14ac:dyDescent="0.35">
      <c r="A36" s="97" t="s">
        <v>214</v>
      </c>
      <c r="B36" s="96">
        <v>0.5</v>
      </c>
      <c r="C36" s="93"/>
      <c r="D36" s="93"/>
      <c r="E36" s="93"/>
      <c r="F36" s="93"/>
      <c r="G36" s="93"/>
      <c r="H36" s="93"/>
      <c r="I36" s="93"/>
      <c r="Q36" s="92"/>
      <c r="R36" s="92"/>
      <c r="S36" s="92"/>
      <c r="T36" s="92"/>
      <c r="U36" s="92"/>
      <c r="V36" s="92"/>
      <c r="W36" s="92"/>
      <c r="X36" s="38"/>
      <c r="Y36" s="38"/>
      <c r="AC36" s="38"/>
    </row>
    <row r="37" spans="1:31" s="11" customFormat="1" ht="42" customHeight="1" x14ac:dyDescent="0.4">
      <c r="A37" s="95" t="s">
        <v>209</v>
      </c>
      <c r="B37" s="95" t="s">
        <v>213</v>
      </c>
      <c r="C37" s="95" t="s">
        <v>210</v>
      </c>
      <c r="D37" s="95" t="s">
        <v>211</v>
      </c>
      <c r="E37" s="95" t="s">
        <v>3</v>
      </c>
      <c r="F37" s="95" t="s">
        <v>212</v>
      </c>
      <c r="G37" s="95" t="s">
        <v>210</v>
      </c>
      <c r="H37" s="95" t="s">
        <v>213</v>
      </c>
      <c r="I37" s="95" t="s">
        <v>209</v>
      </c>
      <c r="Q37" s="75">
        <f>SUM(U71:U91)+J16</f>
        <v>42.255841046815853</v>
      </c>
      <c r="R37" s="76">
        <f>SUM(X71:X91)</f>
        <v>-5537.5825241753064</v>
      </c>
      <c r="S37" s="74">
        <f>SUM(W71:W91)</f>
        <v>0.29860684610726318</v>
      </c>
      <c r="T37" s="76">
        <f>S37*62500</f>
        <v>18662.927881703949</v>
      </c>
      <c r="U37" s="73">
        <v>0.02</v>
      </c>
      <c r="V37" s="77">
        <f>-1*U37*W37</f>
        <v>-1020.625</v>
      </c>
      <c r="W37" s="77">
        <f>AG69</f>
        <v>51031.25</v>
      </c>
      <c r="X37" s="46"/>
      <c r="Y37" s="46"/>
      <c r="AC37" s="38"/>
    </row>
    <row r="38" spans="1:31" ht="21" x14ac:dyDescent="0.35">
      <c r="A38" s="78">
        <v>0</v>
      </c>
      <c r="B38" s="94">
        <v>7</v>
      </c>
      <c r="C38" s="78">
        <v>0</v>
      </c>
      <c r="D38" s="76"/>
      <c r="E38" s="76"/>
      <c r="F38" s="76"/>
      <c r="G38" s="78">
        <v>0</v>
      </c>
      <c r="H38" s="94">
        <v>7</v>
      </c>
      <c r="I38" s="78">
        <v>0</v>
      </c>
      <c r="Q38" s="71" t="s">
        <v>131</v>
      </c>
      <c r="R38" s="76">
        <f>ticksUpToLoss(V37,Q37,R37)</f>
        <v>156.38611685220471</v>
      </c>
      <c r="S38" s="76">
        <f>ticksDownToLoss(V37,Q37,R37)</f>
        <v>-3.7713581110376992</v>
      </c>
      <c r="T38" s="76"/>
      <c r="U38" s="76"/>
      <c r="V38" s="76"/>
      <c r="W38" s="76"/>
      <c r="X38" s="37"/>
      <c r="Y38" s="37"/>
      <c r="Z38" s="37"/>
      <c r="AA38" s="37"/>
      <c r="AB38" s="37"/>
      <c r="AC38" s="37"/>
    </row>
    <row r="39" spans="1:31" ht="23.25" x14ac:dyDescent="0.35">
      <c r="A39" s="78">
        <v>0</v>
      </c>
      <c r="B39" s="94">
        <v>6</v>
      </c>
      <c r="C39" s="78">
        <v>0</v>
      </c>
      <c r="D39" s="76"/>
      <c r="E39" s="76"/>
      <c r="F39" s="76"/>
      <c r="G39" s="78">
        <v>0</v>
      </c>
      <c r="H39" s="94">
        <v>6</v>
      </c>
      <c r="I39" s="78">
        <v>0</v>
      </c>
      <c r="Q39" s="71" t="s">
        <v>132</v>
      </c>
      <c r="R39" s="76">
        <f>Q37+R37*(R38*0.0001)</f>
        <v>-44.344261723624761</v>
      </c>
      <c r="S39" s="76">
        <f>Q37+R37*(S38*0.0001)</f>
        <v>44.344261723624768</v>
      </c>
      <c r="T39" s="76"/>
      <c r="U39" s="76"/>
      <c r="V39" s="76"/>
      <c r="W39" s="76"/>
      <c r="Y39" s="32"/>
      <c r="Z39" s="32"/>
      <c r="AA39" s="32"/>
      <c r="AB39" s="32"/>
      <c r="AC39" s="45"/>
      <c r="AD39" s="45"/>
      <c r="AE39" s="45"/>
    </row>
    <row r="40" spans="1:31" ht="21" x14ac:dyDescent="0.35">
      <c r="A40" s="78">
        <v>0</v>
      </c>
      <c r="B40" s="94">
        <v>5</v>
      </c>
      <c r="C40" s="78">
        <v>0</v>
      </c>
      <c r="D40" s="76"/>
      <c r="E40" s="76"/>
      <c r="F40" s="76"/>
      <c r="G40" s="78">
        <v>0</v>
      </c>
      <c r="H40" s="94">
        <v>5</v>
      </c>
      <c r="I40" s="78">
        <v>0</v>
      </c>
      <c r="Q40" s="103" t="s">
        <v>133</v>
      </c>
      <c r="R40" s="103"/>
      <c r="S40" s="103"/>
      <c r="T40" s="103" t="s">
        <v>189</v>
      </c>
      <c r="U40" s="103"/>
      <c r="V40" s="103">
        <v>0</v>
      </c>
      <c r="W40" s="103"/>
      <c r="Y40" s="37"/>
      <c r="Z40" s="37"/>
      <c r="AA40" s="37"/>
      <c r="AB40" s="37"/>
      <c r="AC40" s="37"/>
    </row>
    <row r="41" spans="1:31" ht="21" x14ac:dyDescent="0.35">
      <c r="A41" s="78">
        <v>0</v>
      </c>
      <c r="B41" s="94">
        <v>4</v>
      </c>
      <c r="C41" s="78">
        <v>0</v>
      </c>
      <c r="D41" s="76"/>
      <c r="E41" s="76"/>
      <c r="F41" s="76"/>
      <c r="G41" s="78">
        <v>0</v>
      </c>
      <c r="H41" s="94">
        <v>4</v>
      </c>
      <c r="I41" s="78">
        <v>0</v>
      </c>
      <c r="Q41" s="71" t="s">
        <v>134</v>
      </c>
      <c r="R41" s="84">
        <f>midMarket(N16,O16)+R38/10000</f>
        <v>1.5379886116852204</v>
      </c>
      <c r="S41" s="76">
        <f>ROUND(-R39,0)</f>
        <v>44</v>
      </c>
      <c r="T41" s="72" t="s">
        <v>187</v>
      </c>
      <c r="U41" s="78">
        <v>25</v>
      </c>
      <c r="V41" s="84"/>
      <c r="W41" s="76"/>
      <c r="Y41" s="37"/>
      <c r="Z41" s="37"/>
      <c r="AA41" s="37"/>
      <c r="AB41" s="37"/>
      <c r="AC41" s="37"/>
    </row>
    <row r="42" spans="1:31" ht="21" x14ac:dyDescent="0.35">
      <c r="A42" s="78">
        <v>0</v>
      </c>
      <c r="B42" s="94">
        <v>3</v>
      </c>
      <c r="C42" s="78">
        <v>0</v>
      </c>
      <c r="D42" s="76"/>
      <c r="E42" s="76"/>
      <c r="F42" s="76"/>
      <c r="G42" s="78">
        <v>0</v>
      </c>
      <c r="H42" s="94">
        <v>3</v>
      </c>
      <c r="I42" s="78">
        <v>0</v>
      </c>
      <c r="Q42" s="71" t="s">
        <v>144</v>
      </c>
      <c r="R42" s="84">
        <f>midMarket(N16,O16)+S38/10000</f>
        <v>1.5219728641888961</v>
      </c>
      <c r="S42" s="76">
        <f>ROUND(-S39,0)</f>
        <v>-44</v>
      </c>
      <c r="T42" s="72" t="s">
        <v>188</v>
      </c>
      <c r="U42" s="78">
        <v>2</v>
      </c>
      <c r="V42" s="84">
        <v>1.5201</v>
      </c>
      <c r="W42" s="76">
        <v>37</v>
      </c>
      <c r="X42" s="37"/>
      <c r="Y42" s="37"/>
      <c r="Z42" s="37"/>
      <c r="AA42" s="37"/>
      <c r="AB42" s="37"/>
      <c r="AC42" s="37"/>
    </row>
    <row r="43" spans="1:31" ht="21" x14ac:dyDescent="0.35">
      <c r="A43" s="78">
        <v>7</v>
      </c>
      <c r="B43" s="94">
        <v>2</v>
      </c>
      <c r="C43" s="78">
        <v>-4</v>
      </c>
      <c r="D43" s="76"/>
      <c r="E43" s="76"/>
      <c r="F43" s="76"/>
      <c r="G43" s="78">
        <v>-4</v>
      </c>
      <c r="H43" s="94">
        <v>2</v>
      </c>
      <c r="I43" s="78">
        <v>8</v>
      </c>
    </row>
    <row r="44" spans="1:31" ht="21" x14ac:dyDescent="0.35">
      <c r="A44" s="78">
        <v>5</v>
      </c>
      <c r="B44" s="94">
        <v>1</v>
      </c>
      <c r="C44" s="78">
        <v>-3</v>
      </c>
      <c r="D44" s="76"/>
      <c r="E44" s="76"/>
      <c r="F44" s="76"/>
      <c r="G44" s="78">
        <v>-3</v>
      </c>
      <c r="H44" s="94">
        <v>1</v>
      </c>
      <c r="I44" s="78">
        <v>6</v>
      </c>
      <c r="P44" t="s">
        <v>205</v>
      </c>
    </row>
    <row r="45" spans="1:31" ht="21" x14ac:dyDescent="0.35">
      <c r="A45" s="78">
        <v>1</v>
      </c>
      <c r="B45" s="94">
        <v>0</v>
      </c>
      <c r="C45" s="78">
        <v>-3</v>
      </c>
      <c r="D45" s="76"/>
      <c r="E45" s="76"/>
      <c r="F45" s="76"/>
      <c r="G45" s="78">
        <v>-3</v>
      </c>
      <c r="H45" s="94">
        <v>0</v>
      </c>
      <c r="I45" s="78">
        <v>2</v>
      </c>
    </row>
    <row r="46" spans="1:31" ht="21" x14ac:dyDescent="0.35">
      <c r="A46" s="78">
        <v>3</v>
      </c>
      <c r="B46" s="94">
        <v>-1</v>
      </c>
      <c r="C46" s="78">
        <v>-1</v>
      </c>
      <c r="D46" s="76"/>
      <c r="E46" s="76"/>
      <c r="F46" s="76"/>
      <c r="G46" s="78">
        <v>-1</v>
      </c>
      <c r="H46" s="94">
        <v>-1</v>
      </c>
      <c r="I46" s="78">
        <v>4</v>
      </c>
    </row>
    <row r="47" spans="1:31" ht="21" x14ac:dyDescent="0.35">
      <c r="A47" s="78">
        <v>0</v>
      </c>
      <c r="B47" s="94">
        <v>-2</v>
      </c>
      <c r="C47" s="78">
        <v>0</v>
      </c>
      <c r="D47" s="76"/>
      <c r="E47" s="76"/>
      <c r="F47" s="76"/>
      <c r="G47" s="78">
        <v>0</v>
      </c>
      <c r="H47" s="94">
        <v>-2</v>
      </c>
      <c r="I47" s="78">
        <v>0</v>
      </c>
    </row>
    <row r="48" spans="1:31" ht="21" x14ac:dyDescent="0.35">
      <c r="A48" s="78">
        <v>0</v>
      </c>
      <c r="B48" s="94">
        <v>-3</v>
      </c>
      <c r="C48" s="78">
        <v>0</v>
      </c>
      <c r="D48" s="76"/>
      <c r="E48" s="76"/>
      <c r="F48" s="76"/>
      <c r="G48" s="78">
        <v>0</v>
      </c>
      <c r="H48" s="94">
        <v>-3</v>
      </c>
      <c r="I48" s="78">
        <v>0</v>
      </c>
    </row>
    <row r="49" spans="1:15" s="11" customFormat="1" ht="26.25" customHeight="1" x14ac:dyDescent="0.35">
      <c r="A49" s="78">
        <v>0</v>
      </c>
      <c r="B49" s="94">
        <v>-4</v>
      </c>
      <c r="C49" s="78">
        <v>0</v>
      </c>
      <c r="D49" s="76"/>
      <c r="E49" s="76"/>
      <c r="F49" s="76"/>
      <c r="G49" s="78">
        <v>0</v>
      </c>
      <c r="H49" s="94">
        <v>-4</v>
      </c>
      <c r="I49" s="78">
        <v>0</v>
      </c>
    </row>
    <row r="50" spans="1:15" ht="21" x14ac:dyDescent="0.35">
      <c r="A50" s="78">
        <v>0</v>
      </c>
      <c r="B50" s="94">
        <v>-5</v>
      </c>
      <c r="C50" s="78">
        <v>0</v>
      </c>
      <c r="D50" s="76"/>
      <c r="E50" s="76"/>
      <c r="F50" s="76"/>
      <c r="G50" s="78">
        <v>0</v>
      </c>
      <c r="H50" s="94">
        <v>-5</v>
      </c>
      <c r="I50" s="78">
        <v>0</v>
      </c>
    </row>
    <row r="51" spans="1:15" ht="21" x14ac:dyDescent="0.35">
      <c r="A51" s="78">
        <v>0</v>
      </c>
      <c r="B51" s="94">
        <v>-6</v>
      </c>
      <c r="C51" s="78">
        <v>0</v>
      </c>
      <c r="D51" s="76"/>
      <c r="E51" s="76"/>
      <c r="F51" s="76"/>
      <c r="G51" s="78">
        <v>0</v>
      </c>
      <c r="H51" s="94">
        <v>-6</v>
      </c>
      <c r="I51" s="78">
        <v>0</v>
      </c>
    </row>
    <row r="52" spans="1:15" ht="21" x14ac:dyDescent="0.35">
      <c r="A52" s="78">
        <v>0</v>
      </c>
      <c r="B52" s="94">
        <v>-7</v>
      </c>
      <c r="C52" s="78">
        <v>0</v>
      </c>
      <c r="D52" s="76"/>
      <c r="E52" s="76"/>
      <c r="F52" s="76"/>
      <c r="G52" s="78">
        <v>0</v>
      </c>
      <c r="H52" s="94">
        <v>-7</v>
      </c>
      <c r="I52" s="78">
        <v>0</v>
      </c>
    </row>
    <row r="56" spans="1:15" x14ac:dyDescent="0.25">
      <c r="A56" s="107" t="s">
        <v>166</v>
      </c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</row>
    <row r="57" spans="1:15" x14ac:dyDescent="0.25">
      <c r="A57" s="87" t="s">
        <v>26</v>
      </c>
      <c r="B57" s="105" t="s">
        <v>27</v>
      </c>
      <c r="C57" s="105"/>
      <c r="D57" s="105"/>
      <c r="E57" s="105"/>
      <c r="F57" s="88"/>
      <c r="G57" s="105" t="s">
        <v>28</v>
      </c>
      <c r="H57" s="105"/>
      <c r="I57" s="105"/>
      <c r="J57" s="105"/>
      <c r="K57" s="105"/>
      <c r="L57" s="88"/>
      <c r="M57" s="105" t="s">
        <v>167</v>
      </c>
      <c r="N57" s="105"/>
      <c r="O57" s="106"/>
    </row>
    <row r="58" spans="1:15" ht="30" x14ac:dyDescent="0.25">
      <c r="A58" s="89" t="s">
        <v>0</v>
      </c>
      <c r="B58" s="90" t="s">
        <v>32</v>
      </c>
      <c r="C58" s="90" t="s">
        <v>33</v>
      </c>
      <c r="D58" s="90" t="s">
        <v>34</v>
      </c>
      <c r="E58" s="90" t="s">
        <v>47</v>
      </c>
      <c r="F58" s="90" t="s">
        <v>197</v>
      </c>
      <c r="G58" s="90" t="s">
        <v>12</v>
      </c>
      <c r="H58" s="90" t="s">
        <v>37</v>
      </c>
      <c r="I58" s="90" t="s">
        <v>38</v>
      </c>
      <c r="J58" s="90" t="s">
        <v>39</v>
      </c>
      <c r="K58" s="90" t="s">
        <v>40</v>
      </c>
      <c r="L58" s="90" t="s">
        <v>168</v>
      </c>
      <c r="M58" s="90" t="s">
        <v>169</v>
      </c>
      <c r="N58" s="90" t="s">
        <v>170</v>
      </c>
      <c r="O58" s="90" t="s">
        <v>171</v>
      </c>
    </row>
    <row r="59" spans="1:15" x14ac:dyDescent="0.25">
      <c r="A59" s="2" t="s">
        <v>180</v>
      </c>
      <c r="B59" s="16" t="s">
        <v>184</v>
      </c>
      <c r="C59" s="16">
        <v>0</v>
      </c>
      <c r="D59" s="16" t="s">
        <v>318</v>
      </c>
      <c r="E59" s="16">
        <v>0</v>
      </c>
      <c r="F59" s="2">
        <v>8823</v>
      </c>
      <c r="G59" s="18" t="s">
        <v>226</v>
      </c>
      <c r="H59" s="2">
        <v>0</v>
      </c>
      <c r="I59" s="2">
        <v>0</v>
      </c>
      <c r="J59" s="2">
        <v>0</v>
      </c>
      <c r="K59" s="2">
        <v>0</v>
      </c>
      <c r="L59" s="2"/>
      <c r="M59" s="2"/>
      <c r="N59" s="2"/>
      <c r="O59" s="2"/>
    </row>
    <row r="60" spans="1:15" x14ac:dyDescent="0.25">
      <c r="A60" s="2" t="s">
        <v>180</v>
      </c>
      <c r="B60" s="16" t="s">
        <v>184</v>
      </c>
      <c r="C60" s="16">
        <v>0</v>
      </c>
      <c r="D60" s="16" t="s">
        <v>318</v>
      </c>
      <c r="E60" s="16">
        <v>0</v>
      </c>
      <c r="F60" s="2">
        <v>8823</v>
      </c>
      <c r="G60" s="18" t="s">
        <v>226</v>
      </c>
      <c r="H60" s="2">
        <v>0</v>
      </c>
      <c r="I60" s="2">
        <v>0</v>
      </c>
      <c r="J60" s="2">
        <v>0</v>
      </c>
      <c r="K60" s="2">
        <v>0</v>
      </c>
      <c r="L60" s="2"/>
      <c r="M60" s="2"/>
      <c r="N60" s="2"/>
      <c r="O60" s="2"/>
    </row>
    <row r="61" spans="1:15" x14ac:dyDescent="0.25">
      <c r="A61" s="2"/>
      <c r="B61" s="16"/>
      <c r="C61" s="16"/>
      <c r="D61" s="16"/>
      <c r="E61" s="16"/>
      <c r="F61" s="2"/>
      <c r="G61" s="18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2"/>
      <c r="B62" s="16"/>
      <c r="C62" s="16"/>
      <c r="D62" s="16"/>
      <c r="E62" s="16"/>
      <c r="F62" s="2"/>
      <c r="G62" s="18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2"/>
      <c r="B63" s="16"/>
      <c r="C63" s="16"/>
      <c r="D63" s="16"/>
      <c r="E63" s="16"/>
      <c r="F63" s="2"/>
      <c r="G63" s="18"/>
      <c r="H63" s="2"/>
      <c r="I63" s="2"/>
      <c r="J63" s="2"/>
      <c r="K63" s="2"/>
      <c r="L63" s="2"/>
      <c r="M63" s="2"/>
      <c r="N63" s="2"/>
      <c r="O63" s="2"/>
    </row>
    <row r="64" spans="1:15" ht="15.75" x14ac:dyDescent="0.25">
      <c r="A64" s="91" t="s">
        <v>199</v>
      </c>
      <c r="B64" s="76">
        <f>ticksUpToLoss(F63,A63,B63)</f>
        <v>0</v>
      </c>
      <c r="C64" s="91" t="s">
        <v>200</v>
      </c>
      <c r="D64" s="76">
        <f>ticksUpToLoss(H63,C63,D63)</f>
        <v>0</v>
      </c>
      <c r="E64" s="91" t="s">
        <v>174</v>
      </c>
      <c r="F64" s="76">
        <f>ticksUpToLoss(J63,E63,F63)</f>
        <v>0</v>
      </c>
      <c r="G64" s="91" t="s">
        <v>201</v>
      </c>
      <c r="H64" s="76">
        <f>ticksUpToLoss(L63,G63,H63)</f>
        <v>0</v>
      </c>
      <c r="I64" s="115" t="s">
        <v>202</v>
      </c>
      <c r="J64" s="115"/>
      <c r="K64" s="76"/>
      <c r="L64" s="76"/>
      <c r="M64" s="76"/>
      <c r="N64" s="76"/>
      <c r="O64" s="76"/>
    </row>
    <row r="65" spans="1:33" ht="15.75" x14ac:dyDescent="0.25">
      <c r="A65" s="91" t="s">
        <v>198</v>
      </c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</row>
    <row r="69" spans="1:33" x14ac:dyDescent="0.25">
      <c r="A69" s="111" t="s">
        <v>13</v>
      </c>
      <c r="B69" s="111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11"/>
      <c r="N69" s="104" t="s">
        <v>101</v>
      </c>
      <c r="O69" s="104"/>
      <c r="P69" s="104"/>
      <c r="Q69" s="104"/>
      <c r="R69" s="104"/>
      <c r="S69" s="104"/>
      <c r="T69" s="104" t="s">
        <v>108</v>
      </c>
      <c r="U69" s="104"/>
      <c r="V69" s="104"/>
      <c r="W69" s="104"/>
      <c r="AG69" s="48">
        <f>SUM(AD71:AD91)</f>
        <v>51031.25</v>
      </c>
    </row>
    <row r="70" spans="1:33" ht="30" x14ac:dyDescent="0.25">
      <c r="A70" s="1" t="s">
        <v>9</v>
      </c>
      <c r="B70" s="1" t="s">
        <v>11</v>
      </c>
      <c r="C70" s="1" t="s">
        <v>172</v>
      </c>
      <c r="D70" s="1" t="s">
        <v>157</v>
      </c>
      <c r="E70" s="1" t="s">
        <v>158</v>
      </c>
      <c r="F70" s="1" t="s">
        <v>179</v>
      </c>
      <c r="G70" s="1" t="s">
        <v>173</v>
      </c>
      <c r="H70" s="61" t="s">
        <v>19</v>
      </c>
      <c r="I70" s="61" t="s">
        <v>21</v>
      </c>
      <c r="J70" s="61" t="s">
        <v>22</v>
      </c>
      <c r="K70" s="61" t="s">
        <v>18</v>
      </c>
      <c r="L70" s="61" t="s">
        <v>20</v>
      </c>
      <c r="M70" s="61" t="s">
        <v>23</v>
      </c>
      <c r="N70" s="31" t="s">
        <v>102</v>
      </c>
      <c r="O70" s="31" t="s">
        <v>103</v>
      </c>
      <c r="P70" s="31" t="s">
        <v>104</v>
      </c>
      <c r="Q70" s="31" t="s">
        <v>105</v>
      </c>
      <c r="R70" s="31" t="s">
        <v>106</v>
      </c>
      <c r="S70" s="31" t="s">
        <v>107</v>
      </c>
      <c r="T70" s="35" t="s">
        <v>112</v>
      </c>
      <c r="U70" s="31" t="s">
        <v>103</v>
      </c>
      <c r="V70" s="31" t="s">
        <v>104</v>
      </c>
      <c r="W70" s="31" t="s">
        <v>105</v>
      </c>
      <c r="X70" s="35" t="s">
        <v>113</v>
      </c>
      <c r="Y70" s="35" t="s">
        <v>114</v>
      </c>
      <c r="Z70" s="35" t="s">
        <v>119</v>
      </c>
      <c r="AA70" s="50" t="s">
        <v>118</v>
      </c>
      <c r="AB70" s="50" t="s">
        <v>115</v>
      </c>
      <c r="AC70" s="50" t="s">
        <v>116</v>
      </c>
      <c r="AD70" s="50" t="s">
        <v>117</v>
      </c>
    </row>
    <row r="71" spans="1:33" x14ac:dyDescent="0.25">
      <c r="A71" s="2" t="s">
        <v>219</v>
      </c>
      <c r="B71" s="2">
        <v>-50</v>
      </c>
      <c r="C71" s="2">
        <v>2.8029999999999999E-3</v>
      </c>
      <c r="D71" s="2">
        <v>-8759.43</v>
      </c>
      <c r="E71" s="2">
        <v>191.29</v>
      </c>
      <c r="F71" s="28">
        <v>805.07</v>
      </c>
      <c r="G71" s="2">
        <v>0</v>
      </c>
      <c r="H71" s="2">
        <v>2.7000000000000001E-3</v>
      </c>
      <c r="I71" s="2">
        <v>1</v>
      </c>
      <c r="J71" s="2">
        <v>2</v>
      </c>
      <c r="K71" s="2">
        <v>2.5999999999999999E-3</v>
      </c>
      <c r="L71" s="2">
        <v>2.8E-3</v>
      </c>
      <c r="M71" s="2">
        <v>46</v>
      </c>
      <c r="N71" s="2">
        <v>0.12720284405386906</v>
      </c>
      <c r="O71" s="2">
        <v>-0.25085025401766681</v>
      </c>
      <c r="P71" s="2">
        <v>0</v>
      </c>
      <c r="Q71" s="33">
        <v>-8.939187614709301E-4</v>
      </c>
      <c r="R71" s="2">
        <v>4.4937466763346912E-4</v>
      </c>
      <c r="S71" s="2">
        <v>1.5222</v>
      </c>
      <c r="T71" s="2">
        <v>15.493755496838427</v>
      </c>
      <c r="U71" s="2">
        <f t="shared" ref="U71:U91" si="0">O71*B71</f>
        <v>12.542512700883341</v>
      </c>
      <c r="V71" s="2">
        <v>1.5804</v>
      </c>
      <c r="W71" s="2">
        <f t="shared" ref="W71:W91" si="1">Q71*B71</f>
        <v>4.4695938073546507E-2</v>
      </c>
      <c r="X71">
        <f>IF(ISERR(T71),0,T71*B71)</f>
        <v>-774.68777484192128</v>
      </c>
      <c r="Y71">
        <f t="shared" ref="Y71:Y91" si="2">IF(X71 = 0,0,(W71*-10000)/X71)</f>
        <v>0.57695421981671169</v>
      </c>
      <c r="Z71" s="85">
        <f>midMarket(K71,L71) +AA71/10000</f>
        <v>2.7000000000000001E-3</v>
      </c>
      <c r="AA71">
        <f>IF(rightFromSymbol(A71)="C",MAX(0,$N$16-strikeFromSymbol(A71)),MAX(0,strikeFromSymbol(A71)-$N$16))*10000</f>
        <v>0</v>
      </c>
      <c r="AB71" s="86">
        <f>MAX(0,Z71-AA71) * 10000</f>
        <v>27</v>
      </c>
      <c r="AC71" s="49">
        <f t="shared" ref="AC71:AC91" si="3">-AB71*B71</f>
        <v>1350</v>
      </c>
      <c r="AD71" s="48">
        <f t="shared" ref="AD71:AD79" si="4">MAX(0,AC71*6.25)</f>
        <v>8437.5</v>
      </c>
    </row>
    <row r="72" spans="1:33" x14ac:dyDescent="0.25">
      <c r="A72" s="2" t="s">
        <v>220</v>
      </c>
      <c r="B72" s="2">
        <v>-30</v>
      </c>
      <c r="C72" s="2">
        <v>4.1053499999999998E-3</v>
      </c>
      <c r="D72" s="2">
        <v>-7697.5</v>
      </c>
      <c r="E72" s="2">
        <v>268.37333335</v>
      </c>
      <c r="F72" s="28">
        <v>353.7</v>
      </c>
      <c r="G72" s="2">
        <v>0</v>
      </c>
      <c r="H72" s="2">
        <v>4.5999999999999999E-3</v>
      </c>
      <c r="I72" s="2">
        <v>1</v>
      </c>
      <c r="J72" s="2">
        <v>11</v>
      </c>
      <c r="K72" s="2">
        <v>3.8999999999999998E-3</v>
      </c>
      <c r="L72" s="2">
        <v>4.1000000000000003E-3</v>
      </c>
      <c r="M72" s="2">
        <v>30</v>
      </c>
      <c r="N72" s="2">
        <v>0.12346129805086292</v>
      </c>
      <c r="O72" s="2">
        <v>-0.34110375576494556</v>
      </c>
      <c r="P72" s="2">
        <v>0</v>
      </c>
      <c r="Q72" s="33">
        <v>-9.9944374915751188E-4</v>
      </c>
      <c r="R72" s="2">
        <v>5.2840024078861739E-4</v>
      </c>
      <c r="S72" s="2">
        <v>1.5222</v>
      </c>
      <c r="T72" s="2">
        <v>17.637472741370789</v>
      </c>
      <c r="U72" s="2">
        <f t="shared" si="0"/>
        <v>10.233112672948367</v>
      </c>
      <c r="V72" s="2">
        <v>1.5804</v>
      </c>
      <c r="W72" s="2">
        <f t="shared" si="1"/>
        <v>2.9983312474725358E-2</v>
      </c>
      <c r="X72">
        <f t="shared" ref="X72:X91" si="5">IF(ISERR(T72),0,T72*B72)</f>
        <v>-529.12418224112366</v>
      </c>
      <c r="Y72">
        <f t="shared" si="2"/>
        <v>0.56665927358923585</v>
      </c>
      <c r="Z72" s="85">
        <f>midMarket(K72,L72) +AA72/10000</f>
        <v>4.0000000000000001E-3</v>
      </c>
      <c r="AA72">
        <f>IF(rightFromSymbol(A72)="C",MAX(0,$N$16-strikeFromSymbol(A72)),MAX(0,strikeFromSymbol(A72)-$N$16))*10000</f>
        <v>0</v>
      </c>
      <c r="AB72" s="86">
        <f t="shared" ref="AB72:AB91" si="6">MAX(0,Z72-AA72) * 10000</f>
        <v>40</v>
      </c>
      <c r="AC72" s="49">
        <f t="shared" si="3"/>
        <v>1200</v>
      </c>
      <c r="AD72" s="48">
        <f t="shared" si="4"/>
        <v>7500</v>
      </c>
    </row>
    <row r="73" spans="1:33" x14ac:dyDescent="0.25">
      <c r="A73" s="2" t="s">
        <v>221</v>
      </c>
      <c r="B73" s="2">
        <v>-90</v>
      </c>
      <c r="C73" s="2">
        <v>8.2048499999999996E-3</v>
      </c>
      <c r="D73" s="2">
        <v>-46152.27</v>
      </c>
      <c r="E73" s="2">
        <v>533.79</v>
      </c>
      <c r="F73" s="28">
        <v>1888.83</v>
      </c>
      <c r="G73" s="2">
        <v>0</v>
      </c>
      <c r="H73" s="2">
        <v>0</v>
      </c>
      <c r="I73" s="2">
        <v>0</v>
      </c>
      <c r="J73" s="2">
        <v>2</v>
      </c>
      <c r="K73" s="2">
        <v>8.0999999999999996E-3</v>
      </c>
      <c r="L73" s="2">
        <v>8.2000000000000007E-3</v>
      </c>
      <c r="M73" s="2">
        <v>25</v>
      </c>
      <c r="N73" s="2">
        <v>0.12055269222137355</v>
      </c>
      <c r="O73" s="2">
        <v>0.55254894358751261</v>
      </c>
      <c r="P73" s="2">
        <v>0</v>
      </c>
      <c r="Q73" s="33">
        <v>-1.0521845719460069E-3</v>
      </c>
      <c r="R73" s="2">
        <v>5.7337652567232729E-4</v>
      </c>
      <c r="S73" s="2">
        <v>1.5222</v>
      </c>
      <c r="T73" s="2">
        <v>19.02787555559232</v>
      </c>
      <c r="U73" s="2">
        <f t="shared" si="0"/>
        <v>-49.729404922876135</v>
      </c>
      <c r="V73" s="2">
        <v>1.5804</v>
      </c>
      <c r="W73" s="2">
        <f t="shared" si="1"/>
        <v>9.4696611475140621E-2</v>
      </c>
      <c r="X73">
        <f t="shared" si="5"/>
        <v>-1712.5088000033088</v>
      </c>
      <c r="Y73">
        <f t="shared" si="2"/>
        <v>0.55297007218273941</v>
      </c>
      <c r="Z73" s="85">
        <f>midMarket(K73,L73) +AA73/10000</f>
        <v>1.044999999999997E-2</v>
      </c>
      <c r="AA73">
        <f>IF(rightFromSymbol(A73)="C",MAX(0,$N$16-strikeFromSymbol(A73)),MAX(0,strikeFromSymbol(A73)-$N$16))*10000</f>
        <v>22.999999999999687</v>
      </c>
      <c r="AB73" s="86">
        <f t="shared" si="6"/>
        <v>0</v>
      </c>
      <c r="AC73" s="49">
        <f t="shared" si="3"/>
        <v>0</v>
      </c>
      <c r="AD73" s="48">
        <f t="shared" si="4"/>
        <v>0</v>
      </c>
    </row>
    <row r="74" spans="1:33" x14ac:dyDescent="0.25">
      <c r="A74" s="2" t="s">
        <v>222</v>
      </c>
      <c r="B74" s="2">
        <v>-30</v>
      </c>
      <c r="C74" s="2">
        <v>5.6064000000000001E-3</v>
      </c>
      <c r="D74" s="2">
        <v>-10512</v>
      </c>
      <c r="E74" s="2">
        <v>370.45666664999999</v>
      </c>
      <c r="F74" s="28">
        <v>601.70000000000005</v>
      </c>
      <c r="G74" s="2">
        <v>0</v>
      </c>
      <c r="H74" s="2">
        <v>6.6E-3</v>
      </c>
      <c r="I74" s="2">
        <v>5</v>
      </c>
      <c r="J74" s="2">
        <v>11</v>
      </c>
      <c r="K74" s="2">
        <v>5.4999999999999997E-3</v>
      </c>
      <c r="L74" s="2">
        <v>5.5999999999999999E-3</v>
      </c>
      <c r="M74" s="2">
        <v>25</v>
      </c>
      <c r="N74" s="2">
        <v>0.11847702656539383</v>
      </c>
      <c r="O74" s="2">
        <v>0.43748614280770393</v>
      </c>
      <c r="P74" s="2">
        <v>0</v>
      </c>
      <c r="Q74" s="33">
        <v>-1.0302665575536352E-3</v>
      </c>
      <c r="R74" s="2">
        <v>5.7431914443209671E-4</v>
      </c>
      <c r="S74" s="2">
        <v>1.5222</v>
      </c>
      <c r="T74" s="2">
        <v>19.366263336421486</v>
      </c>
      <c r="U74" s="2">
        <f t="shared" si="0"/>
        <v>-13.124584284231117</v>
      </c>
      <c r="V74" s="2">
        <v>1.5804</v>
      </c>
      <c r="W74" s="2">
        <f t="shared" si="1"/>
        <v>3.0907996726609054E-2</v>
      </c>
      <c r="X74">
        <f t="shared" si="5"/>
        <v>-580.98790009264462</v>
      </c>
      <c r="Y74">
        <f t="shared" si="2"/>
        <v>0.53199036884727635</v>
      </c>
      <c r="Z74" s="85">
        <f t="shared" ref="Z74:Z91" si="7">midMarket(K74,L74) +AA74/10000</f>
        <v>5.5499999999999994E-3</v>
      </c>
      <c r="AA74">
        <f>IF(rightFromSymbol(A74)="C",MAX(0,$N$16-strikeFromSymbol(A74)),MAX(0,strikeFromSymbol(A74)-$N$16))*10000</f>
        <v>0</v>
      </c>
      <c r="AB74" s="86">
        <f t="shared" si="6"/>
        <v>55.499999999999993</v>
      </c>
      <c r="AC74" s="49">
        <f t="shared" si="3"/>
        <v>1664.9999999999998</v>
      </c>
      <c r="AD74" s="48">
        <f t="shared" si="4"/>
        <v>10406.249999999998</v>
      </c>
    </row>
    <row r="75" spans="1:33" x14ac:dyDescent="0.25">
      <c r="A75" s="2" t="s">
        <v>223</v>
      </c>
      <c r="B75" s="2">
        <v>-30</v>
      </c>
      <c r="C75" s="2">
        <v>6.0064000000000003E-3</v>
      </c>
      <c r="D75" s="2">
        <v>-11262</v>
      </c>
      <c r="E75" s="2">
        <v>372.54</v>
      </c>
      <c r="F75" s="28">
        <v>-85.8</v>
      </c>
      <c r="G75" s="2">
        <v>0</v>
      </c>
      <c r="H75" s="2">
        <v>0</v>
      </c>
      <c r="I75" s="2">
        <v>0</v>
      </c>
      <c r="J75" s="2">
        <v>11</v>
      </c>
      <c r="K75" s="2">
        <v>5.7999999999999996E-3</v>
      </c>
      <c r="L75" s="2">
        <v>6.0000000000000001E-3</v>
      </c>
      <c r="M75" s="2">
        <v>35</v>
      </c>
      <c r="N75" s="2">
        <v>0.12055269222137355</v>
      </c>
      <c r="O75" s="2">
        <v>-0.44767722412374794</v>
      </c>
      <c r="P75" s="34">
        <v>0</v>
      </c>
      <c r="Q75" s="33">
        <v>-1.0522075534591623E-3</v>
      </c>
      <c r="R75" s="2">
        <v>5.7337823645317934E-4</v>
      </c>
      <c r="S75" s="2">
        <v>1.5222</v>
      </c>
      <c r="T75" s="2">
        <v>19.048145996688952</v>
      </c>
      <c r="U75" s="2">
        <f t="shared" si="0"/>
        <v>13.430316723712439</v>
      </c>
      <c r="V75" s="2">
        <v>1.5804</v>
      </c>
      <c r="W75" s="2">
        <f t="shared" si="1"/>
        <v>3.1566226603774866E-2</v>
      </c>
      <c r="X75">
        <f t="shared" si="5"/>
        <v>-571.44437990066854</v>
      </c>
      <c r="Y75">
        <f t="shared" si="2"/>
        <v>0.55239368369082353</v>
      </c>
      <c r="Z75" s="85">
        <f t="shared" si="7"/>
        <v>5.8999999999999999E-3</v>
      </c>
      <c r="AA75">
        <f>IF(rightFromSymbol(A75)="C",MAX(0,$N$16-strikeFromSymbol(A75)),MAX(0,strikeFromSymbol(A75)-$N$16))*10000</f>
        <v>0</v>
      </c>
      <c r="AB75" s="86">
        <f t="shared" si="6"/>
        <v>59</v>
      </c>
      <c r="AC75" s="49">
        <f t="shared" si="3"/>
        <v>1770</v>
      </c>
      <c r="AD75" s="48">
        <f t="shared" si="4"/>
        <v>11062.5</v>
      </c>
    </row>
    <row r="76" spans="1:33" x14ac:dyDescent="0.25">
      <c r="A76" s="2" t="s">
        <v>224</v>
      </c>
      <c r="B76" s="2">
        <v>-30</v>
      </c>
      <c r="C76" s="2">
        <v>3.6045500000000002E-3</v>
      </c>
      <c r="D76" s="2">
        <v>-6758.57</v>
      </c>
      <c r="E76" s="2">
        <v>241.29</v>
      </c>
      <c r="F76" s="28">
        <v>480.13</v>
      </c>
      <c r="G76" s="2">
        <v>0</v>
      </c>
      <c r="H76" s="2">
        <v>0</v>
      </c>
      <c r="I76" s="2">
        <v>0</v>
      </c>
      <c r="J76" s="2">
        <v>11</v>
      </c>
      <c r="K76" s="2">
        <v>3.5000000000000001E-3</v>
      </c>
      <c r="L76" s="2">
        <v>3.7000000000000002E-3</v>
      </c>
      <c r="M76" s="2">
        <v>35</v>
      </c>
      <c r="N76" s="2">
        <v>0.11723430108291666</v>
      </c>
      <c r="O76" s="2">
        <v>0.32522789770707711</v>
      </c>
      <c r="P76" s="2">
        <v>0</v>
      </c>
      <c r="Q76" s="33">
        <v>-9.3132714276876244E-4</v>
      </c>
      <c r="R76" s="2">
        <v>5.3100930810503913E-4</v>
      </c>
      <c r="S76" s="2">
        <v>1.5222</v>
      </c>
      <c r="T76" s="2">
        <v>18.346356997163554</v>
      </c>
      <c r="U76" s="2">
        <f t="shared" si="0"/>
        <v>-9.7568369312123124</v>
      </c>
      <c r="V76" s="2">
        <v>1.5804</v>
      </c>
      <c r="W76" s="2">
        <f t="shared" si="1"/>
        <v>2.7939814283062872E-2</v>
      </c>
      <c r="X76">
        <f t="shared" si="5"/>
        <v>-550.39070991490667</v>
      </c>
      <c r="Y76">
        <f t="shared" si="2"/>
        <v>0.50763600801660547</v>
      </c>
      <c r="Z76" s="85">
        <f t="shared" si="7"/>
        <v>3.5999999999999999E-3</v>
      </c>
      <c r="AA76">
        <f>IF(rightFromSymbol(A76)="C",MAX(0,$N$16-strikeFromSymbol(A76)),MAX(0,strikeFromSymbol(A76)-$N$16))*10000</f>
        <v>0</v>
      </c>
      <c r="AB76" s="86">
        <f t="shared" si="6"/>
        <v>36</v>
      </c>
      <c r="AC76" s="49">
        <f t="shared" si="3"/>
        <v>1080</v>
      </c>
      <c r="AD76" s="48">
        <f t="shared" si="4"/>
        <v>6750</v>
      </c>
    </row>
    <row r="77" spans="1:33" x14ac:dyDescent="0.25">
      <c r="A77" s="2" t="s">
        <v>225</v>
      </c>
      <c r="B77" s="2">
        <v>-50</v>
      </c>
      <c r="C77" s="2">
        <v>2.3040000000000001E-3</v>
      </c>
      <c r="D77" s="2">
        <v>-7200</v>
      </c>
      <c r="E77" s="2">
        <v>153.79</v>
      </c>
      <c r="F77" s="28">
        <v>489.5</v>
      </c>
      <c r="G77" s="2">
        <v>0</v>
      </c>
      <c r="H77" s="2">
        <v>0</v>
      </c>
      <c r="I77" s="2">
        <v>0</v>
      </c>
      <c r="J77" s="2">
        <v>31</v>
      </c>
      <c r="K77" s="2">
        <v>2.0999999999999999E-3</v>
      </c>
      <c r="L77" s="2">
        <v>2.3E-3</v>
      </c>
      <c r="M77" s="2">
        <v>35</v>
      </c>
      <c r="N77" s="2">
        <v>0.11682451577394914</v>
      </c>
      <c r="O77" s="2">
        <v>0.22678549824817448</v>
      </c>
      <c r="P77" s="2">
        <v>0</v>
      </c>
      <c r="Q77" s="33">
        <v>-7.7633892940807785E-4</v>
      </c>
      <c r="R77" s="2">
        <v>4.530798329119021E-4</v>
      </c>
      <c r="S77" s="2">
        <v>1.5222</v>
      </c>
      <c r="T77" s="2">
        <v>16.368775543614667</v>
      </c>
      <c r="U77" s="2">
        <f t="shared" si="0"/>
        <v>-11.339274912408724</v>
      </c>
      <c r="V77" s="2">
        <v>1.5804</v>
      </c>
      <c r="W77" s="2">
        <f t="shared" si="1"/>
        <v>3.8816946470403894E-2</v>
      </c>
      <c r="X77">
        <f t="shared" si="5"/>
        <v>-818.43877718073338</v>
      </c>
      <c r="Y77">
        <f t="shared" si="2"/>
        <v>0.47428039277557427</v>
      </c>
      <c r="Z77" s="85">
        <f t="shared" si="7"/>
        <v>2.1999999999999997E-3</v>
      </c>
      <c r="AA77">
        <f>IF(rightFromSymbol(A77)="C",MAX(0,$N$16-strikeFromSymbol(A77)),MAX(0,strikeFromSymbol(A77)-$N$16))*10000</f>
        <v>0</v>
      </c>
      <c r="AB77" s="86">
        <f t="shared" si="6"/>
        <v>21.999999999999996</v>
      </c>
      <c r="AC77" s="49">
        <f t="shared" si="3"/>
        <v>1099.9999999999998</v>
      </c>
      <c r="AD77" s="48">
        <f t="shared" si="4"/>
        <v>6874.9999999999982</v>
      </c>
    </row>
    <row r="78" spans="1:33" x14ac:dyDescent="0.25">
      <c r="A78" s="2"/>
      <c r="B78" s="2"/>
      <c r="C78" s="2"/>
      <c r="D78" s="2"/>
      <c r="E78" s="2"/>
      <c r="F78" s="28"/>
      <c r="G78" s="2"/>
      <c r="H78" s="2"/>
      <c r="I78" s="2"/>
      <c r="J78" s="2"/>
      <c r="K78" s="2"/>
      <c r="L78" s="2"/>
      <c r="M78" s="2"/>
      <c r="N78" s="2"/>
      <c r="O78" s="2"/>
      <c r="P78" s="2"/>
      <c r="Q78" s="33"/>
      <c r="R78" s="2"/>
      <c r="S78" s="2"/>
      <c r="T78" s="2"/>
      <c r="U78" s="2">
        <f t="shared" si="0"/>
        <v>0</v>
      </c>
      <c r="V78" s="2">
        <v>1.5804</v>
      </c>
      <c r="W78" s="2">
        <f t="shared" si="1"/>
        <v>0</v>
      </c>
      <c r="X78">
        <f t="shared" si="5"/>
        <v>0</v>
      </c>
      <c r="Y78">
        <f t="shared" si="2"/>
        <v>0</v>
      </c>
      <c r="Z78" s="85">
        <f t="shared" si="7"/>
        <v>0</v>
      </c>
      <c r="AA78">
        <f>IF(rightFromSymbol(A78)="C",MAX(0,$N$16-strikeFromSymbol(A78)),MAX(0,strikeFromSymbol(A78)-$N$16))*10000</f>
        <v>0</v>
      </c>
      <c r="AB78" s="86">
        <f t="shared" si="6"/>
        <v>0</v>
      </c>
      <c r="AC78" s="49">
        <f t="shared" si="3"/>
        <v>0</v>
      </c>
      <c r="AD78" s="48">
        <f t="shared" si="4"/>
        <v>0</v>
      </c>
    </row>
    <row r="79" spans="1:33" x14ac:dyDescent="0.25">
      <c r="A79" s="2"/>
      <c r="B79" s="2"/>
      <c r="C79" s="2"/>
      <c r="D79" s="2"/>
      <c r="E79" s="2"/>
      <c r="F79" s="28"/>
      <c r="G79" s="2"/>
      <c r="H79" s="2"/>
      <c r="I79" s="2"/>
      <c r="J79" s="2"/>
      <c r="K79" s="2"/>
      <c r="L79" s="2"/>
      <c r="M79" s="2"/>
      <c r="N79" s="2"/>
      <c r="O79" s="2"/>
      <c r="P79" s="2"/>
      <c r="Q79" s="33"/>
      <c r="R79" s="2"/>
      <c r="S79" s="2"/>
      <c r="T79" s="2"/>
      <c r="U79" s="2">
        <f t="shared" si="0"/>
        <v>0</v>
      </c>
      <c r="V79" s="2">
        <v>1.5804</v>
      </c>
      <c r="W79" s="2">
        <f t="shared" si="1"/>
        <v>0</v>
      </c>
      <c r="X79">
        <f t="shared" si="5"/>
        <v>0</v>
      </c>
      <c r="Y79">
        <f t="shared" si="2"/>
        <v>0</v>
      </c>
      <c r="Z79" s="85">
        <f t="shared" si="7"/>
        <v>0</v>
      </c>
      <c r="AA79">
        <f>IF(rightFromSymbol(A79)="C",MAX(0,$N$16-strikeFromSymbol(A79)),MAX(0,strikeFromSymbol(A79)-$N$16))*10000</f>
        <v>0</v>
      </c>
      <c r="AB79" s="86">
        <f t="shared" si="6"/>
        <v>0</v>
      </c>
      <c r="AC79" s="49">
        <f t="shared" si="3"/>
        <v>0</v>
      </c>
      <c r="AD79" s="48">
        <f t="shared" si="4"/>
        <v>0</v>
      </c>
    </row>
    <row r="80" spans="1:33" x14ac:dyDescent="0.25">
      <c r="A80" s="2"/>
      <c r="B80" s="2"/>
      <c r="C80" s="2"/>
      <c r="D80" s="2"/>
      <c r="E80" s="2"/>
      <c r="F80" s="28"/>
      <c r="G80" s="2"/>
      <c r="H80" s="2"/>
      <c r="I80" s="2"/>
      <c r="J80" s="2"/>
      <c r="K80" s="2"/>
      <c r="L80" s="2"/>
      <c r="M80" s="2"/>
      <c r="N80" s="2"/>
      <c r="O80" s="2"/>
      <c r="P80" s="2"/>
      <c r="Q80" s="33"/>
      <c r="R80" s="2"/>
      <c r="S80" s="2"/>
      <c r="T80" s="2"/>
      <c r="U80" s="2">
        <f t="shared" si="0"/>
        <v>0</v>
      </c>
      <c r="V80" s="2">
        <v>1.5804</v>
      </c>
      <c r="W80" s="2">
        <f t="shared" si="1"/>
        <v>0</v>
      </c>
      <c r="X80">
        <f t="shared" si="5"/>
        <v>0</v>
      </c>
      <c r="Y80">
        <f t="shared" si="2"/>
        <v>0</v>
      </c>
      <c r="Z80" s="85">
        <f t="shared" si="7"/>
        <v>0</v>
      </c>
      <c r="AA80">
        <f>IF(rightFromSymbol(A80)="C",MAX(0,$N$16-strikeFromSymbol(A80)),MAX(0,strikeFromSymbol(A80)-$N$16))*10000</f>
        <v>0</v>
      </c>
      <c r="AB80" s="86">
        <f t="shared" si="6"/>
        <v>0</v>
      </c>
      <c r="AC80" s="49">
        <f t="shared" si="3"/>
        <v>0</v>
      </c>
      <c r="AD80" s="48">
        <f>MAX(0,AC80*6.25)</f>
        <v>0</v>
      </c>
    </row>
    <row r="81" spans="1:30" x14ac:dyDescent="0.25">
      <c r="A81" s="2"/>
      <c r="B81" s="2"/>
      <c r="C81" s="2"/>
      <c r="D81" s="2"/>
      <c r="E81" s="2"/>
      <c r="F81" s="28"/>
      <c r="G81" s="2"/>
      <c r="H81" s="2"/>
      <c r="I81" s="2"/>
      <c r="J81" s="2"/>
      <c r="K81" s="2"/>
      <c r="L81" s="2"/>
      <c r="M81" s="2"/>
      <c r="N81" s="2"/>
      <c r="O81" s="2"/>
      <c r="P81" s="2"/>
      <c r="Q81" s="33"/>
      <c r="R81" s="2"/>
      <c r="S81" s="2"/>
      <c r="T81" s="2"/>
      <c r="U81" s="2">
        <f t="shared" si="0"/>
        <v>0</v>
      </c>
      <c r="V81" s="2">
        <v>1.5804</v>
      </c>
      <c r="W81" s="2">
        <f t="shared" si="1"/>
        <v>0</v>
      </c>
      <c r="X81">
        <f t="shared" si="5"/>
        <v>0</v>
      </c>
      <c r="Y81">
        <f t="shared" si="2"/>
        <v>0</v>
      </c>
      <c r="Z81" s="85">
        <f t="shared" si="7"/>
        <v>0</v>
      </c>
      <c r="AA81">
        <f>IF(rightFromSymbol(A81)="C",MAX(0,$N$16-strikeFromSymbol(A81)),MAX(0,strikeFromSymbol(A81)-$N$16))*10000</f>
        <v>0</v>
      </c>
      <c r="AB81" s="86">
        <f t="shared" si="6"/>
        <v>0</v>
      </c>
      <c r="AC81" s="49">
        <f t="shared" si="3"/>
        <v>0</v>
      </c>
      <c r="AD81" s="48">
        <f t="shared" ref="AD81:AD91" si="8">MAX(0,AC81*6.25)</f>
        <v>0</v>
      </c>
    </row>
    <row r="82" spans="1:30" x14ac:dyDescent="0.25">
      <c r="A82" s="2"/>
      <c r="B82" s="2"/>
      <c r="C82" s="2"/>
      <c r="D82" s="2"/>
      <c r="E82" s="2"/>
      <c r="F82" s="28"/>
      <c r="G82" s="2"/>
      <c r="H82" s="2"/>
      <c r="I82" s="2"/>
      <c r="J82" s="2"/>
      <c r="K82" s="2"/>
      <c r="L82" s="2"/>
      <c r="M82" s="2"/>
      <c r="N82" s="2"/>
      <c r="O82" s="2"/>
      <c r="P82" s="2"/>
      <c r="Q82" s="33"/>
      <c r="R82" s="2"/>
      <c r="S82" s="2"/>
      <c r="T82" s="2"/>
      <c r="U82" s="2">
        <f t="shared" si="0"/>
        <v>0</v>
      </c>
      <c r="V82" s="2"/>
      <c r="W82" s="2">
        <f t="shared" si="1"/>
        <v>0</v>
      </c>
      <c r="X82">
        <f t="shared" si="5"/>
        <v>0</v>
      </c>
      <c r="Y82">
        <f t="shared" si="2"/>
        <v>0</v>
      </c>
      <c r="Z82" s="85">
        <f t="shared" si="7"/>
        <v>0</v>
      </c>
      <c r="AA82">
        <f>IF(rightFromSymbol(A82)="C",MAX(0,$N$16-strikeFromSymbol(A82)),MAX(0,strikeFromSymbol(A82)-$N$16))*10000</f>
        <v>0</v>
      </c>
      <c r="AB82" s="86">
        <f t="shared" si="6"/>
        <v>0</v>
      </c>
      <c r="AC82" s="49">
        <f t="shared" si="3"/>
        <v>0</v>
      </c>
      <c r="AD82" s="48">
        <f t="shared" si="8"/>
        <v>0</v>
      </c>
    </row>
    <row r="83" spans="1:30" x14ac:dyDescent="0.25">
      <c r="A83" s="2"/>
      <c r="B83" s="2"/>
      <c r="C83" s="2"/>
      <c r="D83" s="2"/>
      <c r="E83" s="2"/>
      <c r="F83" s="28"/>
      <c r="G83" s="2"/>
      <c r="H83" s="2"/>
      <c r="I83" s="2"/>
      <c r="J83" s="2"/>
      <c r="K83" s="2"/>
      <c r="L83" s="2"/>
      <c r="M83" s="2"/>
      <c r="N83" s="2"/>
      <c r="O83" s="2"/>
      <c r="P83" s="2"/>
      <c r="Q83" s="33"/>
      <c r="R83" s="2"/>
      <c r="S83" s="2"/>
      <c r="T83" s="2"/>
      <c r="U83" s="2">
        <f t="shared" si="0"/>
        <v>0</v>
      </c>
      <c r="V83" s="2"/>
      <c r="W83" s="2">
        <f t="shared" si="1"/>
        <v>0</v>
      </c>
      <c r="X83">
        <f t="shared" si="5"/>
        <v>0</v>
      </c>
      <c r="Y83">
        <f t="shared" si="2"/>
        <v>0</v>
      </c>
      <c r="Z83" s="85">
        <f t="shared" si="7"/>
        <v>0</v>
      </c>
      <c r="AA83">
        <f>IF(rightFromSymbol(A83)="C",MAX(0,$N$16-strikeFromSymbol(A83)),MAX(0,strikeFromSymbol(A83)-$N$16))*10000</f>
        <v>0</v>
      </c>
      <c r="AB83" s="86">
        <f t="shared" si="6"/>
        <v>0</v>
      </c>
      <c r="AC83" s="49">
        <f t="shared" si="3"/>
        <v>0</v>
      </c>
      <c r="AD83" s="48">
        <f t="shared" si="8"/>
        <v>0</v>
      </c>
    </row>
    <row r="84" spans="1:30" x14ac:dyDescent="0.25">
      <c r="A84" s="2"/>
      <c r="B84" s="2"/>
      <c r="C84" s="2"/>
      <c r="D84" s="2"/>
      <c r="E84" s="2"/>
      <c r="F84" s="28"/>
      <c r="G84" s="2"/>
      <c r="H84" s="2"/>
      <c r="I84" s="2"/>
      <c r="J84" s="2"/>
      <c r="K84" s="2"/>
      <c r="L84" s="2"/>
      <c r="M84" s="2"/>
      <c r="N84" s="2"/>
      <c r="O84" s="2"/>
      <c r="P84" s="2"/>
      <c r="Q84" s="33"/>
      <c r="R84" s="2"/>
      <c r="S84" s="2"/>
      <c r="T84" s="2"/>
      <c r="U84" s="2">
        <f t="shared" si="0"/>
        <v>0</v>
      </c>
      <c r="V84" s="2"/>
      <c r="W84" s="2">
        <f t="shared" si="1"/>
        <v>0</v>
      </c>
      <c r="X84">
        <f t="shared" si="5"/>
        <v>0</v>
      </c>
      <c r="Y84">
        <f t="shared" si="2"/>
        <v>0</v>
      </c>
      <c r="Z84" s="85">
        <f t="shared" si="7"/>
        <v>0</v>
      </c>
      <c r="AA84">
        <f>IF(rightFromSymbol(A84)="C",MAX(0,$N$16-strikeFromSymbol(A84)),MAX(0,strikeFromSymbol(A84)-$N$16))*10000</f>
        <v>0</v>
      </c>
      <c r="AB84" s="86">
        <f t="shared" si="6"/>
        <v>0</v>
      </c>
      <c r="AC84" s="49">
        <f t="shared" si="3"/>
        <v>0</v>
      </c>
      <c r="AD84" s="48">
        <f t="shared" si="8"/>
        <v>0</v>
      </c>
    </row>
    <row r="85" spans="1:30" x14ac:dyDescent="0.25">
      <c r="A85" s="2"/>
      <c r="B85" s="2"/>
      <c r="C85" s="2"/>
      <c r="D85" s="2"/>
      <c r="E85" s="2"/>
      <c r="F85" s="28"/>
      <c r="G85" s="2"/>
      <c r="H85" s="2"/>
      <c r="I85" s="2"/>
      <c r="J85" s="2"/>
      <c r="K85" s="2"/>
      <c r="L85" s="2"/>
      <c r="M85" s="2"/>
      <c r="N85" s="2"/>
      <c r="O85" s="2"/>
      <c r="P85" s="2"/>
      <c r="Q85" s="33"/>
      <c r="R85" s="2"/>
      <c r="S85" s="2"/>
      <c r="T85" s="2"/>
      <c r="U85" s="2">
        <f t="shared" si="0"/>
        <v>0</v>
      </c>
      <c r="V85" s="2"/>
      <c r="W85" s="2">
        <f t="shared" si="1"/>
        <v>0</v>
      </c>
      <c r="X85">
        <f t="shared" si="5"/>
        <v>0</v>
      </c>
      <c r="Y85">
        <f t="shared" si="2"/>
        <v>0</v>
      </c>
      <c r="Z85" s="85">
        <f t="shared" si="7"/>
        <v>0</v>
      </c>
      <c r="AA85">
        <f>IF(rightFromSymbol(A85)="C",MAX(0,$N$16-strikeFromSymbol(A85)),MAX(0,strikeFromSymbol(A85)-$N$16))*10000</f>
        <v>0</v>
      </c>
      <c r="AB85" s="86">
        <f t="shared" si="6"/>
        <v>0</v>
      </c>
      <c r="AC85" s="49">
        <f t="shared" si="3"/>
        <v>0</v>
      </c>
      <c r="AD85" s="48">
        <f t="shared" si="8"/>
        <v>0</v>
      </c>
    </row>
    <row r="86" spans="1:30" x14ac:dyDescent="0.25">
      <c r="A86" s="2"/>
      <c r="B86" s="2"/>
      <c r="C86" s="2"/>
      <c r="D86" s="2"/>
      <c r="E86" s="2"/>
      <c r="F86" s="28"/>
      <c r="G86" s="2"/>
      <c r="H86" s="2"/>
      <c r="I86" s="2"/>
      <c r="J86" s="2"/>
      <c r="K86" s="2"/>
      <c r="L86" s="2"/>
      <c r="M86" s="2"/>
      <c r="N86" s="2"/>
      <c r="O86" s="2"/>
      <c r="P86" s="2"/>
      <c r="Q86" s="33"/>
      <c r="R86" s="2"/>
      <c r="S86" s="2"/>
      <c r="T86" s="2"/>
      <c r="U86" s="2">
        <f t="shared" si="0"/>
        <v>0</v>
      </c>
      <c r="V86" s="2"/>
      <c r="W86" s="2">
        <f t="shared" si="1"/>
        <v>0</v>
      </c>
      <c r="X86">
        <f t="shared" si="5"/>
        <v>0</v>
      </c>
      <c r="Y86">
        <f t="shared" si="2"/>
        <v>0</v>
      </c>
      <c r="Z86" s="85">
        <f t="shared" si="7"/>
        <v>0</v>
      </c>
      <c r="AA86">
        <f>IF(rightFromSymbol(A86)="C",MAX(0,$N$16-strikeFromSymbol(A86)),MAX(0,strikeFromSymbol(A86)-$N$16))*10000</f>
        <v>0</v>
      </c>
      <c r="AB86" s="86">
        <f t="shared" si="6"/>
        <v>0</v>
      </c>
      <c r="AC86" s="49">
        <f t="shared" si="3"/>
        <v>0</v>
      </c>
      <c r="AD86" s="48">
        <f t="shared" si="8"/>
        <v>0</v>
      </c>
    </row>
    <row r="87" spans="1:30" x14ac:dyDescent="0.25">
      <c r="A87" s="2"/>
      <c r="B87" s="2"/>
      <c r="C87" s="2"/>
      <c r="D87" s="2"/>
      <c r="E87" s="2"/>
      <c r="F87" s="28"/>
      <c r="G87" s="2"/>
      <c r="H87" s="2"/>
      <c r="I87" s="2"/>
      <c r="J87" s="2"/>
      <c r="K87" s="2"/>
      <c r="L87" s="2"/>
      <c r="M87" s="2"/>
      <c r="N87" s="2"/>
      <c r="O87" s="2"/>
      <c r="P87" s="2"/>
      <c r="Q87" s="33"/>
      <c r="R87" s="2"/>
      <c r="S87" s="2"/>
      <c r="T87" s="2"/>
      <c r="U87" s="2">
        <f t="shared" si="0"/>
        <v>0</v>
      </c>
      <c r="V87" s="2"/>
      <c r="W87" s="2">
        <f t="shared" si="1"/>
        <v>0</v>
      </c>
      <c r="X87">
        <f t="shared" si="5"/>
        <v>0</v>
      </c>
      <c r="Y87">
        <f t="shared" si="2"/>
        <v>0</v>
      </c>
      <c r="Z87" s="85">
        <f t="shared" si="7"/>
        <v>0</v>
      </c>
      <c r="AA87">
        <f>IF(rightFromSymbol(A87)="C",MAX(0,$N$16-strikeFromSymbol(A87)),MAX(0,strikeFromSymbol(A87)-$N$16))*10000</f>
        <v>0</v>
      </c>
      <c r="AB87" s="86">
        <f t="shared" si="6"/>
        <v>0</v>
      </c>
      <c r="AC87" s="49">
        <f t="shared" si="3"/>
        <v>0</v>
      </c>
      <c r="AD87" s="48">
        <f t="shared" si="8"/>
        <v>0</v>
      </c>
    </row>
    <row r="88" spans="1:30" x14ac:dyDescent="0.25">
      <c r="A88" s="2"/>
      <c r="B88" s="2"/>
      <c r="C88" s="2"/>
      <c r="D88" s="2"/>
      <c r="E88" s="2"/>
      <c r="F88" s="28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>
        <f t="shared" si="0"/>
        <v>0</v>
      </c>
      <c r="V88" s="2"/>
      <c r="W88" s="2">
        <f t="shared" si="1"/>
        <v>0</v>
      </c>
      <c r="X88">
        <f t="shared" si="5"/>
        <v>0</v>
      </c>
      <c r="Y88">
        <f t="shared" si="2"/>
        <v>0</v>
      </c>
      <c r="Z88" s="85">
        <f t="shared" si="7"/>
        <v>0</v>
      </c>
      <c r="AA88">
        <f>IF(rightFromSymbol(A88)="C",MAX(0,$N$16-strikeFromSymbol(A88)),MAX(0,strikeFromSymbol(A88)-$N$16))*10000</f>
        <v>0</v>
      </c>
      <c r="AB88" s="86">
        <f t="shared" si="6"/>
        <v>0</v>
      </c>
      <c r="AC88" s="49">
        <f t="shared" si="3"/>
        <v>0</v>
      </c>
      <c r="AD88" s="48">
        <f t="shared" si="8"/>
        <v>0</v>
      </c>
    </row>
    <row r="89" spans="1:30" x14ac:dyDescent="0.25">
      <c r="A89" s="2"/>
      <c r="B89" s="2"/>
      <c r="C89" s="2"/>
      <c r="D89" s="2"/>
      <c r="E89" s="2"/>
      <c r="F89" s="28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>
        <f t="shared" si="0"/>
        <v>0</v>
      </c>
      <c r="V89" s="2"/>
      <c r="W89" s="2">
        <f t="shared" si="1"/>
        <v>0</v>
      </c>
      <c r="X89">
        <f t="shared" si="5"/>
        <v>0</v>
      </c>
      <c r="Y89">
        <f t="shared" si="2"/>
        <v>0</v>
      </c>
      <c r="Z89" s="85">
        <f t="shared" si="7"/>
        <v>0</v>
      </c>
      <c r="AA89">
        <f>IF(rightFromSymbol(A89)="C",MAX(0,$N$16-strikeFromSymbol(A89)),MAX(0,strikeFromSymbol(A89)-$N$16))*10000</f>
        <v>0</v>
      </c>
      <c r="AB89" s="86">
        <f t="shared" si="6"/>
        <v>0</v>
      </c>
      <c r="AC89" s="49">
        <f t="shared" si="3"/>
        <v>0</v>
      </c>
      <c r="AD89" s="48">
        <f t="shared" si="8"/>
        <v>0</v>
      </c>
    </row>
    <row r="90" spans="1:30" x14ac:dyDescent="0.25">
      <c r="A90" s="2"/>
      <c r="B90" s="2"/>
      <c r="C90" s="2"/>
      <c r="D90" s="2"/>
      <c r="E90" s="2"/>
      <c r="F90" s="28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>
        <f t="shared" si="0"/>
        <v>0</v>
      </c>
      <c r="V90" s="2"/>
      <c r="W90" s="2">
        <f t="shared" si="1"/>
        <v>0</v>
      </c>
      <c r="X90">
        <f t="shared" si="5"/>
        <v>0</v>
      </c>
      <c r="Y90">
        <f t="shared" si="2"/>
        <v>0</v>
      </c>
      <c r="Z90" s="85">
        <f t="shared" si="7"/>
        <v>0</v>
      </c>
      <c r="AA90">
        <f>IF(rightFromSymbol(A90)="C",MAX(0,$N$16-strikeFromSymbol(A90)),MAX(0,strikeFromSymbol(A90)-$N$16))*10000</f>
        <v>0</v>
      </c>
      <c r="AB90" s="86">
        <f t="shared" si="6"/>
        <v>0</v>
      </c>
      <c r="AC90" s="49">
        <f t="shared" si="3"/>
        <v>0</v>
      </c>
      <c r="AD90" s="48">
        <f t="shared" si="8"/>
        <v>0</v>
      </c>
    </row>
    <row r="91" spans="1:30" x14ac:dyDescent="0.25">
      <c r="A91" s="2"/>
      <c r="B91" s="2"/>
      <c r="C91" s="2"/>
      <c r="D91" s="2"/>
      <c r="E91" s="2"/>
      <c r="F91" s="28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>
        <f t="shared" si="0"/>
        <v>0</v>
      </c>
      <c r="V91" s="2"/>
      <c r="W91" s="2">
        <f t="shared" si="1"/>
        <v>0</v>
      </c>
      <c r="X91">
        <f t="shared" si="5"/>
        <v>0</v>
      </c>
      <c r="Y91">
        <f t="shared" si="2"/>
        <v>0</v>
      </c>
      <c r="Z91" s="85">
        <f t="shared" si="7"/>
        <v>0</v>
      </c>
      <c r="AA91">
        <f>IF(rightFromSymbol(A91)="C",MAX(0,$N$16-strikeFromSymbol(A91)),MAX(0,strikeFromSymbol(A91)-$N$16))*10000</f>
        <v>0</v>
      </c>
      <c r="AB91" s="86">
        <f t="shared" si="6"/>
        <v>0</v>
      </c>
      <c r="AC91" s="49">
        <f t="shared" si="3"/>
        <v>0</v>
      </c>
      <c r="AD91" s="48">
        <f t="shared" si="8"/>
        <v>0</v>
      </c>
    </row>
    <row r="97" spans="1:13" x14ac:dyDescent="0.25">
      <c r="A97" s="113" t="s">
        <v>174</v>
      </c>
      <c r="B97" s="114"/>
      <c r="C97" s="114"/>
      <c r="D97" s="114"/>
      <c r="E97" s="114"/>
      <c r="F97" s="114"/>
      <c r="G97" s="114"/>
      <c r="H97" s="114"/>
      <c r="I97" s="114"/>
      <c r="J97" s="114"/>
      <c r="K97" s="114"/>
      <c r="L97" s="114"/>
      <c r="M97" s="114"/>
    </row>
    <row r="98" spans="1:13" x14ac:dyDescent="0.25">
      <c r="A98" s="109" t="s">
        <v>41</v>
      </c>
      <c r="B98" s="110"/>
      <c r="C98" s="110"/>
      <c r="D98" s="110"/>
      <c r="E98" s="110"/>
      <c r="F98" s="110"/>
      <c r="G98" s="110"/>
      <c r="H98" s="110"/>
      <c r="I98" s="110"/>
      <c r="J98" s="110"/>
      <c r="K98" s="110"/>
      <c r="L98" s="110"/>
      <c r="M98" s="110"/>
    </row>
    <row r="99" spans="1:13" x14ac:dyDescent="0.25">
      <c r="A99" s="70" t="s">
        <v>9</v>
      </c>
      <c r="B99" s="69" t="s">
        <v>42</v>
      </c>
      <c r="C99" s="69" t="s">
        <v>43</v>
      </c>
      <c r="D99" s="69" t="s">
        <v>44</v>
      </c>
      <c r="E99" s="69" t="s">
        <v>45</v>
      </c>
      <c r="F99" s="69" t="s">
        <v>33</v>
      </c>
      <c r="G99" s="69" t="s">
        <v>46</v>
      </c>
      <c r="H99" s="69" t="s">
        <v>47</v>
      </c>
      <c r="I99" s="69" t="s">
        <v>48</v>
      </c>
      <c r="J99" s="69" t="s">
        <v>49</v>
      </c>
      <c r="K99" s="69" t="s">
        <v>50</v>
      </c>
      <c r="L99" s="69" t="s">
        <v>51</v>
      </c>
      <c r="M99" s="69" t="s">
        <v>52</v>
      </c>
    </row>
    <row r="100" spans="1:13" x14ac:dyDescent="0.25">
      <c r="A100" s="2"/>
      <c r="B100" s="16"/>
      <c r="C100" s="20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0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0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0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2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2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2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0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2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0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2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0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2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0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2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2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2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0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0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0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0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2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2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2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2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2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2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0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0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2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0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2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2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2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2"/>
      <c r="D134" s="16"/>
      <c r="E134" s="16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2"/>
      <c r="D135" s="16"/>
      <c r="E135" s="16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2"/>
      <c r="D136" s="16"/>
      <c r="E136" s="16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2"/>
      <c r="D137" s="16"/>
      <c r="E137" s="16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2"/>
      <c r="D138" s="16"/>
      <c r="E138" s="16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2"/>
      <c r="D139" s="16"/>
      <c r="E139" s="16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2"/>
      <c r="D140" s="16"/>
      <c r="E140" s="16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2"/>
      <c r="D141" s="16"/>
      <c r="E141" s="16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2"/>
      <c r="D142" s="16"/>
      <c r="E142" s="16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2"/>
      <c r="D143" s="16"/>
      <c r="E143" s="16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16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16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16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16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16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16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16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16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16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16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16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16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16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16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16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16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  <row r="1008" spans="1:13" x14ac:dyDescent="0.25">
      <c r="A1008" s="2"/>
      <c r="B1008" s="16"/>
      <c r="C1008" s="22"/>
      <c r="D1008" s="16"/>
      <c r="E1008" s="21"/>
      <c r="F1008" s="16"/>
      <c r="G1008" s="16"/>
      <c r="H1008" s="16"/>
      <c r="I1008" s="16"/>
      <c r="J1008" s="16"/>
      <c r="K1008" s="16"/>
      <c r="L1008" s="16"/>
      <c r="M1008" s="16"/>
    </row>
    <row r="1009" spans="1:13" x14ac:dyDescent="0.25">
      <c r="A1009" s="2"/>
      <c r="B1009" s="16"/>
      <c r="C1009" s="22"/>
      <c r="D1009" s="16"/>
      <c r="E1009" s="21"/>
      <c r="F1009" s="16"/>
      <c r="G1009" s="16"/>
      <c r="H1009" s="16"/>
      <c r="I1009" s="16"/>
      <c r="J1009" s="16"/>
      <c r="K1009" s="16"/>
      <c r="L1009" s="16"/>
      <c r="M1009" s="16"/>
    </row>
    <row r="1010" spans="1:13" x14ac:dyDescent="0.25">
      <c r="A1010" s="2"/>
      <c r="B1010" s="16"/>
      <c r="C1010" s="22"/>
      <c r="D1010" s="16"/>
      <c r="E1010" s="21"/>
      <c r="F1010" s="16"/>
      <c r="G1010" s="16"/>
      <c r="H1010" s="16"/>
      <c r="I1010" s="16"/>
      <c r="J1010" s="16"/>
      <c r="K1010" s="16"/>
      <c r="L1010" s="16"/>
      <c r="M1010" s="16"/>
    </row>
    <row r="1011" spans="1:13" x14ac:dyDescent="0.25">
      <c r="A1011" s="2"/>
      <c r="B1011" s="16"/>
      <c r="C1011" s="22"/>
      <c r="D1011" s="16"/>
      <c r="E1011" s="21"/>
      <c r="F1011" s="16"/>
      <c r="G1011" s="16"/>
      <c r="H1011" s="16"/>
      <c r="I1011" s="16"/>
      <c r="J1011" s="16"/>
      <c r="K1011" s="16"/>
      <c r="L1011" s="16"/>
      <c r="M1011" s="16"/>
    </row>
    <row r="1012" spans="1:13" x14ac:dyDescent="0.25">
      <c r="A1012" s="2"/>
      <c r="B1012" s="16"/>
      <c r="C1012" s="22"/>
      <c r="D1012" s="16"/>
      <c r="E1012" s="21"/>
      <c r="F1012" s="16"/>
      <c r="G1012" s="16"/>
      <c r="H1012" s="16"/>
      <c r="I1012" s="16"/>
      <c r="J1012" s="16"/>
      <c r="K1012" s="16"/>
      <c r="L1012" s="16"/>
      <c r="M1012" s="16"/>
    </row>
    <row r="1013" spans="1:13" x14ac:dyDescent="0.25">
      <c r="A1013" s="2"/>
      <c r="B1013" s="16"/>
      <c r="C1013" s="22"/>
      <c r="D1013" s="16"/>
      <c r="E1013" s="21"/>
      <c r="F1013" s="16"/>
      <c r="G1013" s="16"/>
      <c r="H1013" s="16"/>
      <c r="I1013" s="16"/>
      <c r="J1013" s="16"/>
      <c r="K1013" s="16"/>
      <c r="L1013" s="16"/>
      <c r="M1013" s="16"/>
    </row>
    <row r="1014" spans="1:13" x14ac:dyDescent="0.25">
      <c r="A1014" s="2"/>
      <c r="B1014" s="16"/>
      <c r="C1014" s="22"/>
      <c r="D1014" s="16"/>
      <c r="E1014" s="21"/>
      <c r="F1014" s="16"/>
      <c r="G1014" s="16"/>
      <c r="H1014" s="16"/>
      <c r="I1014" s="16"/>
      <c r="J1014" s="16"/>
      <c r="K1014" s="16"/>
      <c r="L1014" s="16"/>
      <c r="M1014" s="16"/>
    </row>
    <row r="1015" spans="1:13" x14ac:dyDescent="0.25">
      <c r="A1015" s="2"/>
      <c r="B1015" s="16"/>
      <c r="C1015" s="22"/>
      <c r="D1015" s="16"/>
      <c r="E1015" s="21"/>
      <c r="F1015" s="16"/>
      <c r="G1015" s="16"/>
      <c r="H1015" s="16"/>
      <c r="I1015" s="16"/>
      <c r="J1015" s="16"/>
      <c r="K1015" s="16"/>
      <c r="L1015" s="16"/>
      <c r="M1015" s="16"/>
    </row>
    <row r="1016" spans="1:13" x14ac:dyDescent="0.25">
      <c r="A1016" s="2"/>
      <c r="B1016" s="16"/>
      <c r="C1016" s="22"/>
      <c r="D1016" s="16"/>
      <c r="E1016" s="21"/>
      <c r="F1016" s="16"/>
      <c r="G1016" s="16"/>
      <c r="H1016" s="16"/>
      <c r="I1016" s="16"/>
      <c r="J1016" s="16"/>
      <c r="K1016" s="16"/>
      <c r="L1016" s="16"/>
      <c r="M1016" s="16"/>
    </row>
    <row r="1017" spans="1:13" x14ac:dyDescent="0.25">
      <c r="A1017" s="2"/>
      <c r="B1017" s="16"/>
      <c r="C1017" s="22"/>
      <c r="D1017" s="16"/>
      <c r="E1017" s="21"/>
      <c r="F1017" s="16"/>
      <c r="G1017" s="16"/>
      <c r="H1017" s="16"/>
      <c r="I1017" s="16"/>
      <c r="J1017" s="16"/>
      <c r="K1017" s="16"/>
      <c r="L1017" s="16"/>
      <c r="M1017" s="16"/>
    </row>
    <row r="1018" spans="1:13" x14ac:dyDescent="0.25">
      <c r="A1018" s="2"/>
      <c r="B1018" s="16"/>
      <c r="C1018" s="22"/>
      <c r="D1018" s="16"/>
      <c r="E1018" s="21"/>
      <c r="F1018" s="16"/>
      <c r="G1018" s="16"/>
      <c r="H1018" s="16"/>
      <c r="I1018" s="16"/>
      <c r="J1018" s="16"/>
      <c r="K1018" s="16"/>
      <c r="L1018" s="16"/>
      <c r="M1018" s="16"/>
    </row>
    <row r="1019" spans="1:13" x14ac:dyDescent="0.25">
      <c r="A1019" s="2"/>
      <c r="B1019" s="16"/>
      <c r="C1019" s="22"/>
      <c r="D1019" s="16"/>
      <c r="E1019" s="21"/>
      <c r="F1019" s="16"/>
      <c r="G1019" s="16"/>
      <c r="H1019" s="16"/>
      <c r="I1019" s="16"/>
      <c r="J1019" s="16"/>
      <c r="K1019" s="16"/>
      <c r="L1019" s="16"/>
      <c r="M1019" s="16"/>
    </row>
    <row r="1020" spans="1:13" x14ac:dyDescent="0.25">
      <c r="A1020" s="2"/>
      <c r="B1020" s="16"/>
      <c r="C1020" s="22"/>
      <c r="D1020" s="16"/>
      <c r="E1020" s="21"/>
      <c r="F1020" s="16"/>
      <c r="G1020" s="16"/>
      <c r="H1020" s="16"/>
      <c r="I1020" s="16"/>
      <c r="J1020" s="16"/>
      <c r="K1020" s="16"/>
      <c r="L1020" s="16"/>
      <c r="M1020" s="16"/>
    </row>
    <row r="1021" spans="1:13" x14ac:dyDescent="0.25">
      <c r="A1021" s="2"/>
      <c r="B1021" s="16"/>
      <c r="C1021" s="22"/>
      <c r="D1021" s="16"/>
      <c r="E1021" s="21"/>
      <c r="F1021" s="16"/>
      <c r="G1021" s="16"/>
      <c r="H1021" s="16"/>
      <c r="I1021" s="16"/>
      <c r="J1021" s="16"/>
      <c r="K1021" s="16"/>
      <c r="L1021" s="16"/>
      <c r="M1021" s="16"/>
    </row>
    <row r="1022" spans="1:13" x14ac:dyDescent="0.25">
      <c r="A1022" s="2"/>
      <c r="B1022" s="16"/>
      <c r="C1022" s="22"/>
      <c r="D1022" s="16"/>
      <c r="E1022" s="21"/>
      <c r="F1022" s="16"/>
      <c r="G1022" s="16"/>
      <c r="H1022" s="16"/>
      <c r="I1022" s="16"/>
      <c r="J1022" s="16"/>
      <c r="K1022" s="16"/>
      <c r="L1022" s="16"/>
      <c r="M1022" s="16"/>
    </row>
    <row r="1023" spans="1:13" x14ac:dyDescent="0.25">
      <c r="A1023" s="2"/>
      <c r="B1023" s="16"/>
      <c r="C1023" s="22"/>
      <c r="D1023" s="16"/>
      <c r="E1023" s="21"/>
      <c r="F1023" s="16"/>
      <c r="G1023" s="16"/>
      <c r="H1023" s="16"/>
      <c r="I1023" s="16"/>
      <c r="J1023" s="16"/>
      <c r="K1023" s="16"/>
      <c r="L1023" s="16"/>
      <c r="M1023" s="16"/>
    </row>
    <row r="1024" spans="1:13" x14ac:dyDescent="0.25">
      <c r="A1024" s="2"/>
      <c r="B1024" s="16"/>
      <c r="C1024" s="22"/>
      <c r="D1024" s="16"/>
      <c r="E1024" s="21"/>
      <c r="F1024" s="16"/>
      <c r="G1024" s="16"/>
      <c r="H1024" s="16"/>
      <c r="I1024" s="16"/>
      <c r="J1024" s="16"/>
      <c r="K1024" s="16"/>
      <c r="L1024" s="16"/>
      <c r="M1024" s="16"/>
    </row>
    <row r="1025" spans="1:13" x14ac:dyDescent="0.25">
      <c r="A1025" s="2"/>
      <c r="B1025" s="16"/>
      <c r="C1025" s="22"/>
      <c r="D1025" s="16"/>
      <c r="E1025" s="21"/>
      <c r="F1025" s="16"/>
      <c r="G1025" s="16"/>
      <c r="H1025" s="16"/>
      <c r="I1025" s="16"/>
      <c r="J1025" s="16"/>
      <c r="K1025" s="16"/>
      <c r="L1025" s="16"/>
      <c r="M1025" s="16"/>
    </row>
    <row r="1026" spans="1:13" x14ac:dyDescent="0.25">
      <c r="A1026" s="2"/>
      <c r="B1026" s="16"/>
      <c r="C1026" s="22"/>
      <c r="D1026" s="16"/>
      <c r="E1026" s="21"/>
      <c r="F1026" s="16"/>
      <c r="G1026" s="16"/>
      <c r="H1026" s="16"/>
      <c r="I1026" s="16"/>
      <c r="J1026" s="16"/>
      <c r="K1026" s="16"/>
      <c r="L1026" s="16"/>
      <c r="M1026" s="16"/>
    </row>
    <row r="1027" spans="1:13" x14ac:dyDescent="0.25">
      <c r="A1027" s="2"/>
      <c r="B1027" s="16"/>
      <c r="C1027" s="22"/>
      <c r="D1027" s="16"/>
      <c r="E1027" s="21"/>
      <c r="F1027" s="16"/>
      <c r="G1027" s="16"/>
      <c r="H1027" s="16"/>
      <c r="I1027" s="16"/>
      <c r="J1027" s="16"/>
      <c r="K1027" s="16"/>
      <c r="L1027" s="16"/>
      <c r="M1027" s="16"/>
    </row>
    <row r="1028" spans="1:13" x14ac:dyDescent="0.25">
      <c r="A1028" s="2"/>
      <c r="B1028" s="16"/>
      <c r="C1028" s="22"/>
      <c r="D1028" s="16"/>
      <c r="E1028" s="21"/>
      <c r="F1028" s="16"/>
      <c r="G1028" s="16"/>
      <c r="H1028" s="16"/>
      <c r="I1028" s="16"/>
      <c r="J1028" s="16"/>
      <c r="K1028" s="16"/>
      <c r="L1028" s="16"/>
      <c r="M1028" s="16"/>
    </row>
    <row r="1029" spans="1:13" x14ac:dyDescent="0.25">
      <c r="A1029" s="2"/>
      <c r="B1029" s="16"/>
      <c r="C1029" s="22"/>
      <c r="D1029" s="16"/>
      <c r="E1029" s="21"/>
      <c r="F1029" s="16"/>
      <c r="G1029" s="16"/>
      <c r="H1029" s="16"/>
      <c r="I1029" s="16"/>
      <c r="J1029" s="16"/>
      <c r="K1029" s="16"/>
      <c r="L1029" s="16"/>
      <c r="M1029" s="16"/>
    </row>
    <row r="1030" spans="1:13" x14ac:dyDescent="0.25">
      <c r="A1030" s="2"/>
      <c r="B1030" s="16"/>
      <c r="C1030" s="22"/>
      <c r="D1030" s="16"/>
      <c r="E1030" s="21"/>
      <c r="F1030" s="16"/>
      <c r="G1030" s="16"/>
      <c r="H1030" s="16"/>
      <c r="I1030" s="16"/>
      <c r="J1030" s="16"/>
      <c r="K1030" s="16"/>
      <c r="L1030" s="16"/>
      <c r="M1030" s="16"/>
    </row>
    <row r="1031" spans="1:13" x14ac:dyDescent="0.25">
      <c r="A1031" s="2"/>
      <c r="B1031" s="16"/>
      <c r="C1031" s="22"/>
      <c r="D1031" s="16"/>
      <c r="E1031" s="21"/>
      <c r="F1031" s="16"/>
      <c r="G1031" s="16"/>
      <c r="H1031" s="16"/>
      <c r="I1031" s="16"/>
      <c r="J1031" s="16"/>
      <c r="K1031" s="16"/>
      <c r="L1031" s="16"/>
      <c r="M1031" s="16"/>
    </row>
    <row r="1032" spans="1:13" x14ac:dyDescent="0.25">
      <c r="A1032" s="2"/>
      <c r="B1032" s="16"/>
      <c r="C1032" s="22"/>
      <c r="D1032" s="16"/>
      <c r="E1032" s="21"/>
      <c r="F1032" s="16"/>
      <c r="G1032" s="16"/>
      <c r="H1032" s="16"/>
      <c r="I1032" s="16"/>
      <c r="J1032" s="16"/>
      <c r="K1032" s="16"/>
      <c r="L1032" s="16"/>
      <c r="M1032" s="16"/>
    </row>
    <row r="1033" spans="1:13" x14ac:dyDescent="0.25">
      <c r="A1033" s="2"/>
      <c r="B1033" s="16"/>
      <c r="C1033" s="22"/>
      <c r="D1033" s="16"/>
      <c r="E1033" s="21"/>
      <c r="F1033" s="16"/>
      <c r="G1033" s="16"/>
      <c r="H1033" s="16"/>
      <c r="I1033" s="16"/>
      <c r="J1033" s="16"/>
      <c r="K1033" s="16"/>
      <c r="L1033" s="16"/>
      <c r="M1033" s="16"/>
    </row>
  </sheetData>
  <dataConsolidate/>
  <mergeCells count="66"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  <mergeCell ref="M6:N6"/>
    <mergeCell ref="O6:P6"/>
    <mergeCell ref="Q6:R6"/>
    <mergeCell ref="S6:T6"/>
    <mergeCell ref="M7:N7"/>
    <mergeCell ref="O7:P7"/>
    <mergeCell ref="Q7:R7"/>
    <mergeCell ref="S7:T7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C30:D30"/>
    <mergeCell ref="G30:H30"/>
    <mergeCell ref="K30:L30"/>
    <mergeCell ref="O30:P30"/>
    <mergeCell ref="C31:D31"/>
    <mergeCell ref="G31:H31"/>
    <mergeCell ref="K31:L31"/>
    <mergeCell ref="O31:P31"/>
    <mergeCell ref="A98:M98"/>
    <mergeCell ref="A69:M69"/>
    <mergeCell ref="O32:P32"/>
    <mergeCell ref="B57:E57"/>
    <mergeCell ref="G57:K57"/>
    <mergeCell ref="C32:D32"/>
    <mergeCell ref="E32:F32"/>
    <mergeCell ref="G32:H32"/>
    <mergeCell ref="I32:J32"/>
    <mergeCell ref="K32:L32"/>
    <mergeCell ref="M32:N32"/>
    <mergeCell ref="A97:M97"/>
    <mergeCell ref="I64:J64"/>
    <mergeCell ref="A34:I34"/>
    <mergeCell ref="Q32:R32"/>
    <mergeCell ref="Q34:W34"/>
    <mergeCell ref="S32:T32"/>
    <mergeCell ref="N69:S69"/>
    <mergeCell ref="T69:W69"/>
    <mergeCell ref="U32:V32"/>
    <mergeCell ref="M57:O57"/>
    <mergeCell ref="A56:O56"/>
    <mergeCell ref="Q40:S40"/>
    <mergeCell ref="T40:U40"/>
    <mergeCell ref="V40:W4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mbConnect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4" name="cmbConnect"/>
      </mc:Fallback>
    </mc:AlternateContent>
    <mc:AlternateContent xmlns:mc="http://schemas.openxmlformats.org/markup-compatibility/2006">
      <mc:Choice Requires="x14">
        <control shapeId="14338" r:id="rId6" name="cmbSubscribeAccountInfo">
          <controlPr defaultSize="0" autoLine="0" r:id="rId7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57150</xdr:colOff>
                <xdr:row>1</xdr:row>
                <xdr:rowOff>114300</xdr:rowOff>
              </to>
            </anchor>
          </controlPr>
        </control>
      </mc:Choice>
      <mc:Fallback>
        <control shapeId="14338" r:id="rId6" name="cmbSubscribeAccountInfo"/>
      </mc:Fallback>
    </mc:AlternateContent>
    <mc:AlternateContent xmlns:mc="http://schemas.openxmlformats.org/markup-compatibility/2006">
      <mc:Choice Requires="x14">
        <control shapeId="14339" r:id="rId8" name="cmbSubscribePortfolio">
          <controlPr defaultSize="0" autoLine="0" autoPict="0" r:id="rId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381000</xdr:colOff>
                <xdr:row>1</xdr:row>
                <xdr:rowOff>114300</xdr:rowOff>
              </to>
            </anchor>
          </controlPr>
        </control>
      </mc:Choice>
      <mc:Fallback>
        <control shapeId="14339" r:id="rId8" name="cmbSubscribePortfolio"/>
      </mc:Fallback>
    </mc:AlternateContent>
    <mc:AlternateContent xmlns:mc="http://schemas.openxmlformats.org/markup-compatibility/2006">
      <mc:Choice Requires="x14">
        <control shapeId="14340" r:id="rId10" name="CommandButton1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1190625</xdr:colOff>
                <xdr:row>3</xdr:row>
                <xdr:rowOff>85725</xdr:rowOff>
              </to>
            </anchor>
          </controlPr>
        </control>
      </mc:Choice>
      <mc:Fallback>
        <control shapeId="14340" r:id="rId10" name="CommandButton1"/>
      </mc:Fallback>
    </mc:AlternateContent>
    <mc:AlternateContent xmlns:mc="http://schemas.openxmlformats.org/markup-compatibility/2006">
      <mc:Choice Requires="x14">
        <control shapeId="14341" r:id="rId12" name="obRebalanceOnStartup">
          <controlPr defaultSize="0" autoLine="0" r:id="rId13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2" name="obRebalanceOnStartup"/>
      </mc:Fallback>
    </mc:AlternateContent>
    <mc:AlternateContent xmlns:mc="http://schemas.openxmlformats.org/markup-compatibility/2006">
      <mc:Choice Requires="x14">
        <control shapeId="14342" r:id="rId14" name="obNoRebalanceOnStartup">
          <controlPr defaultSize="0" autoLine="0" r:id="rId15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4" name="obNoRebalanceOnStartup"/>
      </mc:Fallback>
    </mc:AlternateContent>
    <mc:AlternateContent xmlns:mc="http://schemas.openxmlformats.org/markup-compatibility/2006">
      <mc:Choice Requires="x14">
        <control shapeId="14343" r:id="rId16" name="cmbEnableAutoHedge">
          <controlPr defaultSize="0" autoLine="0" r:id="rId17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6" name="cmbEnableAutoHedge"/>
      </mc:Fallback>
    </mc:AlternateContent>
    <mc:AlternateContent xmlns:mc="http://schemas.openxmlformats.org/markup-compatibility/2006">
      <mc:Choice Requires="x14">
        <control shapeId="14344" r:id="rId18" name="cmbDumpContracts">
          <controlPr defaultSize="0" autoLine="0" r:id="rId1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18" name="cmbDumpContracts"/>
      </mc:Fallback>
    </mc:AlternateContent>
    <mc:AlternateContent xmlns:mc="http://schemas.openxmlformats.org/markup-compatibility/2006">
      <mc:Choice Requires="x14">
        <control shapeId="14345" r:id="rId20" name="cbPreserveContract">
          <controlPr defaultSize="0" autoLine="0" r:id="rId21">
            <anchor moveWithCells="1">
              <from>
                <xdr:col>1</xdr:col>
                <xdr:colOff>523875</xdr:colOff>
                <xdr:row>13</xdr:row>
                <xdr:rowOff>19050</xdr:rowOff>
              </from>
              <to>
                <xdr:col>3</xdr:col>
                <xdr:colOff>257175</xdr:colOff>
                <xdr:row>14</xdr:row>
                <xdr:rowOff>47625</xdr:rowOff>
              </to>
            </anchor>
          </controlPr>
        </control>
      </mc:Choice>
      <mc:Fallback>
        <control shapeId="14345" r:id="rId20" name="cbPreserveContract"/>
      </mc:Fallback>
    </mc:AlternateContent>
    <mc:AlternateContent xmlns:mc="http://schemas.openxmlformats.org/markup-compatibility/2006">
      <mc:Choice Requires="x14">
        <control shapeId="14346" r:id="rId22" name="cmbEnableAutoStop">
          <controlPr defaultSize="0" autoLine="0" r:id="rId23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22" name="cmbEnableAutoSto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6" customWidth="1"/>
    <col min="24" max="24" width="12.140625" customWidth="1"/>
    <col min="26" max="26" width="16.28515625" customWidth="1"/>
    <col min="31" max="31" width="10.42578125" customWidth="1"/>
    <col min="32" max="32" width="9.140625" style="58"/>
    <col min="33" max="33" width="9.5703125" bestFit="1" customWidth="1"/>
    <col min="34" max="34" width="9.85546875" customWidth="1"/>
  </cols>
  <sheetData>
    <row r="1" spans="2:37" x14ac:dyDescent="0.25">
      <c r="AE1" s="133" t="s">
        <v>123</v>
      </c>
      <c r="AF1" s="133"/>
      <c r="AG1" s="133"/>
      <c r="AH1" s="133"/>
      <c r="AI1" s="133"/>
      <c r="AJ1" s="133"/>
      <c r="AK1" s="133"/>
    </row>
    <row r="4" spans="2:37" x14ac:dyDescent="0.25">
      <c r="B4" s="127" t="s">
        <v>13</v>
      </c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27"/>
      <c r="R4" s="111"/>
      <c r="S4" s="111"/>
      <c r="T4" s="104" t="s">
        <v>101</v>
      </c>
      <c r="U4" s="104"/>
      <c r="V4" s="104"/>
      <c r="W4" s="104"/>
      <c r="X4" s="104"/>
      <c r="Y4" s="104"/>
      <c r="Z4" s="104"/>
      <c r="AA4" s="104"/>
      <c r="AB4" s="104" t="s">
        <v>108</v>
      </c>
      <c r="AC4" s="104"/>
      <c r="AD4" s="104"/>
      <c r="AF4" s="5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7" t="s">
        <v>19</v>
      </c>
      <c r="O5" s="47" t="s">
        <v>21</v>
      </c>
      <c r="P5" s="47" t="s">
        <v>22</v>
      </c>
      <c r="Q5" s="47" t="s">
        <v>18</v>
      </c>
      <c r="R5" s="47" t="s">
        <v>20</v>
      </c>
      <c r="S5" s="47" t="s">
        <v>23</v>
      </c>
      <c r="T5" s="31" t="s">
        <v>45</v>
      </c>
      <c r="U5" s="31" t="s">
        <v>121</v>
      </c>
      <c r="V5" s="55" t="s">
        <v>102</v>
      </c>
      <c r="W5" s="31" t="s">
        <v>103</v>
      </c>
      <c r="X5" s="31" t="s">
        <v>104</v>
      </c>
      <c r="Y5" s="31" t="s">
        <v>105</v>
      </c>
      <c r="Z5" s="31" t="s">
        <v>106</v>
      </c>
      <c r="AA5" s="31" t="s">
        <v>107</v>
      </c>
      <c r="AB5" s="31" t="s">
        <v>103</v>
      </c>
      <c r="AC5" s="31" t="s">
        <v>104</v>
      </c>
      <c r="AD5" s="31" t="s">
        <v>105</v>
      </c>
      <c r="AE5" s="35" t="s">
        <v>112</v>
      </c>
      <c r="AF5" s="59" t="s">
        <v>113</v>
      </c>
      <c r="AG5" s="35" t="s">
        <v>114</v>
      </c>
      <c r="AH5" s="50" t="s">
        <v>118</v>
      </c>
      <c r="AI5" s="50" t="s">
        <v>115</v>
      </c>
      <c r="AJ5" s="50" t="s">
        <v>116</v>
      </c>
      <c r="AK5" s="5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3">
        <v>8.1199351145806584E-5</v>
      </c>
      <c r="V6" s="52">
        <v>0.26420497997470704</v>
      </c>
      <c r="W6" s="2">
        <v>-9.6878701869559432E-3</v>
      </c>
      <c r="X6" s="53">
        <v>0.84191308475782911</v>
      </c>
      <c r="Y6" s="33">
        <v>-2.4950003905054767E-4</v>
      </c>
      <c r="Z6" s="34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57">
        <f>BSGamma($AA$17,E6,D6,0.001,V6)</f>
        <v>0</v>
      </c>
      <c r="AF6" s="58">
        <f t="shared" ref="AF6:AF37" si="0">IF(ISERR(AE6),0,AE6*M6)</f>
        <v>0</v>
      </c>
      <c r="AG6" s="29">
        <f>IF(AE6 = 0,0,(Y6*-10000)/AE6)</f>
        <v>0</v>
      </c>
      <c r="AH6">
        <f>IF(F6="C",MAX(0,$AA$14-E6),MAX(0,E6-$AA$14))*10000</f>
        <v>0</v>
      </c>
      <c r="AI6" s="49">
        <f>MAX(0,(U6*10000)-AH6)</f>
        <v>0.81199351145806586</v>
      </c>
      <c r="AJ6" s="49">
        <f>AI6*M6</f>
        <v>8.1199351145806595</v>
      </c>
      <c r="AK6" s="4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3">
        <v>7.4421382497728584E-5</v>
      </c>
      <c r="V7" s="52">
        <v>0.24014391877688013</v>
      </c>
      <c r="W7" s="2">
        <v>-9.7672371887170713E-3</v>
      </c>
      <c r="X7" s="53">
        <v>0.96797095253886623</v>
      </c>
      <c r="Y7" s="33">
        <v>-2.2846199736357761E-4</v>
      </c>
      <c r="Z7" s="34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57">
        <f t="shared" ref="AE7:AE70" si="7">BSGamma($AA$17,E7,D7,0.001,V7)</f>
        <v>0</v>
      </c>
      <c r="AF7" s="58">
        <f t="shared" si="0"/>
        <v>0</v>
      </c>
      <c r="AG7" s="29">
        <f t="shared" ref="AG7:AG70" si="8">IF(AE7 = 0,0,(Y7*-10000)/AE7)</f>
        <v>0</v>
      </c>
      <c r="AH7">
        <f t="shared" ref="AH7:AH70" si="9">IF(F7="C",MAX(0,$AA$14-E7),MAX(0,E7-$AA$14))*10000</f>
        <v>0</v>
      </c>
      <c r="AI7" s="49">
        <f t="shared" ref="AI7:AI70" si="10">MAX(0,(U7*10000)-AH7)</f>
        <v>0.74421382497728583</v>
      </c>
      <c r="AJ7" s="49">
        <f t="shared" ref="AJ7:AJ70" si="11">AI7*M7</f>
        <v>0</v>
      </c>
      <c r="AK7" s="4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3">
        <v>7.1611499573167992E-5</v>
      </c>
      <c r="V8" s="52">
        <v>0.21823570997051434</v>
      </c>
      <c r="W8" s="2">
        <v>-1.0310207742769443E-2</v>
      </c>
      <c r="X8" s="53">
        <v>0</v>
      </c>
      <c r="Y8" s="33">
        <v>-2.1819140367112388E-4</v>
      </c>
      <c r="Z8" s="34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57">
        <f t="shared" si="7"/>
        <v>0</v>
      </c>
      <c r="AF8" s="58">
        <f t="shared" si="0"/>
        <v>0</v>
      </c>
      <c r="AG8" s="29">
        <f t="shared" si="8"/>
        <v>0</v>
      </c>
      <c r="AH8">
        <f t="shared" si="9"/>
        <v>0</v>
      </c>
      <c r="AI8" s="49">
        <f t="shared" si="10"/>
        <v>0.71611499573167992</v>
      </c>
      <c r="AJ8" s="49">
        <f t="shared" si="11"/>
        <v>0</v>
      </c>
      <c r="AK8" s="4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3">
        <v>8.0178960996781138E-5</v>
      </c>
      <c r="V9" s="52">
        <v>0.1984803535556523</v>
      </c>
      <c r="W9" s="2">
        <v>-1.2365932135729427E-2</v>
      </c>
      <c r="X9" s="53">
        <v>0</v>
      </c>
      <c r="Y9" s="33">
        <v>-2.3096374601349581E-4</v>
      </c>
      <c r="Z9" s="34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57">
        <f t="shared" si="7"/>
        <v>0</v>
      </c>
      <c r="AF9" s="58">
        <f t="shared" si="0"/>
        <v>0</v>
      </c>
      <c r="AG9" s="29">
        <f t="shared" si="8"/>
        <v>0</v>
      </c>
      <c r="AH9">
        <f t="shared" si="9"/>
        <v>0</v>
      </c>
      <c r="AI9" s="49">
        <f t="shared" si="10"/>
        <v>0.80178960996781135</v>
      </c>
      <c r="AJ9" s="49">
        <f t="shared" si="11"/>
        <v>0</v>
      </c>
      <c r="AK9" s="4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3">
        <v>9.787043407957923E-5</v>
      </c>
      <c r="V10" s="52">
        <v>0.18087784953227981</v>
      </c>
      <c r="W10" s="2">
        <v>-1.6053871129648158E-2</v>
      </c>
      <c r="X10" s="54">
        <v>0</v>
      </c>
      <c r="Y10" s="33">
        <v>-2.6307424795380687E-4</v>
      </c>
      <c r="Z10" s="34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57">
        <f t="shared" si="7"/>
        <v>0</v>
      </c>
      <c r="AF10" s="58">
        <f t="shared" si="0"/>
        <v>0</v>
      </c>
      <c r="AG10" s="29">
        <f t="shared" si="8"/>
        <v>0</v>
      </c>
      <c r="AH10">
        <f t="shared" si="9"/>
        <v>0</v>
      </c>
      <c r="AI10" s="49">
        <f t="shared" si="10"/>
        <v>0.97870434079579227</v>
      </c>
      <c r="AJ10" s="49">
        <f t="shared" si="11"/>
        <v>0</v>
      </c>
      <c r="AK10" s="4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3">
        <v>1.2338459576258055E-4</v>
      </c>
      <c r="V11" s="52">
        <v>0.16542819790035423</v>
      </c>
      <c r="W11" s="2">
        <v>-2.1560138228549582E-2</v>
      </c>
      <c r="X11" s="53">
        <v>0</v>
      </c>
      <c r="Y11" s="33">
        <v>-3.1239254104964881E-4</v>
      </c>
      <c r="Z11" s="34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57">
        <f t="shared" si="7"/>
        <v>0</v>
      </c>
      <c r="AF11" s="58">
        <f t="shared" si="0"/>
        <v>0</v>
      </c>
      <c r="AG11" s="29">
        <f t="shared" si="8"/>
        <v>0</v>
      </c>
      <c r="AH11">
        <f t="shared" si="9"/>
        <v>0</v>
      </c>
      <c r="AI11" s="49">
        <f t="shared" si="10"/>
        <v>1.2338459576258056</v>
      </c>
      <c r="AJ11" s="49">
        <f t="shared" si="11"/>
        <v>0</v>
      </c>
      <c r="AK11" s="4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3">
        <v>1.9676249128862636E-4</v>
      </c>
      <c r="V12" s="52">
        <v>0.15213139865993242</v>
      </c>
      <c r="W12" s="2">
        <v>-3.4836869172406915E-2</v>
      </c>
      <c r="X12" s="53">
        <v>0</v>
      </c>
      <c r="Y12" s="33">
        <v>-4.2589234528331163E-4</v>
      </c>
      <c r="Z12" s="34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57">
        <f t="shared" si="7"/>
        <v>0</v>
      </c>
      <c r="AF12" s="58">
        <f t="shared" si="0"/>
        <v>0</v>
      </c>
      <c r="AG12" s="29">
        <f t="shared" si="8"/>
        <v>0</v>
      </c>
      <c r="AH12">
        <f t="shared" si="9"/>
        <v>0</v>
      </c>
      <c r="AI12" s="49">
        <f t="shared" si="10"/>
        <v>1.9676249128862635</v>
      </c>
      <c r="AJ12" s="49">
        <f t="shared" si="11"/>
        <v>0</v>
      </c>
      <c r="AK12" s="4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3">
        <v>3.3657321716550412E-4</v>
      </c>
      <c r="V13" s="52">
        <v>0.14098745181098593</v>
      </c>
      <c r="W13" s="2">
        <v>-5.9208535931378342E-2</v>
      </c>
      <c r="X13" s="53">
        <v>0</v>
      </c>
      <c r="Y13" s="33">
        <v>-6.0446077599329222E-4</v>
      </c>
      <c r="Z13" s="34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57">
        <f t="shared" si="7"/>
        <v>0</v>
      </c>
      <c r="AF13" s="58">
        <f t="shared" si="0"/>
        <v>0</v>
      </c>
      <c r="AG13" s="29">
        <f t="shared" si="8"/>
        <v>0</v>
      </c>
      <c r="AH13">
        <f t="shared" si="9"/>
        <v>0</v>
      </c>
      <c r="AI13" s="49">
        <f t="shared" si="10"/>
        <v>3.3657321716550412</v>
      </c>
      <c r="AJ13" s="49">
        <f t="shared" si="11"/>
        <v>0</v>
      </c>
      <c r="AK13" s="4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3">
        <v>6.2461154282803021E-4</v>
      </c>
      <c r="V14" s="52">
        <v>0.13199635735350057</v>
      </c>
      <c r="W14" s="2">
        <v>-0.10560974891081049</v>
      </c>
      <c r="X14" s="53">
        <v>0</v>
      </c>
      <c r="Y14" s="33">
        <v>-8.7852672117392106E-4</v>
      </c>
      <c r="Z14" s="34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57">
        <f t="shared" si="7"/>
        <v>0</v>
      </c>
      <c r="AF14" s="58">
        <f t="shared" si="0"/>
        <v>0</v>
      </c>
      <c r="AG14" s="29">
        <f t="shared" si="8"/>
        <v>0</v>
      </c>
      <c r="AH14">
        <f t="shared" si="9"/>
        <v>0</v>
      </c>
      <c r="AI14" s="49">
        <f t="shared" si="10"/>
        <v>6.2461154282803024</v>
      </c>
      <c r="AJ14" s="49">
        <f t="shared" si="11"/>
        <v>0</v>
      </c>
      <c r="AK14" s="4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3">
        <v>1.1984139041402108E-3</v>
      </c>
      <c r="V15" s="52">
        <v>0.12515811528751897</v>
      </c>
      <c r="W15" s="2">
        <v>-0.18793765586023906</v>
      </c>
      <c r="X15" s="53">
        <v>0</v>
      </c>
      <c r="Y15" s="33">
        <v>-1.2388664701268209E-3</v>
      </c>
      <c r="Z15" s="34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57">
        <f t="shared" si="7"/>
        <v>0</v>
      </c>
      <c r="AF15" s="58">
        <f t="shared" si="0"/>
        <v>0</v>
      </c>
      <c r="AG15" s="29">
        <f t="shared" si="8"/>
        <v>0</v>
      </c>
      <c r="AH15">
        <f t="shared" si="9"/>
        <v>0</v>
      </c>
      <c r="AI15" s="49">
        <f t="shared" si="10"/>
        <v>11.984139041402107</v>
      </c>
      <c r="AJ15" s="49">
        <f t="shared" si="11"/>
        <v>0</v>
      </c>
      <c r="AK15" s="4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3">
        <v>2.3571633551261869E-3</v>
      </c>
      <c r="V16" s="52">
        <v>0.1204727256130127</v>
      </c>
      <c r="W16" s="2">
        <v>-0.32187740475039894</v>
      </c>
      <c r="X16" s="53">
        <v>0</v>
      </c>
      <c r="Y16" s="33">
        <v>-1.5770148129181599E-3</v>
      </c>
      <c r="Z16" s="34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57">
        <f t="shared" si="7"/>
        <v>0</v>
      </c>
      <c r="AF16" s="58">
        <f t="shared" si="0"/>
        <v>0</v>
      </c>
      <c r="AG16" s="29">
        <f t="shared" si="8"/>
        <v>0</v>
      </c>
      <c r="AH16">
        <f t="shared" si="9"/>
        <v>0</v>
      </c>
      <c r="AI16" s="49">
        <f t="shared" si="10"/>
        <v>23.571633551261868</v>
      </c>
      <c r="AJ16" s="49">
        <f t="shared" si="11"/>
        <v>0</v>
      </c>
      <c r="AK16" s="4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3">
        <v>7.1000000461935997E-3</v>
      </c>
      <c r="V17" s="52">
        <v>0.19486266952716297</v>
      </c>
      <c r="W17" s="2">
        <v>-0.49550698962638023</v>
      </c>
      <c r="X17" s="53">
        <v>0</v>
      </c>
      <c r="Y17" s="33">
        <v>-2.8652366511571609E-3</v>
      </c>
      <c r="Z17" s="34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57">
        <f t="shared" si="7"/>
        <v>0</v>
      </c>
      <c r="AF17" s="58">
        <f t="shared" si="0"/>
        <v>0</v>
      </c>
      <c r="AG17" s="29">
        <f t="shared" si="8"/>
        <v>0</v>
      </c>
      <c r="AH17">
        <f t="shared" si="9"/>
        <v>0</v>
      </c>
      <c r="AI17" s="49">
        <f t="shared" si="10"/>
        <v>71.000000461935997</v>
      </c>
      <c r="AJ17" s="49">
        <f t="shared" si="11"/>
        <v>0</v>
      </c>
      <c r="AK17" s="4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3">
        <v>7.2386292668941759E-3</v>
      </c>
      <c r="V18" s="52">
        <v>0.11756050343842617</v>
      </c>
      <c r="W18" s="2">
        <v>-0.67253122920548303</v>
      </c>
      <c r="X18" s="53">
        <v>0</v>
      </c>
      <c r="Y18" s="33">
        <v>-1.5495704596294006E-3</v>
      </c>
      <c r="Z18" s="34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57">
        <f t="shared" si="7"/>
        <v>0</v>
      </c>
      <c r="AF18" s="58">
        <f t="shared" si="0"/>
        <v>0</v>
      </c>
      <c r="AG18" s="29">
        <f t="shared" si="8"/>
        <v>0</v>
      </c>
      <c r="AH18">
        <f t="shared" si="9"/>
        <v>49.000000000001265</v>
      </c>
      <c r="AI18" s="49">
        <f t="shared" si="10"/>
        <v>23.386292668940499</v>
      </c>
      <c r="AJ18" s="49">
        <f t="shared" si="11"/>
        <v>0</v>
      </c>
      <c r="AK18" s="4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3">
        <v>1.1016346548179045E-2</v>
      </c>
      <c r="V19" s="52">
        <v>0.11933367093836011</v>
      </c>
      <c r="W19" s="2">
        <v>-0.81481940558608035</v>
      </c>
      <c r="X19" s="53">
        <v>0</v>
      </c>
      <c r="Y19" s="33">
        <v>-1.168430220345048E-3</v>
      </c>
      <c r="Z19" s="34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57">
        <f t="shared" si="7"/>
        <v>0</v>
      </c>
      <c r="AF19" s="58">
        <f t="shared" si="0"/>
        <v>0</v>
      </c>
      <c r="AG19" s="29">
        <f t="shared" si="8"/>
        <v>0</v>
      </c>
      <c r="AH19">
        <f t="shared" si="9"/>
        <v>99.000000000000199</v>
      </c>
      <c r="AI19" s="49">
        <f t="shared" si="10"/>
        <v>11.163465481790254</v>
      </c>
      <c r="AJ19" s="49">
        <f t="shared" si="11"/>
        <v>0</v>
      </c>
      <c r="AK19" s="4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3">
        <v>1.5421554579886813E-2</v>
      </c>
      <c r="V20" s="52">
        <v>0.1232596908297694</v>
      </c>
      <c r="W20" s="2">
        <v>-0.9034281906599263</v>
      </c>
      <c r="X20" s="53">
        <v>0.45586362429465982</v>
      </c>
      <c r="Y20" s="33">
        <v>-7.6797840683540336E-4</v>
      </c>
      <c r="Z20" s="34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57">
        <f t="shared" si="7"/>
        <v>0</v>
      </c>
      <c r="AF20" s="58">
        <f t="shared" si="0"/>
        <v>0</v>
      </c>
      <c r="AG20" s="29">
        <f t="shared" si="8"/>
        <v>0</v>
      </c>
      <c r="AH20">
        <f t="shared" si="9"/>
        <v>149.00000000000136</v>
      </c>
      <c r="AI20" s="49">
        <f t="shared" si="10"/>
        <v>5.2155457988667706</v>
      </c>
      <c r="AJ20" s="49">
        <f t="shared" si="11"/>
        <v>0</v>
      </c>
      <c r="AK20" s="4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3">
        <v>2.0139865568373858E-2</v>
      </c>
      <c r="V21" s="52">
        <v>0.1293385631126398</v>
      </c>
      <c r="W21" s="2">
        <v>-0.95204286396793458</v>
      </c>
      <c r="X21" s="53">
        <v>0</v>
      </c>
      <c r="Y21" s="33">
        <v>-4.7107727011627768E-4</v>
      </c>
      <c r="Z21" s="34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57">
        <f t="shared" si="7"/>
        <v>0</v>
      </c>
      <c r="AF21" s="58">
        <f t="shared" si="0"/>
        <v>0</v>
      </c>
      <c r="AG21" s="29">
        <f t="shared" si="8"/>
        <v>0</v>
      </c>
      <c r="AH21">
        <f t="shared" si="9"/>
        <v>199.00000000000028</v>
      </c>
      <c r="AI21" s="49">
        <f t="shared" si="10"/>
        <v>2.3986556837382977</v>
      </c>
      <c r="AJ21" s="49">
        <f t="shared" si="11"/>
        <v>0</v>
      </c>
      <c r="AK21" s="4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3">
        <v>2.5021042245330444E-2</v>
      </c>
      <c r="V22" s="52">
        <v>0.13757028778701397</v>
      </c>
      <c r="W22" s="2">
        <v>-0.97506282275406442</v>
      </c>
      <c r="X22" s="53">
        <v>0</v>
      </c>
      <c r="Y22" s="33">
        <v>-2.928207005908077E-4</v>
      </c>
      <c r="Z22" s="34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57">
        <f t="shared" si="7"/>
        <v>0</v>
      </c>
      <c r="AF22" s="58">
        <f t="shared" si="0"/>
        <v>0</v>
      </c>
      <c r="AG22" s="29">
        <f t="shared" si="8"/>
        <v>0</v>
      </c>
      <c r="AH22">
        <f t="shared" si="9"/>
        <v>249.00000000000145</v>
      </c>
      <c r="AI22" s="49">
        <f t="shared" si="10"/>
        <v>1.2104224533029821</v>
      </c>
      <c r="AJ22" s="49">
        <f t="shared" si="11"/>
        <v>0</v>
      </c>
      <c r="AK22" s="4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3">
        <v>2.9971969328718363E-2</v>
      </c>
      <c r="V23" s="52">
        <v>0.14795486485286347</v>
      </c>
      <c r="W23" s="2">
        <v>-0.98537525388845271</v>
      </c>
      <c r="X23" s="53">
        <v>0</v>
      </c>
      <c r="Y23" s="2">
        <v>-1.9919460149662467E-4</v>
      </c>
      <c r="Z23" s="34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57">
        <f t="shared" si="7"/>
        <v>0</v>
      </c>
      <c r="AF23" s="58">
        <f t="shared" si="0"/>
        <v>0</v>
      </c>
      <c r="AG23" s="29">
        <f t="shared" si="8"/>
        <v>0</v>
      </c>
      <c r="AH23">
        <f t="shared" si="9"/>
        <v>299.0000000000004</v>
      </c>
      <c r="AI23" s="49">
        <f t="shared" si="10"/>
        <v>0.71969328718324732</v>
      </c>
      <c r="AJ23" s="49">
        <f t="shared" si="11"/>
        <v>0</v>
      </c>
      <c r="AK23" s="4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3">
        <v>3.4947170242700727E-2</v>
      </c>
      <c r="V24" s="52">
        <v>0.16049229431017409</v>
      </c>
      <c r="W24" s="2">
        <v>-0.99069384771629254</v>
      </c>
      <c r="X24" s="53">
        <v>0.96000685239764894</v>
      </c>
      <c r="Y24" s="2">
        <v>-1.4673614098978258E-4</v>
      </c>
      <c r="Z24" s="34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57">
        <f t="shared" si="7"/>
        <v>0</v>
      </c>
      <c r="AF24" s="58">
        <f t="shared" si="0"/>
        <v>0</v>
      </c>
      <c r="AG24" s="29">
        <f t="shared" si="8"/>
        <v>0</v>
      </c>
      <c r="AH24">
        <f t="shared" si="9"/>
        <v>349.00000000000153</v>
      </c>
      <c r="AI24" s="49">
        <f t="shared" si="10"/>
        <v>0.47170242700570952</v>
      </c>
      <c r="AJ24" s="49">
        <f t="shared" si="11"/>
        <v>0</v>
      </c>
      <c r="AK24" s="4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3">
        <v>3.9938167651417097E-2</v>
      </c>
      <c r="V25" s="52">
        <v>0.17518257615898847</v>
      </c>
      <c r="W25" s="2">
        <v>-0.99295163726063207</v>
      </c>
      <c r="X25" s="53">
        <v>0.96459820214130731</v>
      </c>
      <c r="Y25" s="2">
        <v>-1.2498221345756254E-4</v>
      </c>
      <c r="Z25" s="34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57">
        <f t="shared" si="7"/>
        <v>0</v>
      </c>
      <c r="AF25" s="58">
        <f t="shared" si="0"/>
        <v>0</v>
      </c>
      <c r="AG25" s="29">
        <f t="shared" si="8"/>
        <v>0</v>
      </c>
      <c r="AH25">
        <f t="shared" si="9"/>
        <v>399.00000000000045</v>
      </c>
      <c r="AI25" s="49">
        <f t="shared" si="10"/>
        <v>0.38167651417052184</v>
      </c>
      <c r="AJ25" s="49">
        <f t="shared" si="11"/>
        <v>0</v>
      </c>
      <c r="AK25" s="4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3">
        <v>4.4933497038128635E-2</v>
      </c>
      <c r="V26" s="52">
        <v>0.19202571039927818</v>
      </c>
      <c r="W26" s="2">
        <v>-0.99424128479175922</v>
      </c>
      <c r="X26" s="53">
        <v>0.93178526449189381</v>
      </c>
      <c r="Y26" s="2">
        <v>-1.1497841994031873E-4</v>
      </c>
      <c r="Z26" s="34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57">
        <f t="shared" si="7"/>
        <v>0</v>
      </c>
      <c r="AF26" s="58">
        <f t="shared" si="0"/>
        <v>0</v>
      </c>
      <c r="AG26" s="29">
        <f t="shared" si="8"/>
        <v>0</v>
      </c>
      <c r="AH26">
        <f t="shared" si="9"/>
        <v>449.00000000000159</v>
      </c>
      <c r="AI26" s="49">
        <f t="shared" si="10"/>
        <v>0.33497038128473378</v>
      </c>
      <c r="AJ26" s="49">
        <f t="shared" si="11"/>
        <v>0</v>
      </c>
      <c r="AK26" s="4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3">
        <v>4.9933175905381037E-2</v>
      </c>
      <c r="V27" s="52">
        <v>0.21102169703104323</v>
      </c>
      <c r="W27" s="2">
        <v>-0.99475196361446627</v>
      </c>
      <c r="X27" s="53">
        <v>0.78384519397573749</v>
      </c>
      <c r="Y27" s="2">
        <v>-1.1677813097680746E-4</v>
      </c>
      <c r="Z27" s="34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57">
        <f t="shared" si="7"/>
        <v>0</v>
      </c>
      <c r="AF27" s="58">
        <f t="shared" si="0"/>
        <v>0</v>
      </c>
      <c r="AG27" s="29">
        <f t="shared" si="8"/>
        <v>0</v>
      </c>
      <c r="AH27">
        <f t="shared" si="9"/>
        <v>499.00000000000057</v>
      </c>
      <c r="AI27" s="49">
        <f t="shared" si="10"/>
        <v>0.33175905380977611</v>
      </c>
      <c r="AJ27" s="49">
        <f t="shared" si="11"/>
        <v>0</v>
      </c>
      <c r="AK27" s="4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3">
        <v>5.4937219892936658E-2</v>
      </c>
      <c r="V28" s="52">
        <v>0.23217053605428362</v>
      </c>
      <c r="W28" s="2">
        <v>-0.99465768629688212</v>
      </c>
      <c r="X28" s="53">
        <v>0.72323851067159062</v>
      </c>
      <c r="Y28" s="2">
        <v>-1.3043410533604931E-4</v>
      </c>
      <c r="Z28" s="34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57">
        <f t="shared" si="7"/>
        <v>0</v>
      </c>
      <c r="AF28" s="58">
        <f t="shared" si="0"/>
        <v>0</v>
      </c>
      <c r="AG28" s="29">
        <f t="shared" si="8"/>
        <v>0</v>
      </c>
      <c r="AH28">
        <f t="shared" si="9"/>
        <v>549.00000000000171</v>
      </c>
      <c r="AI28" s="49">
        <f t="shared" si="10"/>
        <v>0.37219892936491306</v>
      </c>
      <c r="AJ28" s="49">
        <f t="shared" si="11"/>
        <v>0</v>
      </c>
      <c r="AK28" s="4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3">
        <v>5.9945648867460698E-2</v>
      </c>
      <c r="V29" s="52">
        <v>0.25547222746899934</v>
      </c>
      <c r="W29" s="2">
        <v>-0.99410840163359981</v>
      </c>
      <c r="X29" s="53">
        <v>0.71422133303684943</v>
      </c>
      <c r="Y29" s="2">
        <v>-1.5599872907370662E-4</v>
      </c>
      <c r="Z29" s="34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57">
        <f t="shared" si="7"/>
        <v>0</v>
      </c>
      <c r="AF29" s="58">
        <f t="shared" si="0"/>
        <v>0</v>
      </c>
      <c r="AG29" s="29">
        <f t="shared" si="8"/>
        <v>0</v>
      </c>
      <c r="AH29">
        <f t="shared" si="9"/>
        <v>599.00000000000068</v>
      </c>
      <c r="AI29" s="49">
        <f t="shared" si="10"/>
        <v>0.45648867460624842</v>
      </c>
      <c r="AJ29" s="49">
        <f t="shared" si="11"/>
        <v>0</v>
      </c>
      <c r="AK29" s="4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3">
        <v>6.4958485315866926E-2</v>
      </c>
      <c r="V30" s="52">
        <v>0.2809267712752046</v>
      </c>
      <c r="W30" s="2">
        <v>-0.99322759936178417</v>
      </c>
      <c r="X30" s="53">
        <v>0.73250794366057015</v>
      </c>
      <c r="Y30" s="2">
        <v>-1.9352554713736398E-4</v>
      </c>
      <c r="Z30" s="34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57">
        <f t="shared" si="7"/>
        <v>0</v>
      </c>
      <c r="AF30" s="58">
        <f t="shared" si="0"/>
        <v>0</v>
      </c>
      <c r="AG30" s="29">
        <f t="shared" si="8"/>
        <v>0</v>
      </c>
      <c r="AH30">
        <f t="shared" si="9"/>
        <v>648.99999999999955</v>
      </c>
      <c r="AI30" s="49">
        <f t="shared" si="10"/>
        <v>0.58485315866971632</v>
      </c>
      <c r="AJ30" s="49">
        <f t="shared" si="11"/>
        <v>0</v>
      </c>
      <c r="AK30" s="4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3">
        <v>6.9975749618210112E-2</v>
      </c>
      <c r="V31" s="52">
        <v>0.30853416747289941</v>
      </c>
      <c r="W31" s="2">
        <v>-0.99211342707809069</v>
      </c>
      <c r="X31" s="53">
        <v>0.76249876297262764</v>
      </c>
      <c r="Y31" s="2">
        <v>-2.4306472003765922E-4</v>
      </c>
      <c r="Z31" s="34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57">
        <f t="shared" si="7"/>
        <v>0</v>
      </c>
      <c r="AF31" s="58">
        <f t="shared" si="0"/>
        <v>0</v>
      </c>
      <c r="AG31" s="29">
        <f t="shared" si="8"/>
        <v>0</v>
      </c>
      <c r="AH31">
        <f t="shared" si="9"/>
        <v>699.00000000000068</v>
      </c>
      <c r="AI31" s="49">
        <f t="shared" si="10"/>
        <v>0.75749618210045355</v>
      </c>
      <c r="AJ31" s="49">
        <f t="shared" si="11"/>
        <v>0</v>
      </c>
      <c r="AK31" s="4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3">
        <v>7.4997461117907296E-2</v>
      </c>
      <c r="V32" s="52">
        <v>0.33829441606204114</v>
      </c>
      <c r="W32" s="2">
        <v>-0.99084222167956415</v>
      </c>
      <c r="X32" s="53">
        <v>0.79477854501055389</v>
      </c>
      <c r="Y32" s="2">
        <v>-3.0467123538908616E-4</v>
      </c>
      <c r="Z32" s="34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57">
        <f t="shared" si="7"/>
        <v>0</v>
      </c>
      <c r="AF32" s="58">
        <f t="shared" si="0"/>
        <v>0</v>
      </c>
      <c r="AG32" s="29">
        <f t="shared" si="8"/>
        <v>0</v>
      </c>
      <c r="AH32">
        <f t="shared" si="9"/>
        <v>749.00000000000193</v>
      </c>
      <c r="AI32" s="49">
        <f t="shared" si="10"/>
        <v>0.97461117907107564</v>
      </c>
      <c r="AJ32" s="49">
        <f t="shared" si="11"/>
        <v>0</v>
      </c>
      <c r="AK32" s="4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3">
        <v>8.0023639217036438E-2</v>
      </c>
      <c r="V33" s="52">
        <v>0.37020751704270083</v>
      </c>
      <c r="W33" s="2">
        <v>-0.98947196305720375</v>
      </c>
      <c r="X33" s="53">
        <v>0.82406090664307019</v>
      </c>
      <c r="Y33" s="2">
        <v>-3.7839448819390126E-4</v>
      </c>
      <c r="Z33" s="34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57">
        <f t="shared" si="7"/>
        <v>0</v>
      </c>
      <c r="AF33" s="58">
        <f t="shared" si="0"/>
        <v>0</v>
      </c>
      <c r="AG33" s="29">
        <f t="shared" si="8"/>
        <v>0</v>
      </c>
      <c r="AH33">
        <f t="shared" si="9"/>
        <v>799.0000000000008</v>
      </c>
      <c r="AI33" s="49">
        <f t="shared" si="10"/>
        <v>1.2363921703636152</v>
      </c>
      <c r="AJ33" s="49">
        <f t="shared" si="11"/>
        <v>0</v>
      </c>
      <c r="AK33" s="4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3">
        <v>8.5070516615054173E-2</v>
      </c>
      <c r="V34" s="52">
        <v>0.40427347041482165</v>
      </c>
      <c r="W34" s="2">
        <v>-0.98705691075711555</v>
      </c>
      <c r="X34" s="53">
        <v>0.8966998586038698</v>
      </c>
      <c r="Y34" s="2">
        <v>-4.9113662857176266E-4</v>
      </c>
      <c r="Z34" s="34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57">
        <f t="shared" si="7"/>
        <v>0</v>
      </c>
      <c r="AF34" s="58">
        <f t="shared" si="0"/>
        <v>0</v>
      </c>
      <c r="AG34" s="29">
        <f t="shared" si="8"/>
        <v>0</v>
      </c>
      <c r="AH34">
        <f t="shared" si="9"/>
        <v>848.99999999999977</v>
      </c>
      <c r="AI34" s="49">
        <f t="shared" si="10"/>
        <v>1.7051661505419133</v>
      </c>
      <c r="AJ34" s="49">
        <f t="shared" si="11"/>
        <v>0</v>
      </c>
      <c r="AK34" s="4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3">
        <v>9.0131182289735531E-2</v>
      </c>
      <c r="V35" s="52">
        <v>0.44049227617840359</v>
      </c>
      <c r="W35" s="2">
        <v>-0.98426134336016369</v>
      </c>
      <c r="X35" s="53">
        <v>0.97085895907125108</v>
      </c>
      <c r="Y35" s="2">
        <v>-6.3142971592561868E-4</v>
      </c>
      <c r="Z35" s="34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57">
        <f t="shared" si="7"/>
        <v>0</v>
      </c>
      <c r="AF35" s="58">
        <f t="shared" si="0"/>
        <v>0</v>
      </c>
      <c r="AG35" s="29">
        <f t="shared" si="8"/>
        <v>0</v>
      </c>
      <c r="AH35">
        <f t="shared" si="9"/>
        <v>899.00000000000091</v>
      </c>
      <c r="AI35" s="49">
        <f t="shared" si="10"/>
        <v>2.3118228973544319</v>
      </c>
      <c r="AJ35" s="49">
        <f t="shared" si="11"/>
        <v>0</v>
      </c>
      <c r="AK35" s="4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3">
        <v>5.5180738412799829E-2</v>
      </c>
      <c r="V36" s="52">
        <v>0.26420497997470704</v>
      </c>
      <c r="W36" s="2">
        <v>0.9903783911365891</v>
      </c>
      <c r="X36" s="53">
        <v>8.4867609479617076E-7</v>
      </c>
      <c r="Y36" s="2">
        <v>-2.4913728829400539E-4</v>
      </c>
      <c r="Z36" s="34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57">
        <f t="shared" si="7"/>
        <v>0</v>
      </c>
      <c r="AF36" s="58">
        <f t="shared" si="0"/>
        <v>0</v>
      </c>
      <c r="AG36" s="29">
        <f t="shared" si="8"/>
        <v>0</v>
      </c>
      <c r="AH36">
        <f t="shared" si="9"/>
        <v>550.99999999999932</v>
      </c>
      <c r="AI36" s="49">
        <f t="shared" si="10"/>
        <v>0.80738412799894377</v>
      </c>
      <c r="AJ36" s="49">
        <f t="shared" si="11"/>
        <v>0</v>
      </c>
      <c r="AK36" s="4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3">
        <v>5.0174002271439908E-2</v>
      </c>
      <c r="V37" s="52">
        <v>0.24014391877688013</v>
      </c>
      <c r="W37" s="2">
        <v>0.99029902415853122</v>
      </c>
      <c r="X37" s="53">
        <v>0</v>
      </c>
      <c r="Y37" s="2">
        <v>-2.2813216354481477E-4</v>
      </c>
      <c r="Z37" s="34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57">
        <f t="shared" si="7"/>
        <v>0</v>
      </c>
      <c r="AF37" s="58">
        <f t="shared" si="0"/>
        <v>0</v>
      </c>
      <c r="AG37" s="29">
        <f t="shared" si="8"/>
        <v>0</v>
      </c>
      <c r="AH37">
        <f t="shared" si="9"/>
        <v>501.00000000000034</v>
      </c>
      <c r="AI37" s="49">
        <f t="shared" si="10"/>
        <v>0.74002271439871947</v>
      </c>
      <c r="AJ37" s="49">
        <f t="shared" si="11"/>
        <v>0</v>
      </c>
      <c r="AK37" s="4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3">
        <v>4.5171234214798316E-2</v>
      </c>
      <c r="V38" s="52">
        <v>0.21823570997051434</v>
      </c>
      <c r="W38" s="2">
        <v>0.98975605375086417</v>
      </c>
      <c r="X38" s="53">
        <v>0</v>
      </c>
      <c r="Y38" s="2">
        <v>-2.1789448305739866E-4</v>
      </c>
      <c r="Z38" s="34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57">
        <f t="shared" si="7"/>
        <v>0</v>
      </c>
      <c r="AF38" s="58">
        <f t="shared" ref="AF38:AF69" si="13">IF(ISERR(AE38),0,AE38*M38)</f>
        <v>0</v>
      </c>
      <c r="AG38" s="29">
        <f t="shared" si="8"/>
        <v>0</v>
      </c>
      <c r="AH38">
        <f t="shared" si="9"/>
        <v>450.9999999999992</v>
      </c>
      <c r="AI38" s="49">
        <f t="shared" si="10"/>
        <v>0.71234214798397488</v>
      </c>
      <c r="AJ38" s="49">
        <f t="shared" si="11"/>
        <v>0</v>
      </c>
      <c r="AK38" s="4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3">
        <v>4.017984348371216E-2</v>
      </c>
      <c r="V39" s="52">
        <v>0.1984803535556523</v>
      </c>
      <c r="W39" s="2">
        <v>0.98770033251658362</v>
      </c>
      <c r="X39" s="53">
        <v>0</v>
      </c>
      <c r="Y39" s="2">
        <v>-2.3069967905503622E-4</v>
      </c>
      <c r="Z39" s="34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57">
        <f t="shared" si="7"/>
        <v>0</v>
      </c>
      <c r="AF39" s="58">
        <f t="shared" si="13"/>
        <v>0</v>
      </c>
      <c r="AG39" s="29">
        <f t="shared" si="8"/>
        <v>0</v>
      </c>
      <c r="AH39">
        <f t="shared" si="9"/>
        <v>401.00000000000023</v>
      </c>
      <c r="AI39" s="49">
        <f t="shared" si="10"/>
        <v>0.79843483712136276</v>
      </c>
      <c r="AJ39" s="49">
        <f t="shared" si="11"/>
        <v>0</v>
      </c>
      <c r="AK39" s="4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3">
        <v>3.5197576778754069E-2</v>
      </c>
      <c r="V40" s="52">
        <v>0.18087784953227981</v>
      </c>
      <c r="W40" s="2">
        <v>0.98401239466735069</v>
      </c>
      <c r="X40" s="53">
        <v>0</v>
      </c>
      <c r="Y40" s="2">
        <v>-2.6284308136189993E-4</v>
      </c>
      <c r="Z40" s="34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57">
        <f t="shared" si="7"/>
        <v>0</v>
      </c>
      <c r="AF40" s="58">
        <f t="shared" si="13"/>
        <v>0</v>
      </c>
      <c r="AG40" s="29">
        <f t="shared" si="8"/>
        <v>0</v>
      </c>
      <c r="AH40">
        <f t="shared" si="9"/>
        <v>350.99999999999909</v>
      </c>
      <c r="AI40" s="49">
        <f t="shared" si="10"/>
        <v>0.97576778754159932</v>
      </c>
      <c r="AJ40" s="49">
        <f t="shared" si="11"/>
        <v>0</v>
      </c>
      <c r="AK40" s="4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3">
        <v>3.0223132760095989E-2</v>
      </c>
      <c r="V41" s="52">
        <v>0.16542819790035423</v>
      </c>
      <c r="W41" s="2">
        <v>0.97850612927498648</v>
      </c>
      <c r="X41" s="53">
        <v>0</v>
      </c>
      <c r="Y41" s="2">
        <v>-3.1219426754247582E-4</v>
      </c>
      <c r="Z41" s="34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57">
        <f t="shared" si="7"/>
        <v>0</v>
      </c>
      <c r="AF41" s="58">
        <f t="shared" si="13"/>
        <v>0</v>
      </c>
      <c r="AG41" s="29">
        <f t="shared" si="8"/>
        <v>0</v>
      </c>
      <c r="AH41">
        <f t="shared" si="9"/>
        <v>301.00000000000017</v>
      </c>
      <c r="AI41" s="49">
        <f t="shared" si="10"/>
        <v>1.2313276009597303</v>
      </c>
      <c r="AJ41" s="49">
        <f t="shared" si="11"/>
        <v>0</v>
      </c>
      <c r="AK41" s="4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3">
        <v>2.52965524313538E-2</v>
      </c>
      <c r="V42" s="52">
        <v>0.15213139865993242</v>
      </c>
      <c r="W42" s="2">
        <v>0.96522940856043193</v>
      </c>
      <c r="X42" s="53">
        <v>0</v>
      </c>
      <c r="Y42" s="2">
        <v>-4.2572685371954631E-4</v>
      </c>
      <c r="Z42" s="34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57">
        <f t="shared" si="7"/>
        <v>0</v>
      </c>
      <c r="AF42" s="58">
        <f t="shared" si="13"/>
        <v>0</v>
      </c>
      <c r="AG42" s="29">
        <f t="shared" si="8"/>
        <v>0</v>
      </c>
      <c r="AH42">
        <f t="shared" si="9"/>
        <v>250.99999999999901</v>
      </c>
      <c r="AI42" s="49">
        <f t="shared" si="10"/>
        <v>1.9655243135389924</v>
      </c>
      <c r="AJ42" s="49">
        <f t="shared" si="11"/>
        <v>0</v>
      </c>
      <c r="AK42" s="4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3">
        <v>2.0436404881690615E-2</v>
      </c>
      <c r="V43" s="52">
        <v>0.14098745181098593</v>
      </c>
      <c r="W43" s="2">
        <v>0.9408577625029193</v>
      </c>
      <c r="X43" s="53">
        <v>0</v>
      </c>
      <c r="Y43" s="2">
        <v>-6.0432797633985607E-4</v>
      </c>
      <c r="Z43" s="34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57">
        <f t="shared" si="7"/>
        <v>0</v>
      </c>
      <c r="AF43" s="58">
        <f t="shared" si="13"/>
        <v>0</v>
      </c>
      <c r="AG43" s="29">
        <f t="shared" si="8"/>
        <v>0</v>
      </c>
      <c r="AH43">
        <f t="shared" si="9"/>
        <v>201.00000000000006</v>
      </c>
      <c r="AI43" s="49">
        <f t="shared" si="10"/>
        <v>3.3640488169060916</v>
      </c>
      <c r="AJ43" s="49">
        <f t="shared" si="11"/>
        <v>0</v>
      </c>
      <c r="AK43" s="4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3">
        <v>1.5724484820930949E-2</v>
      </c>
      <c r="V44" s="52">
        <v>0.13199635735350057</v>
      </c>
      <c r="W44" s="2">
        <v>0.89445659155028767</v>
      </c>
      <c r="X44" s="53">
        <v>0</v>
      </c>
      <c r="Y44" s="2">
        <v>-8.7842645993631025E-4</v>
      </c>
      <c r="Z44" s="34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57">
        <f t="shared" si="7"/>
        <v>0</v>
      </c>
      <c r="AF44" s="58">
        <f t="shared" si="13"/>
        <v>0</v>
      </c>
      <c r="AG44" s="29">
        <f t="shared" si="8"/>
        <v>0</v>
      </c>
      <c r="AH44">
        <f t="shared" si="9"/>
        <v>150.99999999999892</v>
      </c>
      <c r="AI44" s="49">
        <f t="shared" si="10"/>
        <v>6.2448482093105611</v>
      </c>
      <c r="AJ44" s="49">
        <f t="shared" si="11"/>
        <v>0</v>
      </c>
      <c r="AK44" s="4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3">
        <v>1.1298328568095721E-2</v>
      </c>
      <c r="V45" s="52">
        <v>0.12515811528751897</v>
      </c>
      <c r="W45" s="2">
        <v>0.81212876673398537</v>
      </c>
      <c r="X45" s="53">
        <v>0</v>
      </c>
      <c r="Y45" s="2">
        <v>-1.2387985114968151E-3</v>
      </c>
      <c r="Z45" s="34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57">
        <f t="shared" si="7"/>
        <v>0</v>
      </c>
      <c r="AF45" s="58">
        <f t="shared" si="13"/>
        <v>0</v>
      </c>
      <c r="AG45" s="29">
        <f t="shared" si="8"/>
        <v>0</v>
      </c>
      <c r="AH45">
        <f t="shared" si="9"/>
        <v>100.99999999999997</v>
      </c>
      <c r="AI45" s="49">
        <f t="shared" si="10"/>
        <v>11.983285680957238</v>
      </c>
      <c r="AJ45" s="49">
        <f t="shared" si="11"/>
        <v>0</v>
      </c>
      <c r="AK45" s="4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3">
        <v>7.4571183521020025E-3</v>
      </c>
      <c r="V46" s="52">
        <v>0.1204727256130127</v>
      </c>
      <c r="W46" s="2">
        <v>0.67818925711837008</v>
      </c>
      <c r="X46" s="53">
        <v>0</v>
      </c>
      <c r="Y46" s="2">
        <v>-1.5769783665466137E-3</v>
      </c>
      <c r="Z46" s="34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57">
        <f t="shared" si="7"/>
        <v>0</v>
      </c>
      <c r="AF46" s="58">
        <f t="shared" si="13"/>
        <v>0</v>
      </c>
      <c r="AG46" s="29">
        <f t="shared" si="8"/>
        <v>0</v>
      </c>
      <c r="AH46">
        <f t="shared" si="9"/>
        <v>50.99999999999882</v>
      </c>
      <c r="AI46" s="49">
        <f t="shared" si="10"/>
        <v>23.571183521021212</v>
      </c>
      <c r="AJ46" s="49">
        <f t="shared" si="11"/>
        <v>0</v>
      </c>
      <c r="AK46" s="4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3">
        <v>7.4000000022351742E-3</v>
      </c>
      <c r="V47" s="52">
        <v>0.20033945498258379</v>
      </c>
      <c r="W47" s="2">
        <v>0.50448938338421789</v>
      </c>
      <c r="X47" s="53">
        <v>0</v>
      </c>
      <c r="Y47" s="2">
        <v>-2.9458189595816023E-3</v>
      </c>
      <c r="Z47" s="34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57">
        <f t="shared" si="7"/>
        <v>0</v>
      </c>
      <c r="AF47" s="58">
        <f t="shared" si="13"/>
        <v>0</v>
      </c>
      <c r="AG47" s="29">
        <f t="shared" si="8"/>
        <v>0</v>
      </c>
      <c r="AH47">
        <f t="shared" si="9"/>
        <v>0.99999999999988987</v>
      </c>
      <c r="AI47" s="49">
        <f t="shared" si="10"/>
        <v>73.000000022351855</v>
      </c>
      <c r="AJ47" s="49">
        <f t="shared" si="11"/>
        <v>0</v>
      </c>
      <c r="AK47" s="4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3">
        <v>2.3386601062499526E-3</v>
      </c>
      <c r="V48" s="52">
        <v>0.11756050343842617</v>
      </c>
      <c r="W48" s="2">
        <v>0.32753638011934455</v>
      </c>
      <c r="X48" s="53">
        <v>0</v>
      </c>
      <c r="Y48" s="2">
        <v>-1.5495961318951479E-3</v>
      </c>
      <c r="Z48" s="34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57">
        <f t="shared" si="7"/>
        <v>0</v>
      </c>
      <c r="AF48" s="58">
        <f t="shared" si="13"/>
        <v>0</v>
      </c>
      <c r="AG48" s="29">
        <f t="shared" si="8"/>
        <v>0</v>
      </c>
      <c r="AH48">
        <f t="shared" si="9"/>
        <v>0</v>
      </c>
      <c r="AI48" s="49">
        <f t="shared" si="10"/>
        <v>23.386601062499526</v>
      </c>
      <c r="AJ48" s="49">
        <f t="shared" si="11"/>
        <v>0</v>
      </c>
      <c r="AK48" s="4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3">
        <v>1.1164091165729115E-3</v>
      </c>
      <c r="V49" s="52">
        <v>0.11933367093836011</v>
      </c>
      <c r="W49" s="2">
        <v>0.18524911076303147</v>
      </c>
      <c r="X49" s="53">
        <v>0</v>
      </c>
      <c r="Y49" s="2">
        <v>-1.1684861695963273E-3</v>
      </c>
      <c r="Z49" s="34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57">
        <f t="shared" si="7"/>
        <v>0</v>
      </c>
      <c r="AF49" s="58">
        <f t="shared" si="13"/>
        <v>0</v>
      </c>
      <c r="AG49" s="29">
        <f t="shared" si="8"/>
        <v>0</v>
      </c>
      <c r="AH49">
        <f t="shared" si="9"/>
        <v>0</v>
      </c>
      <c r="AI49" s="49">
        <f t="shared" si="10"/>
        <v>11.164091165729115</v>
      </c>
      <c r="AJ49" s="49">
        <f t="shared" si="11"/>
        <v>0</v>
      </c>
      <c r="AK49" s="4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3">
        <v>5.216474251880307E-4</v>
      </c>
      <c r="V50" s="52">
        <v>0.1232596908297694</v>
      </c>
      <c r="W50" s="2">
        <v>9.6641212812860214E-2</v>
      </c>
      <c r="X50" s="53">
        <v>0</v>
      </c>
      <c r="Y50" s="2">
        <v>-7.6806409255681253E-4</v>
      </c>
      <c r="Z50" s="34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57">
        <f t="shared" si="7"/>
        <v>0</v>
      </c>
      <c r="AF50" s="58">
        <f t="shared" si="13"/>
        <v>0</v>
      </c>
      <c r="AG50" s="29">
        <f t="shared" si="8"/>
        <v>0</v>
      </c>
      <c r="AH50">
        <f t="shared" si="9"/>
        <v>0</v>
      </c>
      <c r="AI50" s="49">
        <f t="shared" si="10"/>
        <v>5.2164742518803067</v>
      </c>
      <c r="AJ50" s="49">
        <f t="shared" si="11"/>
        <v>0</v>
      </c>
      <c r="AK50" s="4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3">
        <v>2.3998364970128798E-4</v>
      </c>
      <c r="V51" s="52">
        <v>0.1293385631126398</v>
      </c>
      <c r="W51" s="2">
        <v>4.8027688265695208E-2</v>
      </c>
      <c r="X51" s="53">
        <v>0</v>
      </c>
      <c r="Y51" s="2">
        <v>-4.7119122755980345E-4</v>
      </c>
      <c r="Z51" s="34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57">
        <f t="shared" si="7"/>
        <v>0</v>
      </c>
      <c r="AF51" s="58">
        <f t="shared" si="13"/>
        <v>0</v>
      </c>
      <c r="AG51" s="29">
        <f t="shared" si="8"/>
        <v>0</v>
      </c>
      <c r="AH51">
        <f t="shared" si="9"/>
        <v>0</v>
      </c>
      <c r="AI51" s="49">
        <f t="shared" si="10"/>
        <v>2.3998364970128798</v>
      </c>
      <c r="AJ51" s="49">
        <f t="shared" si="11"/>
        <v>0</v>
      </c>
      <c r="AK51" s="4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3">
        <v>1.2118092944529462E-4</v>
      </c>
      <c r="V52" s="52">
        <v>0.13757028778701397</v>
      </c>
      <c r="W52" s="2">
        <v>2.5008897404942047E-2</v>
      </c>
      <c r="X52" s="53">
        <v>0</v>
      </c>
      <c r="Y52" s="2">
        <v>-2.9296286178520485E-4</v>
      </c>
      <c r="Z52" s="34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57">
        <f t="shared" si="7"/>
        <v>0</v>
      </c>
      <c r="AF52" s="58">
        <f t="shared" si="13"/>
        <v>0</v>
      </c>
      <c r="AG52" s="29">
        <f t="shared" si="8"/>
        <v>0</v>
      </c>
      <c r="AH52">
        <f t="shared" si="9"/>
        <v>0</v>
      </c>
      <c r="AI52" s="49">
        <f t="shared" si="10"/>
        <v>1.2118092944529462</v>
      </c>
      <c r="AJ52" s="49">
        <f t="shared" si="11"/>
        <v>0</v>
      </c>
      <c r="AK52" s="4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3">
        <v>7.2126364204528251E-5</v>
      </c>
      <c r="V53" s="52">
        <v>0.14795486485286347</v>
      </c>
      <c r="W53" s="2">
        <v>1.469739074729449E-2</v>
      </c>
      <c r="X53" s="53">
        <v>0</v>
      </c>
      <c r="Y53" s="2">
        <v>-1.9936522724189968E-4</v>
      </c>
      <c r="Z53" s="34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57">
        <f t="shared" si="7"/>
        <v>0</v>
      </c>
      <c r="AF53" s="58">
        <f t="shared" si="13"/>
        <v>0</v>
      </c>
      <c r="AG53" s="29">
        <f t="shared" si="8"/>
        <v>0</v>
      </c>
      <c r="AH53">
        <f t="shared" si="9"/>
        <v>0</v>
      </c>
      <c r="AI53" s="49">
        <f t="shared" si="10"/>
        <v>0.72126364204528248</v>
      </c>
      <c r="AJ53" s="49">
        <f t="shared" si="11"/>
        <v>0</v>
      </c>
      <c r="AK53" s="4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3">
        <v>4.7341293692565039E-5</v>
      </c>
      <c r="V54" s="52">
        <v>0.16049229431017409</v>
      </c>
      <c r="W54" s="2">
        <v>9.3796575175678007E-3</v>
      </c>
      <c r="X54" s="53">
        <v>0.95954405647310892</v>
      </c>
      <c r="Y54" s="2">
        <v>-1.4693501410608861E-4</v>
      </c>
      <c r="Z54" s="34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57">
        <f t="shared" si="7"/>
        <v>0</v>
      </c>
      <c r="AF54" s="58">
        <f t="shared" si="13"/>
        <v>0</v>
      </c>
      <c r="AG54" s="29">
        <f t="shared" si="8"/>
        <v>0</v>
      </c>
      <c r="AH54">
        <f t="shared" si="9"/>
        <v>0</v>
      </c>
      <c r="AI54" s="49">
        <f t="shared" si="10"/>
        <v>0.4734129369256504</v>
      </c>
      <c r="AJ54" s="49">
        <f t="shared" si="11"/>
        <v>0</v>
      </c>
      <c r="AK54" s="4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3">
        <v>3.8359639553938722E-5</v>
      </c>
      <c r="V55" s="52">
        <v>0.17518257615898847</v>
      </c>
      <c r="W55" s="2">
        <v>7.1224100425666325E-3</v>
      </c>
      <c r="X55" s="53">
        <v>0.96421830226224814</v>
      </c>
      <c r="Y55" s="2">
        <v>-1.252089076573424E-4</v>
      </c>
      <c r="Z55" s="34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57">
        <f t="shared" si="7"/>
        <v>0</v>
      </c>
      <c r="AF55" s="58">
        <f t="shared" si="13"/>
        <v>0</v>
      </c>
      <c r="AG55" s="29">
        <f t="shared" si="8"/>
        <v>0</v>
      </c>
      <c r="AH55">
        <f t="shared" si="9"/>
        <v>0</v>
      </c>
      <c r="AI55" s="49">
        <f t="shared" si="10"/>
        <v>0.38359639553938724</v>
      </c>
      <c r="AJ55" s="49">
        <f t="shared" si="11"/>
        <v>0</v>
      </c>
      <c r="AK55" s="4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3">
        <v>3.3708268785229029E-5</v>
      </c>
      <c r="V56" s="52">
        <v>0.19202571039927818</v>
      </c>
      <c r="W56" s="2">
        <v>5.8332014101459308E-3</v>
      </c>
      <c r="X56" s="53">
        <v>0.93145623559933899</v>
      </c>
      <c r="Y56" s="2">
        <v>-1.1523321629706423E-4</v>
      </c>
      <c r="Z56" s="34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57">
        <f t="shared" si="7"/>
        <v>0</v>
      </c>
      <c r="AF56" s="58">
        <f t="shared" si="13"/>
        <v>0</v>
      </c>
      <c r="AG56" s="29">
        <f t="shared" si="8"/>
        <v>0</v>
      </c>
      <c r="AH56">
        <f t="shared" si="9"/>
        <v>0</v>
      </c>
      <c r="AI56" s="49">
        <f t="shared" si="10"/>
        <v>0.33708268785229029</v>
      </c>
      <c r="AJ56" s="49">
        <f t="shared" si="11"/>
        <v>0</v>
      </c>
      <c r="AK56" s="4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3">
        <v>3.3406769725283334E-5</v>
      </c>
      <c r="V57" s="52">
        <v>0.21102169703104323</v>
      </c>
      <c r="W57" s="2">
        <v>5.3227665009588747E-3</v>
      </c>
      <c r="X57" s="53">
        <v>0.78354081495236994</v>
      </c>
      <c r="Y57" s="2">
        <v>-1.170610648750622E-4</v>
      </c>
      <c r="Z57" s="34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57">
        <f t="shared" si="7"/>
        <v>0</v>
      </c>
      <c r="AF57" s="58">
        <f t="shared" si="13"/>
        <v>0</v>
      </c>
      <c r="AG57" s="29">
        <f t="shared" si="8"/>
        <v>0</v>
      </c>
      <c r="AH57">
        <f t="shared" si="9"/>
        <v>0</v>
      </c>
      <c r="AI57" s="49">
        <f t="shared" si="10"/>
        <v>0.33406769725283336</v>
      </c>
      <c r="AJ57" s="49">
        <f t="shared" si="11"/>
        <v>0</v>
      </c>
      <c r="AK57" s="4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3">
        <v>3.7474658669514331E-5</v>
      </c>
      <c r="V58" s="52">
        <v>0.23217053605428362</v>
      </c>
      <c r="W58" s="2">
        <v>5.4170141095194035E-3</v>
      </c>
      <c r="X58" s="53">
        <v>0.72296178194305927</v>
      </c>
      <c r="Y58" s="2">
        <v>-1.307453745865314E-4</v>
      </c>
      <c r="Z58" s="34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57">
        <f t="shared" si="7"/>
        <v>0</v>
      </c>
      <c r="AF58" s="58">
        <f t="shared" si="13"/>
        <v>0</v>
      </c>
      <c r="AG58" s="29">
        <f t="shared" si="8"/>
        <v>0</v>
      </c>
      <c r="AH58">
        <f t="shared" si="9"/>
        <v>0</v>
      </c>
      <c r="AI58" s="49">
        <f t="shared" si="10"/>
        <v>0.37474658669514332</v>
      </c>
      <c r="AJ58" s="49">
        <f t="shared" si="11"/>
        <v>0</v>
      </c>
      <c r="AK58" s="4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3">
        <v>4.5931375836816548E-5</v>
      </c>
      <c r="V59" s="52">
        <v>0.25547222746899934</v>
      </c>
      <c r="W59" s="2">
        <v>5.9660562201696056E-3</v>
      </c>
      <c r="X59" s="53">
        <v>0.71397426698489763</v>
      </c>
      <c r="Y59" s="2">
        <v>-1.5633885042448125E-4</v>
      </c>
      <c r="Z59" s="34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57">
        <f t="shared" si="7"/>
        <v>0</v>
      </c>
      <c r="AF59" s="58">
        <f t="shared" si="13"/>
        <v>0</v>
      </c>
      <c r="AG59" s="29">
        <f t="shared" si="8"/>
        <v>0</v>
      </c>
      <c r="AH59">
        <f t="shared" si="9"/>
        <v>0</v>
      </c>
      <c r="AI59" s="49">
        <f t="shared" si="10"/>
        <v>0.45931375836816546</v>
      </c>
      <c r="AJ59" s="49">
        <f t="shared" si="11"/>
        <v>0</v>
      </c>
      <c r="AK59" s="4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3">
        <v>5.879628266652186E-5</v>
      </c>
      <c r="V60" s="52">
        <v>0.2809267712752046</v>
      </c>
      <c r="W60" s="2">
        <v>6.8465843625261889E-3</v>
      </c>
      <c r="X60" s="53">
        <v>0.73228623779271962</v>
      </c>
      <c r="Y60" s="2">
        <v>-1.9389397205251652E-4</v>
      </c>
      <c r="Z60" s="34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57">
        <f t="shared" si="7"/>
        <v>0</v>
      </c>
      <c r="AF60" s="58">
        <f t="shared" si="13"/>
        <v>0</v>
      </c>
      <c r="AG60" s="29">
        <f t="shared" si="8"/>
        <v>0</v>
      </c>
      <c r="AH60">
        <f t="shared" si="9"/>
        <v>0</v>
      </c>
      <c r="AI60" s="49">
        <f t="shared" si="10"/>
        <v>0.5879628266652186</v>
      </c>
      <c r="AJ60" s="49">
        <f t="shared" si="11"/>
        <v>0</v>
      </c>
      <c r="AK60" s="4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3">
        <v>7.6088660456964788E-5</v>
      </c>
      <c r="V61" s="52">
        <v>0.30853416747289941</v>
      </c>
      <c r="W61" s="2">
        <v>7.9604370634031359E-3</v>
      </c>
      <c r="X61" s="53">
        <v>0.76230536640109481</v>
      </c>
      <c r="Y61" s="2">
        <v>-2.4346298812732108E-4</v>
      </c>
      <c r="Z61" s="34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57">
        <f t="shared" si="7"/>
        <v>0</v>
      </c>
      <c r="AF61" s="58">
        <f t="shared" si="13"/>
        <v>0</v>
      </c>
      <c r="AG61" s="29">
        <f t="shared" si="8"/>
        <v>0</v>
      </c>
      <c r="AH61">
        <f t="shared" si="9"/>
        <v>0</v>
      </c>
      <c r="AI61" s="49">
        <f t="shared" si="10"/>
        <v>0.76088660456964785</v>
      </c>
      <c r="AJ61" s="49">
        <f t="shared" si="11"/>
        <v>0</v>
      </c>
      <c r="AK61" s="4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3">
        <v>9.782771035915851E-5</v>
      </c>
      <c r="V62" s="52">
        <v>0.33829441606204114</v>
      </c>
      <c r="W62" s="2">
        <v>9.231386342049331E-3</v>
      </c>
      <c r="X62" s="53">
        <v>0.79460596919069038</v>
      </c>
      <c r="Y62" s="2">
        <v>-3.0509791410599559E-4</v>
      </c>
      <c r="Z62" s="34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57">
        <f t="shared" si="7"/>
        <v>0</v>
      </c>
      <c r="AF62" s="58">
        <f t="shared" si="13"/>
        <v>0</v>
      </c>
      <c r="AG62" s="29">
        <f t="shared" si="8"/>
        <v>0</v>
      </c>
      <c r="AH62">
        <f t="shared" si="9"/>
        <v>0</v>
      </c>
      <c r="AI62" s="49">
        <f t="shared" si="10"/>
        <v>0.97827710359158515</v>
      </c>
      <c r="AJ62" s="49">
        <f t="shared" si="11"/>
        <v>0</v>
      </c>
      <c r="AK62" s="4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3">
        <v>1.2403255473835201E-4</v>
      </c>
      <c r="V63" s="52">
        <v>0.37020751704270083</v>
      </c>
      <c r="W63" s="2">
        <v>1.0601392863491977E-2</v>
      </c>
      <c r="X63" s="53">
        <v>0.82390910321157418</v>
      </c>
      <c r="Y63" s="2">
        <v>-3.7885053357087256E-4</v>
      </c>
      <c r="Z63" s="34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57">
        <f t="shared" si="7"/>
        <v>0</v>
      </c>
      <c r="AF63" s="58">
        <f t="shared" si="13"/>
        <v>0</v>
      </c>
      <c r="AG63" s="29">
        <f t="shared" si="8"/>
        <v>0</v>
      </c>
      <c r="AH63">
        <f t="shared" si="9"/>
        <v>0</v>
      </c>
      <c r="AI63" s="49">
        <f t="shared" si="10"/>
        <v>1.2403255473835202</v>
      </c>
      <c r="AJ63" s="49">
        <f t="shared" si="11"/>
        <v>0</v>
      </c>
      <c r="AK63" s="4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3">
        <v>1.7095647955773504E-4</v>
      </c>
      <c r="V64" s="52">
        <v>0.40427347041482165</v>
      </c>
      <c r="W64" s="2">
        <v>1.3016096373638784E-2</v>
      </c>
      <c r="X64" s="53">
        <v>0.89656273865530178</v>
      </c>
      <c r="Y64" s="2">
        <v>-4.916201945875079E-4</v>
      </c>
      <c r="Z64" s="34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57">
        <f t="shared" si="7"/>
        <v>0</v>
      </c>
      <c r="AF64" s="58">
        <f t="shared" si="13"/>
        <v>0</v>
      </c>
      <c r="AG64" s="29">
        <f t="shared" si="8"/>
        <v>0</v>
      </c>
      <c r="AH64">
        <f t="shared" si="9"/>
        <v>0</v>
      </c>
      <c r="AI64" s="49">
        <f t="shared" si="10"/>
        <v>1.7095647955773505</v>
      </c>
      <c r="AJ64" s="49">
        <f t="shared" si="11"/>
        <v>0</v>
      </c>
      <c r="AK64" s="4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3">
        <v>2.3165590829105819E-4</v>
      </c>
      <c r="V65" s="52">
        <v>0.44049227617840359</v>
      </c>
      <c r="W65" s="2">
        <v>1.5811261977233655E-2</v>
      </c>
      <c r="X65" s="53">
        <v>0.97073908073251758</v>
      </c>
      <c r="Y65" s="2">
        <v>-6.3194333685412407E-4</v>
      </c>
      <c r="Z65" s="34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57">
        <f t="shared" si="7"/>
        <v>0</v>
      </c>
      <c r="AF65" s="58">
        <f t="shared" si="13"/>
        <v>0</v>
      </c>
      <c r="AG65" s="29">
        <f t="shared" si="8"/>
        <v>0</v>
      </c>
      <c r="AH65">
        <f t="shared" si="9"/>
        <v>0</v>
      </c>
      <c r="AI65" s="49">
        <f t="shared" si="10"/>
        <v>2.3165590829105818</v>
      </c>
      <c r="AJ65" s="49">
        <f t="shared" si="11"/>
        <v>0</v>
      </c>
      <c r="AK65" s="4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3">
        <v>1.4024361866305218E-4</v>
      </c>
      <c r="V66" s="52">
        <v>0.10908946559042221</v>
      </c>
      <c r="W66" s="2">
        <v>-1.5048388587889306E-2</v>
      </c>
      <c r="X66" s="53">
        <v>0</v>
      </c>
      <c r="Y66" s="2">
        <v>-5.8744395122650194E-5</v>
      </c>
      <c r="Z66" s="34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57">
        <f t="shared" si="7"/>
        <v>0</v>
      </c>
      <c r="AF66" s="58">
        <f t="shared" si="13"/>
        <v>0</v>
      </c>
      <c r="AG66" s="29">
        <f t="shared" si="8"/>
        <v>0</v>
      </c>
      <c r="AH66">
        <f t="shared" si="9"/>
        <v>0</v>
      </c>
      <c r="AI66" s="49">
        <f t="shared" si="10"/>
        <v>1.4024361866305217</v>
      </c>
      <c r="AJ66" s="49">
        <f t="shared" si="11"/>
        <v>0</v>
      </c>
      <c r="AK66" s="4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3">
        <v>1.7091252918472518E-4</v>
      </c>
      <c r="V67" s="52">
        <v>0.10347358242750815</v>
      </c>
      <c r="W67" s="2">
        <v>-1.8909580693521087E-2</v>
      </c>
      <c r="X67" s="53">
        <v>0</v>
      </c>
      <c r="Y67" s="2">
        <v>-6.8065663889373048E-5</v>
      </c>
      <c r="Z67" s="34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57">
        <f t="shared" si="7"/>
        <v>0</v>
      </c>
      <c r="AF67" s="58">
        <f t="shared" si="13"/>
        <v>0</v>
      </c>
      <c r="AG67" s="29">
        <f t="shared" si="8"/>
        <v>0</v>
      </c>
      <c r="AH67">
        <f t="shared" si="9"/>
        <v>0</v>
      </c>
      <c r="AI67" s="49">
        <f t="shared" si="10"/>
        <v>1.7091252918472517</v>
      </c>
      <c r="AJ67" s="49">
        <f t="shared" si="11"/>
        <v>0</v>
      </c>
      <c r="AK67" s="4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3">
        <v>2.2087118979903026E-4</v>
      </c>
      <c r="V68" s="52">
        <v>9.8277391541415682E-2</v>
      </c>
      <c r="W68" s="2">
        <v>-2.485039263321118E-2</v>
      </c>
      <c r="X68" s="53">
        <v>0</v>
      </c>
      <c r="Y68" s="2">
        <v>-8.1461483749445217E-5</v>
      </c>
      <c r="Z68" s="34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57">
        <f t="shared" si="7"/>
        <v>0</v>
      </c>
      <c r="AF68" s="58">
        <f t="shared" si="13"/>
        <v>0</v>
      </c>
      <c r="AG68" s="29">
        <f t="shared" si="8"/>
        <v>0</v>
      </c>
      <c r="AH68">
        <f t="shared" si="9"/>
        <v>0</v>
      </c>
      <c r="AI68" s="49">
        <f t="shared" si="10"/>
        <v>2.2087118979903027</v>
      </c>
      <c r="AJ68" s="49">
        <f t="shared" si="11"/>
        <v>0</v>
      </c>
      <c r="AK68" s="4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3">
        <v>3.0525823040291824E-4</v>
      </c>
      <c r="V69" s="52">
        <v>9.3500892932148361E-2</v>
      </c>
      <c r="W69" s="2">
        <v>-3.4496333851781462E-2</v>
      </c>
      <c r="X69" s="53">
        <v>0</v>
      </c>
      <c r="Y69" s="2">
        <v>-1.0166154490831713E-4</v>
      </c>
      <c r="Z69" s="34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57">
        <f t="shared" si="7"/>
        <v>0</v>
      </c>
      <c r="AF69" s="58">
        <f t="shared" si="13"/>
        <v>0</v>
      </c>
      <c r="AG69" s="29">
        <f t="shared" si="8"/>
        <v>0</v>
      </c>
      <c r="AH69">
        <f t="shared" si="9"/>
        <v>0</v>
      </c>
      <c r="AI69" s="49">
        <f t="shared" si="10"/>
        <v>3.0525823040291824</v>
      </c>
      <c r="AJ69" s="49">
        <f t="shared" si="11"/>
        <v>0</v>
      </c>
      <c r="AK69" s="4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3">
        <v>4.2430784877228365E-4</v>
      </c>
      <c r="V70" s="52">
        <v>8.9144086599702632E-2</v>
      </c>
      <c r="W70" s="2">
        <v>-4.7955376057874304E-2</v>
      </c>
      <c r="X70" s="53">
        <v>0</v>
      </c>
      <c r="Y70" s="2">
        <v>-1.2692565479226184E-4</v>
      </c>
      <c r="Z70" s="34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57">
        <f t="shared" si="7"/>
        <v>0</v>
      </c>
      <c r="AF70" s="58">
        <f t="shared" ref="AF70:AF101" si="17">IF(ISERR(AE70),0,AE70*M70)</f>
        <v>0</v>
      </c>
      <c r="AG70" s="29">
        <f t="shared" si="8"/>
        <v>0</v>
      </c>
      <c r="AH70">
        <f t="shared" si="9"/>
        <v>0</v>
      </c>
      <c r="AI70" s="49">
        <f t="shared" si="10"/>
        <v>4.243078487722836</v>
      </c>
      <c r="AJ70" s="49">
        <f t="shared" si="11"/>
        <v>0</v>
      </c>
      <c r="AK70" s="4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3">
        <v>6.1686464319775445E-4</v>
      </c>
      <c r="V71" s="52">
        <v>8.5206972544082049E-2</v>
      </c>
      <c r="W71" s="2">
        <v>-6.889121112523823E-2</v>
      </c>
      <c r="X71" s="53">
        <v>0</v>
      </c>
      <c r="Y71" s="2">
        <v>-1.6176339292787062E-4</v>
      </c>
      <c r="Z71" s="34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57">
        <f t="shared" ref="AE71:AE125" si="21">BSGamma($AA$17,E71,D71,0.001,V71)</f>
        <v>0</v>
      </c>
      <c r="AF71" s="58">
        <f t="shared" si="17"/>
        <v>0</v>
      </c>
      <c r="AG71" s="29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49">
        <f t="shared" ref="AI71:AI125" si="24">MAX(0,(U71*10000)-AH71)</f>
        <v>6.1686464319775443</v>
      </c>
      <c r="AJ71" s="49">
        <f t="shared" ref="AJ71:AJ125" si="25">AI71*M71</f>
        <v>0</v>
      </c>
      <c r="AK71" s="4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3">
        <v>9.375124077932583E-4</v>
      </c>
      <c r="V72" s="52">
        <v>8.1689550765279506E-2</v>
      </c>
      <c r="W72" s="2">
        <v>-0.1011482523224258</v>
      </c>
      <c r="X72" s="53">
        <v>0</v>
      </c>
      <c r="Y72" s="2">
        <v>-2.061677808913667E-4</v>
      </c>
      <c r="Z72" s="34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57">
        <f t="shared" si="21"/>
        <v>0</v>
      </c>
      <c r="AF72" s="58">
        <f t="shared" si="17"/>
        <v>0</v>
      </c>
      <c r="AG72" s="29">
        <f t="shared" si="22"/>
        <v>0</v>
      </c>
      <c r="AH72">
        <f t="shared" si="23"/>
        <v>0</v>
      </c>
      <c r="AI72" s="49">
        <f t="shared" si="24"/>
        <v>9.3751240779325826</v>
      </c>
      <c r="AJ72" s="49">
        <f t="shared" si="25"/>
        <v>0</v>
      </c>
      <c r="AK72" s="4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3">
        <v>1.416978241784104E-3</v>
      </c>
      <c r="V73" s="52">
        <v>7.8591821263305661E-2</v>
      </c>
      <c r="W73" s="2">
        <v>-0.14660509614944628</v>
      </c>
      <c r="X73" s="53">
        <v>0</v>
      </c>
      <c r="Y73" s="2">
        <v>-2.5777221457805126E-4</v>
      </c>
      <c r="Z73" s="34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57">
        <f t="shared" si="21"/>
        <v>0</v>
      </c>
      <c r="AF73" s="58">
        <f t="shared" si="17"/>
        <v>0</v>
      </c>
      <c r="AG73" s="29">
        <f t="shared" si="22"/>
        <v>0</v>
      </c>
      <c r="AH73">
        <f t="shared" si="23"/>
        <v>0</v>
      </c>
      <c r="AI73" s="49">
        <f t="shared" si="24"/>
        <v>14.16978241784104</v>
      </c>
      <c r="AJ73" s="49">
        <f t="shared" si="25"/>
        <v>0</v>
      </c>
      <c r="AK73" s="4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3">
        <v>2.6000000070780516E-3</v>
      </c>
      <c r="V74" s="52">
        <v>8.2106750773082798E-2</v>
      </c>
      <c r="W74" s="2">
        <v>-0.22845899713945739</v>
      </c>
      <c r="X74" s="53">
        <v>0</v>
      </c>
      <c r="Y74" s="2">
        <v>-3.5504937711312948E-4</v>
      </c>
      <c r="Z74" s="34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57">
        <f t="shared" si="21"/>
        <v>0</v>
      </c>
      <c r="AF74" s="58">
        <f t="shared" si="17"/>
        <v>0</v>
      </c>
      <c r="AG74" s="29">
        <f t="shared" si="22"/>
        <v>0</v>
      </c>
      <c r="AH74">
        <f t="shared" si="23"/>
        <v>0</v>
      </c>
      <c r="AI74" s="49">
        <f t="shared" si="24"/>
        <v>26.000000070780516</v>
      </c>
      <c r="AJ74" s="49">
        <f t="shared" si="25"/>
        <v>0</v>
      </c>
      <c r="AK74" s="4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3">
        <v>3.7000000011175871E-3</v>
      </c>
      <c r="V75" s="52">
        <v>7.8934224134678738E-2</v>
      </c>
      <c r="W75" s="2">
        <v>-0.30734476741151529</v>
      </c>
      <c r="X75" s="53">
        <v>0</v>
      </c>
      <c r="Y75" s="2">
        <v>-3.9760947845931372E-4</v>
      </c>
      <c r="Z75" s="34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57">
        <f t="shared" si="21"/>
        <v>0</v>
      </c>
      <c r="AF75" s="58">
        <f t="shared" si="17"/>
        <v>0</v>
      </c>
      <c r="AG75" s="29">
        <f t="shared" si="22"/>
        <v>0</v>
      </c>
      <c r="AH75">
        <f t="shared" si="23"/>
        <v>0</v>
      </c>
      <c r="AI75" s="49">
        <f t="shared" si="24"/>
        <v>37.000000011175871</v>
      </c>
      <c r="AJ75" s="49">
        <f t="shared" si="25"/>
        <v>0</v>
      </c>
      <c r="AK75" s="4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3">
        <v>5.2999998442828655E-3</v>
      </c>
      <c r="V76" s="52">
        <v>7.6751744999702859E-2</v>
      </c>
      <c r="W76" s="2">
        <v>-0.40536358511188464</v>
      </c>
      <c r="X76" s="53">
        <v>0</v>
      </c>
      <c r="Y76" s="2">
        <v>-4.2732813817634654E-4</v>
      </c>
      <c r="Z76" s="34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57">
        <f t="shared" si="21"/>
        <v>0</v>
      </c>
      <c r="AF76" s="58">
        <f t="shared" si="17"/>
        <v>0</v>
      </c>
      <c r="AG76" s="29">
        <f t="shared" si="22"/>
        <v>0</v>
      </c>
      <c r="AH76">
        <f t="shared" si="23"/>
        <v>0</v>
      </c>
      <c r="AI76" s="49">
        <f t="shared" si="24"/>
        <v>52.999998442828655</v>
      </c>
      <c r="AJ76" s="49">
        <f t="shared" si="25"/>
        <v>0</v>
      </c>
      <c r="AK76" s="4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3">
        <v>7.4000000022351742E-3</v>
      </c>
      <c r="V77" s="52">
        <v>7.4396303419425852E-2</v>
      </c>
      <c r="W77" s="2">
        <v>-0.5158690329125325</v>
      </c>
      <c r="X77" s="53">
        <v>0</v>
      </c>
      <c r="Y77" s="2">
        <v>-4.2621403421939149E-4</v>
      </c>
      <c r="Z77" s="34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57">
        <f t="shared" si="21"/>
        <v>0</v>
      </c>
      <c r="AF77" s="58">
        <f t="shared" si="17"/>
        <v>0</v>
      </c>
      <c r="AG77" s="29">
        <f t="shared" si="22"/>
        <v>0</v>
      </c>
      <c r="AH77">
        <f t="shared" si="23"/>
        <v>0</v>
      </c>
      <c r="AI77" s="49">
        <f t="shared" si="24"/>
        <v>74.000000022351742</v>
      </c>
      <c r="AJ77" s="49">
        <f t="shared" si="25"/>
        <v>0</v>
      </c>
      <c r="AK77" s="4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3">
        <v>9.849963790279654E-3</v>
      </c>
      <c r="V78" s="52">
        <v>6.9398557905767433E-2</v>
      </c>
      <c r="W78" s="2">
        <v>-0.63690171392061634</v>
      </c>
      <c r="X78" s="53">
        <v>0</v>
      </c>
      <c r="Y78" s="2">
        <v>-3.7354043882210003E-4</v>
      </c>
      <c r="Z78" s="34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57">
        <f t="shared" si="21"/>
        <v>0</v>
      </c>
      <c r="AF78" s="58">
        <f t="shared" si="17"/>
        <v>0</v>
      </c>
      <c r="AG78" s="29">
        <f t="shared" si="22"/>
        <v>0</v>
      </c>
      <c r="AH78">
        <f t="shared" si="23"/>
        <v>49.000000000001265</v>
      </c>
      <c r="AI78" s="49">
        <f t="shared" si="24"/>
        <v>49.499637902795271</v>
      </c>
      <c r="AJ78" s="49">
        <f t="shared" si="25"/>
        <v>0</v>
      </c>
      <c r="AK78" s="4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3">
        <v>1.3283389033889077E-2</v>
      </c>
      <c r="V79" s="52">
        <v>6.881898206473025E-2</v>
      </c>
      <c r="W79" s="2">
        <v>-0.74548194298778125</v>
      </c>
      <c r="X79" s="53">
        <v>0</v>
      </c>
      <c r="Y79" s="2">
        <v>-3.1622184771077586E-4</v>
      </c>
      <c r="Z79" s="34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57">
        <f t="shared" si="21"/>
        <v>0</v>
      </c>
      <c r="AF79" s="58">
        <f t="shared" si="17"/>
        <v>0</v>
      </c>
      <c r="AG79" s="29">
        <f t="shared" si="22"/>
        <v>0</v>
      </c>
      <c r="AH79">
        <f t="shared" si="23"/>
        <v>99.000000000000199</v>
      </c>
      <c r="AI79" s="49">
        <f t="shared" si="24"/>
        <v>33.833890338890569</v>
      </c>
      <c r="AJ79" s="49">
        <f t="shared" si="25"/>
        <v>0</v>
      </c>
      <c r="AK79" s="4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3">
        <v>1.7238446061206374E-2</v>
      </c>
      <c r="V80" s="52">
        <v>6.8659098500514659E-2</v>
      </c>
      <c r="W80" s="2">
        <v>-0.83383467431171088</v>
      </c>
      <c r="X80" s="53">
        <v>0</v>
      </c>
      <c r="Y80" s="2">
        <v>-2.4504692679877814E-4</v>
      </c>
      <c r="Z80" s="34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57">
        <f t="shared" si="21"/>
        <v>0</v>
      </c>
      <c r="AF80" s="58">
        <f t="shared" si="17"/>
        <v>0</v>
      </c>
      <c r="AG80" s="29">
        <f t="shared" si="22"/>
        <v>0</v>
      </c>
      <c r="AH80">
        <f t="shared" si="23"/>
        <v>149.00000000000136</v>
      </c>
      <c r="AI80" s="49">
        <f t="shared" si="24"/>
        <v>23.384460612062384</v>
      </c>
      <c r="AJ80" s="49">
        <f t="shared" si="25"/>
        <v>0</v>
      </c>
      <c r="AK80" s="4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3">
        <v>2.1592768441763846E-2</v>
      </c>
      <c r="V81" s="52">
        <v>6.8918907213120661E-2</v>
      </c>
      <c r="W81" s="2">
        <v>-0.89843898729750027</v>
      </c>
      <c r="X81" s="53">
        <v>0.31230709313196536</v>
      </c>
      <c r="Y81" s="2">
        <v>-1.7512937547703081E-4</v>
      </c>
      <c r="Z81" s="34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57">
        <f t="shared" si="21"/>
        <v>0</v>
      </c>
      <c r="AF81" s="58">
        <f t="shared" si="17"/>
        <v>0</v>
      </c>
      <c r="AG81" s="29">
        <f t="shared" si="22"/>
        <v>0</v>
      </c>
      <c r="AH81">
        <f t="shared" si="23"/>
        <v>199.00000000000028</v>
      </c>
      <c r="AI81" s="49">
        <f t="shared" si="24"/>
        <v>16.927684417638176</v>
      </c>
      <c r="AJ81" s="49">
        <f t="shared" si="25"/>
        <v>0</v>
      </c>
      <c r="AK81" s="4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3">
        <v>2.6221137682861727E-2</v>
      </c>
      <c r="V82" s="52">
        <v>6.9598408202555362E-2</v>
      </c>
      <c r="W82" s="2">
        <v>-0.941242699965532</v>
      </c>
      <c r="X82" s="53">
        <v>1.4557493288944705E-10</v>
      </c>
      <c r="Y82" s="2">
        <v>-1.1700372223668011E-4</v>
      </c>
      <c r="Z82" s="34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57">
        <f t="shared" si="21"/>
        <v>0</v>
      </c>
      <c r="AF82" s="58">
        <f t="shared" si="17"/>
        <v>0</v>
      </c>
      <c r="AG82" s="29">
        <f t="shared" si="22"/>
        <v>0</v>
      </c>
      <c r="AH82">
        <f t="shared" si="23"/>
        <v>249.00000000000145</v>
      </c>
      <c r="AI82" s="49">
        <f t="shared" si="24"/>
        <v>13.21137682861584</v>
      </c>
      <c r="AJ82" s="49">
        <f t="shared" si="25"/>
        <v>0</v>
      </c>
      <c r="AK82" s="4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3">
        <v>3.101912880198604E-2</v>
      </c>
      <c r="V83" s="52">
        <v>7.0697601468808102E-2</v>
      </c>
      <c r="W83" s="2">
        <v>-0.96735155062787792</v>
      </c>
      <c r="X83" s="53">
        <v>0.95512081462560372</v>
      </c>
      <c r="Y83" s="2">
        <v>-7.4427053950772829E-5</v>
      </c>
      <c r="Z83" s="34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57">
        <f t="shared" si="21"/>
        <v>0</v>
      </c>
      <c r="AF83" s="58">
        <f t="shared" si="17"/>
        <v>0</v>
      </c>
      <c r="AG83" s="29">
        <f t="shared" si="22"/>
        <v>0</v>
      </c>
      <c r="AH83">
        <f t="shared" si="23"/>
        <v>299.0000000000004</v>
      </c>
      <c r="AI83" s="49">
        <f t="shared" si="24"/>
        <v>11.191288019859996</v>
      </c>
      <c r="AJ83" s="49">
        <f t="shared" si="25"/>
        <v>0</v>
      </c>
      <c r="AK83" s="4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3">
        <v>3.5913001313962231E-2</v>
      </c>
      <c r="V84" s="52">
        <v>7.2216487011885988E-2</v>
      </c>
      <c r="W84" s="2">
        <v>-0.98238765674169393</v>
      </c>
      <c r="X84" s="53">
        <v>8.8368733316568249E-2</v>
      </c>
      <c r="Y84" s="2">
        <v>-4.5882789192456088E-5</v>
      </c>
      <c r="Z84" s="34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57">
        <f t="shared" si="21"/>
        <v>0</v>
      </c>
      <c r="AF84" s="58">
        <f t="shared" si="17"/>
        <v>0</v>
      </c>
      <c r="AG84" s="29">
        <f t="shared" si="22"/>
        <v>0</v>
      </c>
      <c r="AH84">
        <f t="shared" si="23"/>
        <v>349.00000000000153</v>
      </c>
      <c r="AI84" s="49">
        <f t="shared" si="24"/>
        <v>10.130013139620758</v>
      </c>
      <c r="AJ84" s="49">
        <f t="shared" si="25"/>
        <v>0</v>
      </c>
      <c r="AK84" s="4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3">
        <v>4.0857647090208234E-2</v>
      </c>
      <c r="V85" s="52">
        <v>7.4155064831785467E-2</v>
      </c>
      <c r="W85" s="2">
        <v>-0.99081709690255992</v>
      </c>
      <c r="X85" s="53">
        <v>0.96871027631197282</v>
      </c>
      <c r="Y85" s="2">
        <v>-2.7631934819026774E-5</v>
      </c>
      <c r="Z85" s="34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57">
        <f t="shared" si="21"/>
        <v>0</v>
      </c>
      <c r="AF85" s="58">
        <f t="shared" si="17"/>
        <v>0</v>
      </c>
      <c r="AG85" s="29">
        <f t="shared" si="22"/>
        <v>0</v>
      </c>
      <c r="AH85">
        <f t="shared" si="23"/>
        <v>399.00000000000045</v>
      </c>
      <c r="AI85" s="49">
        <f t="shared" si="24"/>
        <v>9.5764709020818941</v>
      </c>
      <c r="AJ85" s="49">
        <f t="shared" si="25"/>
        <v>0</v>
      </c>
      <c r="AK85" s="4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3">
        <v>4.5831666032853526E-2</v>
      </c>
      <c r="V86" s="52">
        <v>7.6513334928510091E-2</v>
      </c>
      <c r="W86" s="2">
        <v>-0.99506620802919665</v>
      </c>
      <c r="X86" s="53">
        <v>0.89302224548306097</v>
      </c>
      <c r="Y86" s="2">
        <v>-1.7196847431938451E-5</v>
      </c>
      <c r="Z86" s="34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57">
        <f t="shared" si="21"/>
        <v>0</v>
      </c>
      <c r="AF86" s="58">
        <f t="shared" si="17"/>
        <v>0</v>
      </c>
      <c r="AG86" s="29">
        <f t="shared" si="22"/>
        <v>0</v>
      </c>
      <c r="AH86">
        <f t="shared" si="23"/>
        <v>449.00000000000159</v>
      </c>
      <c r="AI86" s="49">
        <f t="shared" si="24"/>
        <v>9.3166603285336578</v>
      </c>
      <c r="AJ86" s="49">
        <f t="shared" si="25"/>
        <v>0</v>
      </c>
      <c r="AK86" s="4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3">
        <v>5.0818822908783166E-2</v>
      </c>
      <c r="V87" s="52">
        <v>7.9291297302056307E-2</v>
      </c>
      <c r="W87" s="2">
        <v>-0.99725158365350686</v>
      </c>
      <c r="X87" s="53">
        <v>0.55577517275093047</v>
      </c>
      <c r="Y87" s="2">
        <v>-1.1360915932008898E-5</v>
      </c>
      <c r="Z87" s="34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57">
        <f t="shared" si="21"/>
        <v>0</v>
      </c>
      <c r="AF87" s="58">
        <f t="shared" si="17"/>
        <v>0</v>
      </c>
      <c r="AG87" s="29">
        <f t="shared" si="22"/>
        <v>0</v>
      </c>
      <c r="AH87">
        <f t="shared" si="23"/>
        <v>499.00000000000057</v>
      </c>
      <c r="AI87" s="49">
        <f t="shared" si="24"/>
        <v>9.1882290878310755</v>
      </c>
      <c r="AJ87" s="49">
        <f t="shared" si="25"/>
        <v>0</v>
      </c>
      <c r="AK87" s="4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3">
        <v>5.5810241044231573E-2</v>
      </c>
      <c r="V88" s="52">
        <v>8.2488951952424117E-2</v>
      </c>
      <c r="W88" s="2">
        <v>-0.99872032790875331</v>
      </c>
      <c r="X88" s="53">
        <v>0.32862269706191033</v>
      </c>
      <c r="Y88" s="2">
        <v>-7.1170250806483598E-6</v>
      </c>
      <c r="Z88" s="34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57">
        <f t="shared" si="21"/>
        <v>0</v>
      </c>
      <c r="AF88" s="58">
        <f t="shared" si="17"/>
        <v>0</v>
      </c>
      <c r="AG88" s="29">
        <f t="shared" si="22"/>
        <v>0</v>
      </c>
      <c r="AH88">
        <f t="shared" si="23"/>
        <v>549.00000000000171</v>
      </c>
      <c r="AI88" s="49">
        <f t="shared" si="24"/>
        <v>9.102410442314067</v>
      </c>
      <c r="AJ88" s="49">
        <f t="shared" si="25"/>
        <v>0</v>
      </c>
      <c r="AK88" s="4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3">
        <v>6.080730140755982E-2</v>
      </c>
      <c r="V89" s="52">
        <v>8.6106298879613519E-2</v>
      </c>
      <c r="W89" s="2">
        <v>-0.99927152965490784</v>
      </c>
      <c r="X89" s="53">
        <v>0.23426743885702728</v>
      </c>
      <c r="Y89" s="2">
        <v>-5.4134136970684019E-6</v>
      </c>
      <c r="Z89" s="34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57">
        <f t="shared" si="21"/>
        <v>0</v>
      </c>
      <c r="AF89" s="58">
        <f t="shared" si="17"/>
        <v>0</v>
      </c>
      <c r="AG89" s="29">
        <f t="shared" si="22"/>
        <v>0</v>
      </c>
      <c r="AH89">
        <f t="shared" si="23"/>
        <v>599.00000000000068</v>
      </c>
      <c r="AI89" s="49">
        <f t="shared" si="24"/>
        <v>9.0730140755974844</v>
      </c>
      <c r="AJ89" s="49">
        <f t="shared" si="25"/>
        <v>0</v>
      </c>
      <c r="AK89" s="4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3">
        <v>6.5805048176177078E-2</v>
      </c>
      <c r="V90" s="52">
        <v>9.0143338083628066E-2</v>
      </c>
      <c r="W90" s="2">
        <v>-0.99968592676117185</v>
      </c>
      <c r="X90" s="53">
        <v>0.16573057236891009</v>
      </c>
      <c r="Y90" s="2">
        <v>-4.0743950792055731E-6</v>
      </c>
      <c r="Z90" s="34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57">
        <f t="shared" si="21"/>
        <v>0</v>
      </c>
      <c r="AF90" s="58">
        <f t="shared" si="17"/>
        <v>0</v>
      </c>
      <c r="AG90" s="29">
        <f t="shared" si="22"/>
        <v>0</v>
      </c>
      <c r="AH90">
        <f t="shared" si="23"/>
        <v>648.99999999999955</v>
      </c>
      <c r="AI90" s="49">
        <f t="shared" si="24"/>
        <v>9.0504817617712661</v>
      </c>
      <c r="AJ90" s="49">
        <f t="shared" si="25"/>
        <v>0</v>
      </c>
      <c r="AK90" s="4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3">
        <v>7.0803294364885874E-2</v>
      </c>
      <c r="V91" s="52">
        <v>9.4600069564467759E-2</v>
      </c>
      <c r="W91" s="2">
        <v>-0.999999999999999</v>
      </c>
      <c r="X91" s="53">
        <v>0.11570355845254587</v>
      </c>
      <c r="Y91" s="2">
        <v>-2.9997405643752208E-6</v>
      </c>
      <c r="Z91" s="34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57">
        <f t="shared" si="21"/>
        <v>0</v>
      </c>
      <c r="AF91" s="58">
        <f t="shared" si="17"/>
        <v>0</v>
      </c>
      <c r="AG91" s="29">
        <f t="shared" si="22"/>
        <v>0</v>
      </c>
      <c r="AH91">
        <f t="shared" si="23"/>
        <v>699.00000000000068</v>
      </c>
      <c r="AI91" s="49">
        <f t="shared" si="24"/>
        <v>9.0329436488580086</v>
      </c>
      <c r="AJ91" s="49">
        <f t="shared" si="25"/>
        <v>0</v>
      </c>
      <c r="AK91" s="4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3">
        <v>7.5802867299009688E-2</v>
      </c>
      <c r="V92" s="52">
        <v>9.9476493322129045E-2</v>
      </c>
      <c r="W92" s="2">
        <v>-0.999999999999999</v>
      </c>
      <c r="X92" s="53">
        <v>9.717201547329514E-2</v>
      </c>
      <c r="Y92" s="2">
        <v>-2.7195614108035901E-6</v>
      </c>
      <c r="Z92" s="34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57">
        <f t="shared" si="21"/>
        <v>0</v>
      </c>
      <c r="AF92" s="58">
        <f t="shared" si="17"/>
        <v>0</v>
      </c>
      <c r="AG92" s="29">
        <f t="shared" si="22"/>
        <v>0</v>
      </c>
      <c r="AH92">
        <f t="shared" si="23"/>
        <v>749.00000000000193</v>
      </c>
      <c r="AI92" s="49">
        <f t="shared" si="24"/>
        <v>9.0286729900949467</v>
      </c>
      <c r="AJ92" s="49">
        <f t="shared" si="25"/>
        <v>0</v>
      </c>
      <c r="AK92" s="4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3">
        <v>8.0802648662578025E-2</v>
      </c>
      <c r="V93" s="52">
        <v>0.10477260935661192</v>
      </c>
      <c r="W93" s="2">
        <v>-0.999999999999999</v>
      </c>
      <c r="X93" s="53">
        <v>8.4850529324475107E-2</v>
      </c>
      <c r="Y93" s="2">
        <v>-2.5857661098615359E-6</v>
      </c>
      <c r="Z93" s="34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57">
        <f t="shared" si="21"/>
        <v>0</v>
      </c>
      <c r="AF93" s="58">
        <f t="shared" si="17"/>
        <v>0</v>
      </c>
      <c r="AG93" s="29">
        <f t="shared" si="22"/>
        <v>0</v>
      </c>
      <c r="AH93">
        <f t="shared" si="23"/>
        <v>799.0000000000008</v>
      </c>
      <c r="AI93" s="49">
        <f t="shared" si="24"/>
        <v>9.0264866257793983</v>
      </c>
      <c r="AJ93" s="49">
        <f t="shared" si="25"/>
        <v>0</v>
      </c>
      <c r="AK93" s="4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3">
        <v>8.5802592579225401E-2</v>
      </c>
      <c r="V94" s="52">
        <v>0.11048841766791995</v>
      </c>
      <c r="W94" s="2">
        <v>-0.999999999999999</v>
      </c>
      <c r="X94" s="53">
        <v>7.6854006162068209E-2</v>
      </c>
      <c r="Y94" s="2">
        <v>-2.5755545616893304E-6</v>
      </c>
      <c r="Z94" s="34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57">
        <f t="shared" si="21"/>
        <v>0</v>
      </c>
      <c r="AF94" s="58">
        <f t="shared" si="17"/>
        <v>0</v>
      </c>
      <c r="AG94" s="29">
        <f t="shared" si="22"/>
        <v>0</v>
      </c>
      <c r="AH94">
        <f t="shared" si="23"/>
        <v>848.99999999999977</v>
      </c>
      <c r="AI94" s="49">
        <f t="shared" si="24"/>
        <v>9.0259257922542702</v>
      </c>
      <c r="AJ94" s="49">
        <f t="shared" si="25"/>
        <v>0</v>
      </c>
      <c r="AK94" s="4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3">
        <v>9.0802697769349655E-2</v>
      </c>
      <c r="V95" s="52">
        <v>0.11662391825604956</v>
      </c>
      <c r="W95" s="2">
        <v>-0.999999999999999</v>
      </c>
      <c r="X95" s="53">
        <v>7.2216037511528886E-2</v>
      </c>
      <c r="Y95" s="2">
        <v>-2.6899540681410207E-6</v>
      </c>
      <c r="Z95" s="34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57">
        <f t="shared" si="21"/>
        <v>0</v>
      </c>
      <c r="AF95" s="58">
        <f t="shared" si="17"/>
        <v>0</v>
      </c>
      <c r="AG95" s="29">
        <f t="shared" si="22"/>
        <v>0</v>
      </c>
      <c r="AH95">
        <f t="shared" si="23"/>
        <v>899.00000000000091</v>
      </c>
      <c r="AI95" s="49">
        <f t="shared" si="24"/>
        <v>9.0269776934956099</v>
      </c>
      <c r="AJ95" s="49">
        <f t="shared" si="25"/>
        <v>0</v>
      </c>
      <c r="AK95" s="4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3">
        <v>5.4319785196485774E-2</v>
      </c>
      <c r="V96" s="52">
        <v>0.10723529180589253</v>
      </c>
      <c r="W96" s="2">
        <v>0.98707203057288928</v>
      </c>
      <c r="X96" s="53">
        <v>0</v>
      </c>
      <c r="Y96" s="2">
        <v>-5.2469350336438748E-5</v>
      </c>
      <c r="Z96" s="34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57">
        <f t="shared" si="21"/>
        <v>0</v>
      </c>
      <c r="AF96" s="58">
        <f t="shared" si="17"/>
        <v>0</v>
      </c>
      <c r="AG96" s="29">
        <f t="shared" si="22"/>
        <v>0</v>
      </c>
      <c r="AH96">
        <f t="shared" si="23"/>
        <v>550.99999999999932</v>
      </c>
      <c r="AI96" s="49">
        <f t="shared" si="24"/>
        <v>0</v>
      </c>
      <c r="AJ96" s="49">
        <f t="shared" si="25"/>
        <v>0</v>
      </c>
      <c r="AK96" s="4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3">
        <v>4.9356611380239168E-2</v>
      </c>
      <c r="V97" s="52">
        <v>0.10224471891346454</v>
      </c>
      <c r="W97" s="2">
        <v>0.98271392014671832</v>
      </c>
      <c r="X97" s="53">
        <v>0</v>
      </c>
      <c r="Y97" s="2">
        <v>-6.3812852870000851E-5</v>
      </c>
      <c r="Z97" s="34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57">
        <f t="shared" si="21"/>
        <v>0</v>
      </c>
      <c r="AF97" s="58">
        <f t="shared" si="17"/>
        <v>0</v>
      </c>
      <c r="AG97" s="29">
        <f t="shared" si="22"/>
        <v>0</v>
      </c>
      <c r="AH97">
        <f t="shared" si="23"/>
        <v>501.00000000000034</v>
      </c>
      <c r="AI97" s="49">
        <f t="shared" si="24"/>
        <v>0</v>
      </c>
      <c r="AJ97" s="49">
        <f t="shared" si="25"/>
        <v>0</v>
      </c>
      <c r="AK97" s="4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3">
        <v>4.440670335962453E-2</v>
      </c>
      <c r="V98" s="52">
        <v>9.7579074379925856E-2</v>
      </c>
      <c r="W98" s="2">
        <v>0.9767743652221681</v>
      </c>
      <c r="X98" s="53">
        <v>0</v>
      </c>
      <c r="Y98" s="2">
        <v>-7.8007163637898805E-5</v>
      </c>
      <c r="Z98" s="34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57">
        <f t="shared" si="21"/>
        <v>0</v>
      </c>
      <c r="AF98" s="58">
        <f t="shared" si="17"/>
        <v>0</v>
      </c>
      <c r="AG98" s="29">
        <f t="shared" si="22"/>
        <v>0</v>
      </c>
      <c r="AH98">
        <f t="shared" si="23"/>
        <v>450.9999999999992</v>
      </c>
      <c r="AI98" s="49">
        <f t="shared" si="24"/>
        <v>0</v>
      </c>
      <c r="AJ98" s="49">
        <f t="shared" si="25"/>
        <v>0</v>
      </c>
      <c r="AK98" s="4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3">
        <v>3.9498694572012154E-2</v>
      </c>
      <c r="V99" s="52">
        <v>9.3238358205276484E-2</v>
      </c>
      <c r="W99" s="2">
        <v>0.96650233880327663</v>
      </c>
      <c r="X99" s="53">
        <v>0</v>
      </c>
      <c r="Y99" s="2">
        <v>-1.0021199337090616E-4</v>
      </c>
      <c r="Z99" s="34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57">
        <f t="shared" si="21"/>
        <v>0</v>
      </c>
      <c r="AF99" s="58">
        <f t="shared" si="17"/>
        <v>0</v>
      </c>
      <c r="AG99" s="29">
        <f t="shared" si="22"/>
        <v>0</v>
      </c>
      <c r="AH99">
        <f t="shared" si="23"/>
        <v>401.00000000000023</v>
      </c>
      <c r="AI99" s="49">
        <f t="shared" si="24"/>
        <v>0</v>
      </c>
      <c r="AJ99" s="49">
        <f t="shared" si="25"/>
        <v>0</v>
      </c>
      <c r="AK99" s="4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3">
        <v>3.4624608160590938E-2</v>
      </c>
      <c r="V100" s="52">
        <v>8.9222570389523526E-2</v>
      </c>
      <c r="W100" s="2">
        <v>0.95251170745195557</v>
      </c>
      <c r="X100" s="53">
        <v>0</v>
      </c>
      <c r="Y100" s="2">
        <v>-1.271536281950097E-4</v>
      </c>
      <c r="Z100" s="34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57">
        <f t="shared" si="21"/>
        <v>0</v>
      </c>
      <c r="AF100" s="58">
        <f t="shared" si="17"/>
        <v>0</v>
      </c>
      <c r="AG100" s="29">
        <f t="shared" si="22"/>
        <v>0</v>
      </c>
      <c r="AH100">
        <f t="shared" si="23"/>
        <v>350.99999999999909</v>
      </c>
      <c r="AI100" s="49">
        <f t="shared" si="24"/>
        <v>0</v>
      </c>
      <c r="AJ100" s="49">
        <f t="shared" si="25"/>
        <v>0</v>
      </c>
      <c r="AK100" s="4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3">
        <v>2.9824240434176308E-2</v>
      </c>
      <c r="V101" s="52">
        <v>8.5531710932656324E-2</v>
      </c>
      <c r="W101" s="2">
        <v>0.93109328133273772</v>
      </c>
      <c r="X101" s="53">
        <v>0</v>
      </c>
      <c r="Y101" s="2">
        <v>-1.6345104842675119E-4</v>
      </c>
      <c r="Z101" s="34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57">
        <f t="shared" si="21"/>
        <v>0</v>
      </c>
      <c r="AF101" s="58">
        <f t="shared" si="17"/>
        <v>0</v>
      </c>
      <c r="AG101" s="29">
        <f t="shared" si="22"/>
        <v>0</v>
      </c>
      <c r="AH101">
        <f t="shared" si="23"/>
        <v>301.00000000000017</v>
      </c>
      <c r="AI101" s="49">
        <f t="shared" si="24"/>
        <v>0</v>
      </c>
      <c r="AJ101" s="49">
        <f t="shared" si="25"/>
        <v>0</v>
      </c>
      <c r="AK101" s="4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3">
        <v>2.5155949349616805E-2</v>
      </c>
      <c r="V102" s="52">
        <v>8.2165779834681985E-2</v>
      </c>
      <c r="W102" s="2">
        <v>0.89819873517080717</v>
      </c>
      <c r="X102" s="53">
        <v>0</v>
      </c>
      <c r="Y102" s="2">
        <v>-2.0917589293509284E-4</v>
      </c>
      <c r="Z102" s="34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57">
        <f t="shared" si="21"/>
        <v>0</v>
      </c>
      <c r="AF102" s="58">
        <f t="shared" ref="AF102:AF125" si="26">IF(ISERR(AE102),0,AE102*M102)</f>
        <v>0</v>
      </c>
      <c r="AG102" s="29">
        <f t="shared" si="22"/>
        <v>0</v>
      </c>
      <c r="AH102">
        <f t="shared" si="23"/>
        <v>250.99999999999901</v>
      </c>
      <c r="AI102" s="49">
        <f t="shared" si="24"/>
        <v>0.55949349616903987</v>
      </c>
      <c r="AJ102" s="49">
        <f t="shared" si="25"/>
        <v>0</v>
      </c>
      <c r="AK102" s="4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3">
        <v>2.0646510785923843E-2</v>
      </c>
      <c r="V103" s="52">
        <v>7.9124777095596954E-2</v>
      </c>
      <c r="W103" s="2">
        <v>0.85232660263713667</v>
      </c>
      <c r="X103" s="53">
        <v>0</v>
      </c>
      <c r="Y103" s="2">
        <v>-2.6134138565999206E-4</v>
      </c>
      <c r="Z103" s="34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57">
        <f t="shared" si="21"/>
        <v>0</v>
      </c>
      <c r="AF103" s="58">
        <f t="shared" si="26"/>
        <v>0</v>
      </c>
      <c r="AG103" s="29">
        <f t="shared" si="22"/>
        <v>0</v>
      </c>
      <c r="AH103">
        <f t="shared" si="23"/>
        <v>201.00000000000006</v>
      </c>
      <c r="AI103" s="49">
        <f t="shared" si="24"/>
        <v>5.4651078592383726</v>
      </c>
      <c r="AJ103" s="49">
        <f t="shared" si="25"/>
        <v>0</v>
      </c>
      <c r="AK103" s="4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3">
        <v>1.7200000584125519E-2</v>
      </c>
      <c r="V104" s="52">
        <v>8.7588735445913224E-2</v>
      </c>
      <c r="W104" s="2">
        <v>0.75726981248408365</v>
      </c>
      <c r="X104" s="53">
        <v>0</v>
      </c>
      <c r="Y104" s="2">
        <v>-3.9156215779300965E-4</v>
      </c>
      <c r="Z104" s="34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57">
        <f t="shared" si="21"/>
        <v>0</v>
      </c>
      <c r="AF104" s="58">
        <f t="shared" si="26"/>
        <v>0</v>
      </c>
      <c r="AG104" s="29">
        <f t="shared" si="22"/>
        <v>0</v>
      </c>
      <c r="AH104">
        <f t="shared" si="23"/>
        <v>150.99999999999892</v>
      </c>
      <c r="AI104" s="49">
        <f t="shared" si="24"/>
        <v>21.000005841256268</v>
      </c>
      <c r="AJ104" s="49">
        <f t="shared" si="25"/>
        <v>0</v>
      </c>
      <c r="AK104" s="4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1"/>
      <c r="N105" s="2"/>
      <c r="O105" s="2"/>
      <c r="P105" s="2"/>
      <c r="Q105" s="2"/>
      <c r="R105" s="2"/>
      <c r="S105" s="2"/>
      <c r="T105" s="2"/>
      <c r="U105" s="53"/>
      <c r="V105" s="52"/>
      <c r="W105" s="2"/>
      <c r="X105" s="53"/>
      <c r="Y105" s="2"/>
      <c r="Z105" s="34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57">
        <f t="shared" si="21"/>
        <v>0</v>
      </c>
      <c r="AF105" s="58">
        <f t="shared" si="26"/>
        <v>0</v>
      </c>
      <c r="AG105" s="29">
        <f t="shared" si="22"/>
        <v>0</v>
      </c>
      <c r="AH105">
        <f t="shared" si="23"/>
        <v>100.99999999999997</v>
      </c>
      <c r="AI105" s="49">
        <f t="shared" si="24"/>
        <v>0</v>
      </c>
      <c r="AJ105" s="49">
        <f t="shared" si="25"/>
        <v>0</v>
      </c>
      <c r="AK105" s="4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1"/>
      <c r="N106" s="2"/>
      <c r="O106" s="2"/>
      <c r="P106" s="2"/>
      <c r="Q106" s="2"/>
      <c r="R106" s="2"/>
      <c r="S106" s="2"/>
      <c r="T106" s="2"/>
      <c r="U106" s="53"/>
      <c r="V106" s="52"/>
      <c r="W106" s="2"/>
      <c r="X106" s="53"/>
      <c r="Y106" s="2"/>
      <c r="Z106" s="34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57">
        <f t="shared" si="21"/>
        <v>0</v>
      </c>
      <c r="AF106" s="58">
        <f t="shared" si="26"/>
        <v>0</v>
      </c>
      <c r="AG106" s="29">
        <f t="shared" si="22"/>
        <v>0</v>
      </c>
      <c r="AH106">
        <f t="shared" si="23"/>
        <v>50.99999999999882</v>
      </c>
      <c r="AI106" s="49">
        <f t="shared" si="24"/>
        <v>0</v>
      </c>
      <c r="AJ106" s="49">
        <f t="shared" si="25"/>
        <v>0</v>
      </c>
      <c r="AK106" s="4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1"/>
      <c r="N107" s="2"/>
      <c r="O107" s="2"/>
      <c r="P107" s="2"/>
      <c r="Q107" s="2"/>
      <c r="R107" s="2"/>
      <c r="S107" s="2"/>
      <c r="T107" s="2"/>
      <c r="U107" s="53"/>
      <c r="V107" s="52"/>
      <c r="W107" s="2"/>
      <c r="X107" s="53"/>
      <c r="Y107" s="2"/>
      <c r="Z107" s="34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57">
        <f t="shared" si="21"/>
        <v>0</v>
      </c>
      <c r="AF107" s="58">
        <f t="shared" si="26"/>
        <v>0</v>
      </c>
      <c r="AG107" s="29">
        <f t="shared" si="22"/>
        <v>0</v>
      </c>
      <c r="AH107">
        <f t="shared" si="23"/>
        <v>0.99999999999988987</v>
      </c>
      <c r="AI107" s="49">
        <f t="shared" si="24"/>
        <v>0</v>
      </c>
      <c r="AJ107" s="49">
        <f t="shared" si="25"/>
        <v>0</v>
      </c>
      <c r="AK107" s="4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1"/>
      <c r="N108" s="2"/>
      <c r="O108" s="2"/>
      <c r="P108" s="2"/>
      <c r="Q108" s="2"/>
      <c r="R108" s="2"/>
      <c r="S108" s="2"/>
      <c r="T108" s="2"/>
      <c r="U108" s="53"/>
      <c r="V108" s="52"/>
      <c r="W108" s="2"/>
      <c r="X108" s="53"/>
      <c r="Y108" s="2"/>
      <c r="Z108" s="34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57">
        <f t="shared" si="21"/>
        <v>0</v>
      </c>
      <c r="AF108" s="58">
        <f t="shared" si="26"/>
        <v>0</v>
      </c>
      <c r="AG108" s="29">
        <f t="shared" si="22"/>
        <v>0</v>
      </c>
      <c r="AH108">
        <f t="shared" si="23"/>
        <v>0</v>
      </c>
      <c r="AI108" s="49">
        <f t="shared" si="24"/>
        <v>0</v>
      </c>
      <c r="AJ108" s="49">
        <f t="shared" si="25"/>
        <v>0</v>
      </c>
      <c r="AK108" s="4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1"/>
      <c r="N109" s="2"/>
      <c r="O109" s="2"/>
      <c r="P109" s="2"/>
      <c r="Q109" s="2"/>
      <c r="R109" s="2"/>
      <c r="S109" s="2"/>
      <c r="T109" s="2"/>
      <c r="U109" s="53"/>
      <c r="V109" s="52"/>
      <c r="W109" s="2"/>
      <c r="X109" s="53"/>
      <c r="Y109" s="2"/>
      <c r="Z109" s="34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57">
        <f t="shared" si="21"/>
        <v>0</v>
      </c>
      <c r="AF109" s="58">
        <f t="shared" si="26"/>
        <v>0</v>
      </c>
      <c r="AG109" s="29">
        <f t="shared" si="22"/>
        <v>0</v>
      </c>
      <c r="AH109">
        <f t="shared" si="23"/>
        <v>0</v>
      </c>
      <c r="AI109" s="49">
        <f t="shared" si="24"/>
        <v>0</v>
      </c>
      <c r="AJ109" s="49">
        <f t="shared" si="25"/>
        <v>0</v>
      </c>
      <c r="AK109" s="4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1"/>
      <c r="N110" s="2"/>
      <c r="O110" s="2"/>
      <c r="P110" s="2"/>
      <c r="Q110" s="2"/>
      <c r="R110" s="2"/>
      <c r="S110" s="2"/>
      <c r="T110" s="2"/>
      <c r="U110" s="53"/>
      <c r="V110" s="52"/>
      <c r="W110" s="2"/>
      <c r="X110" s="53"/>
      <c r="Y110" s="2"/>
      <c r="Z110" s="34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57">
        <f t="shared" si="21"/>
        <v>0</v>
      </c>
      <c r="AF110" s="58">
        <f t="shared" si="26"/>
        <v>0</v>
      </c>
      <c r="AG110" s="29">
        <f t="shared" si="22"/>
        <v>0</v>
      </c>
      <c r="AH110">
        <f t="shared" si="23"/>
        <v>0</v>
      </c>
      <c r="AI110" s="49">
        <f t="shared" si="24"/>
        <v>0</v>
      </c>
      <c r="AJ110" s="49">
        <f t="shared" si="25"/>
        <v>0</v>
      </c>
      <c r="AK110" s="4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1"/>
      <c r="N111" s="2"/>
      <c r="O111" s="2"/>
      <c r="P111" s="2"/>
      <c r="Q111" s="2"/>
      <c r="R111" s="2"/>
      <c r="S111" s="2"/>
      <c r="T111" s="2"/>
      <c r="U111" s="53"/>
      <c r="V111" s="52"/>
      <c r="W111" s="2"/>
      <c r="X111" s="53"/>
      <c r="Y111" s="2"/>
      <c r="Z111" s="34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57">
        <f t="shared" si="21"/>
        <v>0</v>
      </c>
      <c r="AF111" s="58">
        <f t="shared" si="26"/>
        <v>0</v>
      </c>
      <c r="AG111" s="29">
        <f t="shared" si="22"/>
        <v>0</v>
      </c>
      <c r="AH111">
        <f t="shared" si="23"/>
        <v>0</v>
      </c>
      <c r="AI111" s="49">
        <f t="shared" si="24"/>
        <v>0</v>
      </c>
      <c r="AJ111" s="49">
        <f t="shared" si="25"/>
        <v>0</v>
      </c>
      <c r="AK111" s="4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1"/>
      <c r="N112" s="2"/>
      <c r="O112" s="2"/>
      <c r="P112" s="2"/>
      <c r="Q112" s="2"/>
      <c r="R112" s="2"/>
      <c r="S112" s="2"/>
      <c r="T112" s="2"/>
      <c r="U112" s="53"/>
      <c r="V112" s="52"/>
      <c r="W112" s="2"/>
      <c r="X112" s="53"/>
      <c r="Y112" s="2"/>
      <c r="Z112" s="34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57">
        <f t="shared" si="21"/>
        <v>0</v>
      </c>
      <c r="AF112" s="58">
        <f t="shared" si="26"/>
        <v>0</v>
      </c>
      <c r="AG112" s="29">
        <f t="shared" si="22"/>
        <v>0</v>
      </c>
      <c r="AH112">
        <f t="shared" si="23"/>
        <v>0</v>
      </c>
      <c r="AI112" s="49">
        <f t="shared" si="24"/>
        <v>0</v>
      </c>
      <c r="AJ112" s="49">
        <f t="shared" si="25"/>
        <v>0</v>
      </c>
      <c r="AK112" s="4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1"/>
      <c r="N113" s="2"/>
      <c r="O113" s="2"/>
      <c r="P113" s="2"/>
      <c r="Q113" s="2"/>
      <c r="R113" s="2"/>
      <c r="S113" s="2"/>
      <c r="T113" s="2"/>
      <c r="U113" s="53"/>
      <c r="V113" s="52"/>
      <c r="W113" s="2"/>
      <c r="X113" s="53"/>
      <c r="Y113" s="2"/>
      <c r="Z113" s="34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57">
        <f t="shared" si="21"/>
        <v>0</v>
      </c>
      <c r="AF113" s="58">
        <f t="shared" si="26"/>
        <v>0</v>
      </c>
      <c r="AG113" s="29">
        <f t="shared" si="22"/>
        <v>0</v>
      </c>
      <c r="AH113">
        <f t="shared" si="23"/>
        <v>0</v>
      </c>
      <c r="AI113" s="49">
        <f t="shared" si="24"/>
        <v>0</v>
      </c>
      <c r="AJ113" s="49">
        <f t="shared" si="25"/>
        <v>0</v>
      </c>
      <c r="AK113" s="4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1"/>
      <c r="N114" s="2"/>
      <c r="O114" s="2"/>
      <c r="P114" s="2"/>
      <c r="Q114" s="2"/>
      <c r="R114" s="2"/>
      <c r="S114" s="2"/>
      <c r="T114" s="2"/>
      <c r="U114" s="53"/>
      <c r="V114" s="52"/>
      <c r="W114" s="2"/>
      <c r="X114" s="53"/>
      <c r="Y114" s="2"/>
      <c r="Z114" s="34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57">
        <f t="shared" si="21"/>
        <v>0</v>
      </c>
      <c r="AF114" s="58">
        <f t="shared" si="26"/>
        <v>0</v>
      </c>
      <c r="AG114" s="29">
        <f t="shared" si="22"/>
        <v>0</v>
      </c>
      <c r="AH114">
        <f t="shared" si="23"/>
        <v>0</v>
      </c>
      <c r="AI114" s="49">
        <f t="shared" si="24"/>
        <v>0</v>
      </c>
      <c r="AJ114" s="49">
        <f t="shared" si="25"/>
        <v>0</v>
      </c>
      <c r="AK114" s="4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1"/>
      <c r="N115" s="2"/>
      <c r="O115" s="2"/>
      <c r="P115" s="2"/>
      <c r="Q115" s="2"/>
      <c r="R115" s="2"/>
      <c r="S115" s="2"/>
      <c r="T115" s="2"/>
      <c r="U115" s="53"/>
      <c r="V115" s="52"/>
      <c r="W115" s="2"/>
      <c r="X115" s="53"/>
      <c r="Y115" s="2"/>
      <c r="Z115" s="34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57">
        <f t="shared" si="21"/>
        <v>0</v>
      </c>
      <c r="AF115" s="58">
        <f t="shared" si="26"/>
        <v>0</v>
      </c>
      <c r="AG115" s="29">
        <f t="shared" si="22"/>
        <v>0</v>
      </c>
      <c r="AH115">
        <f t="shared" si="23"/>
        <v>0</v>
      </c>
      <c r="AI115" s="49">
        <f t="shared" si="24"/>
        <v>0</v>
      </c>
      <c r="AJ115" s="49">
        <f t="shared" si="25"/>
        <v>0</v>
      </c>
      <c r="AK115" s="4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1"/>
      <c r="N116" s="2"/>
      <c r="O116" s="2"/>
      <c r="P116" s="2"/>
      <c r="Q116" s="2"/>
      <c r="R116" s="2"/>
      <c r="S116" s="2"/>
      <c r="T116" s="2"/>
      <c r="U116" s="53"/>
      <c r="V116" s="52"/>
      <c r="W116" s="2"/>
      <c r="X116" s="53"/>
      <c r="Y116" s="2"/>
      <c r="Z116" s="34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57">
        <f t="shared" si="21"/>
        <v>0</v>
      </c>
      <c r="AF116" s="58">
        <f t="shared" si="26"/>
        <v>0</v>
      </c>
      <c r="AG116" s="29">
        <f t="shared" si="22"/>
        <v>0</v>
      </c>
      <c r="AH116">
        <f t="shared" si="23"/>
        <v>0</v>
      </c>
      <c r="AI116" s="49">
        <f t="shared" si="24"/>
        <v>0</v>
      </c>
      <c r="AJ116" s="49">
        <f t="shared" si="25"/>
        <v>0</v>
      </c>
      <c r="AK116" s="4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1"/>
      <c r="N117" s="2"/>
      <c r="O117" s="2"/>
      <c r="P117" s="2"/>
      <c r="Q117" s="2"/>
      <c r="R117" s="2"/>
      <c r="S117" s="2"/>
      <c r="T117" s="2"/>
      <c r="U117" s="53"/>
      <c r="V117" s="52"/>
      <c r="W117" s="2"/>
      <c r="X117" s="53"/>
      <c r="Y117" s="2"/>
      <c r="Z117" s="34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57">
        <f t="shared" si="21"/>
        <v>0</v>
      </c>
      <c r="AF117" s="58">
        <f t="shared" si="26"/>
        <v>0</v>
      </c>
      <c r="AG117" s="29">
        <f t="shared" si="22"/>
        <v>0</v>
      </c>
      <c r="AH117">
        <f t="shared" si="23"/>
        <v>0</v>
      </c>
      <c r="AI117" s="49">
        <f t="shared" si="24"/>
        <v>0</v>
      </c>
      <c r="AJ117" s="49">
        <f t="shared" si="25"/>
        <v>0</v>
      </c>
      <c r="AK117" s="4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1"/>
      <c r="N118" s="2"/>
      <c r="O118" s="2"/>
      <c r="P118" s="2"/>
      <c r="Q118" s="2"/>
      <c r="R118" s="2"/>
      <c r="S118" s="2"/>
      <c r="T118" s="2"/>
      <c r="U118" s="53"/>
      <c r="V118" s="52"/>
      <c r="W118" s="2"/>
      <c r="X118" s="53"/>
      <c r="Y118" s="2"/>
      <c r="Z118" s="34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57">
        <f t="shared" si="21"/>
        <v>0</v>
      </c>
      <c r="AF118" s="58">
        <f t="shared" si="26"/>
        <v>0</v>
      </c>
      <c r="AG118" s="29">
        <f t="shared" si="22"/>
        <v>0</v>
      </c>
      <c r="AH118">
        <f t="shared" si="23"/>
        <v>0</v>
      </c>
      <c r="AI118" s="49">
        <f t="shared" si="24"/>
        <v>0</v>
      </c>
      <c r="AJ118" s="49">
        <f t="shared" si="25"/>
        <v>0</v>
      </c>
      <c r="AK118" s="4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1"/>
      <c r="N119" s="2"/>
      <c r="O119" s="2"/>
      <c r="P119" s="2"/>
      <c r="Q119" s="2"/>
      <c r="R119" s="2"/>
      <c r="S119" s="2"/>
      <c r="T119" s="2"/>
      <c r="U119" s="53"/>
      <c r="V119" s="52"/>
      <c r="W119" s="2"/>
      <c r="X119" s="53"/>
      <c r="Y119" s="2"/>
      <c r="Z119" s="34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57">
        <f t="shared" si="21"/>
        <v>0</v>
      </c>
      <c r="AF119" s="58">
        <f t="shared" si="26"/>
        <v>0</v>
      </c>
      <c r="AG119" s="29">
        <f t="shared" si="22"/>
        <v>0</v>
      </c>
      <c r="AH119">
        <f t="shared" si="23"/>
        <v>0</v>
      </c>
      <c r="AI119" s="49">
        <f t="shared" si="24"/>
        <v>0</v>
      </c>
      <c r="AJ119" s="49">
        <f t="shared" si="25"/>
        <v>0</v>
      </c>
      <c r="AK119" s="4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1"/>
      <c r="N120" s="2"/>
      <c r="O120" s="2"/>
      <c r="P120" s="2"/>
      <c r="Q120" s="2"/>
      <c r="R120" s="2"/>
      <c r="S120" s="2"/>
      <c r="T120" s="2"/>
      <c r="U120" s="53"/>
      <c r="V120" s="52"/>
      <c r="W120" s="2"/>
      <c r="X120" s="53"/>
      <c r="Y120" s="2"/>
      <c r="Z120" s="34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57">
        <f t="shared" si="21"/>
        <v>0</v>
      </c>
      <c r="AF120" s="58">
        <f t="shared" si="26"/>
        <v>0</v>
      </c>
      <c r="AG120" s="29">
        <f t="shared" si="22"/>
        <v>0</v>
      </c>
      <c r="AH120">
        <f t="shared" si="23"/>
        <v>0</v>
      </c>
      <c r="AI120" s="49">
        <f t="shared" si="24"/>
        <v>0</v>
      </c>
      <c r="AJ120" s="49">
        <f t="shared" si="25"/>
        <v>0</v>
      </c>
      <c r="AK120" s="4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1"/>
      <c r="N121" s="2"/>
      <c r="O121" s="2"/>
      <c r="P121" s="2"/>
      <c r="Q121" s="2"/>
      <c r="R121" s="2"/>
      <c r="S121" s="2"/>
      <c r="T121" s="2"/>
      <c r="U121" s="53"/>
      <c r="V121" s="52"/>
      <c r="W121" s="2"/>
      <c r="X121" s="53"/>
      <c r="Y121" s="2"/>
      <c r="Z121" s="34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57">
        <f t="shared" si="21"/>
        <v>0</v>
      </c>
      <c r="AF121" s="58">
        <f t="shared" si="26"/>
        <v>0</v>
      </c>
      <c r="AG121" s="29">
        <f t="shared" si="22"/>
        <v>0</v>
      </c>
      <c r="AH121">
        <f t="shared" si="23"/>
        <v>0</v>
      </c>
      <c r="AI121" s="49">
        <f t="shared" si="24"/>
        <v>0</v>
      </c>
      <c r="AJ121" s="49">
        <f t="shared" si="25"/>
        <v>0</v>
      </c>
      <c r="AK121" s="4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1"/>
      <c r="N122" s="2"/>
      <c r="O122" s="2"/>
      <c r="P122" s="2"/>
      <c r="Q122" s="2"/>
      <c r="R122" s="2"/>
      <c r="S122" s="2"/>
      <c r="T122" s="2"/>
      <c r="U122" s="53"/>
      <c r="V122" s="52"/>
      <c r="W122" s="2"/>
      <c r="X122" s="53"/>
      <c r="Y122" s="2"/>
      <c r="Z122" s="34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57">
        <f t="shared" si="21"/>
        <v>0</v>
      </c>
      <c r="AF122" s="58">
        <f t="shared" si="26"/>
        <v>0</v>
      </c>
      <c r="AG122" s="29">
        <f t="shared" si="22"/>
        <v>0</v>
      </c>
      <c r="AH122">
        <f t="shared" si="23"/>
        <v>0</v>
      </c>
      <c r="AI122" s="49">
        <f t="shared" si="24"/>
        <v>0</v>
      </c>
      <c r="AJ122" s="49">
        <f t="shared" si="25"/>
        <v>0</v>
      </c>
      <c r="AK122" s="4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1"/>
      <c r="N123" s="2"/>
      <c r="O123" s="2"/>
      <c r="P123" s="2"/>
      <c r="Q123" s="2"/>
      <c r="R123" s="2"/>
      <c r="S123" s="2"/>
      <c r="T123" s="2"/>
      <c r="U123" s="53"/>
      <c r="V123" s="52"/>
      <c r="W123" s="2"/>
      <c r="X123" s="53"/>
      <c r="Y123" s="2"/>
      <c r="Z123" s="34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57">
        <f t="shared" si="21"/>
        <v>0</v>
      </c>
      <c r="AF123" s="58">
        <f t="shared" si="26"/>
        <v>0</v>
      </c>
      <c r="AG123" s="29">
        <f t="shared" si="22"/>
        <v>0</v>
      </c>
      <c r="AH123">
        <f t="shared" si="23"/>
        <v>0</v>
      </c>
      <c r="AI123" s="49">
        <f t="shared" si="24"/>
        <v>0</v>
      </c>
      <c r="AJ123" s="49">
        <f t="shared" si="25"/>
        <v>0</v>
      </c>
      <c r="AK123" s="4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1"/>
      <c r="N124" s="2"/>
      <c r="O124" s="2"/>
      <c r="P124" s="2"/>
      <c r="Q124" s="2"/>
      <c r="R124" s="2"/>
      <c r="S124" s="2"/>
      <c r="T124" s="2"/>
      <c r="U124" s="53"/>
      <c r="V124" s="52"/>
      <c r="W124" s="2"/>
      <c r="X124" s="53"/>
      <c r="Y124" s="2"/>
      <c r="Z124" s="34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57">
        <f t="shared" si="21"/>
        <v>0</v>
      </c>
      <c r="AF124" s="58">
        <f t="shared" si="26"/>
        <v>0</v>
      </c>
      <c r="AG124" s="29">
        <f t="shared" si="22"/>
        <v>0</v>
      </c>
      <c r="AH124">
        <f t="shared" si="23"/>
        <v>0</v>
      </c>
      <c r="AI124" s="49">
        <f t="shared" si="24"/>
        <v>0</v>
      </c>
      <c r="AJ124" s="49">
        <f t="shared" si="25"/>
        <v>0</v>
      </c>
      <c r="AK124" s="4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1"/>
      <c r="N125" s="2"/>
      <c r="O125" s="2"/>
      <c r="P125" s="2"/>
      <c r="Q125" s="2"/>
      <c r="R125" s="2"/>
      <c r="S125" s="2"/>
      <c r="T125" s="2"/>
      <c r="U125" s="53"/>
      <c r="V125" s="52"/>
      <c r="W125" s="2"/>
      <c r="X125" s="53"/>
      <c r="Y125" s="2"/>
      <c r="Z125" s="34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57">
        <f t="shared" si="21"/>
        <v>0</v>
      </c>
      <c r="AF125" s="58">
        <f t="shared" si="26"/>
        <v>0</v>
      </c>
      <c r="AG125" s="29">
        <f t="shared" si="22"/>
        <v>0</v>
      </c>
      <c r="AH125">
        <f t="shared" si="23"/>
        <v>0</v>
      </c>
      <c r="AI125" s="49">
        <f t="shared" si="24"/>
        <v>0</v>
      </c>
      <c r="AJ125" s="49">
        <f t="shared" si="25"/>
        <v>0</v>
      </c>
      <c r="AK125" s="4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3"/>
  <sheetViews>
    <sheetView workbookViewId="0">
      <selection activeCell="C8" sqref="C8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175</v>
      </c>
      <c r="B1">
        <v>100</v>
      </c>
    </row>
    <row r="2" spans="1:2" x14ac:dyDescent="0.25">
      <c r="A2" t="s">
        <v>176</v>
      </c>
      <c r="B2">
        <v>1029</v>
      </c>
    </row>
    <row r="3" spans="1:2" x14ac:dyDescent="0.25">
      <c r="A3" t="s">
        <v>177</v>
      </c>
      <c r="B3">
        <v>71</v>
      </c>
    </row>
    <row r="4" spans="1:2" x14ac:dyDescent="0.25">
      <c r="A4" t="s">
        <v>178</v>
      </c>
      <c r="B4">
        <v>91</v>
      </c>
    </row>
    <row r="5" spans="1:2" x14ac:dyDescent="0.25">
      <c r="A5" t="s">
        <v>181</v>
      </c>
      <c r="B5">
        <v>1E-4</v>
      </c>
    </row>
    <row r="6" spans="1:2" x14ac:dyDescent="0.25">
      <c r="A6" t="s">
        <v>182</v>
      </c>
      <c r="B6">
        <v>59</v>
      </c>
    </row>
    <row r="7" spans="1:2" x14ac:dyDescent="0.25">
      <c r="A7" t="s">
        <v>183</v>
      </c>
      <c r="B7">
        <v>5</v>
      </c>
    </row>
    <row r="8" spans="1:2" x14ac:dyDescent="0.25">
      <c r="A8" t="s">
        <v>190</v>
      </c>
      <c r="B8">
        <v>35</v>
      </c>
    </row>
    <row r="9" spans="1:2" x14ac:dyDescent="0.25">
      <c r="A9" t="s">
        <v>191</v>
      </c>
      <c r="B9">
        <v>17</v>
      </c>
    </row>
    <row r="10" spans="1:2" x14ac:dyDescent="0.25">
      <c r="A10" t="s">
        <v>203</v>
      </c>
      <c r="B10">
        <v>64</v>
      </c>
    </row>
    <row r="11" spans="1:2" x14ac:dyDescent="0.25">
      <c r="A11" t="s">
        <v>204</v>
      </c>
      <c r="B11">
        <v>65</v>
      </c>
    </row>
    <row r="12" spans="1:2" x14ac:dyDescent="0.25">
      <c r="A12" t="s">
        <v>215</v>
      </c>
      <c r="B12">
        <v>16</v>
      </c>
    </row>
    <row r="13" spans="1:2" x14ac:dyDescent="0.25">
      <c r="A13" t="s">
        <v>216</v>
      </c>
      <c r="B13"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553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7" t="s">
        <v>227</v>
      </c>
    </row>
    <row r="2" spans="1:1" x14ac:dyDescent="0.25">
      <c r="A2" s="27" t="s">
        <v>228</v>
      </c>
    </row>
    <row r="3" spans="1:1" x14ac:dyDescent="0.25">
      <c r="A3" s="27" t="s">
        <v>229</v>
      </c>
    </row>
    <row r="4" spans="1:1" x14ac:dyDescent="0.25">
      <c r="A4" s="27" t="s">
        <v>230</v>
      </c>
    </row>
    <row r="5" spans="1:1" x14ac:dyDescent="0.25">
      <c r="A5" s="27" t="s">
        <v>231</v>
      </c>
    </row>
    <row r="6" spans="1:1" x14ac:dyDescent="0.25">
      <c r="A6" s="27" t="s">
        <v>232</v>
      </c>
    </row>
    <row r="7" spans="1:1" x14ac:dyDescent="0.25">
      <c r="A7" s="27" t="s">
        <v>233</v>
      </c>
    </row>
    <row r="8" spans="1:1" x14ac:dyDescent="0.25">
      <c r="A8" s="27" t="s">
        <v>234</v>
      </c>
    </row>
    <row r="9" spans="1:1" x14ac:dyDescent="0.25">
      <c r="A9" t="s">
        <v>235</v>
      </c>
    </row>
    <row r="10" spans="1:1" x14ac:dyDescent="0.25">
      <c r="A10" t="s">
        <v>236</v>
      </c>
    </row>
    <row r="11" spans="1:1" x14ac:dyDescent="0.25">
      <c r="A11" s="27"/>
    </row>
    <row r="12" spans="1:1" x14ac:dyDescent="0.25">
      <c r="A12" s="27"/>
    </row>
    <row r="13" spans="1:1" x14ac:dyDescent="0.25">
      <c r="A13" s="27"/>
    </row>
    <row r="14" spans="1:1" x14ac:dyDescent="0.25">
      <c r="A14" s="27"/>
    </row>
    <row r="15" spans="1:1" x14ac:dyDescent="0.25">
      <c r="A15" s="27"/>
    </row>
    <row r="16" spans="1:1" x14ac:dyDescent="0.25">
      <c r="A16" s="27"/>
    </row>
    <row r="17" spans="1:1" x14ac:dyDescent="0.25">
      <c r="A17" s="27"/>
    </row>
    <row r="18" spans="1:1" x14ac:dyDescent="0.25">
      <c r="A18" s="27"/>
    </row>
    <row r="19" spans="1:1" x14ac:dyDescent="0.25">
      <c r="A19" s="27"/>
    </row>
    <row r="20" spans="1:1" x14ac:dyDescent="0.25">
      <c r="A20" s="27"/>
    </row>
    <row r="21" spans="1:1" x14ac:dyDescent="0.25">
      <c r="A21" s="27"/>
    </row>
    <row r="22" spans="1:1" x14ac:dyDescent="0.25">
      <c r="A22" s="27"/>
    </row>
    <row r="23" spans="1:1" x14ac:dyDescent="0.25">
      <c r="A23" s="27"/>
    </row>
    <row r="24" spans="1:1" x14ac:dyDescent="0.25">
      <c r="A24" s="27"/>
    </row>
    <row r="25" spans="1:1" x14ac:dyDescent="0.25">
      <c r="A25" s="27"/>
    </row>
    <row r="26" spans="1:1" x14ac:dyDescent="0.25">
      <c r="A26" s="27"/>
    </row>
    <row r="27" spans="1:1" x14ac:dyDescent="0.25">
      <c r="A27" s="27"/>
    </row>
    <row r="28" spans="1:1" x14ac:dyDescent="0.25">
      <c r="A28" s="27"/>
    </row>
    <row r="29" spans="1:1" x14ac:dyDescent="0.25">
      <c r="A29" s="27"/>
    </row>
    <row r="30" spans="1:1" x14ac:dyDescent="0.25">
      <c r="A30" s="27"/>
    </row>
    <row r="31" spans="1:1" x14ac:dyDescent="0.25">
      <c r="A31" s="27"/>
    </row>
    <row r="32" spans="1:1" x14ac:dyDescent="0.25">
      <c r="A32" s="27"/>
    </row>
    <row r="33" spans="1:1" x14ac:dyDescent="0.25">
      <c r="A33" s="27"/>
    </row>
    <row r="34" spans="1:1" x14ac:dyDescent="0.25">
      <c r="A34" s="27"/>
    </row>
    <row r="35" spans="1:1" x14ac:dyDescent="0.25">
      <c r="A35" s="27"/>
    </row>
    <row r="36" spans="1:1" x14ac:dyDescent="0.25">
      <c r="A36" s="27"/>
    </row>
    <row r="37" spans="1:1" x14ac:dyDescent="0.25">
      <c r="A37" s="27"/>
    </row>
    <row r="38" spans="1:1" x14ac:dyDescent="0.25">
      <c r="A38" s="27"/>
    </row>
    <row r="39" spans="1:1" x14ac:dyDescent="0.25">
      <c r="A39" s="27"/>
    </row>
    <row r="40" spans="1:1" x14ac:dyDescent="0.25">
      <c r="A40" s="27"/>
    </row>
    <row r="41" spans="1:1" x14ac:dyDescent="0.25">
      <c r="A41" s="27"/>
    </row>
    <row r="42" spans="1:1" x14ac:dyDescent="0.25">
      <c r="A42" s="27"/>
    </row>
    <row r="43" spans="1:1" x14ac:dyDescent="0.25">
      <c r="A43" s="27"/>
    </row>
    <row r="44" spans="1:1" x14ac:dyDescent="0.25">
      <c r="A44" s="27"/>
    </row>
    <row r="45" spans="1:1" x14ac:dyDescent="0.25">
      <c r="A45" s="27"/>
    </row>
    <row r="46" spans="1:1" x14ac:dyDescent="0.25">
      <c r="A46" s="27"/>
    </row>
    <row r="47" spans="1:1" x14ac:dyDescent="0.25">
      <c r="A47" s="27"/>
    </row>
    <row r="48" spans="1:1" x14ac:dyDescent="0.25">
      <c r="A48" s="27"/>
    </row>
    <row r="49" spans="1:1" x14ac:dyDescent="0.25">
      <c r="A49" s="27"/>
    </row>
    <row r="50" spans="1:1" x14ac:dyDescent="0.25">
      <c r="A50" s="27"/>
    </row>
    <row r="51" spans="1:1" x14ac:dyDescent="0.25">
      <c r="A51" s="27"/>
    </row>
    <row r="52" spans="1:1" x14ac:dyDescent="0.25">
      <c r="A52" s="27"/>
    </row>
    <row r="53" spans="1:1" x14ac:dyDescent="0.25">
      <c r="A53" s="27"/>
    </row>
    <row r="54" spans="1:1" x14ac:dyDescent="0.25">
      <c r="A54" s="27"/>
    </row>
    <row r="55" spans="1:1" x14ac:dyDescent="0.25">
      <c r="A55" s="27"/>
    </row>
    <row r="56" spans="1:1" x14ac:dyDescent="0.25">
      <c r="A56" s="27"/>
    </row>
    <row r="57" spans="1:1" x14ac:dyDescent="0.25">
      <c r="A57" s="27"/>
    </row>
    <row r="58" spans="1:1" x14ac:dyDescent="0.25">
      <c r="A58" s="27"/>
    </row>
    <row r="59" spans="1:1" x14ac:dyDescent="0.25">
      <c r="A59" s="27"/>
    </row>
    <row r="60" spans="1:1" x14ac:dyDescent="0.25">
      <c r="A60" s="27"/>
    </row>
    <row r="61" spans="1:1" x14ac:dyDescent="0.25">
      <c r="A61" s="27"/>
    </row>
    <row r="62" spans="1:1" x14ac:dyDescent="0.25">
      <c r="A62" s="27"/>
    </row>
    <row r="63" spans="1:1" x14ac:dyDescent="0.25">
      <c r="A63" s="27"/>
    </row>
    <row r="64" spans="1:1" x14ac:dyDescent="0.25">
      <c r="A64" s="27"/>
    </row>
    <row r="65" spans="1:1" x14ac:dyDescent="0.25">
      <c r="A65" s="27"/>
    </row>
    <row r="66" spans="1:1" x14ac:dyDescent="0.25">
      <c r="A66" s="27"/>
    </row>
    <row r="67" spans="1:1" x14ac:dyDescent="0.25">
      <c r="A67" s="27"/>
    </row>
    <row r="68" spans="1:1" x14ac:dyDescent="0.25">
      <c r="A68" s="27"/>
    </row>
    <row r="69" spans="1:1" x14ac:dyDescent="0.25">
      <c r="A69" s="27"/>
    </row>
    <row r="70" spans="1:1" x14ac:dyDescent="0.25">
      <c r="A70" s="27"/>
    </row>
    <row r="71" spans="1:1" x14ac:dyDescent="0.25">
      <c r="A71" s="27"/>
    </row>
    <row r="72" spans="1:1" x14ac:dyDescent="0.25">
      <c r="A72" s="27"/>
    </row>
    <row r="73" spans="1:1" x14ac:dyDescent="0.25">
      <c r="A73" s="27"/>
    </row>
    <row r="74" spans="1:1" x14ac:dyDescent="0.25">
      <c r="A74" s="27"/>
    </row>
    <row r="75" spans="1:1" x14ac:dyDescent="0.25">
      <c r="A75" s="27"/>
    </row>
    <row r="76" spans="1:1" x14ac:dyDescent="0.25">
      <c r="A76" s="27"/>
    </row>
    <row r="77" spans="1:1" x14ac:dyDescent="0.25">
      <c r="A77" s="27"/>
    </row>
    <row r="78" spans="1:1" x14ac:dyDescent="0.25">
      <c r="A78" s="27"/>
    </row>
    <row r="79" spans="1:1" x14ac:dyDescent="0.25">
      <c r="A79" s="27"/>
    </row>
    <row r="80" spans="1:1" x14ac:dyDescent="0.25">
      <c r="A80" s="27"/>
    </row>
    <row r="81" spans="1:1" x14ac:dyDescent="0.25">
      <c r="A81" s="27"/>
    </row>
    <row r="82" spans="1:1" x14ac:dyDescent="0.25">
      <c r="A82" s="27"/>
    </row>
    <row r="83" spans="1:1" x14ac:dyDescent="0.25">
      <c r="A83" s="27"/>
    </row>
    <row r="84" spans="1:1" x14ac:dyDescent="0.25">
      <c r="A84" s="27"/>
    </row>
    <row r="85" spans="1:1" x14ac:dyDescent="0.25">
      <c r="A85" s="27"/>
    </row>
    <row r="86" spans="1:1" x14ac:dyDescent="0.25">
      <c r="A86" s="27"/>
    </row>
    <row r="87" spans="1:1" x14ac:dyDescent="0.25">
      <c r="A87" s="27"/>
    </row>
    <row r="88" spans="1:1" x14ac:dyDescent="0.25">
      <c r="A88" s="27"/>
    </row>
    <row r="89" spans="1:1" x14ac:dyDescent="0.25">
      <c r="A89" s="27"/>
    </row>
    <row r="90" spans="1:1" x14ac:dyDescent="0.25">
      <c r="A90" s="27"/>
    </row>
    <row r="91" spans="1:1" x14ac:dyDescent="0.25">
      <c r="A91" s="27"/>
    </row>
    <row r="92" spans="1:1" x14ac:dyDescent="0.25">
      <c r="A92" s="27"/>
    </row>
    <row r="93" spans="1:1" x14ac:dyDescent="0.25">
      <c r="A93" s="27"/>
    </row>
    <row r="94" spans="1:1" x14ac:dyDescent="0.25">
      <c r="A94" s="27"/>
    </row>
    <row r="95" spans="1:1" x14ac:dyDescent="0.25">
      <c r="A95" s="27"/>
    </row>
    <row r="96" spans="1:1" x14ac:dyDescent="0.25">
      <c r="A96" s="27"/>
    </row>
    <row r="97" spans="1:1" x14ac:dyDescent="0.25">
      <c r="A97" s="27"/>
    </row>
    <row r="98" spans="1:1" x14ac:dyDescent="0.25">
      <c r="A98" s="27"/>
    </row>
    <row r="99" spans="1:1" x14ac:dyDescent="0.25">
      <c r="A99" s="27"/>
    </row>
    <row r="100" spans="1:1" x14ac:dyDescent="0.25">
      <c r="A100" s="27"/>
    </row>
    <row r="101" spans="1:1" x14ac:dyDescent="0.25">
      <c r="A101" s="27"/>
    </row>
    <row r="102" spans="1:1" x14ac:dyDescent="0.25">
      <c r="A102" s="27"/>
    </row>
    <row r="103" spans="1:1" x14ac:dyDescent="0.25">
      <c r="A103" s="27"/>
    </row>
    <row r="104" spans="1:1" x14ac:dyDescent="0.25">
      <c r="A104" s="27"/>
    </row>
    <row r="105" spans="1:1" x14ac:dyDescent="0.25">
      <c r="A105" s="27"/>
    </row>
    <row r="106" spans="1:1" x14ac:dyDescent="0.25">
      <c r="A106" s="27"/>
    </row>
    <row r="107" spans="1:1" x14ac:dyDescent="0.25">
      <c r="A107" s="27"/>
    </row>
    <row r="108" spans="1:1" x14ac:dyDescent="0.25">
      <c r="A108" s="27"/>
    </row>
    <row r="109" spans="1:1" x14ac:dyDescent="0.25">
      <c r="A109" s="27"/>
    </row>
    <row r="110" spans="1:1" x14ac:dyDescent="0.25">
      <c r="A110" s="27"/>
    </row>
    <row r="111" spans="1:1" x14ac:dyDescent="0.25">
      <c r="A111" s="27"/>
    </row>
    <row r="112" spans="1:1" x14ac:dyDescent="0.25">
      <c r="A112" s="27"/>
    </row>
    <row r="113" spans="1:1" x14ac:dyDescent="0.25">
      <c r="A113" s="27"/>
    </row>
    <row r="114" spans="1:1" x14ac:dyDescent="0.25">
      <c r="A114" s="27"/>
    </row>
    <row r="115" spans="1:1" x14ac:dyDescent="0.25">
      <c r="A115" s="27"/>
    </row>
    <row r="116" spans="1:1" x14ac:dyDescent="0.25">
      <c r="A116" s="27"/>
    </row>
    <row r="117" spans="1:1" x14ac:dyDescent="0.25">
      <c r="A117" s="27"/>
    </row>
    <row r="118" spans="1:1" x14ac:dyDescent="0.25">
      <c r="A118" s="27"/>
    </row>
    <row r="119" spans="1:1" x14ac:dyDescent="0.25">
      <c r="A119" s="27"/>
    </row>
    <row r="120" spans="1:1" x14ac:dyDescent="0.25">
      <c r="A120" s="27"/>
    </row>
    <row r="121" spans="1:1" x14ac:dyDescent="0.25">
      <c r="A121" s="27"/>
    </row>
    <row r="122" spans="1:1" x14ac:dyDescent="0.25">
      <c r="A122" s="27"/>
    </row>
    <row r="123" spans="1:1" x14ac:dyDescent="0.25">
      <c r="A123" s="27"/>
    </row>
    <row r="124" spans="1:1" x14ac:dyDescent="0.25">
      <c r="A124" s="27"/>
    </row>
    <row r="125" spans="1:1" x14ac:dyDescent="0.25">
      <c r="A125" s="27"/>
    </row>
    <row r="126" spans="1:1" x14ac:dyDescent="0.25">
      <c r="A126" s="27"/>
    </row>
    <row r="127" spans="1:1" x14ac:dyDescent="0.25">
      <c r="A127" s="27"/>
    </row>
    <row r="128" spans="1:1" x14ac:dyDescent="0.25">
      <c r="A128" s="27"/>
    </row>
    <row r="129" spans="1:1" x14ac:dyDescent="0.25">
      <c r="A129" s="27"/>
    </row>
    <row r="130" spans="1:1" x14ac:dyDescent="0.25">
      <c r="A130" s="27"/>
    </row>
    <row r="131" spans="1:1" x14ac:dyDescent="0.25">
      <c r="A131" s="27"/>
    </row>
    <row r="132" spans="1:1" x14ac:dyDescent="0.25">
      <c r="A132" s="27"/>
    </row>
    <row r="133" spans="1:1" x14ac:dyDescent="0.25">
      <c r="A133" s="27"/>
    </row>
    <row r="134" spans="1:1" x14ac:dyDescent="0.25">
      <c r="A134" s="27"/>
    </row>
    <row r="135" spans="1:1" x14ac:dyDescent="0.25">
      <c r="A135" s="27"/>
    </row>
    <row r="136" spans="1:1" x14ac:dyDescent="0.25">
      <c r="A136" s="27"/>
    </row>
    <row r="137" spans="1:1" x14ac:dyDescent="0.25">
      <c r="A137" s="27"/>
    </row>
    <row r="138" spans="1:1" x14ac:dyDescent="0.25">
      <c r="A138" s="27"/>
    </row>
    <row r="139" spans="1:1" x14ac:dyDescent="0.25">
      <c r="A139" s="27"/>
    </row>
    <row r="140" spans="1:1" x14ac:dyDescent="0.25">
      <c r="A140" s="27"/>
    </row>
    <row r="141" spans="1:1" x14ac:dyDescent="0.25">
      <c r="A141" s="27"/>
    </row>
    <row r="142" spans="1:1" x14ac:dyDescent="0.25">
      <c r="A142" s="27"/>
    </row>
    <row r="143" spans="1:1" x14ac:dyDescent="0.25">
      <c r="A143" s="27"/>
    </row>
    <row r="144" spans="1:1" x14ac:dyDescent="0.25">
      <c r="A144" s="27"/>
    </row>
    <row r="145" spans="1:1" x14ac:dyDescent="0.25">
      <c r="A145" s="27"/>
    </row>
    <row r="146" spans="1:1" x14ac:dyDescent="0.25">
      <c r="A146" s="27"/>
    </row>
    <row r="147" spans="1:1" x14ac:dyDescent="0.25">
      <c r="A147" s="27"/>
    </row>
    <row r="148" spans="1:1" x14ac:dyDescent="0.25">
      <c r="A148" s="27"/>
    </row>
    <row r="149" spans="1:1" x14ac:dyDescent="0.25">
      <c r="A149" s="27"/>
    </row>
    <row r="150" spans="1:1" x14ac:dyDescent="0.25">
      <c r="A150" s="27"/>
    </row>
    <row r="151" spans="1:1" x14ac:dyDescent="0.25">
      <c r="A151" s="27"/>
    </row>
    <row r="152" spans="1:1" x14ac:dyDescent="0.25">
      <c r="A152" s="27"/>
    </row>
    <row r="153" spans="1:1" x14ac:dyDescent="0.25">
      <c r="A153" s="27"/>
    </row>
    <row r="154" spans="1:1" x14ac:dyDescent="0.25">
      <c r="A154" s="27"/>
    </row>
    <row r="155" spans="1:1" x14ac:dyDescent="0.25">
      <c r="A155" s="27"/>
    </row>
    <row r="156" spans="1:1" x14ac:dyDescent="0.25">
      <c r="A156" s="27"/>
    </row>
    <row r="157" spans="1:1" x14ac:dyDescent="0.25">
      <c r="A157" s="27"/>
    </row>
    <row r="158" spans="1:1" x14ac:dyDescent="0.25">
      <c r="A158" s="27"/>
    </row>
    <row r="159" spans="1:1" x14ac:dyDescent="0.25">
      <c r="A159" s="27"/>
    </row>
    <row r="160" spans="1:1" x14ac:dyDescent="0.25">
      <c r="A160" s="27"/>
    </row>
    <row r="161" spans="1:1" x14ac:dyDescent="0.25">
      <c r="A161" s="27"/>
    </row>
    <row r="162" spans="1:1" x14ac:dyDescent="0.25">
      <c r="A162" s="27"/>
    </row>
    <row r="163" spans="1:1" x14ac:dyDescent="0.25">
      <c r="A163" s="27"/>
    </row>
    <row r="164" spans="1:1" x14ac:dyDescent="0.25">
      <c r="A164" s="27"/>
    </row>
    <row r="165" spans="1:1" x14ac:dyDescent="0.25">
      <c r="A165" s="27"/>
    </row>
    <row r="166" spans="1:1" x14ac:dyDescent="0.25">
      <c r="A166" s="27"/>
    </row>
    <row r="167" spans="1:1" x14ac:dyDescent="0.25">
      <c r="A167" s="27"/>
    </row>
    <row r="168" spans="1:1" x14ac:dyDescent="0.25">
      <c r="A168" s="27"/>
    </row>
    <row r="169" spans="1:1" x14ac:dyDescent="0.25">
      <c r="A169" s="27"/>
    </row>
    <row r="170" spans="1:1" x14ac:dyDescent="0.25">
      <c r="A170" s="27"/>
    </row>
    <row r="171" spans="1:1" x14ac:dyDescent="0.25">
      <c r="A171" s="27"/>
    </row>
    <row r="172" spans="1:1" x14ac:dyDescent="0.25">
      <c r="A172" s="27"/>
    </row>
    <row r="173" spans="1:1" x14ac:dyDescent="0.25">
      <c r="A173" s="27"/>
    </row>
    <row r="174" spans="1:1" x14ac:dyDescent="0.25">
      <c r="A174" s="27"/>
    </row>
    <row r="175" spans="1:1" x14ac:dyDescent="0.25">
      <c r="A175" s="27"/>
    </row>
    <row r="176" spans="1:1" x14ac:dyDescent="0.25">
      <c r="A176" s="27"/>
    </row>
    <row r="177" spans="1:1" x14ac:dyDescent="0.25">
      <c r="A177" s="27"/>
    </row>
    <row r="178" spans="1:1" x14ac:dyDescent="0.25">
      <c r="A178" s="27"/>
    </row>
    <row r="179" spans="1:1" x14ac:dyDescent="0.25">
      <c r="A179" s="27"/>
    </row>
    <row r="180" spans="1:1" x14ac:dyDescent="0.25">
      <c r="A180" s="27"/>
    </row>
    <row r="181" spans="1:1" x14ac:dyDescent="0.25">
      <c r="A181" s="27"/>
    </row>
    <row r="182" spans="1:1" x14ac:dyDescent="0.25">
      <c r="A182" s="27"/>
    </row>
    <row r="183" spans="1:1" x14ac:dyDescent="0.25">
      <c r="A183" s="27"/>
    </row>
    <row r="184" spans="1:1" x14ac:dyDescent="0.25">
      <c r="A184" s="27"/>
    </row>
    <row r="185" spans="1:1" x14ac:dyDescent="0.25">
      <c r="A185" s="27"/>
    </row>
    <row r="186" spans="1:1" x14ac:dyDescent="0.25">
      <c r="A186" s="27"/>
    </row>
    <row r="187" spans="1:1" x14ac:dyDescent="0.25">
      <c r="A187" s="27"/>
    </row>
    <row r="188" spans="1:1" x14ac:dyDescent="0.25">
      <c r="A188" s="27"/>
    </row>
    <row r="189" spans="1:1" x14ac:dyDescent="0.25">
      <c r="A189" s="27"/>
    </row>
    <row r="190" spans="1:1" x14ac:dyDescent="0.25">
      <c r="A190" s="27"/>
    </row>
    <row r="191" spans="1:1" x14ac:dyDescent="0.25">
      <c r="A191" s="27"/>
    </row>
    <row r="192" spans="1:1" x14ac:dyDescent="0.25">
      <c r="A192" s="27"/>
    </row>
    <row r="193" spans="1:1" x14ac:dyDescent="0.25">
      <c r="A193" s="27"/>
    </row>
    <row r="194" spans="1:1" x14ac:dyDescent="0.25">
      <c r="A194" s="27"/>
    </row>
    <row r="195" spans="1:1" x14ac:dyDescent="0.25">
      <c r="A195" s="27"/>
    </row>
    <row r="196" spans="1:1" x14ac:dyDescent="0.25">
      <c r="A196" s="27"/>
    </row>
    <row r="197" spans="1:1" x14ac:dyDescent="0.25">
      <c r="A197" s="27"/>
    </row>
    <row r="198" spans="1:1" x14ac:dyDescent="0.25">
      <c r="A198" s="27"/>
    </row>
    <row r="199" spans="1:1" x14ac:dyDescent="0.25">
      <c r="A199" s="27"/>
    </row>
    <row r="200" spans="1:1" x14ac:dyDescent="0.25">
      <c r="A200" s="27"/>
    </row>
    <row r="201" spans="1:1" x14ac:dyDescent="0.25">
      <c r="A201" s="27"/>
    </row>
    <row r="202" spans="1:1" x14ac:dyDescent="0.25">
      <c r="A202" s="27"/>
    </row>
    <row r="203" spans="1:1" x14ac:dyDescent="0.25">
      <c r="A203" s="27"/>
    </row>
    <row r="204" spans="1:1" x14ac:dyDescent="0.25">
      <c r="A204" s="27"/>
    </row>
    <row r="205" spans="1:1" x14ac:dyDescent="0.25">
      <c r="A205" s="27"/>
    </row>
    <row r="206" spans="1:1" x14ac:dyDescent="0.25">
      <c r="A206" s="27"/>
    </row>
    <row r="207" spans="1:1" x14ac:dyDescent="0.25">
      <c r="A207" s="27"/>
    </row>
    <row r="208" spans="1:1" x14ac:dyDescent="0.25">
      <c r="A208" s="27"/>
    </row>
    <row r="209" spans="1:1" x14ac:dyDescent="0.25">
      <c r="A209" s="27"/>
    </row>
    <row r="210" spans="1:1" x14ac:dyDescent="0.25">
      <c r="A210" s="27"/>
    </row>
    <row r="211" spans="1:1" x14ac:dyDescent="0.25">
      <c r="A211" s="27"/>
    </row>
    <row r="212" spans="1:1" x14ac:dyDescent="0.25">
      <c r="A212" s="27"/>
    </row>
    <row r="213" spans="1:1" x14ac:dyDescent="0.25">
      <c r="A213" s="27"/>
    </row>
    <row r="214" spans="1:1" x14ac:dyDescent="0.25">
      <c r="A214" s="27"/>
    </row>
    <row r="215" spans="1:1" x14ac:dyDescent="0.25">
      <c r="A215" s="27"/>
    </row>
    <row r="216" spans="1:1" x14ac:dyDescent="0.25">
      <c r="A216" s="27"/>
    </row>
    <row r="217" spans="1:1" x14ac:dyDescent="0.25">
      <c r="A217" s="27"/>
    </row>
    <row r="218" spans="1:1" x14ac:dyDescent="0.25">
      <c r="A218" s="27"/>
    </row>
    <row r="219" spans="1:1" x14ac:dyDescent="0.25">
      <c r="A219" s="27"/>
    </row>
    <row r="220" spans="1:1" x14ac:dyDescent="0.25">
      <c r="A220" s="27"/>
    </row>
    <row r="221" spans="1:1" x14ac:dyDescent="0.25">
      <c r="A221" s="27"/>
    </row>
    <row r="222" spans="1:1" x14ac:dyDescent="0.25">
      <c r="A222" s="27"/>
    </row>
    <row r="223" spans="1:1" x14ac:dyDescent="0.25">
      <c r="A223" s="27"/>
    </row>
    <row r="224" spans="1:1" x14ac:dyDescent="0.25">
      <c r="A224" s="27"/>
    </row>
    <row r="225" spans="1:1" x14ac:dyDescent="0.25">
      <c r="A225" s="27"/>
    </row>
    <row r="226" spans="1:1" x14ac:dyDescent="0.25">
      <c r="A226" s="27"/>
    </row>
    <row r="227" spans="1:1" x14ac:dyDescent="0.25">
      <c r="A227" s="27"/>
    </row>
    <row r="228" spans="1:1" x14ac:dyDescent="0.25">
      <c r="A228" s="27"/>
    </row>
    <row r="229" spans="1:1" x14ac:dyDescent="0.25">
      <c r="A229" s="27"/>
    </row>
    <row r="230" spans="1:1" x14ac:dyDescent="0.25">
      <c r="A230" s="99" t="s">
        <v>237</v>
      </c>
    </row>
    <row r="231" spans="1:1" x14ac:dyDescent="0.25">
      <c r="A231" s="99" t="s">
        <v>238</v>
      </c>
    </row>
    <row r="232" spans="1:1" x14ac:dyDescent="0.25">
      <c r="A232" s="99" t="s">
        <v>239</v>
      </c>
    </row>
    <row r="233" spans="1:1" x14ac:dyDescent="0.25">
      <c r="A233" s="99" t="s">
        <v>240</v>
      </c>
    </row>
    <row r="234" spans="1:1" x14ac:dyDescent="0.25">
      <c r="A234" s="99" t="s">
        <v>241</v>
      </c>
    </row>
    <row r="235" spans="1:1" x14ac:dyDescent="0.25">
      <c r="A235" s="99" t="s">
        <v>242</v>
      </c>
    </row>
    <row r="236" spans="1:1" x14ac:dyDescent="0.25">
      <c r="A236" s="99" t="s">
        <v>243</v>
      </c>
    </row>
    <row r="237" spans="1:1" x14ac:dyDescent="0.25">
      <c r="A237" s="99" t="s">
        <v>244</v>
      </c>
    </row>
    <row r="238" spans="1:1" x14ac:dyDescent="0.25">
      <c r="A238" s="99" t="s">
        <v>245</v>
      </c>
    </row>
    <row r="239" spans="1:1" x14ac:dyDescent="0.25">
      <c r="A239" t="s">
        <v>246</v>
      </c>
    </row>
    <row r="240" spans="1:1" x14ac:dyDescent="0.25">
      <c r="A240" t="s">
        <v>247</v>
      </c>
    </row>
    <row r="241" spans="1:1" x14ac:dyDescent="0.25">
      <c r="A241" t="s">
        <v>248</v>
      </c>
    </row>
    <row r="242" spans="1:1" x14ac:dyDescent="0.25">
      <c r="A242" t="s">
        <v>249</v>
      </c>
    </row>
    <row r="243" spans="1:1" x14ac:dyDescent="0.25">
      <c r="A243" t="s">
        <v>250</v>
      </c>
    </row>
    <row r="244" spans="1:1" x14ac:dyDescent="0.25">
      <c r="A244" t="s">
        <v>251</v>
      </c>
    </row>
    <row r="245" spans="1:1" x14ac:dyDescent="0.25">
      <c r="A245" t="s">
        <v>252</v>
      </c>
    </row>
    <row r="246" spans="1:1" x14ac:dyDescent="0.25">
      <c r="A246" t="s">
        <v>253</v>
      </c>
    </row>
    <row r="247" spans="1:1" x14ac:dyDescent="0.25">
      <c r="A247" t="s">
        <v>254</v>
      </c>
    </row>
    <row r="248" spans="1:1" x14ac:dyDescent="0.25">
      <c r="A248" t="s">
        <v>255</v>
      </c>
    </row>
    <row r="249" spans="1:1" x14ac:dyDescent="0.25">
      <c r="A249" t="s">
        <v>256</v>
      </c>
    </row>
    <row r="250" spans="1:1" x14ac:dyDescent="0.25">
      <c r="A250" t="s">
        <v>257</v>
      </c>
    </row>
    <row r="251" spans="1:1" x14ac:dyDescent="0.25">
      <c r="A251" t="s">
        <v>258</v>
      </c>
    </row>
    <row r="252" spans="1:1" x14ac:dyDescent="0.25">
      <c r="A252" t="s">
        <v>259</v>
      </c>
    </row>
    <row r="253" spans="1:1" x14ac:dyDescent="0.25">
      <c r="A253" s="27"/>
    </row>
    <row r="254" spans="1:1" x14ac:dyDescent="0.25">
      <c r="A254" s="27"/>
    </row>
    <row r="255" spans="1:1" x14ac:dyDescent="0.25">
      <c r="A255" s="27"/>
    </row>
    <row r="256" spans="1:1" x14ac:dyDescent="0.25">
      <c r="A256" s="27"/>
    </row>
    <row r="257" spans="1:1" x14ac:dyDescent="0.25">
      <c r="A257" s="27"/>
    </row>
    <row r="258" spans="1:1" x14ac:dyDescent="0.25">
      <c r="A258" s="27"/>
    </row>
    <row r="259" spans="1:1" x14ac:dyDescent="0.25">
      <c r="A259" s="27"/>
    </row>
    <row r="260" spans="1:1" x14ac:dyDescent="0.25">
      <c r="A260" s="27"/>
    </row>
    <row r="261" spans="1:1" x14ac:dyDescent="0.25">
      <c r="A261" s="27"/>
    </row>
    <row r="262" spans="1:1" x14ac:dyDescent="0.25">
      <c r="A262" s="27"/>
    </row>
    <row r="263" spans="1:1" x14ac:dyDescent="0.25">
      <c r="A263" s="27"/>
    </row>
    <row r="264" spans="1:1" x14ac:dyDescent="0.25">
      <c r="A264" s="27"/>
    </row>
    <row r="265" spans="1:1" x14ac:dyDescent="0.25">
      <c r="A265" s="27"/>
    </row>
    <row r="266" spans="1:1" x14ac:dyDescent="0.25">
      <c r="A266" s="27"/>
    </row>
    <row r="267" spans="1:1" x14ac:dyDescent="0.25">
      <c r="A267" s="27"/>
    </row>
    <row r="268" spans="1:1" x14ac:dyDescent="0.25">
      <c r="A268" s="27"/>
    </row>
    <row r="269" spans="1:1" x14ac:dyDescent="0.25">
      <c r="A269" s="27"/>
    </row>
    <row r="270" spans="1:1" x14ac:dyDescent="0.25">
      <c r="A270" s="27"/>
    </row>
    <row r="271" spans="1:1" x14ac:dyDescent="0.25">
      <c r="A271" s="27"/>
    </row>
    <row r="272" spans="1:1" x14ac:dyDescent="0.25">
      <c r="A272" s="27"/>
    </row>
    <row r="273" spans="1:1" x14ac:dyDescent="0.25">
      <c r="A273" s="27"/>
    </row>
    <row r="274" spans="1:1" x14ac:dyDescent="0.25">
      <c r="A274" s="27"/>
    </row>
    <row r="275" spans="1:1" x14ac:dyDescent="0.25">
      <c r="A275" s="27"/>
    </row>
    <row r="276" spans="1:1" x14ac:dyDescent="0.25">
      <c r="A276" s="27"/>
    </row>
    <row r="277" spans="1:1" x14ac:dyDescent="0.25">
      <c r="A277" s="27"/>
    </row>
    <row r="278" spans="1:1" x14ac:dyDescent="0.25">
      <c r="A278" s="27"/>
    </row>
    <row r="279" spans="1:1" x14ac:dyDescent="0.25">
      <c r="A279" s="27"/>
    </row>
    <row r="280" spans="1:1" x14ac:dyDescent="0.25">
      <c r="A280" s="27"/>
    </row>
    <row r="281" spans="1:1" x14ac:dyDescent="0.25">
      <c r="A281" s="27"/>
    </row>
    <row r="282" spans="1:1" x14ac:dyDescent="0.25">
      <c r="A282" s="27"/>
    </row>
    <row r="283" spans="1:1" x14ac:dyDescent="0.25">
      <c r="A283" s="27"/>
    </row>
    <row r="284" spans="1:1" x14ac:dyDescent="0.25">
      <c r="A284" s="27"/>
    </row>
    <row r="285" spans="1:1" x14ac:dyDescent="0.25">
      <c r="A285" s="27"/>
    </row>
    <row r="286" spans="1:1" x14ac:dyDescent="0.25">
      <c r="A286" s="27"/>
    </row>
    <row r="287" spans="1:1" x14ac:dyDescent="0.25">
      <c r="A287" s="27"/>
    </row>
    <row r="288" spans="1:1" x14ac:dyDescent="0.25">
      <c r="A288" s="27"/>
    </row>
    <row r="289" spans="1:1" x14ac:dyDescent="0.25">
      <c r="A289" s="27"/>
    </row>
    <row r="290" spans="1:1" x14ac:dyDescent="0.25">
      <c r="A290" s="27"/>
    </row>
    <row r="291" spans="1:1" x14ac:dyDescent="0.25">
      <c r="A291" s="27"/>
    </row>
    <row r="292" spans="1:1" x14ac:dyDescent="0.25">
      <c r="A292" s="27"/>
    </row>
    <row r="293" spans="1:1" x14ac:dyDescent="0.25">
      <c r="A293" s="27"/>
    </row>
    <row r="294" spans="1:1" x14ac:dyDescent="0.25">
      <c r="A294" s="27"/>
    </row>
    <row r="295" spans="1:1" x14ac:dyDescent="0.25">
      <c r="A295" s="27"/>
    </row>
    <row r="296" spans="1:1" x14ac:dyDescent="0.25">
      <c r="A296" s="27"/>
    </row>
    <row r="297" spans="1:1" x14ac:dyDescent="0.25">
      <c r="A297" s="27"/>
    </row>
    <row r="298" spans="1:1" x14ac:dyDescent="0.25">
      <c r="A298" s="27"/>
    </row>
    <row r="299" spans="1:1" x14ac:dyDescent="0.25">
      <c r="A299" s="27"/>
    </row>
    <row r="300" spans="1:1" x14ac:dyDescent="0.25">
      <c r="A300" s="27"/>
    </row>
    <row r="301" spans="1:1" x14ac:dyDescent="0.25">
      <c r="A301" s="27"/>
    </row>
    <row r="302" spans="1:1" x14ac:dyDescent="0.25">
      <c r="A302" s="27"/>
    </row>
    <row r="303" spans="1:1" x14ac:dyDescent="0.25">
      <c r="A303" s="27"/>
    </row>
    <row r="304" spans="1:1" x14ac:dyDescent="0.25">
      <c r="A304" s="27"/>
    </row>
    <row r="305" spans="1:1" x14ac:dyDescent="0.25">
      <c r="A305" s="27"/>
    </row>
    <row r="306" spans="1:1" x14ac:dyDescent="0.25">
      <c r="A306" s="27"/>
    </row>
    <row r="307" spans="1:1" x14ac:dyDescent="0.25">
      <c r="A307" s="27"/>
    </row>
    <row r="308" spans="1:1" x14ac:dyDescent="0.25">
      <c r="A308" s="27"/>
    </row>
    <row r="309" spans="1:1" x14ac:dyDescent="0.25">
      <c r="A309" s="27"/>
    </row>
    <row r="310" spans="1:1" x14ac:dyDescent="0.25">
      <c r="A310" s="27"/>
    </row>
    <row r="311" spans="1:1" x14ac:dyDescent="0.25">
      <c r="A311" s="27"/>
    </row>
    <row r="312" spans="1:1" x14ac:dyDescent="0.25">
      <c r="A312" s="27"/>
    </row>
    <row r="313" spans="1:1" x14ac:dyDescent="0.25">
      <c r="A313" s="27"/>
    </row>
    <row r="314" spans="1:1" x14ac:dyDescent="0.25">
      <c r="A314" s="27"/>
    </row>
    <row r="315" spans="1:1" x14ac:dyDescent="0.25">
      <c r="A315" s="27"/>
    </row>
    <row r="316" spans="1:1" x14ac:dyDescent="0.25">
      <c r="A316" s="27"/>
    </row>
    <row r="317" spans="1:1" x14ac:dyDescent="0.25">
      <c r="A317" s="27"/>
    </row>
    <row r="318" spans="1:1" x14ac:dyDescent="0.25">
      <c r="A318" s="27"/>
    </row>
    <row r="319" spans="1:1" x14ac:dyDescent="0.25">
      <c r="A319" s="27"/>
    </row>
    <row r="320" spans="1:1" x14ac:dyDescent="0.25">
      <c r="A320" s="27"/>
    </row>
    <row r="321" spans="1:1" x14ac:dyDescent="0.25">
      <c r="A321" s="27"/>
    </row>
    <row r="322" spans="1:1" x14ac:dyDescent="0.25">
      <c r="A322" s="27"/>
    </row>
    <row r="323" spans="1:1" x14ac:dyDescent="0.25">
      <c r="A323" s="27"/>
    </row>
    <row r="324" spans="1:1" x14ac:dyDescent="0.25">
      <c r="A324" s="27"/>
    </row>
    <row r="325" spans="1:1" x14ac:dyDescent="0.25">
      <c r="A325" s="27"/>
    </row>
    <row r="326" spans="1:1" x14ac:dyDescent="0.25">
      <c r="A326" s="27"/>
    </row>
    <row r="327" spans="1:1" x14ac:dyDescent="0.25">
      <c r="A327" s="27"/>
    </row>
    <row r="328" spans="1:1" x14ac:dyDescent="0.25">
      <c r="A328" s="27"/>
    </row>
    <row r="329" spans="1:1" x14ac:dyDescent="0.25">
      <c r="A329" s="27"/>
    </row>
    <row r="330" spans="1:1" x14ac:dyDescent="0.25">
      <c r="A330" s="27"/>
    </row>
    <row r="331" spans="1:1" x14ac:dyDescent="0.25">
      <c r="A331" s="27"/>
    </row>
    <row r="332" spans="1:1" x14ac:dyDescent="0.25">
      <c r="A332" s="27"/>
    </row>
    <row r="333" spans="1:1" x14ac:dyDescent="0.25">
      <c r="A333" s="27"/>
    </row>
    <row r="334" spans="1:1" x14ac:dyDescent="0.25">
      <c r="A334" s="27"/>
    </row>
    <row r="335" spans="1:1" x14ac:dyDescent="0.25">
      <c r="A335" s="27"/>
    </row>
    <row r="336" spans="1:1" x14ac:dyDescent="0.25">
      <c r="A336" s="27"/>
    </row>
    <row r="337" spans="1:1" x14ac:dyDescent="0.25">
      <c r="A337" s="27"/>
    </row>
    <row r="338" spans="1:1" x14ac:dyDescent="0.25">
      <c r="A338" s="27"/>
    </row>
    <row r="339" spans="1:1" x14ac:dyDescent="0.25">
      <c r="A339" s="27"/>
    </row>
    <row r="340" spans="1:1" x14ac:dyDescent="0.25">
      <c r="A340" s="27"/>
    </row>
    <row r="341" spans="1:1" x14ac:dyDescent="0.25">
      <c r="A341" s="27"/>
    </row>
    <row r="342" spans="1:1" x14ac:dyDescent="0.25">
      <c r="A342" s="27"/>
    </row>
    <row r="343" spans="1:1" x14ac:dyDescent="0.25">
      <c r="A343" s="27"/>
    </row>
    <row r="344" spans="1:1" x14ac:dyDescent="0.25">
      <c r="A344" s="27"/>
    </row>
    <row r="345" spans="1:1" x14ac:dyDescent="0.25">
      <c r="A345" s="27"/>
    </row>
    <row r="346" spans="1:1" x14ac:dyDescent="0.25">
      <c r="A346" s="27"/>
    </row>
    <row r="347" spans="1:1" x14ac:dyDescent="0.25">
      <c r="A347" s="27"/>
    </row>
    <row r="348" spans="1:1" x14ac:dyDescent="0.25">
      <c r="A348" s="27"/>
    </row>
    <row r="349" spans="1:1" x14ac:dyDescent="0.25">
      <c r="A349" s="27"/>
    </row>
    <row r="350" spans="1:1" x14ac:dyDescent="0.25">
      <c r="A350" s="27"/>
    </row>
    <row r="351" spans="1:1" x14ac:dyDescent="0.25">
      <c r="A351" s="27"/>
    </row>
    <row r="352" spans="1:1" x14ac:dyDescent="0.25">
      <c r="A352" s="27"/>
    </row>
    <row r="353" spans="1:1" x14ac:dyDescent="0.25">
      <c r="A353" s="27"/>
    </row>
    <row r="354" spans="1:1" x14ac:dyDescent="0.25">
      <c r="A354" s="27"/>
    </row>
    <row r="355" spans="1:1" x14ac:dyDescent="0.25">
      <c r="A355" s="27"/>
    </row>
    <row r="356" spans="1:1" x14ac:dyDescent="0.25">
      <c r="A356" s="27"/>
    </row>
    <row r="357" spans="1:1" x14ac:dyDescent="0.25">
      <c r="A357" s="27"/>
    </row>
    <row r="358" spans="1:1" x14ac:dyDescent="0.25">
      <c r="A358" s="27"/>
    </row>
    <row r="359" spans="1:1" x14ac:dyDescent="0.25">
      <c r="A359" s="27"/>
    </row>
    <row r="360" spans="1:1" x14ac:dyDescent="0.25">
      <c r="A360" s="27"/>
    </row>
    <row r="361" spans="1:1" x14ac:dyDescent="0.25">
      <c r="A361" s="27"/>
    </row>
    <row r="362" spans="1:1" x14ac:dyDescent="0.25">
      <c r="A362" s="27"/>
    </row>
    <row r="363" spans="1:1" x14ac:dyDescent="0.25">
      <c r="A363" s="27"/>
    </row>
    <row r="364" spans="1:1" x14ac:dyDescent="0.25">
      <c r="A364" s="27"/>
    </row>
    <row r="365" spans="1:1" x14ac:dyDescent="0.25">
      <c r="A365" s="27"/>
    </row>
    <row r="366" spans="1:1" x14ac:dyDescent="0.25">
      <c r="A366" s="27"/>
    </row>
    <row r="367" spans="1:1" x14ac:dyDescent="0.25">
      <c r="A367" s="27"/>
    </row>
    <row r="368" spans="1:1" x14ac:dyDescent="0.25">
      <c r="A368" s="27"/>
    </row>
    <row r="369" spans="1:1" x14ac:dyDescent="0.25">
      <c r="A369" s="27"/>
    </row>
    <row r="370" spans="1:1" x14ac:dyDescent="0.25">
      <c r="A370" s="27"/>
    </row>
    <row r="371" spans="1:1" x14ac:dyDescent="0.25">
      <c r="A371" s="27"/>
    </row>
    <row r="372" spans="1:1" x14ac:dyDescent="0.25">
      <c r="A372" s="27"/>
    </row>
    <row r="373" spans="1:1" x14ac:dyDescent="0.25">
      <c r="A373" s="27"/>
    </row>
    <row r="374" spans="1:1" x14ac:dyDescent="0.25">
      <c r="A374" s="27"/>
    </row>
    <row r="375" spans="1:1" x14ac:dyDescent="0.25">
      <c r="A375" s="27"/>
    </row>
    <row r="376" spans="1:1" x14ac:dyDescent="0.25">
      <c r="A376" s="27"/>
    </row>
    <row r="377" spans="1:1" x14ac:dyDescent="0.25">
      <c r="A377" s="27"/>
    </row>
    <row r="378" spans="1:1" x14ac:dyDescent="0.25">
      <c r="A378" s="27"/>
    </row>
    <row r="379" spans="1:1" x14ac:dyDescent="0.25">
      <c r="A379" s="27"/>
    </row>
    <row r="380" spans="1:1" x14ac:dyDescent="0.25">
      <c r="A380" s="27"/>
    </row>
    <row r="381" spans="1:1" x14ac:dyDescent="0.25">
      <c r="A381" s="27"/>
    </row>
    <row r="382" spans="1:1" x14ac:dyDescent="0.25">
      <c r="A382" s="27"/>
    </row>
    <row r="383" spans="1:1" x14ac:dyDescent="0.25">
      <c r="A383" s="27"/>
    </row>
    <row r="384" spans="1:1" x14ac:dyDescent="0.25">
      <c r="A384" s="27"/>
    </row>
    <row r="385" spans="1:1" x14ac:dyDescent="0.25">
      <c r="A385" s="27"/>
    </row>
    <row r="386" spans="1:1" x14ac:dyDescent="0.25">
      <c r="A386" s="27"/>
    </row>
    <row r="387" spans="1:1" x14ac:dyDescent="0.25">
      <c r="A387" s="27"/>
    </row>
    <row r="388" spans="1:1" x14ac:dyDescent="0.25">
      <c r="A388" s="27"/>
    </row>
    <row r="389" spans="1:1" x14ac:dyDescent="0.25">
      <c r="A389" s="27"/>
    </row>
    <row r="390" spans="1:1" x14ac:dyDescent="0.25">
      <c r="A390" s="27"/>
    </row>
    <row r="391" spans="1:1" x14ac:dyDescent="0.25">
      <c r="A391" s="27"/>
    </row>
    <row r="392" spans="1:1" x14ac:dyDescent="0.25">
      <c r="A392" s="27"/>
    </row>
    <row r="393" spans="1:1" x14ac:dyDescent="0.25">
      <c r="A393" s="27"/>
    </row>
    <row r="394" spans="1:1" x14ac:dyDescent="0.25">
      <c r="A394" s="27"/>
    </row>
    <row r="395" spans="1:1" x14ac:dyDescent="0.25">
      <c r="A395" s="27"/>
    </row>
    <row r="396" spans="1:1" x14ac:dyDescent="0.25">
      <c r="A396" s="27"/>
    </row>
    <row r="397" spans="1:1" x14ac:dyDescent="0.25">
      <c r="A397" s="27"/>
    </row>
    <row r="398" spans="1:1" x14ac:dyDescent="0.25">
      <c r="A398" s="27"/>
    </row>
    <row r="399" spans="1:1" x14ac:dyDescent="0.25">
      <c r="A399" s="27"/>
    </row>
    <row r="400" spans="1:1" x14ac:dyDescent="0.25">
      <c r="A400" s="27"/>
    </row>
    <row r="401" spans="1:1" x14ac:dyDescent="0.25">
      <c r="A401" s="27"/>
    </row>
    <row r="402" spans="1:1" x14ac:dyDescent="0.25">
      <c r="A402" s="27"/>
    </row>
    <row r="403" spans="1:1" x14ac:dyDescent="0.25">
      <c r="A403" s="27"/>
    </row>
    <row r="404" spans="1:1" x14ac:dyDescent="0.25">
      <c r="A404" s="27"/>
    </row>
    <row r="405" spans="1:1" x14ac:dyDescent="0.25">
      <c r="A405" s="27"/>
    </row>
    <row r="406" spans="1:1" x14ac:dyDescent="0.25">
      <c r="A406" s="27"/>
    </row>
    <row r="407" spans="1:1" x14ac:dyDescent="0.25">
      <c r="A407" s="27"/>
    </row>
    <row r="408" spans="1:1" x14ac:dyDescent="0.25">
      <c r="A408" s="27"/>
    </row>
    <row r="409" spans="1:1" x14ac:dyDescent="0.25">
      <c r="A409" s="27"/>
    </row>
    <row r="410" spans="1:1" x14ac:dyDescent="0.25">
      <c r="A410" s="27"/>
    </row>
    <row r="411" spans="1:1" x14ac:dyDescent="0.25">
      <c r="A411" s="27"/>
    </row>
    <row r="412" spans="1:1" x14ac:dyDescent="0.25">
      <c r="A412" s="27"/>
    </row>
    <row r="413" spans="1:1" x14ac:dyDescent="0.25">
      <c r="A413" s="27"/>
    </row>
    <row r="414" spans="1:1" x14ac:dyDescent="0.25">
      <c r="A414" s="27"/>
    </row>
    <row r="415" spans="1:1" x14ac:dyDescent="0.25">
      <c r="A415" s="27"/>
    </row>
    <row r="416" spans="1:1" x14ac:dyDescent="0.25">
      <c r="A416" s="27"/>
    </row>
    <row r="417" spans="1:1" x14ac:dyDescent="0.25">
      <c r="A417" s="27"/>
    </row>
    <row r="418" spans="1:1" x14ac:dyDescent="0.25">
      <c r="A418" s="27"/>
    </row>
    <row r="419" spans="1:1" x14ac:dyDescent="0.25">
      <c r="A419" s="27"/>
    </row>
    <row r="420" spans="1:1" x14ac:dyDescent="0.25">
      <c r="A420" s="27"/>
    </row>
    <row r="421" spans="1:1" x14ac:dyDescent="0.25">
      <c r="A421" s="27"/>
    </row>
    <row r="422" spans="1:1" x14ac:dyDescent="0.25">
      <c r="A422" s="27"/>
    </row>
    <row r="423" spans="1:1" x14ac:dyDescent="0.25">
      <c r="A423" s="27"/>
    </row>
    <row r="424" spans="1:1" x14ac:dyDescent="0.25">
      <c r="A424" s="27"/>
    </row>
    <row r="425" spans="1:1" x14ac:dyDescent="0.25">
      <c r="A425" s="27"/>
    </row>
    <row r="426" spans="1:1" x14ac:dyDescent="0.25">
      <c r="A426" s="27"/>
    </row>
    <row r="427" spans="1:1" x14ac:dyDescent="0.25">
      <c r="A427" s="27"/>
    </row>
    <row r="428" spans="1:1" x14ac:dyDescent="0.25">
      <c r="A428" s="27"/>
    </row>
    <row r="429" spans="1:1" x14ac:dyDescent="0.25">
      <c r="A429" s="27"/>
    </row>
    <row r="430" spans="1:1" x14ac:dyDescent="0.25">
      <c r="A430" s="27"/>
    </row>
    <row r="431" spans="1:1" x14ac:dyDescent="0.25">
      <c r="A431" s="27"/>
    </row>
    <row r="432" spans="1:1" x14ac:dyDescent="0.25">
      <c r="A432" s="27"/>
    </row>
    <row r="433" spans="1:1" x14ac:dyDescent="0.25">
      <c r="A433" s="27"/>
    </row>
    <row r="434" spans="1:1" x14ac:dyDescent="0.25">
      <c r="A434" s="27"/>
    </row>
    <row r="435" spans="1:1" x14ac:dyDescent="0.25">
      <c r="A435" s="27"/>
    </row>
    <row r="436" spans="1:1" x14ac:dyDescent="0.25">
      <c r="A436" s="27"/>
    </row>
    <row r="437" spans="1:1" x14ac:dyDescent="0.25">
      <c r="A437" s="27"/>
    </row>
    <row r="438" spans="1:1" x14ac:dyDescent="0.25">
      <c r="A438" s="27"/>
    </row>
    <row r="439" spans="1:1" x14ac:dyDescent="0.25">
      <c r="A439" s="27"/>
    </row>
    <row r="440" spans="1:1" x14ac:dyDescent="0.25">
      <c r="A440" s="27"/>
    </row>
    <row r="441" spans="1:1" x14ac:dyDescent="0.25">
      <c r="A441" s="27"/>
    </row>
    <row r="442" spans="1:1" x14ac:dyDescent="0.25">
      <c r="A442" s="27"/>
    </row>
    <row r="443" spans="1:1" x14ac:dyDescent="0.25">
      <c r="A443" s="27"/>
    </row>
    <row r="444" spans="1:1" x14ac:dyDescent="0.25">
      <c r="A444" s="27"/>
    </row>
    <row r="445" spans="1:1" x14ac:dyDescent="0.25">
      <c r="A445" s="27"/>
    </row>
    <row r="446" spans="1:1" x14ac:dyDescent="0.25">
      <c r="A446" s="27"/>
    </row>
    <row r="447" spans="1:1" x14ac:dyDescent="0.25">
      <c r="A447" s="27"/>
    </row>
    <row r="448" spans="1:1" x14ac:dyDescent="0.25">
      <c r="A448" s="27"/>
    </row>
    <row r="449" spans="1:1" x14ac:dyDescent="0.25">
      <c r="A449" s="27"/>
    </row>
    <row r="450" spans="1:1" x14ac:dyDescent="0.25">
      <c r="A450" s="27"/>
    </row>
    <row r="451" spans="1:1" x14ac:dyDescent="0.25">
      <c r="A451" s="27"/>
    </row>
    <row r="452" spans="1:1" x14ac:dyDescent="0.25">
      <c r="A452" s="27"/>
    </row>
    <row r="453" spans="1:1" x14ac:dyDescent="0.25">
      <c r="A453" s="27"/>
    </row>
    <row r="454" spans="1:1" x14ac:dyDescent="0.25">
      <c r="A454" s="27"/>
    </row>
    <row r="455" spans="1:1" x14ac:dyDescent="0.25">
      <c r="A455" s="27"/>
    </row>
    <row r="456" spans="1:1" x14ac:dyDescent="0.25">
      <c r="A456" s="27"/>
    </row>
    <row r="457" spans="1:1" x14ac:dyDescent="0.25">
      <c r="A457" s="27"/>
    </row>
    <row r="458" spans="1:1" x14ac:dyDescent="0.25">
      <c r="A458" s="27"/>
    </row>
    <row r="459" spans="1:1" x14ac:dyDescent="0.25">
      <c r="A459" s="27"/>
    </row>
    <row r="460" spans="1:1" x14ac:dyDescent="0.25">
      <c r="A460" s="27"/>
    </row>
    <row r="461" spans="1:1" x14ac:dyDescent="0.25">
      <c r="A461" s="27"/>
    </row>
    <row r="462" spans="1:1" x14ac:dyDescent="0.25">
      <c r="A462" s="27"/>
    </row>
    <row r="463" spans="1:1" x14ac:dyDescent="0.25">
      <c r="A463" s="27"/>
    </row>
    <row r="464" spans="1:1" x14ac:dyDescent="0.25">
      <c r="A464" s="27"/>
    </row>
    <row r="465" spans="1:1" x14ac:dyDescent="0.25">
      <c r="A465" s="27"/>
    </row>
    <row r="466" spans="1:1" x14ac:dyDescent="0.25">
      <c r="A466" s="27"/>
    </row>
    <row r="467" spans="1:1" x14ac:dyDescent="0.25">
      <c r="A467" s="27"/>
    </row>
    <row r="468" spans="1:1" x14ac:dyDescent="0.25">
      <c r="A468" s="27"/>
    </row>
    <row r="469" spans="1:1" x14ac:dyDescent="0.25">
      <c r="A469" s="27"/>
    </row>
    <row r="470" spans="1:1" x14ac:dyDescent="0.25">
      <c r="A470" s="27"/>
    </row>
    <row r="471" spans="1:1" x14ac:dyDescent="0.25">
      <c r="A471" s="27"/>
    </row>
    <row r="472" spans="1:1" x14ac:dyDescent="0.25">
      <c r="A472" s="99" t="s">
        <v>260</v>
      </c>
    </row>
    <row r="473" spans="1:1" x14ac:dyDescent="0.25">
      <c r="A473" s="99" t="s">
        <v>261</v>
      </c>
    </row>
    <row r="474" spans="1:1" x14ac:dyDescent="0.25">
      <c r="A474" s="99" t="s">
        <v>262</v>
      </c>
    </row>
    <row r="475" spans="1:1" x14ac:dyDescent="0.25">
      <c r="A475" s="100" t="s">
        <v>263</v>
      </c>
    </row>
    <row r="476" spans="1:1" x14ac:dyDescent="0.25">
      <c r="A476" s="100" t="s">
        <v>264</v>
      </c>
    </row>
    <row r="477" spans="1:1" x14ac:dyDescent="0.25">
      <c r="A477" s="99" t="s">
        <v>265</v>
      </c>
    </row>
    <row r="478" spans="1:1" x14ac:dyDescent="0.25">
      <c r="A478" s="99" t="s">
        <v>260</v>
      </c>
    </row>
    <row r="479" spans="1:1" x14ac:dyDescent="0.25">
      <c r="A479" s="99" t="s">
        <v>261</v>
      </c>
    </row>
    <row r="480" spans="1:1" x14ac:dyDescent="0.25">
      <c r="A480" s="99" t="s">
        <v>262</v>
      </c>
    </row>
    <row r="481" spans="1:1" x14ac:dyDescent="0.25">
      <c r="A481" s="100" t="s">
        <v>266</v>
      </c>
    </row>
    <row r="482" spans="1:1" x14ac:dyDescent="0.25">
      <c r="A482" s="100" t="s">
        <v>267</v>
      </c>
    </row>
    <row r="483" spans="1:1" x14ac:dyDescent="0.25">
      <c r="A483" s="99" t="s">
        <v>268</v>
      </c>
    </row>
    <row r="484" spans="1:1" x14ac:dyDescent="0.25">
      <c r="A484" s="99" t="s">
        <v>269</v>
      </c>
    </row>
    <row r="485" spans="1:1" x14ac:dyDescent="0.25">
      <c r="A485" s="99" t="s">
        <v>270</v>
      </c>
    </row>
    <row r="486" spans="1:1" x14ac:dyDescent="0.25">
      <c r="A486" s="99" t="s">
        <v>271</v>
      </c>
    </row>
    <row r="487" spans="1:1" x14ac:dyDescent="0.25">
      <c r="A487" s="100" t="s">
        <v>272</v>
      </c>
    </row>
    <row r="488" spans="1:1" x14ac:dyDescent="0.25">
      <c r="A488" s="100" t="s">
        <v>273</v>
      </c>
    </row>
    <row r="489" spans="1:1" x14ac:dyDescent="0.25">
      <c r="A489" s="99" t="s">
        <v>274</v>
      </c>
    </row>
    <row r="490" spans="1:1" x14ac:dyDescent="0.25">
      <c r="A490" s="99" t="s">
        <v>275</v>
      </c>
    </row>
    <row r="491" spans="1:1" x14ac:dyDescent="0.25">
      <c r="A491" s="99" t="s">
        <v>276</v>
      </c>
    </row>
    <row r="492" spans="1:1" x14ac:dyDescent="0.25">
      <c r="A492" s="99" t="s">
        <v>277</v>
      </c>
    </row>
    <row r="493" spans="1:1" x14ac:dyDescent="0.25">
      <c r="A493" s="100" t="s">
        <v>278</v>
      </c>
    </row>
    <row r="494" spans="1:1" x14ac:dyDescent="0.25">
      <c r="A494" s="100" t="s">
        <v>279</v>
      </c>
    </row>
    <row r="495" spans="1:1" x14ac:dyDescent="0.25">
      <c r="A495" s="99" t="s">
        <v>280</v>
      </c>
    </row>
    <row r="496" spans="1:1" x14ac:dyDescent="0.25">
      <c r="A496" s="99" t="s">
        <v>281</v>
      </c>
    </row>
    <row r="497" spans="1:1" x14ac:dyDescent="0.25">
      <c r="A497" s="99" t="s">
        <v>282</v>
      </c>
    </row>
    <row r="498" spans="1:1" x14ac:dyDescent="0.25">
      <c r="A498" s="99" t="s">
        <v>283</v>
      </c>
    </row>
    <row r="499" spans="1:1" x14ac:dyDescent="0.25">
      <c r="A499" s="100" t="s">
        <v>284</v>
      </c>
    </row>
    <row r="500" spans="1:1" x14ac:dyDescent="0.25">
      <c r="A500" s="100" t="s">
        <v>285</v>
      </c>
    </row>
    <row r="501" spans="1:1" x14ac:dyDescent="0.25">
      <c r="A501" s="99" t="s">
        <v>286</v>
      </c>
    </row>
    <row r="502" spans="1:1" x14ac:dyDescent="0.25">
      <c r="A502" s="99" t="s">
        <v>287</v>
      </c>
    </row>
    <row r="503" spans="1:1" x14ac:dyDescent="0.25">
      <c r="A503" s="99" t="s">
        <v>288</v>
      </c>
    </row>
    <row r="504" spans="1:1" x14ac:dyDescent="0.25">
      <c r="A504" s="99" t="s">
        <v>289</v>
      </c>
    </row>
    <row r="505" spans="1:1" x14ac:dyDescent="0.25">
      <c r="A505" s="100" t="s">
        <v>290</v>
      </c>
    </row>
    <row r="506" spans="1:1" x14ac:dyDescent="0.25">
      <c r="A506" s="100" t="s">
        <v>291</v>
      </c>
    </row>
    <row r="507" spans="1:1" x14ac:dyDescent="0.25">
      <c r="A507" s="99" t="s">
        <v>292</v>
      </c>
    </row>
    <row r="508" spans="1:1" x14ac:dyDescent="0.25">
      <c r="A508" s="99" t="s">
        <v>293</v>
      </c>
    </row>
    <row r="509" spans="1:1" x14ac:dyDescent="0.25">
      <c r="A509" s="99" t="s">
        <v>294</v>
      </c>
    </row>
    <row r="510" spans="1:1" x14ac:dyDescent="0.25">
      <c r="A510" s="99" t="s">
        <v>295</v>
      </c>
    </row>
    <row r="511" spans="1:1" x14ac:dyDescent="0.25">
      <c r="A511" s="100" t="s">
        <v>296</v>
      </c>
    </row>
    <row r="512" spans="1:1" x14ac:dyDescent="0.25">
      <c r="A512" s="100" t="s">
        <v>297</v>
      </c>
    </row>
    <row r="513" spans="1:1" x14ac:dyDescent="0.25">
      <c r="A513" s="99" t="s">
        <v>298</v>
      </c>
    </row>
    <row r="514" spans="1:1" x14ac:dyDescent="0.25">
      <c r="A514" s="99" t="s">
        <v>299</v>
      </c>
    </row>
    <row r="515" spans="1:1" x14ac:dyDescent="0.25">
      <c r="A515" s="99" t="s">
        <v>300</v>
      </c>
    </row>
    <row r="516" spans="1:1" x14ac:dyDescent="0.25">
      <c r="A516" s="99" t="s">
        <v>301</v>
      </c>
    </row>
    <row r="517" spans="1:1" x14ac:dyDescent="0.25">
      <c r="A517" s="100" t="s">
        <v>302</v>
      </c>
    </row>
    <row r="518" spans="1:1" x14ac:dyDescent="0.25">
      <c r="A518" s="100" t="s">
        <v>303</v>
      </c>
    </row>
    <row r="519" spans="1:1" x14ac:dyDescent="0.25">
      <c r="A519" s="99" t="s">
        <v>304</v>
      </c>
    </row>
    <row r="520" spans="1:1" x14ac:dyDescent="0.25">
      <c r="A520" s="99" t="s">
        <v>305</v>
      </c>
    </row>
    <row r="521" spans="1:1" x14ac:dyDescent="0.25">
      <c r="A521" s="99" t="s">
        <v>306</v>
      </c>
    </row>
    <row r="522" spans="1:1" x14ac:dyDescent="0.25">
      <c r="A522" s="99" t="s">
        <v>307</v>
      </c>
    </row>
    <row r="523" spans="1:1" x14ac:dyDescent="0.25">
      <c r="A523" s="100" t="s">
        <v>308</v>
      </c>
    </row>
    <row r="524" spans="1:1" x14ac:dyDescent="0.25">
      <c r="A524" s="100" t="s">
        <v>309</v>
      </c>
    </row>
    <row r="525" spans="1:1" x14ac:dyDescent="0.25">
      <c r="A525" s="99" t="s">
        <v>310</v>
      </c>
    </row>
    <row r="526" spans="1:1" x14ac:dyDescent="0.25">
      <c r="A526" s="99" t="s">
        <v>311</v>
      </c>
    </row>
    <row r="527" spans="1:1" x14ac:dyDescent="0.25">
      <c r="A527" s="99" t="s">
        <v>312</v>
      </c>
    </row>
    <row r="528" spans="1:1" x14ac:dyDescent="0.25">
      <c r="A528" s="99" t="s">
        <v>313</v>
      </c>
    </row>
    <row r="529" spans="1:1" x14ac:dyDescent="0.25">
      <c r="A529" s="100" t="s">
        <v>314</v>
      </c>
    </row>
    <row r="530" spans="1:1" x14ac:dyDescent="0.25">
      <c r="A530" s="100" t="s">
        <v>315</v>
      </c>
    </row>
    <row r="531" spans="1:1" x14ac:dyDescent="0.25">
      <c r="A531" s="99" t="s">
        <v>316</v>
      </c>
    </row>
    <row r="532" spans="1:1" x14ac:dyDescent="0.25">
      <c r="A532" s="100" t="s">
        <v>317</v>
      </c>
    </row>
    <row r="533" spans="1:1" x14ac:dyDescent="0.25">
      <c r="A533" s="100" t="s">
        <v>319</v>
      </c>
    </row>
    <row r="534" spans="1:1" x14ac:dyDescent="0.25">
      <c r="A534" s="100" t="s">
        <v>320</v>
      </c>
    </row>
    <row r="535" spans="1:1" x14ac:dyDescent="0.25">
      <c r="A535" s="27" t="s">
        <v>321</v>
      </c>
    </row>
    <row r="536" spans="1:1" x14ac:dyDescent="0.25">
      <c r="A536" s="27" t="s">
        <v>322</v>
      </c>
    </row>
    <row r="537" spans="1:1" x14ac:dyDescent="0.25">
      <c r="A537" s="27" t="s">
        <v>323</v>
      </c>
    </row>
    <row r="538" spans="1:1" x14ac:dyDescent="0.25">
      <c r="A538" s="27" t="s">
        <v>325</v>
      </c>
    </row>
    <row r="539" spans="1:1" x14ac:dyDescent="0.25">
      <c r="A539" s="100" t="s">
        <v>326</v>
      </c>
    </row>
    <row r="540" spans="1:1" x14ac:dyDescent="0.25">
      <c r="A540" s="27" t="s">
        <v>327</v>
      </c>
    </row>
    <row r="541" spans="1:1" x14ac:dyDescent="0.25">
      <c r="A541" s="100" t="s">
        <v>328</v>
      </c>
    </row>
    <row r="542" spans="1:1" x14ac:dyDescent="0.25">
      <c r="A542" s="100" t="s">
        <v>329</v>
      </c>
    </row>
    <row r="543" spans="1:1" x14ac:dyDescent="0.25">
      <c r="A543" s="27" t="s">
        <v>330</v>
      </c>
    </row>
    <row r="544" spans="1:1" x14ac:dyDescent="0.25">
      <c r="A544" s="27" t="s">
        <v>331</v>
      </c>
    </row>
    <row r="545" spans="1:1" x14ac:dyDescent="0.25">
      <c r="A545" s="27" t="s">
        <v>332</v>
      </c>
    </row>
    <row r="546" spans="1:1" x14ac:dyDescent="0.25">
      <c r="A546" s="27" t="s">
        <v>333</v>
      </c>
    </row>
    <row r="547" spans="1:1" x14ac:dyDescent="0.25">
      <c r="A547" s="100" t="s">
        <v>334</v>
      </c>
    </row>
    <row r="548" spans="1:1" x14ac:dyDescent="0.25">
      <c r="A548" s="27" t="s">
        <v>335</v>
      </c>
    </row>
    <row r="549" spans="1:1" x14ac:dyDescent="0.25">
      <c r="A549" s="100" t="s">
        <v>336</v>
      </c>
    </row>
    <row r="550" spans="1:1" x14ac:dyDescent="0.25">
      <c r="A550" s="100" t="s">
        <v>337</v>
      </c>
    </row>
    <row r="551" spans="1:1" x14ac:dyDescent="0.25">
      <c r="A551" s="100" t="s">
        <v>338</v>
      </c>
    </row>
    <row r="552" spans="1:1" x14ac:dyDescent="0.25">
      <c r="A552" s="27" t="s">
        <v>339</v>
      </c>
    </row>
    <row r="553" spans="1:1" x14ac:dyDescent="0.25">
      <c r="A553" s="27" t="s">
        <v>340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27" t="s">
        <v>57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34" t="s">
        <v>26</v>
      </c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5"/>
      <c r="M2" s="136" t="s">
        <v>27</v>
      </c>
      <c r="N2" s="136"/>
      <c r="O2" s="136"/>
      <c r="P2" s="136"/>
      <c r="Q2" s="136"/>
      <c r="R2" s="136" t="s">
        <v>28</v>
      </c>
      <c r="S2" s="136"/>
      <c r="T2" s="136"/>
      <c r="U2" s="136"/>
      <c r="V2" s="136"/>
      <c r="W2" s="136"/>
      <c r="X2" s="136"/>
      <c r="Y2" s="109" t="s">
        <v>41</v>
      </c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37"/>
      <c r="AM2" s="137"/>
      <c r="AN2" s="137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 t="s">
        <v>15</v>
      </c>
      <c r="B4" s="2" t="s">
        <v>24</v>
      </c>
      <c r="C4" s="2">
        <v>20150316</v>
      </c>
      <c r="D4" s="15">
        <v>0</v>
      </c>
      <c r="E4" s="2"/>
      <c r="F4" s="2">
        <v>62500</v>
      </c>
      <c r="G4" s="2" t="s">
        <v>17</v>
      </c>
      <c r="H4" s="2"/>
      <c r="I4" s="2" t="s">
        <v>16</v>
      </c>
      <c r="J4" s="2" t="s">
        <v>180</v>
      </c>
      <c r="K4" s="2" t="s">
        <v>25</v>
      </c>
      <c r="L4" s="2">
        <v>132757294</v>
      </c>
      <c r="M4" s="16"/>
      <c r="N4" s="16"/>
      <c r="O4" s="16"/>
      <c r="P4" s="16"/>
      <c r="Q4" s="16"/>
      <c r="R4" s="2">
        <v>8823</v>
      </c>
      <c r="S4" s="2" t="s">
        <v>226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 t="s">
        <v>15</v>
      </c>
      <c r="B5" s="2" t="s">
        <v>24</v>
      </c>
      <c r="C5" s="2">
        <v>20150316</v>
      </c>
      <c r="D5" s="15">
        <v>0</v>
      </c>
      <c r="E5" s="2"/>
      <c r="F5" s="2">
        <v>62500</v>
      </c>
      <c r="G5" s="2" t="s">
        <v>17</v>
      </c>
      <c r="H5" s="2"/>
      <c r="I5" s="2" t="s">
        <v>16</v>
      </c>
      <c r="J5" s="2" t="s">
        <v>180</v>
      </c>
      <c r="K5" s="2" t="s">
        <v>25</v>
      </c>
      <c r="L5" s="2">
        <v>132757294</v>
      </c>
      <c r="M5" s="16"/>
      <c r="N5" s="16"/>
      <c r="O5" s="16"/>
      <c r="P5" s="21"/>
      <c r="Q5" s="16"/>
      <c r="R5" s="2">
        <v>8823</v>
      </c>
      <c r="S5" s="2" t="s">
        <v>324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16"/>
      <c r="Z5" s="20"/>
      <c r="AA5" s="16"/>
      <c r="AB5" s="2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 t="s">
        <v>15</v>
      </c>
      <c r="B6" s="2" t="s">
        <v>24</v>
      </c>
      <c r="C6" s="2">
        <v>20150316</v>
      </c>
      <c r="D6" s="15">
        <v>0</v>
      </c>
      <c r="E6" s="2"/>
      <c r="F6" s="2">
        <v>62500</v>
      </c>
      <c r="G6" s="2" t="s">
        <v>17</v>
      </c>
      <c r="H6" s="2"/>
      <c r="I6" s="2" t="s">
        <v>16</v>
      </c>
      <c r="J6" s="2" t="s">
        <v>180</v>
      </c>
      <c r="K6" s="2" t="s">
        <v>25</v>
      </c>
      <c r="L6" s="2">
        <v>132757294</v>
      </c>
      <c r="M6" s="16"/>
      <c r="N6" s="16"/>
      <c r="O6" s="16"/>
      <c r="P6" s="21"/>
      <c r="Q6" s="16"/>
      <c r="R6" s="2">
        <v>8823</v>
      </c>
      <c r="S6" s="2" t="s">
        <v>226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 t="s">
        <v>15</v>
      </c>
      <c r="B7" s="2" t="s">
        <v>24</v>
      </c>
      <c r="C7" s="2">
        <v>20150316</v>
      </c>
      <c r="D7" s="15">
        <v>0</v>
      </c>
      <c r="E7" s="2"/>
      <c r="F7" s="2">
        <v>62500</v>
      </c>
      <c r="G7" s="2" t="s">
        <v>17</v>
      </c>
      <c r="H7" s="2"/>
      <c r="I7" s="2" t="s">
        <v>16</v>
      </c>
      <c r="J7" s="2" t="s">
        <v>180</v>
      </c>
      <c r="K7" s="2" t="s">
        <v>25</v>
      </c>
      <c r="L7" s="2">
        <v>132757294</v>
      </c>
      <c r="M7" s="16"/>
      <c r="N7" s="16"/>
      <c r="O7" s="16"/>
      <c r="P7" s="21"/>
      <c r="Q7" s="16"/>
      <c r="R7" s="2">
        <v>8823</v>
      </c>
      <c r="S7" s="2" t="s">
        <v>324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 t="s">
        <v>15</v>
      </c>
      <c r="B8" s="2" t="s">
        <v>24</v>
      </c>
      <c r="C8" s="2">
        <v>20150316</v>
      </c>
      <c r="D8" s="15">
        <v>0</v>
      </c>
      <c r="E8" s="2"/>
      <c r="F8" s="2">
        <v>62500</v>
      </c>
      <c r="G8" s="2" t="s">
        <v>17</v>
      </c>
      <c r="H8" s="2"/>
      <c r="I8" s="2" t="s">
        <v>16</v>
      </c>
      <c r="J8" s="2" t="s">
        <v>180</v>
      </c>
      <c r="K8" s="2" t="s">
        <v>25</v>
      </c>
      <c r="L8" s="2">
        <v>132757294</v>
      </c>
      <c r="M8" s="16"/>
      <c r="N8" s="16"/>
      <c r="O8" s="16"/>
      <c r="P8" s="21"/>
      <c r="Q8" s="16"/>
      <c r="R8" s="2">
        <v>8823</v>
      </c>
      <c r="S8" s="2" t="s">
        <v>226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/>
      <c r="B9" s="2"/>
      <c r="C9" s="2"/>
      <c r="D9" s="15"/>
      <c r="E9" s="2"/>
      <c r="F9" s="2"/>
      <c r="G9" s="2"/>
      <c r="H9" s="2"/>
      <c r="I9" s="2"/>
      <c r="J9" s="2"/>
      <c r="K9" s="2"/>
      <c r="L9" s="2"/>
      <c r="M9" s="16"/>
      <c r="N9" s="16"/>
      <c r="O9" s="16"/>
      <c r="P9" s="21"/>
      <c r="Q9" s="16"/>
      <c r="R9" s="2"/>
      <c r="S9" s="2"/>
      <c r="T9" s="2"/>
      <c r="U9" s="2"/>
      <c r="V9" s="2"/>
      <c r="W9" s="2"/>
      <c r="X9" s="2"/>
      <c r="Y9" s="16"/>
      <c r="Z9" s="20"/>
      <c r="AA9" s="16"/>
      <c r="AB9" s="21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/>
      <c r="B10" s="2"/>
      <c r="C10" s="2"/>
      <c r="D10" s="15"/>
      <c r="E10" s="2"/>
      <c r="F10" s="2"/>
      <c r="G10" s="2"/>
      <c r="H10" s="2"/>
      <c r="I10" s="2"/>
      <c r="J10" s="2"/>
      <c r="K10" s="2"/>
      <c r="L10" s="2"/>
      <c r="M10" s="16"/>
      <c r="N10" s="16"/>
      <c r="O10" s="16"/>
      <c r="P10" s="21"/>
      <c r="Q10" s="16"/>
      <c r="R10" s="2"/>
      <c r="S10" s="2"/>
      <c r="T10" s="2"/>
      <c r="U10" s="2"/>
      <c r="V10" s="2"/>
      <c r="W10" s="2"/>
      <c r="X10" s="2"/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/>
      <c r="B11" s="2"/>
      <c r="C11" s="2"/>
      <c r="D11" s="15"/>
      <c r="E11" s="2"/>
      <c r="F11" s="2"/>
      <c r="G11" s="2"/>
      <c r="H11" s="2"/>
      <c r="I11" s="2"/>
      <c r="J11" s="2"/>
      <c r="K11" s="2"/>
      <c r="L11" s="2"/>
      <c r="M11" s="16"/>
      <c r="N11" s="16"/>
      <c r="O11" s="16"/>
      <c r="P11" s="21"/>
      <c r="Q11" s="16"/>
      <c r="R11" s="2"/>
      <c r="S11" s="2"/>
      <c r="T11" s="2"/>
      <c r="U11" s="2"/>
      <c r="V11" s="2"/>
      <c r="W11" s="2"/>
      <c r="X11" s="2"/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/>
      <c r="B12" s="2"/>
      <c r="C12" s="2"/>
      <c r="D12" s="15"/>
      <c r="E12" s="2"/>
      <c r="F12" s="2"/>
      <c r="G12" s="2"/>
      <c r="H12" s="2"/>
      <c r="I12" s="2"/>
      <c r="J12" s="2"/>
      <c r="K12" s="2"/>
      <c r="L12" s="2"/>
      <c r="M12" s="16"/>
      <c r="N12" s="16"/>
      <c r="O12" s="16"/>
      <c r="P12" s="21"/>
      <c r="Q12" s="16"/>
      <c r="R12" s="2"/>
      <c r="S12" s="2"/>
      <c r="T12" s="2"/>
      <c r="U12" s="2"/>
      <c r="V12" s="2"/>
      <c r="W12" s="2"/>
      <c r="X12" s="2"/>
      <c r="Y12" s="16"/>
      <c r="Z12" s="20"/>
      <c r="AA12" s="16"/>
      <c r="AB12" s="21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/>
      <c r="B13" s="2"/>
      <c r="C13" s="2"/>
      <c r="D13" s="15"/>
      <c r="E13" s="2"/>
      <c r="F13" s="2"/>
      <c r="G13" s="2"/>
      <c r="H13" s="2"/>
      <c r="I13" s="2"/>
      <c r="J13" s="2"/>
      <c r="K13" s="2"/>
      <c r="L13" s="2"/>
      <c r="M13" s="16"/>
      <c r="N13" s="16"/>
      <c r="O13" s="16"/>
      <c r="P13" s="21"/>
      <c r="Q13" s="16"/>
      <c r="R13" s="2"/>
      <c r="S13" s="2"/>
      <c r="T13" s="2"/>
      <c r="U13" s="2"/>
      <c r="V13" s="2"/>
      <c r="W13" s="2"/>
      <c r="X13" s="2"/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/>
      <c r="B14" s="2"/>
      <c r="C14" s="2"/>
      <c r="D14" s="15"/>
      <c r="E14" s="2"/>
      <c r="F14" s="2"/>
      <c r="G14" s="2"/>
      <c r="H14" s="2"/>
      <c r="I14" s="2"/>
      <c r="J14" s="2"/>
      <c r="K14" s="2"/>
      <c r="L14" s="2"/>
      <c r="M14" s="16"/>
      <c r="N14" s="16"/>
      <c r="O14" s="16"/>
      <c r="P14" s="21"/>
      <c r="Q14" s="16"/>
      <c r="R14" s="2"/>
      <c r="S14" s="2"/>
      <c r="T14" s="2"/>
      <c r="U14" s="2"/>
      <c r="V14" s="2"/>
      <c r="W14" s="2"/>
      <c r="X14" s="2"/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/>
      <c r="B15" s="2"/>
      <c r="C15" s="2"/>
      <c r="D15" s="15"/>
      <c r="E15" s="2"/>
      <c r="F15" s="2"/>
      <c r="G15" s="2"/>
      <c r="H15" s="2"/>
      <c r="I15" s="2"/>
      <c r="J15" s="2"/>
      <c r="K15" s="2"/>
      <c r="L15" s="2"/>
      <c r="M15" s="16"/>
      <c r="N15" s="16"/>
      <c r="O15" s="16"/>
      <c r="P15" s="21"/>
      <c r="Q15" s="16"/>
      <c r="R15" s="2"/>
      <c r="S15" s="2"/>
      <c r="T15" s="2"/>
      <c r="U15" s="2"/>
      <c r="V15" s="2"/>
      <c r="W15" s="2"/>
      <c r="X15" s="2"/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/>
      <c r="B16" s="2"/>
      <c r="C16" s="2"/>
      <c r="D16" s="15"/>
      <c r="E16" s="2"/>
      <c r="F16" s="2"/>
      <c r="G16" s="2"/>
      <c r="H16" s="2"/>
      <c r="I16" s="2"/>
      <c r="J16" s="2"/>
      <c r="K16" s="2"/>
      <c r="L16" s="2"/>
      <c r="M16" s="16"/>
      <c r="N16" s="16"/>
      <c r="O16" s="16"/>
      <c r="P16" s="21"/>
      <c r="Q16" s="16"/>
      <c r="R16" s="2"/>
      <c r="S16" s="2"/>
      <c r="T16" s="2"/>
      <c r="U16" s="2"/>
      <c r="V16" s="2"/>
      <c r="W16" s="2"/>
      <c r="X16" s="2"/>
      <c r="Y16" s="16"/>
      <c r="Z16" s="20"/>
      <c r="AA16" s="16"/>
      <c r="AB16" s="21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/>
      <c r="B17" s="2"/>
      <c r="C17" s="2"/>
      <c r="D17" s="15"/>
      <c r="E17" s="2"/>
      <c r="F17" s="2"/>
      <c r="G17" s="2"/>
      <c r="H17" s="2"/>
      <c r="I17" s="2"/>
      <c r="J17" s="2"/>
      <c r="K17" s="2"/>
      <c r="L17" s="2"/>
      <c r="M17" s="16"/>
      <c r="N17" s="16"/>
      <c r="O17" s="16"/>
      <c r="P17" s="21"/>
      <c r="Q17" s="16"/>
      <c r="R17" s="2"/>
      <c r="S17" s="2"/>
      <c r="T17" s="2"/>
      <c r="U17" s="2"/>
      <c r="V17" s="2"/>
      <c r="W17" s="2"/>
      <c r="X17" s="2"/>
      <c r="Y17" s="16"/>
      <c r="Z17" s="20"/>
      <c r="AA17" s="16"/>
      <c r="AB17" s="21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/>
      <c r="B18" s="2"/>
      <c r="C18" s="2"/>
      <c r="D18" s="15"/>
      <c r="E18" s="2"/>
      <c r="F18" s="2"/>
      <c r="G18" s="2"/>
      <c r="H18" s="2"/>
      <c r="I18" s="2"/>
      <c r="J18" s="2"/>
      <c r="K18" s="2"/>
      <c r="L18" s="2"/>
      <c r="M18" s="16"/>
      <c r="N18" s="16"/>
      <c r="O18" s="16"/>
      <c r="P18" s="21"/>
      <c r="Q18" s="16"/>
      <c r="R18" s="2"/>
      <c r="S18" s="2"/>
      <c r="T18" s="2"/>
      <c r="U18" s="2"/>
      <c r="V18" s="2"/>
      <c r="W18" s="2"/>
      <c r="X18" s="2"/>
      <c r="Y18" s="16"/>
      <c r="Z18" s="20"/>
      <c r="AA18" s="16"/>
      <c r="AB18" s="21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/>
      <c r="B19" s="2"/>
      <c r="C19" s="2"/>
      <c r="D19" s="15"/>
      <c r="E19" s="2"/>
      <c r="F19" s="2"/>
      <c r="G19" s="2"/>
      <c r="H19" s="2"/>
      <c r="I19" s="2"/>
      <c r="J19" s="2"/>
      <c r="K19" s="2"/>
      <c r="L19" s="2"/>
      <c r="M19" s="16"/>
      <c r="N19" s="16"/>
      <c r="O19" s="16"/>
      <c r="P19" s="21"/>
      <c r="Q19" s="16"/>
      <c r="R19" s="2"/>
      <c r="S19" s="2"/>
      <c r="T19" s="2"/>
      <c r="U19" s="2"/>
      <c r="V19" s="2"/>
      <c r="W19" s="2"/>
      <c r="X19" s="2"/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/>
      <c r="B20" s="2"/>
      <c r="C20" s="2"/>
      <c r="D20" s="15"/>
      <c r="E20" s="2"/>
      <c r="F20" s="2"/>
      <c r="G20" s="2"/>
      <c r="H20" s="2"/>
      <c r="I20" s="2"/>
      <c r="J20" s="2"/>
      <c r="K20" s="2"/>
      <c r="L20" s="2"/>
      <c r="M20" s="16"/>
      <c r="N20" s="16"/>
      <c r="O20" s="16"/>
      <c r="P20" s="21"/>
      <c r="Q20" s="16"/>
      <c r="R20" s="2"/>
      <c r="S20" s="2"/>
      <c r="T20" s="2"/>
      <c r="U20" s="2"/>
      <c r="V20" s="2"/>
      <c r="W20" s="2"/>
      <c r="X20" s="2"/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/>
      <c r="B21" s="2"/>
      <c r="C21" s="2"/>
      <c r="D21" s="15"/>
      <c r="E21" s="2"/>
      <c r="F21" s="2"/>
      <c r="G21" s="2"/>
      <c r="H21" s="2"/>
      <c r="I21" s="2"/>
      <c r="J21" s="2"/>
      <c r="K21" s="2"/>
      <c r="L21" s="2"/>
      <c r="M21" s="16"/>
      <c r="N21" s="16"/>
      <c r="O21" s="16"/>
      <c r="P21" s="21"/>
      <c r="Q21" s="16"/>
      <c r="R21" s="2"/>
      <c r="S21" s="2"/>
      <c r="T21" s="2"/>
      <c r="U21" s="2"/>
      <c r="V21" s="2"/>
      <c r="W21" s="2"/>
      <c r="X21" s="2"/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/>
      <c r="B22" s="2"/>
      <c r="C22" s="2"/>
      <c r="D22" s="15"/>
      <c r="E22" s="2"/>
      <c r="F22" s="2"/>
      <c r="G22" s="2"/>
      <c r="H22" s="2"/>
      <c r="I22" s="2"/>
      <c r="J22" s="2"/>
      <c r="K22" s="2"/>
      <c r="L22" s="2"/>
      <c r="M22" s="16"/>
      <c r="N22" s="16"/>
      <c r="O22" s="16"/>
      <c r="P22" s="21"/>
      <c r="Q22" s="16"/>
      <c r="R22" s="2"/>
      <c r="S22" s="2"/>
      <c r="T22" s="2"/>
      <c r="U22" s="2"/>
      <c r="V22" s="2"/>
      <c r="W22" s="2"/>
      <c r="X22" s="2"/>
      <c r="Y22" s="16"/>
      <c r="Z22" s="20"/>
      <c r="AA22" s="16"/>
      <c r="AB22" s="21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/>
      <c r="B23" s="2"/>
      <c r="C23" s="2"/>
      <c r="D23" s="15"/>
      <c r="E23" s="2"/>
      <c r="F23" s="2"/>
      <c r="G23" s="2"/>
      <c r="H23" s="2"/>
      <c r="I23" s="2"/>
      <c r="J23" s="2"/>
      <c r="K23" s="2"/>
      <c r="L23" s="2"/>
      <c r="M23" s="16"/>
      <c r="N23" s="16"/>
      <c r="O23" s="16"/>
      <c r="P23" s="21"/>
      <c r="Q23" s="16"/>
      <c r="R23" s="2"/>
      <c r="S23" s="2"/>
      <c r="T23" s="2"/>
      <c r="U23" s="2"/>
      <c r="V23" s="2"/>
      <c r="W23" s="2"/>
      <c r="X23" s="2"/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/>
      <c r="B24" s="2"/>
      <c r="C24" s="2"/>
      <c r="D24" s="15"/>
      <c r="E24" s="2"/>
      <c r="F24" s="2"/>
      <c r="G24" s="2"/>
      <c r="H24" s="2"/>
      <c r="I24" s="2"/>
      <c r="J24" s="2"/>
      <c r="K24" s="2"/>
      <c r="L24" s="2"/>
      <c r="M24" s="16"/>
      <c r="N24" s="16"/>
      <c r="O24" s="16"/>
      <c r="P24" s="21"/>
      <c r="Q24" s="16"/>
      <c r="R24" s="2"/>
      <c r="S24" s="2"/>
      <c r="T24" s="2"/>
      <c r="U24" s="2"/>
      <c r="V24" s="2"/>
      <c r="W24" s="2"/>
      <c r="X24" s="2"/>
      <c r="Y24" s="16"/>
      <c r="Z24" s="20"/>
      <c r="AA24" s="16"/>
      <c r="AB24" s="21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/>
      <c r="B25" s="2"/>
      <c r="C25" s="2"/>
      <c r="D25" s="15"/>
      <c r="E25" s="2"/>
      <c r="F25" s="2"/>
      <c r="G25" s="2"/>
      <c r="H25" s="2"/>
      <c r="I25" s="2"/>
      <c r="J25" s="2"/>
      <c r="K25" s="2"/>
      <c r="L25" s="2"/>
      <c r="M25" s="16"/>
      <c r="N25" s="16"/>
      <c r="O25" s="16"/>
      <c r="P25" s="21"/>
      <c r="Q25" s="16"/>
      <c r="R25" s="2"/>
      <c r="S25" s="2"/>
      <c r="T25" s="2"/>
      <c r="U25" s="2"/>
      <c r="V25" s="2"/>
      <c r="W25" s="2"/>
      <c r="X25" s="2"/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/>
      <c r="B26" s="2"/>
      <c r="C26" s="2"/>
      <c r="D26" s="15"/>
      <c r="E26" s="2"/>
      <c r="F26" s="2"/>
      <c r="G26" s="2"/>
      <c r="H26" s="2"/>
      <c r="I26" s="2"/>
      <c r="J26" s="2"/>
      <c r="K26" s="2"/>
      <c r="L26" s="2"/>
      <c r="M26" s="16"/>
      <c r="N26" s="16"/>
      <c r="O26" s="16"/>
      <c r="P26" s="21"/>
      <c r="Q26" s="16"/>
      <c r="R26" s="2"/>
      <c r="S26" s="2"/>
      <c r="T26" s="2"/>
      <c r="U26" s="2"/>
      <c r="V26" s="2"/>
      <c r="W26" s="2"/>
      <c r="X26" s="2"/>
      <c r="Y26" s="16"/>
      <c r="Z26" s="20"/>
      <c r="AA26" s="16"/>
      <c r="AB26" s="21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/>
      <c r="B27" s="2"/>
      <c r="C27" s="2"/>
      <c r="D27" s="15"/>
      <c r="E27" s="2"/>
      <c r="F27" s="2"/>
      <c r="G27" s="2"/>
      <c r="H27" s="2"/>
      <c r="I27" s="2"/>
      <c r="J27" s="2"/>
      <c r="K27" s="2"/>
      <c r="L27" s="2"/>
      <c r="M27" s="16"/>
      <c r="N27" s="16"/>
      <c r="O27" s="16"/>
      <c r="P27" s="21"/>
      <c r="Q27" s="16"/>
      <c r="R27" s="2"/>
      <c r="S27" s="2"/>
      <c r="T27" s="2"/>
      <c r="U27" s="2"/>
      <c r="V27" s="2"/>
      <c r="W27" s="2"/>
      <c r="X27" s="2"/>
      <c r="Y27" s="16"/>
      <c r="Z27" s="20"/>
      <c r="AA27" s="16"/>
      <c r="AB27" s="21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/>
      <c r="B28" s="2"/>
      <c r="C28" s="2"/>
      <c r="D28" s="15"/>
      <c r="E28" s="2"/>
      <c r="F28" s="2"/>
      <c r="G28" s="2"/>
      <c r="H28" s="2"/>
      <c r="I28" s="2"/>
      <c r="J28" s="2"/>
      <c r="K28" s="2"/>
      <c r="L28" s="2"/>
      <c r="M28" s="16"/>
      <c r="N28" s="16"/>
      <c r="O28" s="16"/>
      <c r="P28" s="21"/>
      <c r="Q28" s="16"/>
      <c r="R28" s="2"/>
      <c r="S28" s="2"/>
      <c r="T28" s="2"/>
      <c r="U28" s="2"/>
      <c r="V28" s="2"/>
      <c r="W28" s="2"/>
      <c r="X28" s="2"/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/>
      <c r="B29" s="2"/>
      <c r="C29" s="2"/>
      <c r="D29" s="15"/>
      <c r="E29" s="2"/>
      <c r="F29" s="2"/>
      <c r="G29" s="2"/>
      <c r="H29" s="2"/>
      <c r="I29" s="2"/>
      <c r="J29" s="2"/>
      <c r="K29" s="2"/>
      <c r="L29" s="2"/>
      <c r="M29" s="16"/>
      <c r="N29" s="16"/>
      <c r="O29" s="16"/>
      <c r="P29" s="21"/>
      <c r="Q29" s="16"/>
      <c r="R29" s="2"/>
      <c r="S29" s="2"/>
      <c r="T29" s="2"/>
      <c r="U29" s="2"/>
      <c r="V29" s="2"/>
      <c r="W29" s="2"/>
      <c r="X29" s="2"/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/>
      <c r="B30" s="2"/>
      <c r="C30" s="2"/>
      <c r="D30" s="15"/>
      <c r="E30" s="2"/>
      <c r="F30" s="2"/>
      <c r="G30" s="2"/>
      <c r="H30" s="2"/>
      <c r="I30" s="2"/>
      <c r="J30" s="2"/>
      <c r="K30" s="2"/>
      <c r="L30" s="2"/>
      <c r="M30" s="16"/>
      <c r="N30" s="16"/>
      <c r="O30" s="16"/>
      <c r="P30" s="21"/>
      <c r="Q30" s="16"/>
      <c r="R30" s="2"/>
      <c r="S30" s="2"/>
      <c r="T30" s="2"/>
      <c r="U30" s="2"/>
      <c r="V30" s="2"/>
      <c r="W30" s="2"/>
      <c r="X30" s="2"/>
      <c r="Y30" s="16"/>
      <c r="Z30" s="20"/>
      <c r="AA30" s="16"/>
      <c r="AB30" s="21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/>
      <c r="B31" s="2"/>
      <c r="C31" s="2"/>
      <c r="D31" s="15"/>
      <c r="E31" s="2"/>
      <c r="F31" s="2"/>
      <c r="G31" s="2"/>
      <c r="H31" s="2"/>
      <c r="I31" s="2"/>
      <c r="J31" s="2"/>
      <c r="K31" s="2"/>
      <c r="L31" s="2"/>
      <c r="M31" s="16"/>
      <c r="N31" s="16"/>
      <c r="O31" s="16"/>
      <c r="P31" s="21"/>
      <c r="Q31" s="16"/>
      <c r="R31" s="2"/>
      <c r="S31" s="2"/>
      <c r="T31" s="2"/>
      <c r="U31" s="2"/>
      <c r="V31" s="2"/>
      <c r="W31" s="2"/>
      <c r="X31" s="2"/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/>
      <c r="B32" s="2"/>
      <c r="C32" s="2"/>
      <c r="D32" s="15"/>
      <c r="E32" s="2"/>
      <c r="F32" s="2"/>
      <c r="G32" s="2"/>
      <c r="H32" s="2"/>
      <c r="I32" s="2"/>
      <c r="J32" s="2"/>
      <c r="K32" s="2"/>
      <c r="L32" s="2"/>
      <c r="M32" s="16"/>
      <c r="N32" s="16"/>
      <c r="O32" s="16"/>
      <c r="P32" s="21"/>
      <c r="Q32" s="16"/>
      <c r="R32" s="2"/>
      <c r="S32" s="2"/>
      <c r="T32" s="2"/>
      <c r="U32" s="2"/>
      <c r="V32" s="2"/>
      <c r="W32" s="2"/>
      <c r="X32" s="2"/>
      <c r="Y32" s="16"/>
      <c r="Z32" s="20"/>
      <c r="AA32" s="16"/>
      <c r="AB32" s="21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/>
      <c r="B33" s="2"/>
      <c r="C33" s="2"/>
      <c r="D33" s="15"/>
      <c r="E33" s="2"/>
      <c r="F33" s="2"/>
      <c r="G33" s="2"/>
      <c r="H33" s="2"/>
      <c r="I33" s="2"/>
      <c r="J33" s="2"/>
      <c r="K33" s="2"/>
      <c r="L33" s="2"/>
      <c r="M33" s="16"/>
      <c r="N33" s="16"/>
      <c r="O33" s="16"/>
      <c r="P33" s="21"/>
      <c r="Q33" s="16"/>
      <c r="R33" s="2"/>
      <c r="S33" s="2"/>
      <c r="T33" s="2"/>
      <c r="U33" s="2"/>
      <c r="V33" s="2"/>
      <c r="W33" s="2"/>
      <c r="X33" s="2"/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/>
      <c r="B34" s="2"/>
      <c r="C34" s="2"/>
      <c r="D34" s="15"/>
      <c r="E34" s="2"/>
      <c r="F34" s="2"/>
      <c r="G34" s="2"/>
      <c r="H34" s="2"/>
      <c r="I34" s="2"/>
      <c r="J34" s="2"/>
      <c r="K34" s="2"/>
      <c r="L34" s="2"/>
      <c r="M34" s="16"/>
      <c r="N34" s="16"/>
      <c r="O34" s="16"/>
      <c r="P34" s="21"/>
      <c r="Q34" s="16"/>
      <c r="R34" s="2"/>
      <c r="S34" s="2"/>
      <c r="T34" s="2"/>
      <c r="U34" s="2"/>
      <c r="V34" s="2"/>
      <c r="W34" s="2"/>
      <c r="X34" s="2"/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/>
      <c r="B35" s="2"/>
      <c r="C35" s="2"/>
      <c r="D35" s="15"/>
      <c r="E35" s="2"/>
      <c r="F35" s="2"/>
      <c r="G35" s="2"/>
      <c r="H35" s="2"/>
      <c r="I35" s="2"/>
      <c r="J35" s="2"/>
      <c r="K35" s="2"/>
      <c r="L35" s="2"/>
      <c r="M35" s="16"/>
      <c r="N35" s="16"/>
      <c r="O35" s="16"/>
      <c r="P35" s="21"/>
      <c r="Q35" s="16"/>
      <c r="R35" s="2"/>
      <c r="S35" s="2"/>
      <c r="T35" s="2"/>
      <c r="U35" s="2"/>
      <c r="V35" s="2"/>
      <c r="W35" s="2"/>
      <c r="X35" s="2"/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/>
      <c r="B36" s="2"/>
      <c r="C36" s="2"/>
      <c r="D36" s="15"/>
      <c r="E36" s="2"/>
      <c r="F36" s="2"/>
      <c r="G36" s="2"/>
      <c r="H36" s="2"/>
      <c r="I36" s="2"/>
      <c r="J36" s="2"/>
      <c r="K36" s="2"/>
      <c r="L36" s="2"/>
      <c r="M36" s="16"/>
      <c r="N36" s="16"/>
      <c r="O36" s="16"/>
      <c r="P36" s="21"/>
      <c r="Q36" s="16"/>
      <c r="R36" s="2"/>
      <c r="S36" s="2"/>
      <c r="T36" s="2"/>
      <c r="U36" s="2"/>
      <c r="V36" s="2"/>
      <c r="W36" s="2"/>
      <c r="X36" s="2"/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/>
      <c r="B37" s="2"/>
      <c r="C37" s="2"/>
      <c r="D37" s="15"/>
      <c r="E37" s="2"/>
      <c r="F37" s="2"/>
      <c r="G37" s="2"/>
      <c r="H37" s="2"/>
      <c r="I37" s="2"/>
      <c r="J37" s="2"/>
      <c r="K37" s="2"/>
      <c r="L37" s="2"/>
      <c r="M37" s="16"/>
      <c r="N37" s="16"/>
      <c r="O37" s="16"/>
      <c r="P37" s="21"/>
      <c r="Q37" s="16"/>
      <c r="R37" s="2"/>
      <c r="S37" s="2"/>
      <c r="T37" s="2"/>
      <c r="U37" s="2"/>
      <c r="V37" s="2"/>
      <c r="W37" s="2"/>
      <c r="X37" s="2"/>
      <c r="Y37" s="16"/>
      <c r="Z37" s="20"/>
      <c r="AA37" s="16"/>
      <c r="AB37" s="21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/>
      <c r="B38" s="2"/>
      <c r="C38" s="2"/>
      <c r="D38" s="15"/>
      <c r="E38" s="2"/>
      <c r="F38" s="2"/>
      <c r="G38" s="2"/>
      <c r="H38" s="2"/>
      <c r="I38" s="2"/>
      <c r="J38" s="2"/>
      <c r="K38" s="2"/>
      <c r="L38" s="2"/>
      <c r="M38" s="16"/>
      <c r="N38" s="16"/>
      <c r="O38" s="16"/>
      <c r="P38" s="21"/>
      <c r="Q38" s="16"/>
      <c r="R38" s="2"/>
      <c r="S38" s="2"/>
      <c r="T38" s="2"/>
      <c r="U38" s="2"/>
      <c r="V38" s="2"/>
      <c r="W38" s="2"/>
      <c r="X38" s="2"/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/>
      <c r="B39" s="2"/>
      <c r="C39" s="2"/>
      <c r="D39" s="15"/>
      <c r="E39" s="2"/>
      <c r="F39" s="2"/>
      <c r="G39" s="2"/>
      <c r="H39" s="2"/>
      <c r="I39" s="2"/>
      <c r="J39" s="2"/>
      <c r="K39" s="2"/>
      <c r="L39" s="2"/>
      <c r="M39" s="16"/>
      <c r="N39" s="16"/>
      <c r="O39" s="16"/>
      <c r="P39" s="21"/>
      <c r="Q39" s="16"/>
      <c r="R39" s="2"/>
      <c r="S39" s="2"/>
      <c r="T39" s="2"/>
      <c r="U39" s="2"/>
      <c r="V39" s="2"/>
      <c r="W39" s="2"/>
      <c r="X39" s="2"/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/>
      <c r="B40" s="2"/>
      <c r="C40" s="2"/>
      <c r="D40" s="15"/>
      <c r="E40" s="2"/>
      <c r="F40" s="2"/>
      <c r="G40" s="2"/>
      <c r="H40" s="2"/>
      <c r="I40" s="2"/>
      <c r="J40" s="2"/>
      <c r="K40" s="2"/>
      <c r="L40" s="2"/>
      <c r="M40" s="16"/>
      <c r="N40" s="16"/>
      <c r="O40" s="16"/>
      <c r="P40" s="21"/>
      <c r="Q40" s="16"/>
      <c r="R40" s="2"/>
      <c r="S40" s="2"/>
      <c r="T40" s="2"/>
      <c r="U40" s="2"/>
      <c r="V40" s="2"/>
      <c r="W40" s="2"/>
      <c r="X40" s="2"/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/>
      <c r="B41" s="2"/>
      <c r="C41" s="2"/>
      <c r="D41" s="15"/>
      <c r="E41" s="2"/>
      <c r="F41" s="2"/>
      <c r="G41" s="2"/>
      <c r="H41" s="2"/>
      <c r="I41" s="2"/>
      <c r="J41" s="2"/>
      <c r="K41" s="2"/>
      <c r="L41" s="2"/>
      <c r="M41" s="16"/>
      <c r="N41" s="16"/>
      <c r="O41" s="16"/>
      <c r="P41" s="21"/>
      <c r="Q41" s="16"/>
      <c r="R41" s="2"/>
      <c r="S41" s="2"/>
      <c r="T41" s="2"/>
      <c r="U41" s="2"/>
      <c r="V41" s="2"/>
      <c r="W41" s="2"/>
      <c r="X41" s="2"/>
      <c r="Y41" s="16"/>
      <c r="Z41" s="20"/>
      <c r="AA41" s="16"/>
      <c r="AB41" s="21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/>
      <c r="B42" s="2"/>
      <c r="C42" s="2"/>
      <c r="D42" s="15"/>
      <c r="E42" s="2"/>
      <c r="F42" s="2"/>
      <c r="G42" s="2"/>
      <c r="H42" s="2"/>
      <c r="I42" s="2"/>
      <c r="J42" s="2"/>
      <c r="K42" s="2"/>
      <c r="L42" s="2"/>
      <c r="M42" s="16"/>
      <c r="N42" s="16"/>
      <c r="O42" s="16"/>
      <c r="P42" s="21"/>
      <c r="Q42" s="16"/>
      <c r="R42" s="2"/>
      <c r="S42" s="2"/>
      <c r="T42" s="2"/>
      <c r="U42" s="2"/>
      <c r="V42" s="2"/>
      <c r="W42" s="2"/>
      <c r="X42" s="2"/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/>
      <c r="B43" s="2"/>
      <c r="C43" s="2"/>
      <c r="D43" s="15"/>
      <c r="E43" s="2"/>
      <c r="F43" s="2"/>
      <c r="G43" s="2"/>
      <c r="H43" s="2"/>
      <c r="I43" s="2"/>
      <c r="J43" s="2"/>
      <c r="K43" s="2"/>
      <c r="L43" s="2"/>
      <c r="M43" s="16"/>
      <c r="N43" s="16"/>
      <c r="O43" s="16"/>
      <c r="P43" s="21"/>
      <c r="Q43" s="16"/>
      <c r="R43" s="2"/>
      <c r="S43" s="2"/>
      <c r="T43" s="2"/>
      <c r="U43" s="2"/>
      <c r="V43" s="2"/>
      <c r="W43" s="2"/>
      <c r="X43" s="2"/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/>
      <c r="B44" s="2"/>
      <c r="C44" s="2"/>
      <c r="D44" s="15"/>
      <c r="E44" s="2"/>
      <c r="F44" s="2"/>
      <c r="G44" s="2"/>
      <c r="H44" s="2"/>
      <c r="I44" s="2"/>
      <c r="J44" s="2"/>
      <c r="K44" s="2"/>
      <c r="L44" s="2"/>
      <c r="M44" s="16"/>
      <c r="N44" s="16"/>
      <c r="O44" s="16"/>
      <c r="P44" s="21"/>
      <c r="Q44" s="16"/>
      <c r="R44" s="2"/>
      <c r="S44" s="2"/>
      <c r="T44" s="2"/>
      <c r="U44" s="2"/>
      <c r="V44" s="2"/>
      <c r="W44" s="2"/>
      <c r="X44" s="2"/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/>
      <c r="B45" s="2"/>
      <c r="C45" s="2"/>
      <c r="D45" s="15"/>
      <c r="E45" s="2"/>
      <c r="F45" s="2"/>
      <c r="G45" s="2"/>
      <c r="H45" s="2"/>
      <c r="I45" s="2"/>
      <c r="J45" s="2"/>
      <c r="K45" s="2"/>
      <c r="L45" s="2"/>
      <c r="M45" s="16"/>
      <c r="N45" s="16"/>
      <c r="O45" s="16"/>
      <c r="P45" s="21"/>
      <c r="Q45" s="16"/>
      <c r="R45" s="2"/>
      <c r="S45" s="2"/>
      <c r="T45" s="2"/>
      <c r="U45" s="2"/>
      <c r="V45" s="2"/>
      <c r="W45" s="2"/>
      <c r="X45" s="2"/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1"/>
      <c r="Q46" s="16"/>
      <c r="R46" s="2"/>
      <c r="S46" s="2"/>
      <c r="T46" s="2"/>
      <c r="U46" s="2"/>
      <c r="V46" s="2"/>
      <c r="W46" s="2"/>
      <c r="X46" s="2"/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1"/>
      <c r="Q47" s="16"/>
      <c r="R47" s="2"/>
      <c r="S47" s="2"/>
      <c r="T47" s="2"/>
      <c r="U47" s="2"/>
      <c r="V47" s="2"/>
      <c r="W47" s="2"/>
      <c r="X47" s="2"/>
      <c r="Y47" s="16"/>
      <c r="Z47" s="20"/>
      <c r="AA47" s="16"/>
      <c r="AB47" s="21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1"/>
      <c r="Q48" s="16"/>
      <c r="R48" s="2"/>
      <c r="S48" s="2"/>
      <c r="T48" s="2"/>
      <c r="U48" s="2"/>
      <c r="V48" s="2"/>
      <c r="W48" s="2"/>
      <c r="X48" s="2"/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1"/>
      <c r="Q49" s="16"/>
      <c r="R49" s="2"/>
      <c r="S49" s="2"/>
      <c r="T49" s="2"/>
      <c r="U49" s="2"/>
      <c r="V49" s="2"/>
      <c r="W49" s="2"/>
      <c r="X49" s="2"/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1"/>
      <c r="Q50" s="16"/>
      <c r="R50" s="2"/>
      <c r="S50" s="2"/>
      <c r="T50" s="2"/>
      <c r="U50" s="2"/>
      <c r="V50" s="2"/>
      <c r="W50" s="2"/>
      <c r="X50" s="2"/>
      <c r="Y50" s="16"/>
      <c r="Z50" s="20"/>
      <c r="AA50" s="16"/>
      <c r="AB50" s="21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1"/>
      <c r="Q51" s="16"/>
      <c r="R51" s="2"/>
      <c r="S51" s="2"/>
      <c r="T51" s="2"/>
      <c r="U51" s="2"/>
      <c r="V51" s="2"/>
      <c r="W51" s="2"/>
      <c r="X51" s="2"/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1"/>
      <c r="Q52" s="16"/>
      <c r="R52" s="2"/>
      <c r="S52" s="2"/>
      <c r="T52" s="2"/>
      <c r="U52" s="2"/>
      <c r="V52" s="2"/>
      <c r="W52" s="2"/>
      <c r="X52" s="2"/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1"/>
      <c r="Q53" s="16"/>
      <c r="R53" s="2"/>
      <c r="S53" s="2"/>
      <c r="T53" s="2"/>
      <c r="U53" s="2"/>
      <c r="V53" s="2"/>
      <c r="W53" s="2"/>
      <c r="X53" s="2"/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1"/>
      <c r="Q54" s="16"/>
      <c r="R54" s="2"/>
      <c r="S54" s="2"/>
      <c r="T54" s="2"/>
      <c r="U54" s="2"/>
      <c r="V54" s="2"/>
      <c r="W54" s="2"/>
      <c r="X54" s="2"/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1"/>
      <c r="Q55" s="16"/>
      <c r="R55" s="2"/>
      <c r="S55" s="2"/>
      <c r="T55" s="2"/>
      <c r="U55" s="2"/>
      <c r="V55" s="2"/>
      <c r="W55" s="2"/>
      <c r="X55" s="2"/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1"/>
      <c r="Q56" s="16"/>
      <c r="R56" s="2"/>
      <c r="S56" s="2"/>
      <c r="T56" s="2"/>
      <c r="U56" s="2"/>
      <c r="V56" s="2"/>
      <c r="W56" s="2"/>
      <c r="X56" s="2"/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1"/>
      <c r="Q57" s="16"/>
      <c r="R57" s="2"/>
      <c r="S57" s="2"/>
      <c r="T57" s="2"/>
      <c r="U57" s="2"/>
      <c r="V57" s="2"/>
      <c r="W57" s="2"/>
      <c r="X57" s="2"/>
      <c r="Y57" s="16"/>
      <c r="Z57" s="20"/>
      <c r="AA57" s="16"/>
      <c r="AB57" s="21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1"/>
      <c r="Q58" s="16"/>
      <c r="R58" s="2"/>
      <c r="S58" s="2"/>
      <c r="T58" s="2"/>
      <c r="U58" s="2"/>
      <c r="V58" s="2"/>
      <c r="W58" s="2"/>
      <c r="X58" s="2"/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1"/>
      <c r="Q59" s="16"/>
      <c r="R59" s="2"/>
      <c r="S59" s="2"/>
      <c r="T59" s="2"/>
      <c r="U59" s="2"/>
      <c r="V59" s="2"/>
      <c r="W59" s="2"/>
      <c r="X59" s="2"/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1"/>
      <c r="Q60" s="16"/>
      <c r="R60" s="2"/>
      <c r="S60" s="2"/>
      <c r="T60" s="2"/>
      <c r="U60" s="2"/>
      <c r="V60" s="2"/>
      <c r="W60" s="2"/>
      <c r="X60" s="2"/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1"/>
      <c r="Q61" s="16"/>
      <c r="R61" s="2"/>
      <c r="S61" s="2"/>
      <c r="T61" s="2"/>
      <c r="U61" s="2"/>
      <c r="V61" s="2"/>
      <c r="W61" s="2"/>
      <c r="X61" s="2"/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1"/>
      <c r="Q62" s="16"/>
      <c r="R62" s="2"/>
      <c r="S62" s="2"/>
      <c r="T62" s="2"/>
      <c r="U62" s="2"/>
      <c r="V62" s="2"/>
      <c r="W62" s="2"/>
      <c r="X62" s="2"/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1"/>
      <c r="Q63" s="16"/>
      <c r="R63" s="2"/>
      <c r="S63" s="2"/>
      <c r="T63" s="2"/>
      <c r="U63" s="2"/>
      <c r="V63" s="2"/>
      <c r="W63" s="2"/>
      <c r="X63" s="2"/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1"/>
      <c r="Q64" s="16"/>
      <c r="R64" s="2"/>
      <c r="S64" s="2"/>
      <c r="T64" s="2"/>
      <c r="U64" s="2"/>
      <c r="V64" s="2"/>
      <c r="W64" s="2"/>
      <c r="X64" s="2"/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1"/>
      <c r="Q65" s="16"/>
      <c r="R65" s="2"/>
      <c r="S65" s="2"/>
      <c r="T65" s="2"/>
      <c r="U65" s="2"/>
      <c r="V65" s="2"/>
      <c r="W65" s="2"/>
      <c r="X65" s="2"/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1"/>
      <c r="Q66" s="16"/>
      <c r="R66" s="2"/>
      <c r="S66" s="2"/>
      <c r="T66" s="2"/>
      <c r="U66" s="2"/>
      <c r="V66" s="2"/>
      <c r="W66" s="2"/>
      <c r="X66" s="2"/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1"/>
      <c r="Q67" s="16"/>
      <c r="R67" s="2"/>
      <c r="S67" s="2"/>
      <c r="T67" s="2"/>
      <c r="U67" s="2"/>
      <c r="V67" s="2"/>
      <c r="W67" s="2"/>
      <c r="X67" s="2"/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1"/>
      <c r="Q68" s="16"/>
      <c r="R68" s="2"/>
      <c r="S68" s="2"/>
      <c r="T68" s="2"/>
      <c r="U68" s="2"/>
      <c r="V68" s="2"/>
      <c r="W68" s="2"/>
      <c r="X68" s="2"/>
      <c r="Y68" s="16"/>
      <c r="Z68" s="20"/>
      <c r="AA68" s="16"/>
      <c r="AB68" s="21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1"/>
      <c r="Q69" s="16"/>
      <c r="R69" s="2"/>
      <c r="S69" s="2"/>
      <c r="T69" s="2"/>
      <c r="U69" s="2"/>
      <c r="V69" s="2"/>
      <c r="W69" s="2"/>
      <c r="X69" s="2"/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1"/>
      <c r="Q70" s="16"/>
      <c r="R70" s="2"/>
      <c r="S70" s="2"/>
      <c r="T70" s="2"/>
      <c r="U70" s="2"/>
      <c r="V70" s="2"/>
      <c r="W70" s="2"/>
      <c r="X70" s="2"/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1"/>
      <c r="Q71" s="16"/>
      <c r="R71" s="2"/>
      <c r="S71" s="2"/>
      <c r="T71" s="2"/>
      <c r="U71" s="2"/>
      <c r="V71" s="2"/>
      <c r="W71" s="2"/>
      <c r="X71" s="2"/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1"/>
      <c r="Q72" s="16"/>
      <c r="R72" s="2"/>
      <c r="S72" s="2"/>
      <c r="T72" s="2"/>
      <c r="U72" s="2"/>
      <c r="V72" s="2"/>
      <c r="W72" s="2"/>
      <c r="X72" s="2"/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1"/>
      <c r="Q73" s="16"/>
      <c r="R73" s="2"/>
      <c r="S73" s="2"/>
      <c r="T73" s="2"/>
      <c r="U73" s="2"/>
      <c r="V73" s="2"/>
      <c r="W73" s="2"/>
      <c r="X73" s="2"/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1"/>
      <c r="Q74" s="16"/>
      <c r="R74" s="2"/>
      <c r="S74" s="2"/>
      <c r="T74" s="2"/>
      <c r="U74" s="2"/>
      <c r="V74" s="2"/>
      <c r="W74" s="2"/>
      <c r="X74" s="2"/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1"/>
      <c r="Q75" s="16"/>
      <c r="R75" s="2"/>
      <c r="S75" s="2"/>
      <c r="T75" s="2"/>
      <c r="U75" s="2"/>
      <c r="V75" s="2"/>
      <c r="W75" s="2"/>
      <c r="X75" s="2"/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1"/>
      <c r="Q76" s="16"/>
      <c r="R76" s="2"/>
      <c r="S76" s="2"/>
      <c r="T76" s="2"/>
      <c r="U76" s="2"/>
      <c r="V76" s="2"/>
      <c r="W76" s="2"/>
      <c r="X76" s="2"/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1"/>
      <c r="Q77" s="16"/>
      <c r="R77" s="2"/>
      <c r="S77" s="2"/>
      <c r="T77" s="2"/>
      <c r="U77" s="2"/>
      <c r="V77" s="2"/>
      <c r="W77" s="2"/>
      <c r="X77" s="2"/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1"/>
      <c r="Q78" s="16"/>
      <c r="R78" s="2"/>
      <c r="S78" s="2"/>
      <c r="T78" s="2"/>
      <c r="U78" s="2"/>
      <c r="V78" s="2"/>
      <c r="W78" s="2"/>
      <c r="X78" s="2"/>
      <c r="Y78" s="16"/>
      <c r="Z78" s="20"/>
      <c r="AA78" s="16"/>
      <c r="AB78" s="21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1"/>
      <c r="Q79" s="16"/>
      <c r="R79" s="2"/>
      <c r="S79" s="2"/>
      <c r="T79" s="2"/>
      <c r="U79" s="2"/>
      <c r="V79" s="2"/>
      <c r="W79" s="2"/>
      <c r="X79" s="2"/>
      <c r="Y79" s="16"/>
      <c r="Z79" s="20"/>
      <c r="AA79" s="16"/>
      <c r="AB79" s="21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1"/>
      <c r="Q80" s="16"/>
      <c r="R80" s="2"/>
      <c r="S80" s="2"/>
      <c r="T80" s="2"/>
      <c r="U80" s="2"/>
      <c r="V80" s="2"/>
      <c r="W80" s="2"/>
      <c r="X80" s="2"/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1"/>
      <c r="Q81" s="16"/>
      <c r="R81" s="2"/>
      <c r="S81" s="2"/>
      <c r="T81" s="2"/>
      <c r="U81" s="2"/>
      <c r="V81" s="2"/>
      <c r="W81" s="2"/>
      <c r="X81" s="2"/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1"/>
      <c r="Q82" s="16"/>
      <c r="R82" s="2"/>
      <c r="S82" s="2"/>
      <c r="T82" s="2"/>
      <c r="U82" s="2"/>
      <c r="V82" s="2"/>
      <c r="W82" s="2"/>
      <c r="X82" s="2"/>
      <c r="Y82" s="16"/>
      <c r="Z82" s="20"/>
      <c r="AA82" s="16"/>
      <c r="AB82" s="21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1"/>
      <c r="Q83" s="16"/>
      <c r="R83" s="2"/>
      <c r="S83" s="2"/>
      <c r="T83" s="2"/>
      <c r="U83" s="2"/>
      <c r="V83" s="2"/>
      <c r="W83" s="2"/>
      <c r="X83" s="2"/>
      <c r="Y83" s="16"/>
      <c r="Z83" s="20"/>
      <c r="AA83" s="16"/>
      <c r="AB83" s="21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1"/>
      <c r="Q84" s="16"/>
      <c r="R84" s="2"/>
      <c r="S84" s="2"/>
      <c r="T84" s="2"/>
      <c r="U84" s="2"/>
      <c r="V84" s="2"/>
      <c r="W84" s="2"/>
      <c r="X84" s="2"/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1"/>
      <c r="Q85" s="16"/>
      <c r="R85" s="2"/>
      <c r="S85" s="2"/>
      <c r="T85" s="2"/>
      <c r="U85" s="2"/>
      <c r="V85" s="2"/>
      <c r="W85" s="2"/>
      <c r="X85" s="2"/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1"/>
      <c r="Q86" s="16"/>
      <c r="R86" s="2"/>
      <c r="S86" s="2"/>
      <c r="T86" s="2"/>
      <c r="U86" s="2"/>
      <c r="V86" s="2"/>
      <c r="W86" s="2"/>
      <c r="X86" s="2"/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1"/>
      <c r="Q87" s="16"/>
      <c r="R87" s="2"/>
      <c r="S87" s="2"/>
      <c r="T87" s="2"/>
      <c r="U87" s="2"/>
      <c r="V87" s="2"/>
      <c r="W87" s="2"/>
      <c r="X87" s="2"/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1"/>
      <c r="Q88" s="16"/>
      <c r="R88" s="2"/>
      <c r="S88" s="2"/>
      <c r="T88" s="2"/>
      <c r="U88" s="2"/>
      <c r="V88" s="2"/>
      <c r="W88" s="2"/>
      <c r="X88" s="2"/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1"/>
      <c r="Q89" s="16"/>
      <c r="R89" s="2"/>
      <c r="S89" s="2"/>
      <c r="T89" s="2"/>
      <c r="U89" s="2"/>
      <c r="V89" s="2"/>
      <c r="W89" s="2"/>
      <c r="X89" s="2"/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1"/>
      <c r="Q90" s="16"/>
      <c r="R90" s="2"/>
      <c r="S90" s="2"/>
      <c r="T90" s="2"/>
      <c r="U90" s="2"/>
      <c r="V90" s="2"/>
      <c r="W90" s="2"/>
      <c r="X90" s="2"/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1"/>
      <c r="Q91" s="16"/>
      <c r="R91" s="2"/>
      <c r="S91" s="2"/>
      <c r="T91" s="2"/>
      <c r="U91" s="2"/>
      <c r="V91" s="2"/>
      <c r="W91" s="2"/>
      <c r="X91" s="2"/>
      <c r="Y91" s="16"/>
      <c r="Z91" s="20"/>
      <c r="AA91" s="16"/>
      <c r="AB91" s="21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1"/>
      <c r="Q92" s="16"/>
      <c r="R92" s="2"/>
      <c r="S92" s="2"/>
      <c r="T92" s="2"/>
      <c r="U92" s="2"/>
      <c r="V92" s="2"/>
      <c r="W92" s="2"/>
      <c r="X92" s="2"/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1"/>
      <c r="Q93" s="16"/>
      <c r="R93" s="2"/>
      <c r="S93" s="2"/>
      <c r="T93" s="2"/>
      <c r="U93" s="2"/>
      <c r="V93" s="2"/>
      <c r="W93" s="2"/>
      <c r="X93" s="2"/>
      <c r="Y93" s="16"/>
      <c r="Z93" s="20"/>
      <c r="AA93" s="16"/>
      <c r="AB93" s="21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/>
      <c r="B94" s="2"/>
      <c r="C94" s="2"/>
      <c r="D94" s="15"/>
      <c r="E94" s="2"/>
      <c r="F94" s="2"/>
      <c r="G94" s="2"/>
      <c r="H94" s="2"/>
      <c r="I94" s="2"/>
      <c r="J94" s="2"/>
      <c r="K94" s="2"/>
      <c r="L94" s="2"/>
      <c r="M94" s="16"/>
      <c r="N94" s="16"/>
      <c r="O94" s="16"/>
      <c r="P94" s="21"/>
      <c r="Q94" s="16"/>
      <c r="R94" s="2"/>
      <c r="S94" s="2"/>
      <c r="T94" s="2"/>
      <c r="U94" s="2"/>
      <c r="V94" s="2"/>
      <c r="W94" s="2"/>
      <c r="X94" s="2"/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2015-02-10T13:01:11Z</dcterms:modified>
</cp:coreProperties>
</file>